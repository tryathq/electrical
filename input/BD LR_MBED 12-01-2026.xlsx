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00" firstSheet="2" activeTab="7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state="hidden" r:id="rId21"/>
    <sheet name="Sheet1" sheetId="22" state="hidden" r:id="rId22"/>
    <sheet name="GEN_MASTER" sheetId="24" r:id="rId23"/>
    <sheet name="The_Saving" sheetId="25" r:id="rId24"/>
    <sheet name="Abstract to JMD sir" sheetId="26" r:id="rId25"/>
    <sheet name="Sheet2" sheetId="23" state="hidden" r:id="rId26"/>
  </sheets>
  <externalReferences>
    <externalReference r:id="rId28"/>
    <externalReference r:id="rId29"/>
  </externalReferences>
  <definedNames>
    <definedName name="_xlnm._FilterDatabase" localSheetId="25" hidden="1">Sheet2!$A$2:$D$199</definedName>
    <definedName name="_xlnm.Print_Area" localSheetId="0">'BD&amp;LR'!$A$1:$N$102</definedName>
    <definedName name="_xlnm.Print_Area" localSheetId="16">CHECK!$A$1:$AD$99</definedName>
    <definedName name="_xlnm.Print_Area" localSheetId="9">'SCADA Grid'!$A$1:$G$102</definedName>
    <definedName name="_xlnm.Print_Titles" localSheetId="0">'BD&amp;LR'!$1:$2</definedName>
    <definedName name="_xlnm.Print_Area" localSheetId="24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<sst xmlns="http://schemas.openxmlformats.org/spreadsheetml/2006/main" count="4095" uniqueCount="834">
  <si>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</si>
  <si>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</si>
  <si>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</si>
  <si>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</si>
  <si>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</si>
  <si>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</si>
  <si>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</si>
  <si>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</si>
  <si>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</si>
  <si>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</si>
  <si>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</si>
  <si>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</si>
  <si>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</si>
  <si>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</si>
  <si>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</si>
  <si>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</si>
  <si>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</si>
  <si>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</si>
  <si>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</si>
  <si>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</si>
  <si>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</si>
  <si>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</si>
  <si>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</si>
  <si>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</si>
  <si>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</si>
  <si>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</si>
  <si>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</si>
  <si>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</si>
  <si>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</si>
  <si>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</si>
  <si>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</si>
  <si>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</si>
  <si>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</si>
  <si>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</si>
  <si>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</si>
  <si>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</si>
  <si>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</si>
  <si>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</si>
  <si>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</si>
  <si>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</si>
  <si>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</si>
  <si>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</si>
  <si>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</si>
  <si>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</si>
  <si>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</si>
  <si>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</si>
  <si>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</si>
  <si>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</si>
  <si>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</si>
  <si>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</si>
  <si>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</si>
  <si>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</si>
  <si>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</si>
  <si>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</si>
  <si>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</si>
  <si>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</si>
  <si>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</si>
  <si>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</si>
  <si>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</si>
  <si>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</si>
  <si>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</si>
  <si>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</si>
  <si>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</si>
  <si>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</si>
  <si>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</si>
  <si>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</si>
  <si>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</si>
  <si>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</si>
  <si>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</si>
  <si>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</si>
  <si>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</si>
  <si>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</si>
  <si>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</si>
  <si>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</si>
  <si>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</si>
  <si>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</si>
  <si>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</si>
  <si>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</si>
  <si>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</si>
  <si>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</si>
  <si>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</si>
  <si>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</si>
  <si>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</si>
  <si>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</si>
  <si>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</si>
  <si>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</si>
  <si>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</si>
  <si>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</si>
  <si>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</si>
  <si>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</si>
  <si>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</si>
  <si>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</si>
  <si>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</si>
  <si>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</si>
  <si>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</si>
  <si>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</si>
  <si>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</si>
  <si>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</si>
  <si>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</si>
  <si>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</si>
  <si>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</si>
  <si>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</si>
  <si>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</si>
  <si>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</si>
  <si>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</si>
  <si>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</si>
  <si>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</si>
  <si>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</si>
  <si>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</si>
  <si>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</si>
  <si>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</si>
  <si>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 xml:space="preserve">Highlighted fields indicates State Thermal backdown  with DAM/RTM purchases :
TB Nos. 1-32, 51-63 &amp; 93-96: MBED with RTM purchases.
TB Nos. 39 to 43 : Due to Rise in Solar and wind generations.
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</si>
  <si>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</si>
  <si>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</si>
  <si>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</si>
  <si>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</si>
  <si>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</si>
  <si>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</si>
  <si>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</si>
  <si>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</si>
  <si>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</si>
  <si>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</si>
  <si>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</si>
  <si>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</si>
  <si>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</si>
  <si>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</si>
  <si>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</si>
  <si>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</si>
  <si>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</si>
  <si>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</si>
  <si>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</si>
  <si>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</si>
  <si>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</si>
  <si>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</si>
  <si>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</si>
  <si>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</si>
  <si>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</si>
  <si>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</si>
  <si>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</si>
  <si>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</si>
  <si>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</si>
  <si>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</si>
  <si>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</si>
  <si>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</si>
  <si>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</si>
  <si>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</si>
  <si>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</si>
  <si>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</si>
  <si>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</si>
  <si>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</si>
  <si>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</si>
  <si>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</si>
  <si>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</si>
  <si>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</si>
  <si>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</si>
  <si>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</si>
  <si>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</si>
  <si>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</si>
  <si>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</si>
  <si>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</si>
  <si>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</si>
  <si>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</si>
  <si>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</si>
  <si>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</si>
  <si>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</si>
  <si>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</si>
  <si>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</si>
  <si>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</si>
  <si>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</si>
  <si>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</si>
  <si>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1/12/2026 TO 1/13/2026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</si>
  <si>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</si>
  <si>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</si>
  <si>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</si>
  <si>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</si>
  <si>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</si>
  <si>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</si>
  <si>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</si>
  <si>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</si>
  <si>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</si>
  <si>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</si>
  <si>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</si>
  <si>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</si>
  <si>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</si>
  <si>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</si>
  <si>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</si>
  <si>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</si>
  <si>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</si>
  <si>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</si>
  <si>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</si>
  <si>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</si>
  <si>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</si>
  <si>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</si>
  <si>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</si>
  <si>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</si>
  <si>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</si>
  <si>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</si>
  <si>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</si>
  <si>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</si>
  <si>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</si>
  <si>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</si>
  <si>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</si>
  <si>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</si>
  <si>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</si>
  <si>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</si>
  <si>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</si>
  <si>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</si>
  <si>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</si>
  <si>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</si>
  <si>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</si>
  <si>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</si>
  <si>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</si>
  <si>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</si>
  <si>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</si>
  <si>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</si>
  <si>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</si>
  <si>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</si>
  <si>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</si>
  <si>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</si>
  <si>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</si>
  <si>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</si>
  <si>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</si>
  <si>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</si>
  <si>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</si>
  <si>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</si>
  <si>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</si>
  <si>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</si>
  <si>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</si>
  <si>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</si>
  <si>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</si>
  <si>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</si>
  <si>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</si>
  <si>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</si>
  <si>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</si>
  <si>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</si>
  <si>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</si>
  <si>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</si>
  <si>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</si>
  <si>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</si>
  <si>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</si>
  <si>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</si>
  <si>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</si>
  <si>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</si>
  <si>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</si>
  <si>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</si>
  <si>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</si>
  <si>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</si>
  <si>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</si>
  <si>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</si>
  <si>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</si>
  <si>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</si>
  <si>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</si>
  <si>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</si>
  <si>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</si>
  <si>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</si>
  <si>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</si>
  <si>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</si>
  <si>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</si>
  <si>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</si>
  <si>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</si>
  <si>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</si>
  <si>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</si>
  <si>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</si>
  <si>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</si>
  <si>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1/12/2026 TO 1/13/2026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</si>
  <si>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</si>
  <si>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</si>
  <si>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</si>
  <si>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</si>
  <si>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</si>
  <si>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</si>
  <si>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</si>
  <si>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</si>
  <si>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</si>
  <si>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</si>
  <si>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</si>
  <si>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</si>
  <si>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1/12/2026 TO 1/13/2026</t>
  </si>
  <si>
    <t>SCHED_PG.SYSTEM.SR_FREQ.HZ</t>
  </si>
  <si>
    <t>SCHED_PG.SYSTEM.BLOCK_NO.BNO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</si>
  <si>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</si>
  <si>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</si>
  <si>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</si>
  <si>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</si>
  <si>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</si>
  <si>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</si>
  <si>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</si>
  <si>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</si>
  <si>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</si>
  <si>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</si>
  <si>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</si>
  <si>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</si>
  <si>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</si>
  <si>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</si>
  <si>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</si>
  <si>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</si>
  <si>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</si>
  <si>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</si>
  <si>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ITCFBD_RANJANGAON_MH</t>
  </si>
  <si>
    <t>ITC_Kolkata</t>
  </si>
  <si>
    <t>IEXL</t>
  </si>
  <si>
    <t>NACL_Odisha</t>
  </si>
  <si>
    <t>PXIL</t>
  </si>
  <si>
    <t>HPXL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</si>
  <si>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</si>
  <si>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</si>
  <si>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</si>
  <si>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</si>
  <si>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</si>
  <si>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</si>
  <si>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</si>
  <si>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</si>
  <si>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</si>
  <si>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</si>
  <si>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</si>
  <si>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</si>
  <si>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</si>
  <si>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</si>
  <si>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</si>
  <si>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</si>
  <si>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South-West-North</t>
  </si>
  <si>
    <t>South-West</t>
  </si>
  <si>
    <t>South-East</t>
  </si>
  <si>
    <t>NR/2025/37897/A/131392</t>
  </si>
  <si>
    <t>NR/2025/39322/A/131751</t>
  </si>
  <si>
    <t>WR/2025/36733/A/131390</t>
  </si>
  <si>
    <t>ER/2025/21327/A/131639</t>
  </si>
  <si>
    <t>WR/2025/36927/A/131297</t>
  </si>
  <si>
    <t>NR/2025/39274/A/131279</t>
  </si>
  <si>
    <t>NR/2025/39273/A/131261</t>
  </si>
  <si>
    <t>NR/2025/39275/A/131280</t>
  </si>
  <si>
    <t>ER/2026/24104/C</t>
  </si>
  <si>
    <t>SR/2025/25692/A/131290</t>
  </si>
  <si>
    <t>SR/2025/25697/A/131275</t>
  </si>
  <si>
    <t>SR/2026/26385/C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</si>
  <si>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</si>
  <si>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</si>
  <si>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</si>
  <si>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</si>
  <si>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</si>
  <si>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</si>
  <si>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</si>
  <si>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</si>
  <si>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</si>
  <si>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</si>
  <si>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</si>
  <si>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</si>
  <si>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</si>
  <si>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</si>
  <si>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</si>
  <si>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</si>
  <si>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</si>
  <si>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</si>
  <si>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</si>
  <si>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</si>
  <si>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</si>
  <si>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CP_NSL_Textiles_Limited_Inkollu</t>
  </si>
  <si>
    <t>CP_NSL_Textiles_Limited_Kunchalavaripalem</t>
  </si>
  <si>
    <t>Dalmia_Laminators_Ltd_TPT3332</t>
  </si>
  <si>
    <t>EP_AMNS_Ports_Vizag_Limited_VSP_1523</t>
  </si>
  <si>
    <t>EP_Apitoria_Pharma_Private_Limited_SKL139</t>
  </si>
  <si>
    <t>EP_Apitoria_Pharma_Private_Limited_VSP_1159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</si>
  <si>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</si>
  <si>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</si>
  <si>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</si>
  <si>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</si>
  <si>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</si>
  <si>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</si>
  <si>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EP_Laurus_Labs_Pvt_Ltd_VSP_1202</t>
  </si>
  <si>
    <t>EP_Lauruslabs_Unit_4_(VSP_1509)</t>
  </si>
  <si>
    <t>EP_Lyfius_Pharma_Private_Limited_RJY1906</t>
  </si>
  <si>
    <t>EP_Metrochem_API_Private_Limited_VSP1120</t>
  </si>
  <si>
    <t>EP_Novopor_Advanced_Science_Private_Limited</t>
  </si>
  <si>
    <t>EP_ONGC_Ltd_(HTSC_No_RJY_1619)</t>
  </si>
  <si>
    <t>EP_Pfizer_Healthcare_India_Private_Limited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</si>
  <si>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</si>
  <si>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</si>
  <si>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</si>
  <si>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</si>
  <si>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</si>
  <si>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</si>
  <si>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EP_Tagoor_Laboratories_Private_Limited</t>
  </si>
  <si>
    <t>EP_The_Andhra_Petrochemicals_Ltd</t>
  </si>
  <si>
    <t>EP_The_Andhra_Sugars_Limited_(ELR_357)</t>
  </si>
  <si>
    <t>EP_The_Ramco_Cements_Limited_THESLDCD04_VSP1405</t>
  </si>
  <si>
    <t>EP_Vishnu_Chemicals_Ltd_VSP_512</t>
  </si>
  <si>
    <t>Growel_Processors_Private_Limited_VJA3669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</si>
  <si>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</si>
  <si>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</si>
  <si>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</si>
  <si>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</si>
  <si>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</si>
  <si>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</si>
  <si>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</si>
  <si>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</si>
  <si>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</si>
  <si>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</si>
  <si>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</si>
  <si>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</si>
  <si>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</si>
  <si>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</si>
  <si>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</si>
  <si>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</si>
  <si>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</si>
  <si>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</si>
  <si>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</si>
  <si>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</si>
  <si>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SP_Pushpit_Steels_Private_Limited</t>
  </si>
  <si>
    <t>SP_SKJ_POWER_Projects_Private_Limited</t>
  </si>
  <si>
    <t>SP_SNJ_Sugars_and_Products_Limited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</si>
  <si>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</si>
  <si>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</si>
  <si>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</si>
  <si>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</si>
  <si>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</si>
  <si>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</si>
  <si>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</si>
  <si>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</si>
  <si>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</si>
  <si>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</si>
  <si>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</si>
  <si>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</si>
  <si>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</si>
  <si>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</si>
  <si>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</si>
  <si>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</si>
  <si>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</si>
  <si>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</si>
  <si>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</si>
  <si>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</si>
  <si>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</si>
  <si>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</si>
  <si>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</si>
  <si>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</si>
  <si>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</si>
  <si>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</si>
  <si>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</si>
  <si>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</si>
  <si>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</si>
  <si>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</si>
  <si>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</si>
  <si>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</si>
  <si>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</si>
  <si>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</si>
  <si>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</si>
  <si>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</si>
  <si>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</si>
  <si>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</si>
  <si>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</si>
  <si>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</si>
  <si>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</si>
  <si>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</si>
  <si>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</si>
  <si>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</si>
  <si>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</si>
  <si>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</si>
  <si>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</si>
  <si>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</si>
  <si>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</si>
  <si>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</si>
  <si>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</si>
  <si>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</si>
  <si>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</si>
  <si>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</si>
  <si>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</si>
  <si>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</si>
  <si>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</si>
  <si>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</si>
  <si>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</si>
  <si>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</si>
  <si>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</si>
  <si>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</si>
  <si>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</si>
  <si>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</si>
  <si>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</si>
  <si>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</si>
  <si>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</si>
  <si>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</si>
  <si>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</si>
  <si>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</si>
  <si>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</si>
  <si>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</si>
  <si>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</si>
  <si>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</si>
  <si>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</si>
  <si>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</si>
  <si>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</si>
  <si>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</si>
  <si>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</si>
  <si>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</si>
  <si>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</si>
  <si>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</si>
  <si>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</si>
  <si>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</si>
  <si>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</si>
  <si>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</si>
  <si>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</si>
  <si>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</si>
  <si>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</si>
  <si>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</si>
  <si>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</si>
  <si>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</si>
  <si>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</si>
  <si>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</si>
  <si>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</si>
  <si>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</si>
  <si>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</si>
  <si>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</si>
  <si>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</si>
  <si>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</si>
  <si>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</si>
  <si>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</si>
  <si>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</si>
  <si>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</si>
  <si>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</si>
  <si>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</si>
  <si>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</si>
  <si>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</si>
  <si>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</si>
  <si>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</si>
  <si>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</si>
  <si>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</si>
  <si>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</si>
  <si>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</si>
  <si>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</si>
  <si>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</si>
  <si>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4.81 -% </t>
  </si>
  <si>
    <t xml:space="preserve">4.81 -%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</si>
  <si>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</si>
  <si>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</si>
  <si>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</si>
  <si>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</si>
  <si>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</si>
  <si>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</si>
  <si>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</si>
  <si>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CP_JC_Biotech_Private_Limited_(ONG_352)</t>
  </si>
  <si>
    <t>CP_The_K_C_P_Limited_VJA_3035</t>
  </si>
  <si>
    <t>EP_Andhra_Organics_Limited_SKL247</t>
  </si>
  <si>
    <t>EP_Gland_Pharma_Limited_(VSP_576)</t>
  </si>
  <si>
    <t>EP_HBL_Power_Systems_Ltd_(VZM_156)</t>
  </si>
  <si>
    <t>EP_Laurus_Labs_Limited_VSP_1267</t>
  </si>
  <si>
    <t>EP_Laurus_Labs_Pvt_Ltd_(VSP_554)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</si>
  <si>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</si>
  <si>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</si>
  <si>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</si>
  <si>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</si>
  <si>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EP_Steel_Exchange_India_Limited_VZM_124</t>
  </si>
  <si>
    <t>SP_Hindustan_Petroleum_Corporation_Limited_VSP_2123</t>
  </si>
  <si>
    <t>SP_Mangal_Industries_Limited_TPT288</t>
  </si>
  <si>
    <t>SP_Ramya_Spinning_Mills_Pvt_Ltd_Ganapavaram_CRD_663</t>
  </si>
  <si>
    <t>SP_SEIL_Energy_India_Limited_Project_2_(Unit 2 STU)</t>
  </si>
  <si>
    <t>SP_Sagar_Grandhi_Exports_Private_Limited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</si>
  <si>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</si>
  <si>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</si>
  <si>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</si>
  <si>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</si>
  <si>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</si>
  <si>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</si>
  <si>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</si>
  <si>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</si>
  <si>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</si>
  <si>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</si>
  <si>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</si>
  <si>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</si>
  <si>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</si>
  <si>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</si>
  <si>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</si>
  <si>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</si>
  <si>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</si>
  <si>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</si>
  <si>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</si>
  <si>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</si>
  <si>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12-01-2026 to 18-01-2026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</si>
  <si>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</si>
  <si>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</si>
  <si>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</si>
  <si>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</si>
  <si>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</si>
  <si>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</si>
  <si>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</si>
  <si>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</si>
  <si>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</si>
  <si>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</si>
  <si>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</si>
  <si>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</si>
  <si>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</si>
  <si>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</si>
  <si>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</si>
  <si>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</si>
  <si>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</si>
  <si>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</si>
  <si>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</si>
  <si>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</si>
  <si>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</si>
  <si>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</si>
  <si>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</si>
  <si>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</si>
  <si>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</si>
  <si>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</si>
  <si>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</si>
  <si>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</si>
  <si>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</si>
  <si>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</si>
  <si>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</si>
  <si>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</si>
  <si>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</si>
  <si>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</si>
  <si>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</si>
  <si>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</si>
  <si>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</si>
  <si>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</si>
  <si>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</si>
  <si>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</si>
  <si>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</si>
  <si>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</si>
  <si>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</si>
  <si>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</si>
  <si>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</si>
  <si>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</si>
  <si>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</si>
  <si>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</si>
  <si>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</si>
  <si>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</si>
  <si>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</si>
  <si>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</si>
  <si>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</si>
  <si>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</si>
  <si>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</si>
  <si>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</si>
  <si>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</si>
  <si>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</si>
  <si>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</si>
  <si>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</si>
  <si>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</si>
  <si>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</si>
  <si>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</si>
  <si>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</si>
  <si>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</si>
  <si>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</si>
  <si>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</si>
  <si>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</si>
  <si>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</si>
  <si>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</si>
  <si>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</si>
  <si>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</si>
  <si>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</si>
  <si>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</si>
  <si>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</si>
  <si>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</si>
  <si>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</si>
  <si>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</si>
  <si>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</si>
  <si>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</si>
  <si>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</si>
  <si>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</si>
  <si>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</si>
  <si>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</si>
  <si>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</si>
  <si>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</si>
  <si>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</si>
  <si>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Abstract of Savings with MBED for 11/01/2026.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</si>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</sst>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8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4"/>
      <color theme="9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8"/>
      <color rgb="FF000000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4" fillId="0" borderId="23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32" borderId="24" applyNumberFormat="0" applyAlignment="0" applyProtection="0">
      <alignment vertical="center"/>
    </xf>
    <xf numFmtId="0" fontId="86" fillId="33" borderId="25" applyNumberFormat="0" applyAlignment="0" applyProtection="0">
      <alignment vertical="center"/>
    </xf>
    <xf numFmtId="0" fontId="87" fillId="33" borderId="24" applyNumberFormat="0" applyAlignment="0" applyProtection="0">
      <alignment vertical="center"/>
    </xf>
    <xf numFmtId="0" fontId="88" fillId="34" borderId="26" applyNumberFormat="0" applyAlignment="0" applyProtection="0">
      <alignment vertical="center"/>
    </xf>
    <xf numFmtId="0" fontId="89" fillId="0" borderId="27" applyNumberFormat="0" applyFill="0" applyAlignment="0" applyProtection="0">
      <alignment vertical="center"/>
    </xf>
    <xf numFmtId="0" fontId="90" fillId="0" borderId="28" applyNumberFormat="0" applyFill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3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95" fillId="44" borderId="0" applyNumberFormat="0" applyBorder="0" applyAlignment="0" applyProtection="0">
      <alignment vertical="center"/>
    </xf>
    <xf numFmtId="0" fontId="94" fillId="8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4" fillId="13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5" fillId="56" borderId="0" applyNumberFormat="0" applyBorder="0" applyAlignment="0" applyProtection="0">
      <alignment vertical="center"/>
    </xf>
    <xf numFmtId="0" fontId="95" fillId="10" borderId="0" applyNumberFormat="0" applyBorder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6" fillId="58" borderId="0"/>
    <xf numFmtId="0" fontId="97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6" fillId="60" borderId="0"/>
    <xf numFmtId="0" fontId="97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6" fillId="62" borderId="0"/>
    <xf numFmtId="0" fontId="97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6" fillId="63" borderId="0"/>
    <xf numFmtId="0" fontId="97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6" fillId="65" borderId="0"/>
    <xf numFmtId="0" fontId="97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6" fillId="57" borderId="0"/>
    <xf numFmtId="0" fontId="97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6" fillId="66" borderId="0"/>
    <xf numFmtId="0" fontId="97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6" fillId="59" borderId="0"/>
    <xf numFmtId="0" fontId="97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6" fillId="69" borderId="0"/>
    <xf numFmtId="0" fontId="97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6" fillId="63" borderId="0"/>
    <xf numFmtId="0" fontId="97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6" fillId="66" borderId="0"/>
    <xf numFmtId="0" fontId="97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6" fillId="71" borderId="0"/>
    <xf numFmtId="0" fontId="97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9" fillId="73" borderId="0"/>
    <xf numFmtId="0" fontId="99" fillId="73" borderId="0"/>
    <xf numFmtId="0" fontId="99" fillId="73" borderId="0"/>
    <xf numFmtId="0" fontId="98" fillId="72" borderId="0"/>
    <xf numFmtId="0" fontId="99" fillId="73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4" borderId="0"/>
    <xf numFmtId="0" fontId="100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9" fillId="59" borderId="0"/>
    <xf numFmtId="0" fontId="99" fillId="59" borderId="0"/>
    <xf numFmtId="0" fontId="99" fillId="59" borderId="0"/>
    <xf numFmtId="0" fontId="98" fillId="75" borderId="0"/>
    <xf numFmtId="0" fontId="99" fillId="59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100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9" fillId="69" borderId="0"/>
    <xf numFmtId="0" fontId="99" fillId="69" borderId="0"/>
    <xf numFmtId="0" fontId="99" fillId="69" borderId="0"/>
    <xf numFmtId="0" fontId="98" fillId="68" borderId="0"/>
    <xf numFmtId="0" fontId="99" fillId="69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76" borderId="0"/>
    <xf numFmtId="0" fontId="100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9" fillId="77" borderId="0"/>
    <xf numFmtId="0" fontId="99" fillId="77" borderId="0"/>
    <xf numFmtId="0" fontId="99" fillId="77" borderId="0"/>
    <xf numFmtId="0" fontId="98" fillId="26" borderId="0"/>
    <xf numFmtId="0" fontId="99" fillId="77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78" borderId="0"/>
    <xf numFmtId="0" fontId="100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9" fillId="72" borderId="0"/>
    <xf numFmtId="0" fontId="99" fillId="72" borderId="0"/>
    <xf numFmtId="0" fontId="99" fillId="72" borderId="0"/>
    <xf numFmtId="0" fontId="98" fillId="79" borderId="0"/>
    <xf numFmtId="0" fontId="99" fillId="72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100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9" fillId="80" borderId="0"/>
    <xf numFmtId="0" fontId="99" fillId="80" borderId="0"/>
    <xf numFmtId="0" fontId="99" fillId="80" borderId="0"/>
    <xf numFmtId="0" fontId="98" fillId="59" borderId="0"/>
    <xf numFmtId="0" fontId="99" fillId="80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81" borderId="0"/>
    <xf numFmtId="0" fontId="100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9" fontId="101" fillId="0" borderId="0"/>
    <xf numFmtId="9" fontId="101" fillId="0" borderId="0"/>
    <xf numFmtId="9" fontId="101" fillId="0" borderId="0"/>
    <xf numFmtId="0" fontId="97" fillId="82" borderId="0"/>
    <xf numFmtId="0" fontId="97" fillId="58" borderId="0"/>
    <xf numFmtId="0" fontId="97" fillId="58" borderId="0"/>
    <xf numFmtId="0" fontId="97" fillId="66" borderId="0"/>
    <xf numFmtId="0" fontId="97" fillId="58" borderId="0"/>
    <xf numFmtId="0" fontId="97" fillId="58" borderId="0"/>
    <xf numFmtId="0" fontId="100" fillId="83" borderId="0"/>
    <xf numFmtId="0" fontId="100" fillId="66" borderId="0"/>
    <xf numFmtId="0" fontId="100" fillId="66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9" fillId="84" borderId="0"/>
    <xf numFmtId="0" fontId="99" fillId="84" borderId="0"/>
    <xf numFmtId="0" fontId="99" fillId="84" borderId="0"/>
    <xf numFmtId="0" fontId="98" fillId="72" borderId="0"/>
    <xf numFmtId="0" fontId="99" fillId="8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100" fillId="8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7" fillId="82" borderId="0"/>
    <xf numFmtId="0" fontId="97" fillId="61" borderId="0"/>
    <xf numFmtId="0" fontId="97" fillId="61" borderId="0"/>
    <xf numFmtId="0" fontId="97" fillId="26" borderId="0"/>
    <xf numFmtId="0" fontId="97" fillId="26" borderId="0"/>
    <xf numFmtId="0" fontId="97" fillId="26" borderId="0"/>
    <xf numFmtId="0" fontId="100" fillId="85" borderId="0"/>
    <xf numFmtId="0" fontId="100" fillId="83" borderId="0"/>
    <xf numFmtId="0" fontId="100" fillId="83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9" fillId="6" borderId="0"/>
    <xf numFmtId="0" fontId="99" fillId="6" borderId="0"/>
    <xf numFmtId="0" fontId="99" fillId="6" borderId="0"/>
    <xf numFmtId="0" fontId="98" fillId="86" borderId="0"/>
    <xf numFmtId="0" fontId="99" fillId="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100" fillId="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7" fillId="65" borderId="0"/>
    <xf numFmtId="0" fontId="97" fillId="61" borderId="0"/>
    <xf numFmtId="0" fontId="97" fillId="61" borderId="0"/>
    <xf numFmtId="0" fontId="97" fillId="87" borderId="0"/>
    <xf numFmtId="0" fontId="97" fillId="62" borderId="0"/>
    <xf numFmtId="0" fontId="97" fillId="62" borderId="0"/>
    <xf numFmtId="0" fontId="100" fillId="87" borderId="0"/>
    <xf numFmtId="0" fontId="100" fillId="26" borderId="0"/>
    <xf numFmtId="0" fontId="100" fillId="26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9" fillId="89" borderId="0"/>
    <xf numFmtId="0" fontId="99" fillId="89" borderId="0"/>
    <xf numFmtId="0" fontId="99" fillId="89" borderId="0"/>
    <xf numFmtId="0" fontId="98" fillId="88" borderId="0"/>
    <xf numFmtId="0" fontId="99" fillId="89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100" fillId="89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7" fillId="82" borderId="0"/>
    <xf numFmtId="0" fontId="97" fillId="58" borderId="0"/>
    <xf numFmtId="0" fontId="97" fillId="58" borderId="0"/>
    <xf numFmtId="0" fontId="97" fillId="89" borderId="0"/>
    <xf numFmtId="0" fontId="97" fillId="26" borderId="0"/>
    <xf numFmtId="0" fontId="97" fillId="26" borderId="0"/>
    <xf numFmtId="0" fontId="100" fillId="26" borderId="0"/>
    <xf numFmtId="0" fontId="100" fillId="26" borderId="0"/>
    <xf numFmtId="0" fontId="100" fillId="26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9" fillId="77" borderId="0"/>
    <xf numFmtId="0" fontId="99" fillId="77" borderId="0"/>
    <xf numFmtId="0" fontId="99" fillId="77" borderId="0"/>
    <xf numFmtId="0" fontId="98" fillId="90" borderId="0"/>
    <xf numFmtId="0" fontId="99" fillId="77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100" fillId="77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7" fillId="69" borderId="0"/>
    <xf numFmtId="0" fontId="97" fillId="65" borderId="0"/>
    <xf numFmtId="0" fontId="97" fillId="65" borderId="0"/>
    <xf numFmtId="0" fontId="97" fillId="91" borderId="0"/>
    <xf numFmtId="0" fontId="97" fillId="58" borderId="0"/>
    <xf numFmtId="0" fontId="97" fillId="58" borderId="0"/>
    <xf numFmtId="0" fontId="100" fillId="83" borderId="0"/>
    <xf numFmtId="0" fontId="100" fillId="66" borderId="0"/>
    <xf numFmtId="0" fontId="100" fillId="66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9" fillId="72" borderId="0"/>
    <xf numFmtId="0" fontId="99" fillId="72" borderId="0"/>
    <xf numFmtId="0" fontId="99" fillId="72" borderId="0"/>
    <xf numFmtId="0" fontId="98" fillId="30" borderId="0"/>
    <xf numFmtId="0" fontId="99" fillId="72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100" fillId="72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7" fillId="61" borderId="0"/>
    <xf numFmtId="0" fontId="97" fillId="61" borderId="0"/>
    <xf numFmtId="0" fontId="97" fillId="61" borderId="0"/>
    <xf numFmtId="0" fontId="97" fillId="57" borderId="0"/>
    <xf numFmtId="0" fontId="97" fillId="57" borderId="0"/>
    <xf numFmtId="0" fontId="97" fillId="57" borderId="0"/>
    <xf numFmtId="0" fontId="100" fillId="14" borderId="0"/>
    <xf numFmtId="0" fontId="100" fillId="57" borderId="0"/>
    <xf numFmtId="0" fontId="100" fillId="57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9" fillId="93" borderId="0"/>
    <xf numFmtId="0" fontId="99" fillId="93" borderId="0"/>
    <xf numFmtId="0" fontId="99" fillId="93" borderId="0"/>
    <xf numFmtId="0" fontId="98" fillId="92" borderId="0"/>
    <xf numFmtId="0" fontId="99" fillId="93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100" fillId="93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1" fillId="0" borderId="0"/>
    <xf numFmtId="0" fontId="1" fillId="0" borderId="0"/>
    <xf numFmtId="0" fontId="102" fillId="0" borderId="0">
      <alignment horizontal="center" wrapText="1"/>
      <protection locked="0"/>
    </xf>
    <xf numFmtId="0" fontId="1" fillId="0" borderId="0"/>
    <xf numFmtId="0" fontId="1" fillId="0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4" fillId="60" borderId="0"/>
    <xf numFmtId="0" fontId="105" fillId="60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9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1" fillId="0" borderId="0" xfId="10114" applyAlignment="1">
      <alignment horizontal="left"/>
    </xf>
    <xf numFmtId="0" fontId="19" fillId="0" borderId="0" xfId="10114" applyFont="1" applyAlignment="1">
      <alignment horizontal="left" vertical="center"/>
    </xf>
    <xf numFmtId="2" fontId="19" fillId="0" borderId="0" xfId="10114" applyNumberFormat="1" applyFont="1" applyAlignment="1">
      <alignment vertical="center"/>
    </xf>
    <xf numFmtId="0" fontId="19" fillId="0" borderId="0" xfId="10114" applyFont="1" applyAlignment="1">
      <alignment vertical="center"/>
    </xf>
    <xf numFmtId="0" fontId="19" fillId="0" borderId="11" xfId="10114" applyFont="1" applyBorder="1" applyAlignment="1">
      <alignment horizontal="left" vertical="center"/>
    </xf>
    <xf numFmtId="0" fontId="19" fillId="0" borderId="12" xfId="10114" applyFont="1" applyBorder="1" applyAlignment="1">
      <alignment horizontal="left" vertical="center"/>
    </xf>
    <xf numFmtId="0" fontId="20" fillId="0" borderId="1" xfId="10114" applyFont="1" applyBorder="1" applyAlignment="1">
      <alignment horizontal="center"/>
    </xf>
    <xf numFmtId="0" fontId="20" fillId="0" borderId="1" xfId="10114" applyFont="1" applyBorder="1" applyAlignment="1">
      <alignment horizontal="left"/>
    </xf>
    <xf numFmtId="186" fontId="20" fillId="0" borderId="1" xfId="10114" applyNumberFormat="1" applyFont="1" applyBorder="1" applyAlignment="1">
      <alignment horizontal="center"/>
    </xf>
    <xf numFmtId="0" fontId="21" fillId="0" borderId="1" xfId="10114" applyFont="1" applyBorder="1" applyAlignment="1">
      <alignment horizontal="center"/>
    </xf>
    <xf numFmtId="0" fontId="20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0" fillId="14" borderId="1" xfId="10114" applyNumberFormat="1" applyFont="1" applyFill="1" applyBorder="1" applyAlignment="1">
      <alignment horizontal="center"/>
    </xf>
    <xf numFmtId="0" fontId="20" fillId="0" borderId="13" xfId="10114" applyFont="1" applyBorder="1" applyAlignment="1">
      <alignment horizontal="center"/>
    </xf>
    <xf numFmtId="2" fontId="20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19" fillId="0" borderId="1" xfId="10114" applyFont="1" applyBorder="1" applyAlignment="1">
      <alignment horizontal="center" vertical="center"/>
    </xf>
    <xf numFmtId="0" fontId="19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19" fillId="15" borderId="1" xfId="10114" applyFont="1" applyFill="1" applyBorder="1" applyAlignment="1">
      <alignment horizontal="center" vertical="center" wrapText="1"/>
    </xf>
    <xf numFmtId="0" fontId="22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3" fillId="0" borderId="0" xfId="10114" applyFont="1" applyAlignment="1">
      <alignment horizontal="center" vertical="center"/>
    </xf>
    <xf numFmtId="0" fontId="24" fillId="0" borderId="0" xfId="10114" applyFont="1" applyAlignment="1">
      <alignment horizontal="center" vertical="center"/>
    </xf>
    <xf numFmtId="0" fontId="24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5" fillId="0" borderId="0" xfId="10114" applyFont="1" applyAlignment="1">
      <alignment horizontal="center" vertical="center"/>
    </xf>
    <xf numFmtId="0" fontId="23" fillId="0" borderId="1" xfId="10114" applyFont="1" applyBorder="1" applyAlignment="1">
      <alignment horizontal="center" vertical="center"/>
    </xf>
    <xf numFmtId="181" fontId="23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4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5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4" fillId="0" borderId="1" xfId="10114" applyFont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182" fontId="23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4" fillId="0" borderId="0" xfId="10114" applyNumberFormat="1" applyFont="1" applyAlignment="1">
      <alignment horizontal="center" vertical="center"/>
    </xf>
    <xf numFmtId="0" fontId="27" fillId="0" borderId="0" xfId="10114" applyFont="1"/>
    <xf numFmtId="0" fontId="28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29" fillId="0" borderId="0" xfId="10114" applyFont="1" applyAlignment="1">
      <alignment horizontal="left" vertical="center"/>
    </xf>
    <xf numFmtId="0" fontId="29" fillId="0" borderId="14" xfId="10114" applyFont="1" applyBorder="1" applyAlignment="1">
      <alignment horizontal="left" vertical="center"/>
    </xf>
    <xf numFmtId="0" fontId="21" fillId="0" borderId="0" xfId="10114" applyFont="1" applyAlignment="1">
      <alignment horizontal="center"/>
    </xf>
    <xf numFmtId="0" fontId="21" fillId="0" borderId="4" xfId="10114" applyFont="1" applyBorder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/>
    </xf>
    <xf numFmtId="0" fontId="30" fillId="0" borderId="1" xfId="10114" applyFont="1" applyBorder="1" applyAlignment="1">
      <alignment horizontal="center" wrapText="1"/>
    </xf>
    <xf numFmtId="183" fontId="21" fillId="16" borderId="1" xfId="10114" applyNumberFormat="1" applyFont="1" applyFill="1" applyBorder="1" applyAlignment="1">
      <alignment horizontal="center"/>
    </xf>
    <xf numFmtId="2" fontId="21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1" fillId="14" borderId="1" xfId="10114" applyFont="1" applyFill="1" applyBorder="1" applyAlignment="1">
      <alignment horizontal="center" vertical="center" wrapText="1"/>
    </xf>
    <xf numFmtId="0" fontId="31" fillId="0" borderId="0" xfId="10114" applyFont="1" applyAlignment="1">
      <alignment horizontal="center" textRotation="180"/>
    </xf>
    <xf numFmtId="0" fontId="21" fillId="17" borderId="15" xfId="10114" applyFont="1" applyFill="1" applyBorder="1" applyAlignment="1">
      <alignment horizontal="center" wrapText="1"/>
    </xf>
    <xf numFmtId="0" fontId="21" fillId="0" borderId="15" xfId="10114" applyFont="1" applyBorder="1" applyAlignment="1">
      <alignment horizontal="center" wrapText="1"/>
    </xf>
    <xf numFmtId="10" fontId="32" fillId="14" borderId="1" xfId="10114" applyNumberFormat="1" applyFont="1" applyFill="1" applyBorder="1" applyAlignment="1">
      <alignment horizontal="center" vertical="center" wrapText="1"/>
    </xf>
    <xf numFmtId="10" fontId="32" fillId="14" borderId="0" xfId="10114" applyNumberFormat="1" applyFont="1" applyFill="1" applyAlignment="1">
      <alignment horizontal="center" vertical="center" wrapText="1"/>
    </xf>
    <xf numFmtId="0" fontId="33" fillId="17" borderId="1" xfId="10114" applyFont="1" applyFill="1" applyBorder="1" applyAlignment="1">
      <alignment horizontal="center" wrapText="1"/>
    </xf>
    <xf numFmtId="0" fontId="27" fillId="17" borderId="1" xfId="10114" applyFont="1" applyFill="1" applyBorder="1" applyAlignment="1">
      <alignment horizontal="center" vertical="center" wrapText="1"/>
    </xf>
    <xf numFmtId="0" fontId="28" fillId="17" borderId="10" xfId="10114" applyFont="1" applyFill="1" applyBorder="1" applyAlignment="1">
      <alignment horizontal="center" vertical="center" wrapText="1"/>
    </xf>
    <xf numFmtId="0" fontId="34" fillId="15" borderId="1" xfId="10114" applyFont="1" applyFill="1" applyBorder="1" applyAlignment="1">
      <alignment horizontal="center" vertical="center" wrapText="1"/>
    </xf>
    <xf numFmtId="0" fontId="34" fillId="15" borderId="10" xfId="10114" applyFont="1" applyFill="1" applyBorder="1" applyAlignment="1">
      <alignment horizontal="center" vertical="center" wrapText="1"/>
    </xf>
    <xf numFmtId="2" fontId="35" fillId="0" borderId="9" xfId="10114" applyNumberFormat="1" applyFont="1" applyBorder="1" applyAlignment="1">
      <alignment horizontal="center"/>
    </xf>
    <xf numFmtId="2" fontId="36" fillId="18" borderId="9" xfId="10114" applyNumberFormat="1" applyFont="1" applyFill="1" applyBorder="1" applyAlignment="1">
      <alignment horizontal="center"/>
    </xf>
    <xf numFmtId="2" fontId="35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5" fillId="0" borderId="1" xfId="10114" applyNumberFormat="1" applyFont="1" applyBorder="1" applyAlignment="1">
      <alignment horizontal="center"/>
    </xf>
    <xf numFmtId="0" fontId="37" fillId="19" borderId="0" xfId="10114" applyFont="1" applyFill="1" applyAlignment="1">
      <alignment horizontal="center" vertical="center" wrapText="1"/>
    </xf>
    <xf numFmtId="0" fontId="37" fillId="0" borderId="0" xfId="10114" applyFont="1"/>
    <xf numFmtId="0" fontId="34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38" fillId="0" borderId="0" xfId="10114" applyFont="1"/>
    <xf numFmtId="188" fontId="5" fillId="0" borderId="1" xfId="10114" applyNumberFormat="1" applyFont="1" applyBorder="1" applyAlignment="1">
      <alignment horizontal="center"/>
    </xf>
    <xf numFmtId="2" fontId="35" fillId="15" borderId="4" xfId="10114" applyNumberFormat="1" applyFont="1" applyFill="1" applyBorder="1" applyAlignment="1">
      <alignment horizontal="center"/>
    </xf>
    <xf numFmtId="2" fontId="35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39" fillId="0" borderId="0" xfId="0" applyFont="1" applyFill="1" applyAlignment="1"/>
    <xf numFmtId="0" fontId="39" fillId="0" borderId="0" xfId="0" applyFont="1" applyFill="1" applyAlignment="1">
      <alignment horizontal="left" wrapText="1"/>
    </xf>
    <xf numFmtId="187" fontId="39" fillId="0" borderId="0" xfId="0" applyNumberFormat="1" applyFont="1" applyFill="1" applyAlignment="1">
      <alignment horizontal="left" wrapText="1"/>
    </xf>
    <xf numFmtId="20" fontId="39" fillId="0" borderId="0" xfId="0" applyNumberFormat="1" applyFont="1" applyFill="1" applyAlignment="1">
      <alignment horizontal="left" wrapText="1"/>
    </xf>
    <xf numFmtId="0" fontId="40" fillId="0" borderId="10" xfId="0" applyFont="1" applyFill="1" applyBorder="1" applyAlignment="1">
      <alignment horizontal="center" wrapText="1"/>
    </xf>
    <xf numFmtId="0" fontId="40" fillId="0" borderId="18" xfId="0" applyFont="1" applyFill="1" applyBorder="1" applyAlignment="1">
      <alignment horizontal="center" wrapText="1"/>
    </xf>
    <xf numFmtId="0" fontId="40" fillId="0" borderId="5" xfId="0" applyFont="1" applyFill="1" applyBorder="1" applyAlignment="1">
      <alignment horizontal="center" wrapText="1"/>
    </xf>
    <xf numFmtId="2" fontId="40" fillId="0" borderId="10" xfId="0" applyNumberFormat="1" applyFont="1" applyFill="1" applyBorder="1" applyAlignment="1">
      <alignment horizontal="center" vertical="center" wrapText="1"/>
    </xf>
    <xf numFmtId="2" fontId="40" fillId="0" borderId="1" xfId="0" applyNumberFormat="1" applyFont="1" applyFill="1" applyBorder="1" applyAlignment="1">
      <alignment horizontal="center" vertical="center" wrapText="1"/>
    </xf>
    <xf numFmtId="2" fontId="40" fillId="0" borderId="5" xfId="0" applyNumberFormat="1" applyFont="1" applyFill="1" applyBorder="1" applyAlignment="1">
      <alignment horizontal="center" vertical="center" wrapText="1"/>
    </xf>
    <xf numFmtId="2" fontId="39" fillId="0" borderId="6" xfId="0" applyNumberFormat="1" applyFont="1" applyFill="1" applyBorder="1" applyAlignment="1">
      <alignment horizontal="center" vertical="center"/>
    </xf>
    <xf numFmtId="2" fontId="39" fillId="0" borderId="13" xfId="0" applyNumberFormat="1" applyFont="1" applyFill="1" applyBorder="1" applyAlignment="1">
      <alignment horizontal="center" vertical="center"/>
    </xf>
    <xf numFmtId="2" fontId="39" fillId="0" borderId="16" xfId="0" applyNumberFormat="1" applyFont="1" applyFill="1" applyBorder="1" applyAlignment="1">
      <alignment horizontal="center" vertical="center"/>
    </xf>
    <xf numFmtId="188" fontId="40" fillId="0" borderId="10" xfId="0" applyNumberFormat="1" applyFont="1" applyFill="1" applyBorder="1" applyAlignment="1">
      <alignment horizontal="center" vertical="center" wrapText="1"/>
    </xf>
    <xf numFmtId="188" fontId="40" fillId="0" borderId="1" xfId="0" applyNumberFormat="1" applyFont="1" applyFill="1" applyBorder="1" applyAlignment="1">
      <alignment horizontal="center" vertical="center" wrapText="1"/>
    </xf>
    <xf numFmtId="188" fontId="40" fillId="0" borderId="5" xfId="0" applyNumberFormat="1" applyFont="1" applyFill="1" applyBorder="1" applyAlignment="1">
      <alignment horizontal="center" vertical="center" wrapText="1"/>
    </xf>
    <xf numFmtId="188" fontId="40" fillId="0" borderId="4" xfId="0" applyNumberFormat="1" applyFont="1" applyFill="1" applyBorder="1" applyAlignment="1">
      <alignment horizontal="center" vertical="center" wrapText="1"/>
    </xf>
    <xf numFmtId="188" fontId="40" fillId="0" borderId="17" xfId="0" applyNumberFormat="1" applyFont="1" applyFill="1" applyBorder="1" applyAlignment="1">
      <alignment horizontal="center" vertical="center" wrapText="1"/>
    </xf>
    <xf numFmtId="188" fontId="40" fillId="0" borderId="8" xfId="0" applyNumberFormat="1" applyFont="1" applyFill="1" applyBorder="1" applyAlignment="1">
      <alignment horizontal="center" vertical="center" wrapText="1"/>
    </xf>
    <xf numFmtId="188" fontId="40" fillId="0" borderId="7" xfId="0" applyNumberFormat="1" applyFont="1" applyFill="1" applyBorder="1" applyAlignment="1">
      <alignment horizontal="center" vertical="center" wrapText="1"/>
    </xf>
    <xf numFmtId="2" fontId="40" fillId="0" borderId="8" xfId="0" applyNumberFormat="1" applyFont="1" applyFill="1" applyBorder="1" applyAlignment="1">
      <alignment horizontal="center" vertical="center" wrapText="1"/>
    </xf>
    <xf numFmtId="0" fontId="40" fillId="0" borderId="8" xfId="0" applyFont="1" applyFill="1" applyBorder="1" applyAlignment="1">
      <alignment wrapText="1"/>
    </xf>
    <xf numFmtId="0" fontId="40" fillId="0" borderId="7" xfId="0" applyFont="1" applyFill="1" applyBorder="1" applyAlignment="1">
      <alignment wrapText="1"/>
    </xf>
    <xf numFmtId="189" fontId="39" fillId="0" borderId="0" xfId="0" applyNumberFormat="1" applyFont="1" applyFill="1" applyAlignment="1">
      <alignment horizontal="left" wrapText="1"/>
    </xf>
    <xf numFmtId="188" fontId="39" fillId="0" borderId="10" xfId="0" applyNumberFormat="1" applyFont="1" applyFill="1" applyBorder="1" applyAlignment="1">
      <alignment horizontal="center" vertical="center"/>
    </xf>
    <xf numFmtId="188" fontId="39" fillId="0" borderId="1" xfId="0" applyNumberFormat="1" applyFont="1" applyFill="1" applyBorder="1" applyAlignment="1">
      <alignment horizontal="center" vertical="center"/>
    </xf>
    <xf numFmtId="188" fontId="39" fillId="0" borderId="5" xfId="0" applyNumberFormat="1" applyFont="1" applyFill="1" applyBorder="1" applyAlignment="1">
      <alignment horizontal="center" vertical="center"/>
    </xf>
    <xf numFmtId="2" fontId="39" fillId="0" borderId="8" xfId="0" applyNumberFormat="1" applyFont="1" applyFill="1" applyBorder="1" applyAlignment="1">
      <alignment horizontal="center" vertical="center"/>
    </xf>
    <xf numFmtId="0" fontId="41" fillId="20" borderId="0" xfId="0" applyNumberFormat="1" applyFont="1" applyFill="1" applyAlignment="1" applyProtection="1">
      <alignment horizontal="left" vertical="center"/>
    </xf>
    <xf numFmtId="0" fontId="42" fillId="20" borderId="0" xfId="0" applyNumberFormat="1" applyFont="1" applyFill="1" applyAlignment="1" applyProtection="1">
      <alignment horizontal="left" vertical="center"/>
    </xf>
    <xf numFmtId="0" fontId="43" fillId="21" borderId="19" xfId="0" applyNumberFormat="1" applyFont="1" applyFill="1" applyBorder="1" applyAlignment="1" applyProtection="1">
      <alignment horizontal="left" vertical="center"/>
    </xf>
    <xf numFmtId="0" fontId="42" fillId="22" borderId="20" xfId="0" applyNumberFormat="1" applyFont="1" applyFill="1" applyBorder="1" applyAlignment="1" applyProtection="1">
      <alignment horizontal="left" vertical="center"/>
    </xf>
    <xf numFmtId="0" fontId="42" fillId="20" borderId="20" xfId="0" applyNumberFormat="1" applyFont="1" applyFill="1" applyBorder="1" applyAlignment="1" applyProtection="1">
      <alignment horizontal="left" vertical="center"/>
    </xf>
    <xf numFmtId="0" fontId="43" fillId="23" borderId="19" xfId="0" applyNumberFormat="1" applyFont="1" applyFill="1" applyBorder="1" applyAlignment="1" applyProtection="1">
      <alignment horizontal="left" vertical="center"/>
    </xf>
    <xf numFmtId="0" fontId="44" fillId="0" borderId="0" xfId="0" applyFont="1" applyFill="1" applyBorder="1" applyAlignment="1"/>
    <xf numFmtId="0" fontId="45" fillId="0" borderId="0" xfId="0" applyFont="1" applyFill="1" applyBorder="1" applyAlignment="1"/>
    <xf numFmtId="0" fontId="45" fillId="0" borderId="1" xfId="0" applyFont="1" applyFill="1" applyBorder="1" applyAlignment="1">
      <alignment wrapText="1"/>
    </xf>
    <xf numFmtId="190" fontId="44" fillId="0" borderId="1" xfId="0" applyNumberFormat="1" applyFont="1" applyFill="1" applyBorder="1" applyAlignment="1"/>
    <xf numFmtId="0" fontId="44" fillId="0" borderId="1" xfId="0" applyFont="1" applyFill="1" applyBorder="1" applyAlignment="1"/>
    <xf numFmtId="0" fontId="45" fillId="0" borderId="1" xfId="0" applyFont="1" applyFill="1" applyBorder="1" applyAlignment="1"/>
    <xf numFmtId="190" fontId="45" fillId="0" borderId="1" xfId="0" applyNumberFormat="1" applyFont="1" applyFill="1" applyBorder="1" applyAlignment="1"/>
    <xf numFmtId="0" fontId="8" fillId="0" borderId="0" xfId="0" applyFont="1" applyFill="1" applyAlignment="1"/>
    <xf numFmtId="0" fontId="8" fillId="24" borderId="0" xfId="0" applyFont="1" applyFill="1" applyAlignment="1"/>
    <xf numFmtId="0" fontId="46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7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8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1" fillId="3" borderId="0" xfId="0" applyNumberFormat="1" applyFont="1" applyFill="1" applyAlignment="1">
      <alignment horizontal="center"/>
    </xf>
    <xf numFmtId="20" fontId="8" fillId="24" borderId="0" xfId="0" applyNumberFormat="1" applyFont="1" applyFill="1" applyAlignment="1"/>
    <xf numFmtId="2" fontId="46" fillId="0" borderId="0" xfId="0" applyNumberFormat="1" applyFont="1" applyFill="1" applyAlignment="1"/>
    <xf numFmtId="184" fontId="46" fillId="0" borderId="0" xfId="0" applyNumberFormat="1" applyFont="1" applyFill="1" applyAlignment="1"/>
    <xf numFmtId="184" fontId="49" fillId="3" borderId="0" xfId="0" applyNumberFormat="1" applyFont="1" applyFill="1" applyAlignment="1"/>
    <xf numFmtId="184" fontId="8" fillId="0" borderId="0" xfId="0" applyNumberFormat="1" applyFont="1" applyFill="1" applyAlignment="1"/>
    <xf numFmtId="0" fontId="41" fillId="20" borderId="0" xfId="0" applyNumberFormat="1" applyFont="1" applyFill="1" applyAlignment="1" applyProtection="1">
      <alignment horizontal="left" vertical="center"/>
    </xf>
    <xf numFmtId="0" fontId="42" fillId="20" borderId="0" xfId="0" applyNumberFormat="1" applyFont="1" applyFill="1" applyAlignment="1" applyProtection="1">
      <alignment horizontal="left" vertical="center"/>
    </xf>
    <xf numFmtId="0" fontId="43" fillId="21" borderId="19" xfId="0" applyNumberFormat="1" applyFont="1" applyFill="1" applyBorder="1" applyAlignment="1" applyProtection="1">
      <alignment horizontal="left" vertical="center"/>
    </xf>
    <xf numFmtId="0" fontId="42" fillId="22" borderId="20" xfId="0" applyNumberFormat="1" applyFont="1" applyFill="1" applyBorder="1" applyAlignment="1" applyProtection="1">
      <alignment horizontal="left" vertical="center"/>
    </xf>
    <xf numFmtId="0" fontId="42" fillId="20" borderId="20" xfId="0" applyNumberFormat="1" applyFont="1" applyFill="1" applyBorder="1" applyAlignment="1" applyProtection="1">
      <alignment horizontal="left" vertical="center"/>
    </xf>
    <xf numFmtId="0" fontId="43" fillId="23" borderId="19" xfId="0" applyNumberFormat="1" applyFont="1" applyFill="1" applyBorder="1" applyAlignment="1" applyProtection="1">
      <alignment horizontal="left" vertical="center"/>
    </xf>
    <xf numFmtId="0" fontId="1" fillId="25" borderId="0" xfId="10114" applyFill="1"/>
    <xf numFmtId="0" fontId="1" fillId="14" borderId="0" xfId="10114" applyFill="1" applyAlignment="1">
      <alignment horizontal="center"/>
    </xf>
    <xf numFmtId="0" fontId="50" fillId="26" borderId="1" xfId="10114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 wrapText="1"/>
    </xf>
    <xf numFmtId="0" fontId="27" fillId="15" borderId="1" xfId="10114" applyFont="1" applyFill="1" applyBorder="1" applyAlignment="1">
      <alignment horizontal="center" vertical="center" wrapText="1"/>
    </xf>
    <xf numFmtId="183" fontId="21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1" fillId="25" borderId="1" xfId="10114" applyFont="1" applyFill="1" applyBorder="1" applyAlignment="1">
      <alignment horizontal="center" vertical="center" wrapText="1"/>
    </xf>
    <xf numFmtId="0" fontId="52" fillId="14" borderId="1" xfId="10114" applyFont="1" applyFill="1" applyBorder="1" applyAlignment="1">
      <alignment horizontal="center" vertical="center" wrapText="1"/>
    </xf>
    <xf numFmtId="0" fontId="52" fillId="15" borderId="0" xfId="10114" applyFont="1" applyFill="1" applyAlignment="1">
      <alignment vertical="center" wrapText="1"/>
    </xf>
    <xf numFmtId="0" fontId="28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6" fillId="0" borderId="0" xfId="10114" applyFont="1"/>
    <xf numFmtId="0" fontId="53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28" fillId="15" borderId="0" xfId="10114" applyFont="1" applyFill="1" applyAlignment="1">
      <alignment horizontal="center" vertical="center" wrapText="1"/>
    </xf>
    <xf numFmtId="0" fontId="28" fillId="0" borderId="0" xfId="10114" applyFont="1"/>
    <xf numFmtId="0" fontId="54" fillId="0" borderId="1" xfId="10114" applyFont="1" applyBorder="1" applyAlignment="1">
      <alignment vertical="top" wrapText="1"/>
    </xf>
    <xf numFmtId="0" fontId="55" fillId="0" borderId="1" xfId="10114" applyFont="1" applyBorder="1" applyAlignment="1">
      <alignment horizontal="center" vertical="center" wrapText="1"/>
    </xf>
    <xf numFmtId="0" fontId="55" fillId="0" borderId="1" xfId="10114" applyFont="1" applyBorder="1" applyAlignment="1">
      <alignment horizontal="center" vertical="center"/>
    </xf>
    <xf numFmtId="0" fontId="56" fillId="0" borderId="1" xfId="10114" applyFont="1" applyBorder="1" applyAlignment="1">
      <alignment horizontal="center" vertical="center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 wrapText="1"/>
    </xf>
    <xf numFmtId="0" fontId="59" fillId="0" borderId="1" xfId="10114" applyFont="1" applyBorder="1" applyAlignment="1">
      <alignment horizontal="center" vertical="center"/>
    </xf>
    <xf numFmtId="0" fontId="56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58" fillId="0" borderId="1" xfId="10114" applyFont="1" applyBorder="1" applyAlignment="1">
      <alignment horizontal="center" vertical="center"/>
    </xf>
    <xf numFmtId="0" fontId="57" fillId="0" borderId="0" xfId="10114" applyFont="1" applyAlignment="1">
      <alignment horizontal="center" vertical="center" wrapText="1"/>
    </xf>
    <xf numFmtId="0" fontId="56" fillId="0" borderId="0" xfId="10114" applyFont="1" applyAlignment="1">
      <alignment horizontal="center" vertical="center"/>
    </xf>
    <xf numFmtId="181" fontId="58" fillId="0" borderId="0" xfId="10114" applyNumberFormat="1" applyFont="1" applyAlignment="1">
      <alignment horizontal="center" vertical="center"/>
    </xf>
    <xf numFmtId="0" fontId="1" fillId="0" borderId="1" xfId="10114" applyNumberFormat="1" applyBorder="1"/>
    <xf numFmtId="0" fontId="27" fillId="0" borderId="1" xfId="10114" applyNumberFormat="1" applyFont="1" applyBorder="1"/>
    <xf numFmtId="0" fontId="6" fillId="0" borderId="1" xfId="10114" applyFont="1" applyBorder="1"/>
    <xf numFmtId="2" fontId="27" fillId="0" borderId="0" xfId="10114" applyNumberFormat="1" applyFont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58" fillId="15" borderId="1" xfId="10114" applyFont="1" applyFill="1" applyBorder="1" applyAlignment="1">
      <alignment horizontal="center" vertical="center" wrapText="1"/>
    </xf>
    <xf numFmtId="0" fontId="55" fillId="15" borderId="1" xfId="10114" applyFont="1" applyFill="1" applyBorder="1" applyAlignment="1">
      <alignment horizontal="center" vertical="center" wrapText="1"/>
    </xf>
    <xf numFmtId="0" fontId="55" fillId="15" borderId="1" xfId="10114" applyFont="1" applyFill="1" applyBorder="1" applyAlignment="1">
      <alignment horizontal="center" vertical="center"/>
    </xf>
    <xf numFmtId="0" fontId="59" fillId="15" borderId="1" xfId="10114" applyFont="1" applyFill="1" applyBorder="1" applyAlignment="1">
      <alignment horizontal="center" vertical="center"/>
    </xf>
    <xf numFmtId="1" fontId="59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0" fillId="15" borderId="0" xfId="10114" applyNumberFormat="1" applyFont="1" applyFill="1"/>
    <xf numFmtId="0" fontId="55" fillId="15" borderId="8" xfId="10114" applyFont="1" applyFill="1" applyBorder="1" applyAlignment="1">
      <alignment horizontal="center" vertical="center"/>
    </xf>
    <xf numFmtId="0" fontId="59" fillId="15" borderId="8" xfId="10114" applyFont="1" applyFill="1" applyBorder="1" applyAlignment="1">
      <alignment horizontal="center" vertical="center"/>
    </xf>
    <xf numFmtId="1" fontId="59" fillId="15" borderId="8" xfId="10114" applyNumberFormat="1" applyFont="1" applyFill="1" applyBorder="1" applyAlignment="1">
      <alignment horizontal="center" vertical="center"/>
    </xf>
    <xf numFmtId="0" fontId="26" fillId="15" borderId="1" xfId="10114" applyFont="1" applyFill="1" applyBorder="1" applyAlignment="1">
      <alignment horizontal="center" vertical="center"/>
    </xf>
    <xf numFmtId="182" fontId="26" fillId="15" borderId="1" xfId="10114" applyNumberFormat="1" applyFont="1" applyFill="1" applyBorder="1" applyAlignment="1">
      <alignment horizontal="center" vertical="center"/>
    </xf>
    <xf numFmtId="0" fontId="61" fillId="15" borderId="16" xfId="10114" applyFont="1" applyFill="1" applyBorder="1" applyAlignment="1">
      <alignment horizontal="center" vertical="center" wrapText="1"/>
    </xf>
    <xf numFmtId="184" fontId="61" fillId="15" borderId="16" xfId="10114" applyNumberFormat="1" applyFont="1" applyFill="1" applyBorder="1" applyAlignment="1">
      <alignment horizontal="right" vertical="center"/>
    </xf>
    <xf numFmtId="184" fontId="61" fillId="15" borderId="1" xfId="10114" applyNumberFormat="1" applyFont="1" applyFill="1" applyBorder="1" applyAlignment="1">
      <alignment horizontal="right" vertical="center"/>
    </xf>
    <xf numFmtId="0" fontId="61" fillId="15" borderId="16" xfId="10114" applyFont="1" applyFill="1" applyBorder="1" applyAlignment="1">
      <alignment horizontal="center" vertical="center"/>
    </xf>
    <xf numFmtId="0" fontId="62" fillId="15" borderId="16" xfId="10114" applyFont="1" applyFill="1" applyBorder="1" applyAlignment="1">
      <alignment horizontal="center" vertical="center"/>
    </xf>
    <xf numFmtId="0" fontId="63" fillId="14" borderId="1" xfId="10114" applyFont="1" applyFill="1" applyBorder="1" applyAlignment="1">
      <alignment horizontal="center" vertical="center"/>
    </xf>
    <xf numFmtId="191" fontId="63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4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4" fillId="0" borderId="0" xfId="10114" applyFont="1"/>
    <xf numFmtId="0" fontId="65" fillId="0" borderId="0" xfId="10114" applyFont="1"/>
    <xf numFmtId="0" fontId="63" fillId="0" borderId="0" xfId="10114" applyFont="1"/>
    <xf numFmtId="0" fontId="65" fillId="0" borderId="0" xfId="10114" applyFont="1" applyAlignment="1">
      <alignment horizontal="center" vertical="center"/>
    </xf>
    <xf numFmtId="0" fontId="66" fillId="0" borderId="0" xfId="10114" applyFont="1"/>
    <xf numFmtId="0" fontId="65" fillId="0" borderId="0" xfId="10114" applyFont="1" applyAlignment="1">
      <alignment horizontal="center"/>
    </xf>
    <xf numFmtId="2" fontId="65" fillId="0" borderId="0" xfId="10114" applyNumberFormat="1" applyFont="1"/>
    <xf numFmtId="193" fontId="67" fillId="0" borderId="1" xfId="10114" applyNumberFormat="1" applyFont="1" applyBorder="1" applyAlignment="1">
      <alignment horizontal="center"/>
    </xf>
    <xf numFmtId="0" fontId="68" fillId="0" borderId="1" xfId="10114" applyFont="1" applyBorder="1" applyAlignment="1">
      <alignment horizontal="center" vertical="center" wrapText="1"/>
    </xf>
    <xf numFmtId="0" fontId="68" fillId="0" borderId="1" xfId="10114" applyFont="1" applyBorder="1" applyAlignment="1">
      <alignment horizontal="center" vertical="center"/>
    </xf>
    <xf numFmtId="0" fontId="69" fillId="0" borderId="1" xfId="10114" applyFont="1" applyBorder="1" applyAlignment="1">
      <alignment horizontal="center" vertical="center"/>
    </xf>
    <xf numFmtId="1" fontId="69" fillId="0" borderId="1" xfId="10114" applyNumberFormat="1" applyFont="1" applyBorder="1" applyAlignment="1">
      <alignment horizontal="center" vertical="center"/>
    </xf>
    <xf numFmtId="181" fontId="59" fillId="0" borderId="1" xfId="10114" applyNumberFormat="1" applyFont="1" applyBorder="1" applyAlignment="1">
      <alignment horizontal="center" vertical="center"/>
    </xf>
    <xf numFmtId="181" fontId="69" fillId="0" borderId="1" xfId="10114" applyNumberFormat="1" applyFont="1" applyBorder="1" applyAlignment="1">
      <alignment horizontal="center" vertical="center"/>
    </xf>
    <xf numFmtId="0" fontId="70" fillId="0" borderId="0" xfId="10114" applyFont="1"/>
    <xf numFmtId="2" fontId="68" fillId="0" borderId="1" xfId="10114" applyNumberFormat="1" applyFont="1" applyBorder="1" applyAlignment="1">
      <alignment horizontal="center" vertical="center"/>
    </xf>
    <xf numFmtId="0" fontId="69" fillId="0" borderId="1" xfId="10114" applyFont="1" applyBorder="1"/>
    <xf numFmtId="0" fontId="64" fillId="0" borderId="1" xfId="10114" applyFont="1" applyBorder="1" applyAlignment="1">
      <alignment vertical="center"/>
    </xf>
    <xf numFmtId="1" fontId="69" fillId="0" borderId="1" xfId="10114" applyNumberFormat="1" applyFont="1" applyBorder="1" applyAlignment="1">
      <alignment horizontal="center"/>
    </xf>
    <xf numFmtId="2" fontId="71" fillId="27" borderId="1" xfId="0" applyNumberFormat="1" applyFont="1" applyFill="1" applyBorder="1" applyAlignment="1">
      <alignment horizontal="center" vertical="center"/>
    </xf>
    <xf numFmtId="1" fontId="70" fillId="0" borderId="1" xfId="10114" applyNumberFormat="1" applyFont="1" applyBorder="1" applyAlignment="1">
      <alignment horizontal="center"/>
    </xf>
    <xf numFmtId="184" fontId="72" fillId="0" borderId="1" xfId="10114" applyNumberFormat="1" applyFont="1" applyBorder="1" applyAlignment="1">
      <alignment horizontal="center" vertical="center"/>
    </xf>
    <xf numFmtId="181" fontId="72" fillId="0" borderId="1" xfId="10114" applyNumberFormat="1" applyFont="1" applyBorder="1" applyAlignment="1">
      <alignment horizontal="center" vertical="center"/>
    </xf>
    <xf numFmtId="0" fontId="70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68" fillId="0" borderId="1" xfId="10114" applyNumberFormat="1" applyFont="1" applyBorder="1" applyAlignment="1">
      <alignment horizontal="center" vertical="center"/>
    </xf>
    <xf numFmtId="0" fontId="65" fillId="28" borderId="1" xfId="10114" applyFont="1" applyFill="1" applyBorder="1"/>
    <xf numFmtId="0" fontId="69" fillId="0" borderId="10" xfId="10114" applyFont="1" applyBorder="1" applyAlignment="1">
      <alignment horizontal="left" vertical="center" wrapText="1"/>
    </xf>
    <xf numFmtId="0" fontId="69" fillId="0" borderId="18" xfId="10114" applyFont="1" applyBorder="1" applyAlignment="1">
      <alignment horizontal="left" vertical="center" wrapText="1"/>
    </xf>
    <xf numFmtId="0" fontId="69" fillId="29" borderId="1" xfId="10114" applyFont="1" applyFill="1" applyBorder="1" applyAlignment="1">
      <alignment horizontal="center" vertical="center"/>
    </xf>
    <xf numFmtId="1" fontId="73" fillId="30" borderId="1" xfId="10114" applyNumberFormat="1" applyFont="1" applyFill="1" applyBorder="1" applyAlignment="1">
      <alignment horizontal="center" vertical="center"/>
    </xf>
    <xf numFmtId="0" fontId="72" fillId="0" borderId="0" xfId="10114" applyFont="1"/>
    <xf numFmtId="0" fontId="63" fillId="0" borderId="0" xfId="10114" applyFont="1" applyAlignment="1">
      <alignment horizontal="center" vertical="center"/>
    </xf>
    <xf numFmtId="191" fontId="63" fillId="0" borderId="0" xfId="10114" applyNumberFormat="1" applyFont="1" applyAlignment="1">
      <alignment horizontal="center" vertical="center"/>
    </xf>
    <xf numFmtId="183" fontId="63" fillId="0" borderId="0" xfId="10114" applyNumberFormat="1" applyFont="1" applyAlignment="1">
      <alignment horizontal="center" vertical="center"/>
    </xf>
    <xf numFmtId="1" fontId="74" fillId="0" borderId="0" xfId="10114" applyNumberFormat="1" applyFont="1" applyAlignment="1">
      <alignment horizontal="center" vertical="center"/>
    </xf>
    <xf numFmtId="182" fontId="75" fillId="0" borderId="1" xfId="10114" applyNumberFormat="1" applyFont="1" applyBorder="1" applyAlignment="1">
      <alignment horizontal="center" vertical="center"/>
    </xf>
    <xf numFmtId="182" fontId="72" fillId="0" borderId="1" xfId="10114" applyNumberFormat="1" applyFont="1" applyBorder="1" applyAlignment="1">
      <alignment horizontal="center" vertical="center"/>
    </xf>
    <xf numFmtId="182" fontId="65" fillId="0" borderId="1" xfId="10114" applyNumberFormat="1" applyFont="1" applyBorder="1" applyAlignment="1">
      <alignment horizontal="center" vertical="center"/>
    </xf>
    <xf numFmtId="181" fontId="72" fillId="0" borderId="0" xfId="10114" applyNumberFormat="1" applyFont="1" applyAlignment="1">
      <alignment horizontal="center" vertical="center"/>
    </xf>
    <xf numFmtId="0" fontId="69" fillId="0" borderId="5" xfId="10114" applyFont="1" applyBorder="1" applyAlignment="1">
      <alignment horizontal="left" vertical="center" wrapText="1"/>
    </xf>
    <xf numFmtId="0" fontId="63" fillId="0" borderId="0" xfId="10114" applyFont="1" applyAlignment="1">
      <alignment horizontal="center"/>
    </xf>
    <xf numFmtId="181" fontId="76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.xml"/><Relationship Id="rId28" Type="http://schemas.openxmlformats.org/officeDocument/2006/relationships/externalLink" Target="externalLinks/externalLink1.xml"/><Relationship Id="rId27" Type="http://schemas.openxmlformats.org/officeDocument/2006/relationships/customXml" Target="../customXml/item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12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2837.11</v>
          </cell>
        </row>
        <row r="2">
          <cell r="G2">
            <v>146.24</v>
          </cell>
          <cell r="H2">
            <v>786.42</v>
          </cell>
        </row>
        <row r="2">
          <cell r="J2">
            <v>0</v>
          </cell>
          <cell r="K2">
            <v>0</v>
          </cell>
        </row>
        <row r="2">
          <cell r="N2">
            <v>6773.02</v>
          </cell>
        </row>
        <row r="3">
          <cell r="B3">
            <v>0.0104166666666667</v>
          </cell>
          <cell r="C3">
            <v>2835.1</v>
          </cell>
        </row>
        <row r="3">
          <cell r="G3">
            <v>174.98</v>
          </cell>
          <cell r="H3">
            <v>760.3</v>
          </cell>
        </row>
        <row r="3">
          <cell r="J3">
            <v>0</v>
          </cell>
          <cell r="K3">
            <v>0</v>
          </cell>
        </row>
        <row r="3">
          <cell r="N3">
            <v>6777.45</v>
          </cell>
        </row>
        <row r="4">
          <cell r="B4">
            <v>0.0208333333333333</v>
          </cell>
          <cell r="C4">
            <v>2821.16</v>
          </cell>
        </row>
        <row r="4">
          <cell r="G4">
            <v>137.94</v>
          </cell>
          <cell r="H4">
            <v>711.26</v>
          </cell>
        </row>
        <row r="4">
          <cell r="J4">
            <v>0</v>
          </cell>
          <cell r="K4">
            <v>0</v>
          </cell>
        </row>
        <row r="4">
          <cell r="N4">
            <v>6745.63</v>
          </cell>
        </row>
        <row r="5">
          <cell r="B5">
            <v>0.03125</v>
          </cell>
          <cell r="C5">
            <v>2817.61</v>
          </cell>
        </row>
        <row r="5">
          <cell r="G5">
            <v>132.51</v>
          </cell>
          <cell r="H5">
            <v>703.95</v>
          </cell>
        </row>
        <row r="5">
          <cell r="J5">
            <v>0</v>
          </cell>
          <cell r="K5">
            <v>0</v>
          </cell>
        </row>
        <row r="5">
          <cell r="N5">
            <v>6753.29</v>
          </cell>
        </row>
        <row r="6">
          <cell r="B6">
            <v>0.0416666666666667</v>
          </cell>
          <cell r="C6">
            <v>2846.37</v>
          </cell>
        </row>
        <row r="6">
          <cell r="G6">
            <v>132.76</v>
          </cell>
          <cell r="H6">
            <v>698.47</v>
          </cell>
        </row>
        <row r="6">
          <cell r="J6">
            <v>0</v>
          </cell>
          <cell r="K6">
            <v>0</v>
          </cell>
        </row>
        <row r="6">
          <cell r="N6">
            <v>6714.58</v>
          </cell>
        </row>
        <row r="7">
          <cell r="B7">
            <v>0.0520833333333333</v>
          </cell>
          <cell r="C7">
            <v>2882.78</v>
          </cell>
        </row>
        <row r="7">
          <cell r="G7">
            <v>133.35</v>
          </cell>
          <cell r="H7">
            <v>688.83</v>
          </cell>
        </row>
        <row r="7">
          <cell r="J7">
            <v>0</v>
          </cell>
          <cell r="K7">
            <v>0</v>
          </cell>
        </row>
        <row r="7">
          <cell r="N7">
            <v>6732.97</v>
          </cell>
        </row>
        <row r="8">
          <cell r="B8">
            <v>0.0625</v>
          </cell>
          <cell r="C8">
            <v>2914.02</v>
          </cell>
        </row>
        <row r="8">
          <cell r="G8">
            <v>133.44</v>
          </cell>
          <cell r="H8">
            <v>661.53</v>
          </cell>
        </row>
        <row r="8">
          <cell r="J8">
            <v>0</v>
          </cell>
          <cell r="K8">
            <v>0</v>
          </cell>
        </row>
        <row r="8">
          <cell r="N8">
            <v>6671.77</v>
          </cell>
        </row>
        <row r="9">
          <cell r="B9">
            <v>0.0729166666666667</v>
          </cell>
          <cell r="C9">
            <v>2903.1</v>
          </cell>
        </row>
        <row r="9">
          <cell r="G9">
            <v>153.7</v>
          </cell>
          <cell r="H9">
            <v>622.24</v>
          </cell>
        </row>
        <row r="9">
          <cell r="J9">
            <v>0</v>
          </cell>
          <cell r="K9">
            <v>0</v>
          </cell>
        </row>
        <row r="9">
          <cell r="N9">
            <v>6668.95</v>
          </cell>
        </row>
        <row r="10">
          <cell r="B10">
            <v>0.0833333333333333</v>
          </cell>
          <cell r="C10">
            <v>2912.17</v>
          </cell>
        </row>
        <row r="10">
          <cell r="G10">
            <v>181.48</v>
          </cell>
          <cell r="H10">
            <v>584.73</v>
          </cell>
        </row>
        <row r="10">
          <cell r="J10">
            <v>0</v>
          </cell>
          <cell r="K10">
            <v>0</v>
          </cell>
        </row>
        <row r="10">
          <cell r="N10">
            <v>6605.17</v>
          </cell>
        </row>
        <row r="11">
          <cell r="B11">
            <v>0.09375</v>
          </cell>
          <cell r="C11">
            <v>2916.93</v>
          </cell>
        </row>
        <row r="11">
          <cell r="G11">
            <v>137.59</v>
          </cell>
          <cell r="H11">
            <v>539.05</v>
          </cell>
        </row>
        <row r="11">
          <cell r="J11">
            <v>0</v>
          </cell>
          <cell r="K11">
            <v>0</v>
          </cell>
        </row>
        <row r="11">
          <cell r="N11">
            <v>6572.42</v>
          </cell>
        </row>
        <row r="12">
          <cell r="B12">
            <v>0.104166666666667</v>
          </cell>
          <cell r="C12">
            <v>2926.05</v>
          </cell>
        </row>
        <row r="12">
          <cell r="G12">
            <v>134.24</v>
          </cell>
          <cell r="H12">
            <v>498.16</v>
          </cell>
        </row>
        <row r="12">
          <cell r="J12">
            <v>0</v>
          </cell>
          <cell r="K12">
            <v>0</v>
          </cell>
        </row>
        <row r="12">
          <cell r="N12">
            <v>6594.23</v>
          </cell>
        </row>
        <row r="13">
          <cell r="B13">
            <v>0.114583333333333</v>
          </cell>
          <cell r="C13">
            <v>2921.47</v>
          </cell>
        </row>
        <row r="13">
          <cell r="G13">
            <v>134.45</v>
          </cell>
          <cell r="H13">
            <v>457.62</v>
          </cell>
        </row>
        <row r="13">
          <cell r="J13">
            <v>0</v>
          </cell>
          <cell r="K13">
            <v>0</v>
          </cell>
        </row>
        <row r="13">
          <cell r="N13">
            <v>6568.3</v>
          </cell>
        </row>
        <row r="14">
          <cell r="B14">
            <v>0.125</v>
          </cell>
          <cell r="C14">
            <v>2917.63</v>
          </cell>
        </row>
        <row r="14">
          <cell r="G14">
            <v>134.67</v>
          </cell>
          <cell r="H14">
            <v>399.4</v>
          </cell>
        </row>
        <row r="14">
          <cell r="J14">
            <v>0</v>
          </cell>
          <cell r="K14">
            <v>0</v>
          </cell>
        </row>
        <row r="14">
          <cell r="N14">
            <v>6602.05</v>
          </cell>
        </row>
        <row r="15">
          <cell r="B15">
            <v>0.135416666666667</v>
          </cell>
          <cell r="C15">
            <v>2940.23</v>
          </cell>
        </row>
        <row r="15">
          <cell r="G15">
            <v>186.19</v>
          </cell>
          <cell r="H15">
            <v>359.95</v>
          </cell>
        </row>
        <row r="15">
          <cell r="J15">
            <v>0</v>
          </cell>
          <cell r="K15">
            <v>0</v>
          </cell>
        </row>
        <row r="15">
          <cell r="N15">
            <v>6670.43</v>
          </cell>
        </row>
        <row r="16">
          <cell r="B16">
            <v>0.145833333333333</v>
          </cell>
          <cell r="C16">
            <v>2936.21</v>
          </cell>
        </row>
        <row r="16">
          <cell r="G16">
            <v>187.24</v>
          </cell>
          <cell r="H16">
            <v>348.33</v>
          </cell>
        </row>
        <row r="16">
          <cell r="J16">
            <v>0</v>
          </cell>
          <cell r="K16">
            <v>0</v>
          </cell>
        </row>
        <row r="16">
          <cell r="N16">
            <v>6634.03</v>
          </cell>
        </row>
        <row r="17">
          <cell r="B17">
            <v>0.15625</v>
          </cell>
          <cell r="C17">
            <v>2953.96</v>
          </cell>
        </row>
        <row r="17">
          <cell r="G17">
            <v>186.74</v>
          </cell>
          <cell r="H17">
            <v>361.25</v>
          </cell>
        </row>
        <row r="17">
          <cell r="J17">
            <v>0</v>
          </cell>
          <cell r="K17">
            <v>0</v>
          </cell>
        </row>
        <row r="17">
          <cell r="N17">
            <v>6708.72</v>
          </cell>
        </row>
        <row r="18">
          <cell r="B18">
            <v>0.166666666666667</v>
          </cell>
          <cell r="C18">
            <v>2936.63</v>
          </cell>
        </row>
        <row r="18">
          <cell r="G18">
            <v>184.98</v>
          </cell>
          <cell r="H18">
            <v>359.8</v>
          </cell>
        </row>
        <row r="18">
          <cell r="J18">
            <v>0</v>
          </cell>
          <cell r="K18">
            <v>0</v>
          </cell>
        </row>
        <row r="18">
          <cell r="N18">
            <v>6840.21</v>
          </cell>
        </row>
        <row r="19">
          <cell r="B19">
            <v>0.177083333333333</v>
          </cell>
          <cell r="C19">
            <v>2953.92</v>
          </cell>
        </row>
        <row r="19">
          <cell r="G19">
            <v>183.47</v>
          </cell>
          <cell r="H19">
            <v>349.36</v>
          </cell>
        </row>
        <row r="19">
          <cell r="J19">
            <v>0</v>
          </cell>
          <cell r="K19">
            <v>0</v>
          </cell>
        </row>
        <row r="19">
          <cell r="N19">
            <v>6975.69</v>
          </cell>
        </row>
        <row r="20">
          <cell r="B20">
            <v>0.1875</v>
          </cell>
          <cell r="C20">
            <v>3026.37</v>
          </cell>
        </row>
        <row r="20">
          <cell r="G20">
            <v>180.89</v>
          </cell>
          <cell r="H20">
            <v>327.93</v>
          </cell>
        </row>
        <row r="20">
          <cell r="J20">
            <v>0</v>
          </cell>
          <cell r="K20">
            <v>0</v>
          </cell>
        </row>
        <row r="20">
          <cell r="N20">
            <v>7027.6</v>
          </cell>
        </row>
        <row r="21">
          <cell r="B21">
            <v>0.197916666666667</v>
          </cell>
          <cell r="C21">
            <v>3038.83</v>
          </cell>
        </row>
        <row r="21">
          <cell r="G21">
            <v>144.95</v>
          </cell>
          <cell r="H21">
            <v>318.46</v>
          </cell>
        </row>
        <row r="21">
          <cell r="J21">
            <v>0</v>
          </cell>
          <cell r="K21">
            <v>0</v>
          </cell>
        </row>
        <row r="21">
          <cell r="N21">
            <v>7115.88</v>
          </cell>
        </row>
        <row r="22">
          <cell r="B22">
            <v>0.208333333333333</v>
          </cell>
          <cell r="C22">
            <v>3065.95</v>
          </cell>
        </row>
        <row r="22">
          <cell r="G22">
            <v>120.02</v>
          </cell>
          <cell r="H22">
            <v>311.42</v>
          </cell>
        </row>
        <row r="22">
          <cell r="J22">
            <v>0</v>
          </cell>
          <cell r="K22">
            <v>0</v>
          </cell>
        </row>
        <row r="22">
          <cell r="N22">
            <v>7285.92</v>
          </cell>
        </row>
        <row r="23">
          <cell r="B23">
            <v>0.21875</v>
          </cell>
          <cell r="C23">
            <v>3089.93</v>
          </cell>
        </row>
        <row r="23">
          <cell r="G23">
            <v>118.78</v>
          </cell>
          <cell r="H23">
            <v>309.63</v>
          </cell>
        </row>
        <row r="23">
          <cell r="J23">
            <v>0</v>
          </cell>
          <cell r="K23">
            <v>0</v>
          </cell>
        </row>
        <row r="23">
          <cell r="N23">
            <v>7488.92</v>
          </cell>
        </row>
        <row r="24">
          <cell r="B24">
            <v>0.229166666666667</v>
          </cell>
          <cell r="C24">
            <v>3323.05</v>
          </cell>
        </row>
        <row r="24">
          <cell r="G24">
            <v>131.56</v>
          </cell>
          <cell r="H24">
            <v>300.08</v>
          </cell>
        </row>
        <row r="24">
          <cell r="J24">
            <v>0</v>
          </cell>
          <cell r="K24">
            <v>0</v>
          </cell>
        </row>
        <row r="24">
          <cell r="N24">
            <v>7650.19</v>
          </cell>
        </row>
        <row r="25">
          <cell r="B25">
            <v>0.239583333333333</v>
          </cell>
          <cell r="C25">
            <v>3507.98</v>
          </cell>
        </row>
        <row r="25">
          <cell r="G25">
            <v>128.24</v>
          </cell>
          <cell r="H25">
            <v>277.39</v>
          </cell>
        </row>
        <row r="25">
          <cell r="J25">
            <v>0</v>
          </cell>
          <cell r="K25">
            <v>0</v>
          </cell>
        </row>
        <row r="25">
          <cell r="N25">
            <v>7748.77</v>
          </cell>
        </row>
        <row r="26">
          <cell r="B26">
            <v>0.25</v>
          </cell>
          <cell r="C26">
            <v>3676.73</v>
          </cell>
        </row>
        <row r="26">
          <cell r="G26">
            <v>127.24</v>
          </cell>
          <cell r="H26">
            <v>269.65</v>
          </cell>
        </row>
        <row r="26">
          <cell r="J26">
            <v>0</v>
          </cell>
          <cell r="K26">
            <v>0</v>
          </cell>
        </row>
        <row r="26">
          <cell r="N26">
            <v>8128.67</v>
          </cell>
        </row>
        <row r="27">
          <cell r="B27">
            <v>0.260416666666667</v>
          </cell>
          <cell r="C27">
            <v>3865.01</v>
          </cell>
        </row>
        <row r="27">
          <cell r="G27">
            <v>123.24</v>
          </cell>
          <cell r="H27">
            <v>270.51</v>
          </cell>
        </row>
        <row r="27">
          <cell r="J27">
            <v>0</v>
          </cell>
          <cell r="K27">
            <v>0</v>
          </cell>
        </row>
        <row r="27">
          <cell r="N27">
            <v>8504.62</v>
          </cell>
        </row>
        <row r="28">
          <cell r="B28">
            <v>0.270833333333333</v>
          </cell>
          <cell r="C28">
            <v>4032.42</v>
          </cell>
        </row>
        <row r="28">
          <cell r="G28">
            <v>119.67</v>
          </cell>
          <cell r="H28">
            <v>264.87</v>
          </cell>
        </row>
        <row r="28">
          <cell r="J28">
            <v>0</v>
          </cell>
          <cell r="K28">
            <v>0</v>
          </cell>
        </row>
        <row r="28">
          <cell r="N28">
            <v>8697.82</v>
          </cell>
        </row>
        <row r="29">
          <cell r="B29">
            <v>0.28125</v>
          </cell>
          <cell r="C29">
            <v>4064.59</v>
          </cell>
        </row>
        <row r="29">
          <cell r="G29">
            <v>117.94</v>
          </cell>
          <cell r="H29">
            <v>279.98</v>
          </cell>
        </row>
        <row r="29">
          <cell r="J29">
            <v>0</v>
          </cell>
          <cell r="K29">
            <v>0</v>
          </cell>
        </row>
        <row r="29">
          <cell r="N29">
            <v>8849.49</v>
          </cell>
        </row>
        <row r="30">
          <cell r="B30">
            <v>0.291666666666667</v>
          </cell>
          <cell r="C30">
            <v>3896.55</v>
          </cell>
        </row>
        <row r="30">
          <cell r="G30">
            <v>117.7</v>
          </cell>
          <cell r="H30">
            <v>314.85</v>
          </cell>
        </row>
        <row r="30">
          <cell r="J30">
            <v>407.08</v>
          </cell>
          <cell r="K30">
            <v>0</v>
          </cell>
        </row>
        <row r="30">
          <cell r="N30">
            <v>9029.94</v>
          </cell>
        </row>
        <row r="31">
          <cell r="B31">
            <v>0.302083333333333</v>
          </cell>
          <cell r="C31">
            <v>3794.17</v>
          </cell>
        </row>
        <row r="31">
          <cell r="G31">
            <v>118.77</v>
          </cell>
          <cell r="H31">
            <v>340.74</v>
          </cell>
        </row>
        <row r="31">
          <cell r="J31">
            <v>407.08</v>
          </cell>
          <cell r="K31">
            <v>0</v>
          </cell>
        </row>
        <row r="31">
          <cell r="N31">
            <v>9264.73</v>
          </cell>
        </row>
        <row r="32">
          <cell r="B32">
            <v>0.3125</v>
          </cell>
          <cell r="C32">
            <v>3754.59</v>
          </cell>
        </row>
        <row r="32">
          <cell r="G32">
            <v>118.04</v>
          </cell>
          <cell r="H32">
            <v>311.25</v>
          </cell>
        </row>
        <row r="32">
          <cell r="J32">
            <v>407.08</v>
          </cell>
          <cell r="K32">
            <v>0</v>
          </cell>
        </row>
        <row r="32">
          <cell r="N32">
            <v>9387.52</v>
          </cell>
        </row>
        <row r="33">
          <cell r="B33">
            <v>0.322916666666667</v>
          </cell>
          <cell r="C33">
            <v>3873.01</v>
          </cell>
        </row>
        <row r="33">
          <cell r="G33">
            <v>117.09</v>
          </cell>
          <cell r="H33">
            <v>275.28</v>
          </cell>
        </row>
        <row r="33">
          <cell r="J33">
            <v>407.08</v>
          </cell>
          <cell r="K33">
            <v>0</v>
          </cell>
        </row>
        <row r="33">
          <cell r="N33">
            <v>9525.19</v>
          </cell>
        </row>
        <row r="34">
          <cell r="B34">
            <v>0.333333333333333</v>
          </cell>
          <cell r="C34">
            <v>4175.78</v>
          </cell>
        </row>
        <row r="34">
          <cell r="G34">
            <v>148.36</v>
          </cell>
          <cell r="H34">
            <v>228.15</v>
          </cell>
        </row>
        <row r="34">
          <cell r="J34">
            <v>407.08</v>
          </cell>
          <cell r="K34">
            <v>0</v>
          </cell>
        </row>
        <row r="34">
          <cell r="N34">
            <v>10223.49</v>
          </cell>
        </row>
        <row r="35">
          <cell r="B35">
            <v>0.34375</v>
          </cell>
          <cell r="C35">
            <v>4316.48</v>
          </cell>
        </row>
        <row r="35">
          <cell r="G35">
            <v>226.76</v>
          </cell>
          <cell r="H35">
            <v>227.78</v>
          </cell>
        </row>
        <row r="35">
          <cell r="J35">
            <v>407.08</v>
          </cell>
          <cell r="K35">
            <v>0</v>
          </cell>
        </row>
        <row r="35">
          <cell r="N35">
            <v>10770.17</v>
          </cell>
        </row>
        <row r="36">
          <cell r="B36">
            <v>0.354166666666667</v>
          </cell>
          <cell r="C36">
            <v>4340.61</v>
          </cell>
        </row>
        <row r="36">
          <cell r="G36">
            <v>211.28</v>
          </cell>
          <cell r="H36">
            <v>287.12</v>
          </cell>
        </row>
        <row r="36">
          <cell r="J36">
            <v>407.08</v>
          </cell>
          <cell r="K36">
            <v>0</v>
          </cell>
        </row>
        <row r="36">
          <cell r="N36">
            <v>11013.73</v>
          </cell>
        </row>
        <row r="37">
          <cell r="B37">
            <v>0.364583333333333</v>
          </cell>
          <cell r="C37">
            <v>4393.62</v>
          </cell>
        </row>
        <row r="37">
          <cell r="G37">
            <v>141.77</v>
          </cell>
          <cell r="H37">
            <v>391.16</v>
          </cell>
        </row>
        <row r="37">
          <cell r="J37">
            <v>407.08</v>
          </cell>
          <cell r="K37">
            <v>0</v>
          </cell>
        </row>
        <row r="37">
          <cell r="N37">
            <v>11277.05</v>
          </cell>
        </row>
        <row r="38">
          <cell r="B38">
            <v>0.375</v>
          </cell>
          <cell r="C38">
            <v>4392.2</v>
          </cell>
        </row>
        <row r="38">
          <cell r="G38">
            <v>122.46</v>
          </cell>
          <cell r="H38">
            <v>545.33</v>
          </cell>
        </row>
        <row r="38">
          <cell r="J38">
            <v>0</v>
          </cell>
          <cell r="K38">
            <v>0</v>
          </cell>
        </row>
        <row r="38">
          <cell r="N38">
            <v>11565.82</v>
          </cell>
        </row>
        <row r="39">
          <cell r="B39">
            <v>0.385416666666667</v>
          </cell>
          <cell r="C39">
            <v>4443.06</v>
          </cell>
        </row>
        <row r="39">
          <cell r="G39">
            <v>124.93</v>
          </cell>
          <cell r="H39">
            <v>730.43</v>
          </cell>
        </row>
        <row r="39">
          <cell r="J39">
            <v>0</v>
          </cell>
          <cell r="K39">
            <v>0</v>
          </cell>
        </row>
        <row r="39">
          <cell r="N39">
            <v>11679.12</v>
          </cell>
        </row>
        <row r="40">
          <cell r="B40">
            <v>0.395833333333333</v>
          </cell>
          <cell r="C40">
            <v>4375.75</v>
          </cell>
        </row>
        <row r="40">
          <cell r="G40">
            <v>126.21</v>
          </cell>
          <cell r="H40">
            <v>818.91</v>
          </cell>
        </row>
        <row r="40">
          <cell r="J40">
            <v>0</v>
          </cell>
          <cell r="K40">
            <v>0</v>
          </cell>
        </row>
        <row r="40">
          <cell r="N40">
            <v>11593.69</v>
          </cell>
        </row>
        <row r="41">
          <cell r="B41">
            <v>0.40625</v>
          </cell>
          <cell r="C41">
            <v>4192.69</v>
          </cell>
        </row>
        <row r="41">
          <cell r="G41">
            <v>125.06</v>
          </cell>
          <cell r="H41">
            <v>862.79</v>
          </cell>
        </row>
        <row r="41">
          <cell r="J41">
            <v>0</v>
          </cell>
          <cell r="K41">
            <v>0</v>
          </cell>
        </row>
        <row r="41">
          <cell r="N41">
            <v>11448</v>
          </cell>
        </row>
        <row r="42">
          <cell r="B42">
            <v>0.416666666666667</v>
          </cell>
          <cell r="C42">
            <v>4051.66</v>
          </cell>
        </row>
        <row r="42">
          <cell r="G42">
            <v>126.22</v>
          </cell>
          <cell r="H42">
            <v>932.28</v>
          </cell>
        </row>
        <row r="42">
          <cell r="J42">
            <v>0</v>
          </cell>
          <cell r="K42">
            <v>0</v>
          </cell>
        </row>
        <row r="42">
          <cell r="N42">
            <v>11210.48</v>
          </cell>
        </row>
        <row r="43">
          <cell r="B43">
            <v>0.427083333333333</v>
          </cell>
          <cell r="C43">
            <v>3936.76</v>
          </cell>
        </row>
        <row r="43">
          <cell r="G43">
            <v>123.16</v>
          </cell>
          <cell r="H43">
            <v>1014.45</v>
          </cell>
        </row>
        <row r="43">
          <cell r="J43">
            <v>0</v>
          </cell>
          <cell r="K43">
            <v>0</v>
          </cell>
        </row>
        <row r="43">
          <cell r="N43">
            <v>11085.47</v>
          </cell>
        </row>
        <row r="44">
          <cell r="B44">
            <v>0.4375</v>
          </cell>
          <cell r="C44">
            <v>3895.97</v>
          </cell>
        </row>
        <row r="44">
          <cell r="G44">
            <v>124.17</v>
          </cell>
          <cell r="H44">
            <v>1138</v>
          </cell>
        </row>
        <row r="44">
          <cell r="J44">
            <v>0</v>
          </cell>
          <cell r="K44">
            <v>0</v>
          </cell>
        </row>
        <row r="44">
          <cell r="N44">
            <v>10943.39</v>
          </cell>
        </row>
        <row r="45">
          <cell r="B45">
            <v>0.447916666666667</v>
          </cell>
          <cell r="C45">
            <v>3850.05</v>
          </cell>
        </row>
        <row r="45">
          <cell r="G45">
            <v>126.49</v>
          </cell>
          <cell r="H45">
            <v>1251.21</v>
          </cell>
        </row>
        <row r="45">
          <cell r="J45">
            <v>0</v>
          </cell>
          <cell r="K45">
            <v>0</v>
          </cell>
        </row>
        <row r="45">
          <cell r="N45">
            <v>10942.89</v>
          </cell>
        </row>
        <row r="46">
          <cell r="B46">
            <v>0.458333333333333</v>
          </cell>
          <cell r="C46">
            <v>3680.22</v>
          </cell>
        </row>
        <row r="46">
          <cell r="G46">
            <v>140.76</v>
          </cell>
          <cell r="H46">
            <v>1256.6</v>
          </cell>
        </row>
        <row r="46">
          <cell r="J46">
            <v>0</v>
          </cell>
          <cell r="K46">
            <v>0</v>
          </cell>
        </row>
        <row r="46">
          <cell r="N46">
            <v>10819.97</v>
          </cell>
        </row>
        <row r="47">
          <cell r="B47">
            <v>0.46875</v>
          </cell>
          <cell r="C47">
            <v>3433.52</v>
          </cell>
        </row>
        <row r="47">
          <cell r="G47">
            <v>161.71</v>
          </cell>
          <cell r="H47">
            <v>1267.18</v>
          </cell>
        </row>
        <row r="47">
          <cell r="J47">
            <v>0</v>
          </cell>
          <cell r="K47">
            <v>0</v>
          </cell>
        </row>
        <row r="47">
          <cell r="N47">
            <v>10812.92</v>
          </cell>
        </row>
        <row r="48">
          <cell r="B48">
            <v>0.479166666666667</v>
          </cell>
          <cell r="C48">
            <v>3307.35</v>
          </cell>
        </row>
        <row r="48">
          <cell r="G48">
            <v>215.28</v>
          </cell>
          <cell r="H48">
            <v>1252.1</v>
          </cell>
        </row>
        <row r="48">
          <cell r="J48">
            <v>0</v>
          </cell>
          <cell r="K48">
            <v>0</v>
          </cell>
        </row>
        <row r="48">
          <cell r="N48">
            <v>10891.59</v>
          </cell>
        </row>
        <row r="49">
          <cell r="B49">
            <v>0.489583333333333</v>
          </cell>
          <cell r="C49">
            <v>3219.65</v>
          </cell>
        </row>
        <row r="49">
          <cell r="G49">
            <v>288.11</v>
          </cell>
          <cell r="H49">
            <v>1225.75</v>
          </cell>
        </row>
        <row r="49">
          <cell r="J49">
            <v>0</v>
          </cell>
          <cell r="K49">
            <v>0</v>
          </cell>
        </row>
        <row r="49">
          <cell r="N49">
            <v>10942.89</v>
          </cell>
        </row>
        <row r="50">
          <cell r="B50">
            <v>0.5</v>
          </cell>
          <cell r="C50">
            <v>3281.96</v>
          </cell>
        </row>
        <row r="50">
          <cell r="G50">
            <v>289.52</v>
          </cell>
          <cell r="H50">
            <v>1172.51</v>
          </cell>
        </row>
        <row r="50">
          <cell r="J50">
            <v>0</v>
          </cell>
          <cell r="K50">
            <v>0</v>
          </cell>
        </row>
        <row r="50">
          <cell r="N50">
            <v>10950.96</v>
          </cell>
        </row>
        <row r="51">
          <cell r="B51">
            <v>0.510416666666667</v>
          </cell>
          <cell r="C51">
            <v>3391.05</v>
          </cell>
        </row>
        <row r="51">
          <cell r="G51">
            <v>290.07</v>
          </cell>
          <cell r="H51">
            <v>1119.17</v>
          </cell>
        </row>
        <row r="51">
          <cell r="J51">
            <v>0</v>
          </cell>
          <cell r="K51">
            <v>0</v>
          </cell>
        </row>
        <row r="51">
          <cell r="N51">
            <v>10969.08</v>
          </cell>
        </row>
        <row r="52">
          <cell r="B52">
            <v>0.520833333333333</v>
          </cell>
          <cell r="C52">
            <v>3371.85</v>
          </cell>
        </row>
        <row r="52">
          <cell r="G52">
            <v>290.6</v>
          </cell>
          <cell r="H52">
            <v>1068.79</v>
          </cell>
        </row>
        <row r="52">
          <cell r="J52">
            <v>0</v>
          </cell>
          <cell r="K52">
            <v>0</v>
          </cell>
        </row>
        <row r="52">
          <cell r="N52">
            <v>10846.83</v>
          </cell>
        </row>
        <row r="53">
          <cell r="B53">
            <v>0.53125</v>
          </cell>
          <cell r="C53">
            <v>3348.65</v>
          </cell>
        </row>
        <row r="53">
          <cell r="G53">
            <v>290.62</v>
          </cell>
          <cell r="H53">
            <v>995.57</v>
          </cell>
        </row>
        <row r="53">
          <cell r="J53">
            <v>0</v>
          </cell>
          <cell r="K53">
            <v>0</v>
          </cell>
        </row>
        <row r="53">
          <cell r="N53">
            <v>10758.01</v>
          </cell>
        </row>
        <row r="54">
          <cell r="B54">
            <v>0.541666666666667</v>
          </cell>
          <cell r="C54">
            <v>3362.34</v>
          </cell>
        </row>
        <row r="54">
          <cell r="G54">
            <v>228.1</v>
          </cell>
          <cell r="H54">
            <v>942.95</v>
          </cell>
        </row>
        <row r="54">
          <cell r="J54">
            <v>0</v>
          </cell>
          <cell r="K54">
            <v>0</v>
          </cell>
        </row>
        <row r="54">
          <cell r="N54">
            <v>10472.87</v>
          </cell>
        </row>
        <row r="55">
          <cell r="B55">
            <v>0.552083333333333</v>
          </cell>
          <cell r="C55">
            <v>3360.19</v>
          </cell>
        </row>
        <row r="55">
          <cell r="G55">
            <v>128.19</v>
          </cell>
          <cell r="H55">
            <v>906.95</v>
          </cell>
        </row>
        <row r="55">
          <cell r="J55">
            <v>0</v>
          </cell>
          <cell r="K55">
            <v>0</v>
          </cell>
        </row>
        <row r="55">
          <cell r="N55">
            <v>10360.08</v>
          </cell>
        </row>
        <row r="56">
          <cell r="B56">
            <v>0.5625</v>
          </cell>
          <cell r="C56">
            <v>3371</v>
          </cell>
        </row>
        <row r="56">
          <cell r="G56">
            <v>128.56</v>
          </cell>
          <cell r="H56">
            <v>857.19</v>
          </cell>
        </row>
        <row r="56">
          <cell r="J56">
            <v>0</v>
          </cell>
          <cell r="K56">
            <v>0</v>
          </cell>
        </row>
        <row r="56">
          <cell r="N56">
            <v>10357.45</v>
          </cell>
        </row>
        <row r="57">
          <cell r="B57">
            <v>0.572916666666667</v>
          </cell>
          <cell r="C57">
            <v>3353.3</v>
          </cell>
        </row>
        <row r="57">
          <cell r="G57">
            <v>128.71</v>
          </cell>
          <cell r="H57">
            <v>788.94</v>
          </cell>
        </row>
        <row r="57">
          <cell r="J57">
            <v>0</v>
          </cell>
          <cell r="K57">
            <v>0</v>
          </cell>
        </row>
        <row r="57">
          <cell r="N57">
            <v>10322.41</v>
          </cell>
        </row>
        <row r="58">
          <cell r="B58">
            <v>0.583333333333333</v>
          </cell>
          <cell r="C58">
            <v>3329.99</v>
          </cell>
        </row>
        <row r="58">
          <cell r="G58">
            <v>123.58</v>
          </cell>
          <cell r="H58">
            <v>772.43</v>
          </cell>
        </row>
        <row r="58">
          <cell r="J58">
            <v>0</v>
          </cell>
          <cell r="K58">
            <v>0</v>
          </cell>
        </row>
        <row r="58">
          <cell r="N58">
            <v>10278.48</v>
          </cell>
        </row>
        <row r="59">
          <cell r="B59">
            <v>0.59375</v>
          </cell>
          <cell r="C59">
            <v>3263.79</v>
          </cell>
        </row>
        <row r="59">
          <cell r="G59">
            <v>167.62</v>
          </cell>
          <cell r="H59">
            <v>748.26</v>
          </cell>
        </row>
        <row r="59">
          <cell r="J59">
            <v>0</v>
          </cell>
          <cell r="K59">
            <v>0</v>
          </cell>
        </row>
        <row r="59">
          <cell r="N59">
            <v>10431</v>
          </cell>
        </row>
        <row r="60">
          <cell r="B60">
            <v>0.604166666666667</v>
          </cell>
          <cell r="C60">
            <v>3218.95</v>
          </cell>
        </row>
        <row r="60">
          <cell r="G60">
            <v>232.79</v>
          </cell>
          <cell r="H60">
            <v>732.24</v>
          </cell>
        </row>
        <row r="60">
          <cell r="J60">
            <v>0</v>
          </cell>
          <cell r="K60">
            <v>0</v>
          </cell>
        </row>
        <row r="60">
          <cell r="N60">
            <v>10546.38</v>
          </cell>
        </row>
        <row r="61">
          <cell r="B61">
            <v>0.614583333333333</v>
          </cell>
          <cell r="C61">
            <v>3571.27</v>
          </cell>
        </row>
        <row r="61">
          <cell r="G61">
            <v>232.56</v>
          </cell>
          <cell r="H61">
            <v>693.18</v>
          </cell>
        </row>
        <row r="61">
          <cell r="J61">
            <v>0</v>
          </cell>
          <cell r="K61">
            <v>0</v>
          </cell>
        </row>
        <row r="61">
          <cell r="N61">
            <v>10709.89</v>
          </cell>
        </row>
        <row r="62">
          <cell r="B62">
            <v>0.625</v>
          </cell>
          <cell r="C62">
            <v>3847.99</v>
          </cell>
        </row>
        <row r="62">
          <cell r="G62">
            <v>196.82</v>
          </cell>
          <cell r="H62">
            <v>685.03</v>
          </cell>
        </row>
        <row r="62">
          <cell r="J62">
            <v>0</v>
          </cell>
          <cell r="K62">
            <v>0</v>
          </cell>
        </row>
        <row r="62">
          <cell r="N62">
            <v>10470.79</v>
          </cell>
        </row>
        <row r="63">
          <cell r="B63">
            <v>0.635416666666667</v>
          </cell>
          <cell r="C63">
            <v>3981.33</v>
          </cell>
        </row>
        <row r="63">
          <cell r="G63">
            <v>134.17</v>
          </cell>
          <cell r="H63">
            <v>712.74</v>
          </cell>
        </row>
        <row r="63">
          <cell r="J63">
            <v>0</v>
          </cell>
          <cell r="K63">
            <v>0</v>
          </cell>
        </row>
        <row r="63">
          <cell r="N63">
            <v>10511.89</v>
          </cell>
        </row>
        <row r="64">
          <cell r="B64">
            <v>0.645833333333333</v>
          </cell>
          <cell r="C64">
            <v>4003.87</v>
          </cell>
        </row>
        <row r="64">
          <cell r="G64">
            <v>134.41</v>
          </cell>
          <cell r="H64">
            <v>743.76</v>
          </cell>
        </row>
        <row r="64">
          <cell r="J64">
            <v>0</v>
          </cell>
          <cell r="K64">
            <v>0</v>
          </cell>
        </row>
        <row r="64">
          <cell r="N64">
            <v>10502.85</v>
          </cell>
        </row>
        <row r="65">
          <cell r="B65">
            <v>0.65625</v>
          </cell>
          <cell r="C65">
            <v>4115.47</v>
          </cell>
        </row>
        <row r="65">
          <cell r="G65">
            <v>136.3</v>
          </cell>
          <cell r="H65">
            <v>783.23</v>
          </cell>
        </row>
        <row r="65">
          <cell r="J65">
            <v>0</v>
          </cell>
          <cell r="K65">
            <v>0</v>
          </cell>
        </row>
        <row r="65">
          <cell r="N65">
            <v>10400.91</v>
          </cell>
        </row>
        <row r="66">
          <cell r="B66">
            <v>0.666666666666667</v>
          </cell>
          <cell r="C66">
            <v>3809.27</v>
          </cell>
        </row>
        <row r="66">
          <cell r="G66">
            <v>216.03</v>
          </cell>
          <cell r="H66">
            <v>741.18</v>
          </cell>
        </row>
        <row r="66">
          <cell r="J66">
            <v>0</v>
          </cell>
          <cell r="K66">
            <v>0</v>
          </cell>
        </row>
        <row r="66">
          <cell r="N66">
            <v>8885.1</v>
          </cell>
        </row>
        <row r="67">
          <cell r="B67">
            <v>0.677083333333333</v>
          </cell>
          <cell r="C67">
            <v>4281.08</v>
          </cell>
        </row>
        <row r="67">
          <cell r="G67">
            <v>226.18</v>
          </cell>
          <cell r="H67">
            <v>859.35</v>
          </cell>
        </row>
        <row r="67">
          <cell r="J67">
            <v>0</v>
          </cell>
          <cell r="K67">
            <v>0</v>
          </cell>
        </row>
        <row r="67">
          <cell r="N67">
            <v>10025.82</v>
          </cell>
        </row>
        <row r="68">
          <cell r="B68">
            <v>0.6875</v>
          </cell>
          <cell r="C68">
            <v>4281.93</v>
          </cell>
        </row>
        <row r="68">
          <cell r="G68">
            <v>130.03</v>
          </cell>
          <cell r="H68">
            <v>883.32</v>
          </cell>
        </row>
        <row r="68">
          <cell r="J68">
            <v>0</v>
          </cell>
          <cell r="K68">
            <v>0</v>
          </cell>
        </row>
        <row r="68">
          <cell r="N68">
            <v>9819.55</v>
          </cell>
        </row>
        <row r="69">
          <cell r="B69">
            <v>0.697916666666667</v>
          </cell>
          <cell r="C69">
            <v>4300.77</v>
          </cell>
        </row>
        <row r="69">
          <cell r="G69">
            <v>130.08</v>
          </cell>
          <cell r="H69">
            <v>898.39</v>
          </cell>
        </row>
        <row r="69">
          <cell r="J69">
            <v>0</v>
          </cell>
          <cell r="K69">
            <v>0</v>
          </cell>
        </row>
        <row r="69">
          <cell r="N69">
            <v>9991.34</v>
          </cell>
        </row>
        <row r="70">
          <cell r="B70">
            <v>0.708333333333333</v>
          </cell>
          <cell r="C70">
            <v>4348.4</v>
          </cell>
        </row>
        <row r="70">
          <cell r="G70">
            <v>124.95</v>
          </cell>
          <cell r="H70">
            <v>917.82</v>
          </cell>
        </row>
        <row r="70">
          <cell r="J70">
            <v>0</v>
          </cell>
          <cell r="K70">
            <v>0</v>
          </cell>
        </row>
        <row r="70">
          <cell r="N70">
            <v>8970.89</v>
          </cell>
        </row>
        <row r="71">
          <cell r="B71">
            <v>0.71875</v>
          </cell>
          <cell r="C71">
            <v>4346.87</v>
          </cell>
        </row>
        <row r="71">
          <cell r="G71">
            <v>122.61</v>
          </cell>
          <cell r="H71">
            <v>955.65</v>
          </cell>
        </row>
        <row r="71">
          <cell r="J71">
            <v>0</v>
          </cell>
          <cell r="K71">
            <v>0</v>
          </cell>
        </row>
        <row r="71">
          <cell r="N71">
            <v>8701.99</v>
          </cell>
        </row>
        <row r="72">
          <cell r="B72">
            <v>0.729166666666667</v>
          </cell>
          <cell r="C72">
            <v>4375.92</v>
          </cell>
        </row>
        <row r="72">
          <cell r="G72">
            <v>120.16</v>
          </cell>
          <cell r="H72">
            <v>971.97</v>
          </cell>
        </row>
        <row r="72">
          <cell r="J72">
            <v>407.08</v>
          </cell>
        </row>
        <row r="72">
          <cell r="N72">
            <v>8731.07</v>
          </cell>
        </row>
        <row r="73">
          <cell r="B73">
            <v>0.739583333333333</v>
          </cell>
          <cell r="C73">
            <v>4393.22</v>
          </cell>
        </row>
        <row r="73">
          <cell r="G73">
            <v>116.32</v>
          </cell>
          <cell r="H73">
            <v>963.44</v>
          </cell>
        </row>
        <row r="73">
          <cell r="J73">
            <v>407.08</v>
          </cell>
        </row>
        <row r="73">
          <cell r="N73">
            <v>8817.3</v>
          </cell>
        </row>
        <row r="74">
          <cell r="B74">
            <v>0.75</v>
          </cell>
          <cell r="C74">
            <v>4437.48</v>
          </cell>
        </row>
        <row r="74">
          <cell r="G74">
            <v>112.63</v>
          </cell>
          <cell r="H74">
            <v>912.17</v>
          </cell>
        </row>
        <row r="74">
          <cell r="J74">
            <v>407.08</v>
          </cell>
        </row>
        <row r="74">
          <cell r="N74">
            <v>8445.63</v>
          </cell>
        </row>
        <row r="75">
          <cell r="B75">
            <v>0.760416666666667</v>
          </cell>
          <cell r="C75">
            <v>4445.4</v>
          </cell>
        </row>
        <row r="75">
          <cell r="G75">
            <v>113.12</v>
          </cell>
          <cell r="H75">
            <v>937.7</v>
          </cell>
        </row>
        <row r="75">
          <cell r="J75">
            <v>407.08</v>
          </cell>
        </row>
        <row r="75">
          <cell r="N75">
            <v>8592.46</v>
          </cell>
        </row>
        <row r="76">
          <cell r="B76">
            <v>0.770833333333333</v>
          </cell>
          <cell r="C76">
            <v>4408.73</v>
          </cell>
        </row>
        <row r="76">
          <cell r="G76">
            <v>112.62</v>
          </cell>
          <cell r="H76">
            <v>997.35</v>
          </cell>
        </row>
        <row r="76">
          <cell r="J76">
            <v>407.08</v>
          </cell>
        </row>
        <row r="76">
          <cell r="N76">
            <v>8718.81</v>
          </cell>
        </row>
        <row r="77">
          <cell r="B77">
            <v>0.78125</v>
          </cell>
          <cell r="C77">
            <v>4430.14</v>
          </cell>
        </row>
        <row r="77">
          <cell r="G77">
            <v>112.94</v>
          </cell>
          <cell r="H77">
            <v>1002.63</v>
          </cell>
        </row>
        <row r="77">
          <cell r="J77">
            <v>407.08</v>
          </cell>
        </row>
        <row r="77">
          <cell r="N77">
            <v>8706.46</v>
          </cell>
        </row>
        <row r="78">
          <cell r="B78">
            <v>0.791666666666667</v>
          </cell>
          <cell r="C78">
            <v>4492.4</v>
          </cell>
        </row>
        <row r="78">
          <cell r="G78">
            <v>114.12</v>
          </cell>
          <cell r="H78">
            <v>1018.61</v>
          </cell>
        </row>
        <row r="78">
          <cell r="J78">
            <v>407.08</v>
          </cell>
        </row>
        <row r="78">
          <cell r="N78">
            <v>8605.48</v>
          </cell>
        </row>
        <row r="79">
          <cell r="B79">
            <v>0.802083333333333</v>
          </cell>
          <cell r="C79">
            <v>4537.46</v>
          </cell>
        </row>
        <row r="79">
          <cell r="G79">
            <v>114.7</v>
          </cell>
          <cell r="H79">
            <v>1062.11</v>
          </cell>
        </row>
        <row r="79">
          <cell r="J79">
            <v>407.08</v>
          </cell>
        </row>
        <row r="79">
          <cell r="N79">
            <v>8460.63</v>
          </cell>
        </row>
        <row r="80">
          <cell r="B80">
            <v>0.8125</v>
          </cell>
          <cell r="C80">
            <v>4511.78</v>
          </cell>
        </row>
        <row r="80">
          <cell r="G80">
            <v>115.09</v>
          </cell>
          <cell r="H80">
            <v>1123.51</v>
          </cell>
        </row>
        <row r="80">
          <cell r="J80">
            <v>0</v>
          </cell>
        </row>
        <row r="80">
          <cell r="N80">
            <v>8390.58</v>
          </cell>
        </row>
        <row r="81">
          <cell r="B81">
            <v>0.822916666666667</v>
          </cell>
          <cell r="C81">
            <v>4467.87</v>
          </cell>
        </row>
        <row r="81">
          <cell r="G81">
            <v>116.32</v>
          </cell>
          <cell r="H81">
            <v>1146.57</v>
          </cell>
        </row>
        <row r="81">
          <cell r="J81">
            <v>0</v>
          </cell>
        </row>
        <row r="81">
          <cell r="N81">
            <v>8349.72</v>
          </cell>
        </row>
        <row r="82">
          <cell r="B82">
            <v>0.833333333333333</v>
          </cell>
          <cell r="C82">
            <v>4461.54</v>
          </cell>
        </row>
        <row r="82">
          <cell r="G82">
            <v>117.51</v>
          </cell>
          <cell r="H82">
            <v>1140.73</v>
          </cell>
        </row>
        <row r="82">
          <cell r="J82">
            <v>0</v>
          </cell>
        </row>
        <row r="82">
          <cell r="N82">
            <v>8244.96</v>
          </cell>
        </row>
        <row r="83">
          <cell r="B83">
            <v>0.84375</v>
          </cell>
          <cell r="C83">
            <v>4468</v>
          </cell>
        </row>
        <row r="83">
          <cell r="G83">
            <v>119.02</v>
          </cell>
          <cell r="H83">
            <v>1137.72</v>
          </cell>
        </row>
        <row r="83">
          <cell r="J83">
            <v>0</v>
          </cell>
        </row>
        <row r="83">
          <cell r="N83">
            <v>8174.31</v>
          </cell>
        </row>
        <row r="84">
          <cell r="B84">
            <v>0.854166666666667</v>
          </cell>
          <cell r="C84">
            <v>4454</v>
          </cell>
        </row>
        <row r="84">
          <cell r="G84">
            <v>120.17</v>
          </cell>
          <cell r="H84">
            <v>1156.14</v>
          </cell>
        </row>
        <row r="84">
          <cell r="J84">
            <v>0</v>
          </cell>
          <cell r="K84">
            <v>0</v>
          </cell>
        </row>
        <row r="84">
          <cell r="N84">
            <v>8073.3</v>
          </cell>
        </row>
        <row r="85">
          <cell r="B85">
            <v>0.864583333333333</v>
          </cell>
          <cell r="C85">
            <v>4337.09</v>
          </cell>
        </row>
        <row r="85">
          <cell r="G85">
            <v>165.34</v>
          </cell>
          <cell r="H85">
            <v>1137.05</v>
          </cell>
        </row>
        <row r="85">
          <cell r="J85">
            <v>0</v>
          </cell>
          <cell r="K85">
            <v>0</v>
          </cell>
        </row>
        <row r="85">
          <cell r="N85">
            <v>7987.58</v>
          </cell>
        </row>
        <row r="86">
          <cell r="B86">
            <v>0.875</v>
          </cell>
          <cell r="C86">
            <v>4202.36</v>
          </cell>
        </row>
        <row r="86">
          <cell r="G86">
            <v>178.91</v>
          </cell>
          <cell r="H86">
            <v>1141.31</v>
          </cell>
        </row>
        <row r="86">
          <cell r="J86">
            <v>0</v>
          </cell>
          <cell r="K86">
            <v>0</v>
          </cell>
        </row>
        <row r="86">
          <cell r="N86">
            <v>8047.44</v>
          </cell>
        </row>
        <row r="87">
          <cell r="B87">
            <v>0.885416666666667</v>
          </cell>
          <cell r="C87">
            <v>4116.88</v>
          </cell>
        </row>
        <row r="87">
          <cell r="G87">
            <v>155.54</v>
          </cell>
          <cell r="H87">
            <v>1125.66</v>
          </cell>
        </row>
        <row r="87">
          <cell r="J87">
            <v>0</v>
          </cell>
          <cell r="K87">
            <v>0</v>
          </cell>
        </row>
        <row r="87">
          <cell r="N87">
            <v>7965.99</v>
          </cell>
        </row>
        <row r="88">
          <cell r="B88">
            <v>0.895833333333333</v>
          </cell>
          <cell r="C88">
            <v>4035.85</v>
          </cell>
        </row>
        <row r="88">
          <cell r="G88">
            <v>126.78</v>
          </cell>
          <cell r="H88">
            <v>1082.07</v>
          </cell>
        </row>
        <row r="88">
          <cell r="J88">
            <v>0</v>
          </cell>
          <cell r="K88">
            <v>0</v>
          </cell>
        </row>
        <row r="88">
          <cell r="N88">
            <v>7843.97</v>
          </cell>
        </row>
        <row r="89">
          <cell r="B89">
            <v>0.90625</v>
          </cell>
          <cell r="C89">
            <v>3840.72</v>
          </cell>
        </row>
        <row r="89">
          <cell r="G89">
            <v>128.42</v>
          </cell>
          <cell r="H89">
            <v>1024.22</v>
          </cell>
        </row>
        <row r="89">
          <cell r="J89">
            <v>0</v>
          </cell>
          <cell r="K89">
            <v>0</v>
          </cell>
        </row>
        <row r="89">
          <cell r="N89">
            <v>7699.22</v>
          </cell>
        </row>
        <row r="90">
          <cell r="B90">
            <v>0.916666666666667</v>
          </cell>
          <cell r="C90">
            <v>3624.23</v>
          </cell>
        </row>
        <row r="90">
          <cell r="G90">
            <v>119.94</v>
          </cell>
          <cell r="H90">
            <v>984.19</v>
          </cell>
        </row>
        <row r="90">
          <cell r="J90">
            <v>0</v>
          </cell>
          <cell r="K90">
            <v>0</v>
          </cell>
        </row>
        <row r="90">
          <cell r="N90">
            <v>7578.66</v>
          </cell>
        </row>
        <row r="91">
          <cell r="B91">
            <v>0.927083333333333</v>
          </cell>
          <cell r="C91">
            <v>3534.53</v>
          </cell>
        </row>
        <row r="91">
          <cell r="G91">
            <v>107.52</v>
          </cell>
          <cell r="H91">
            <v>944.12</v>
          </cell>
        </row>
        <row r="91">
          <cell r="J91">
            <v>0</v>
          </cell>
          <cell r="K91">
            <v>0</v>
          </cell>
        </row>
        <row r="91">
          <cell r="N91">
            <v>7461.54</v>
          </cell>
        </row>
        <row r="92">
          <cell r="B92">
            <v>0.9375</v>
          </cell>
          <cell r="C92">
            <v>3541.83</v>
          </cell>
        </row>
        <row r="92">
          <cell r="G92">
            <v>112.38</v>
          </cell>
          <cell r="H92">
            <v>915.76</v>
          </cell>
        </row>
        <row r="92">
          <cell r="J92">
            <v>0</v>
          </cell>
          <cell r="K92">
            <v>0</v>
          </cell>
        </row>
        <row r="92">
          <cell r="N92">
            <v>7383.75</v>
          </cell>
        </row>
        <row r="93">
          <cell r="B93">
            <v>0.947916666666667</v>
          </cell>
          <cell r="C93">
            <v>3531.27</v>
          </cell>
        </row>
        <row r="93">
          <cell r="G93">
            <v>115.21</v>
          </cell>
          <cell r="H93">
            <v>894.35</v>
          </cell>
        </row>
        <row r="93">
          <cell r="J93">
            <v>0</v>
          </cell>
          <cell r="K93">
            <v>0</v>
          </cell>
        </row>
        <row r="93">
          <cell r="N93">
            <v>7298.31</v>
          </cell>
        </row>
        <row r="94">
          <cell r="B94">
            <v>0.958333333333333</v>
          </cell>
          <cell r="C94">
            <v>3406.44</v>
          </cell>
        </row>
        <row r="94">
          <cell r="G94">
            <v>117.43</v>
          </cell>
          <cell r="H94">
            <v>881.15</v>
          </cell>
        </row>
        <row r="94">
          <cell r="J94">
            <v>0</v>
          </cell>
          <cell r="K94">
            <v>0</v>
          </cell>
        </row>
        <row r="94">
          <cell r="N94">
            <v>7228.26</v>
          </cell>
        </row>
        <row r="95">
          <cell r="B95">
            <v>0.96875</v>
          </cell>
          <cell r="C95">
            <v>3335.5</v>
          </cell>
        </row>
        <row r="95">
          <cell r="G95">
            <v>118.88</v>
          </cell>
          <cell r="H95">
            <v>873.31</v>
          </cell>
        </row>
        <row r="95">
          <cell r="J95">
            <v>0</v>
          </cell>
          <cell r="K95">
            <v>0</v>
          </cell>
        </row>
        <row r="95">
          <cell r="N95">
            <v>7126.41</v>
          </cell>
        </row>
        <row r="96">
          <cell r="B96">
            <v>0.979166666666667</v>
          </cell>
          <cell r="C96">
            <v>3350.43</v>
          </cell>
        </row>
        <row r="96">
          <cell r="G96">
            <v>119.91</v>
          </cell>
          <cell r="H96">
            <v>850.91</v>
          </cell>
        </row>
        <row r="96">
          <cell r="J96">
            <v>0</v>
          </cell>
          <cell r="K96">
            <v>0</v>
          </cell>
        </row>
        <row r="96">
          <cell r="N96">
            <v>7059.12</v>
          </cell>
        </row>
        <row r="97">
          <cell r="B97">
            <v>0.989583333333333</v>
          </cell>
          <cell r="C97">
            <v>3343.27</v>
          </cell>
        </row>
        <row r="97">
          <cell r="G97">
            <v>121.07</v>
          </cell>
          <cell r="H97">
            <v>854.79</v>
          </cell>
        </row>
        <row r="97">
          <cell r="J97">
            <v>0</v>
          </cell>
          <cell r="K97">
            <v>0</v>
          </cell>
        </row>
        <row r="97">
          <cell r="N97">
            <v>6978.37</v>
          </cell>
        </row>
      </sheetData>
      <sheetData sheetId="1"/>
      <sheetData sheetId="2"/>
      <sheetData sheetId="3">
        <row r="2">
          <cell r="I2">
            <v>1225.73</v>
          </cell>
        </row>
        <row r="3">
          <cell r="I3">
            <v>1269.53</v>
          </cell>
        </row>
        <row r="4">
          <cell r="I4">
            <v>1263.67</v>
          </cell>
        </row>
        <row r="5">
          <cell r="I5">
            <v>1265.15</v>
          </cell>
        </row>
        <row r="6">
          <cell r="I6">
            <v>1256.46</v>
          </cell>
        </row>
        <row r="7">
          <cell r="I7">
            <v>1219.93</v>
          </cell>
        </row>
        <row r="8">
          <cell r="I8">
            <v>1066.97</v>
          </cell>
        </row>
        <row r="9">
          <cell r="I9">
            <v>1019.28</v>
          </cell>
        </row>
        <row r="10">
          <cell r="I10">
            <v>1008.39</v>
          </cell>
        </row>
        <row r="11">
          <cell r="I11">
            <v>1011.33</v>
          </cell>
        </row>
        <row r="12">
          <cell r="I12">
            <v>1010.89</v>
          </cell>
        </row>
        <row r="13">
          <cell r="I13">
            <v>1010.98</v>
          </cell>
        </row>
        <row r="14">
          <cell r="I14">
            <v>1014.13</v>
          </cell>
        </row>
        <row r="15">
          <cell r="I15">
            <v>1015.88</v>
          </cell>
        </row>
        <row r="16">
          <cell r="I16">
            <v>1012.9</v>
          </cell>
        </row>
        <row r="17">
          <cell r="I17">
            <v>1058.12</v>
          </cell>
        </row>
        <row r="18">
          <cell r="I18">
            <v>1211.63</v>
          </cell>
        </row>
        <row r="19">
          <cell r="I19">
            <v>1262.96</v>
          </cell>
        </row>
        <row r="20">
          <cell r="I20">
            <v>1263.52</v>
          </cell>
        </row>
        <row r="21">
          <cell r="I21">
            <v>1266.11</v>
          </cell>
        </row>
        <row r="22">
          <cell r="I22">
            <v>1272.94</v>
          </cell>
        </row>
        <row r="23">
          <cell r="I23">
            <v>1384.66</v>
          </cell>
        </row>
        <row r="24">
          <cell r="I24">
            <v>1447.78</v>
          </cell>
        </row>
        <row r="25">
          <cell r="I25">
            <v>1468.48</v>
          </cell>
        </row>
        <row r="26">
          <cell r="I26">
            <v>1472.24</v>
          </cell>
        </row>
        <row r="27">
          <cell r="I27">
            <v>1479.7</v>
          </cell>
        </row>
        <row r="28">
          <cell r="I28">
            <v>1477.49</v>
          </cell>
        </row>
        <row r="29">
          <cell r="I29">
            <v>1483.63</v>
          </cell>
        </row>
        <row r="30">
          <cell r="I30">
            <v>1483.99</v>
          </cell>
        </row>
        <row r="31">
          <cell r="I31">
            <v>1482.4</v>
          </cell>
        </row>
        <row r="32">
          <cell r="I32">
            <v>1479.2</v>
          </cell>
        </row>
        <row r="33">
          <cell r="I33">
            <v>1479.18</v>
          </cell>
        </row>
        <row r="34">
          <cell r="I34">
            <v>1477.76</v>
          </cell>
        </row>
        <row r="35">
          <cell r="I35">
            <v>1476.69</v>
          </cell>
        </row>
        <row r="36">
          <cell r="I36">
            <v>1468.42</v>
          </cell>
        </row>
        <row r="37">
          <cell r="I37">
            <v>1462.42</v>
          </cell>
        </row>
        <row r="38">
          <cell r="I38">
            <v>1475.04</v>
          </cell>
        </row>
        <row r="39">
          <cell r="I39">
            <v>1484.01</v>
          </cell>
        </row>
        <row r="40">
          <cell r="I40">
            <v>1476.72</v>
          </cell>
        </row>
        <row r="41">
          <cell r="I41">
            <v>1478.3</v>
          </cell>
        </row>
        <row r="42">
          <cell r="I42">
            <v>1479.84</v>
          </cell>
        </row>
        <row r="43">
          <cell r="I43">
            <v>1480.03</v>
          </cell>
        </row>
        <row r="44">
          <cell r="I44">
            <v>1480.1</v>
          </cell>
        </row>
        <row r="45">
          <cell r="I45">
            <v>1480.62</v>
          </cell>
        </row>
        <row r="46">
          <cell r="I46">
            <v>1472.48</v>
          </cell>
        </row>
        <row r="47">
          <cell r="I47">
            <v>1476.65</v>
          </cell>
        </row>
        <row r="48">
          <cell r="I48">
            <v>1469.49</v>
          </cell>
        </row>
        <row r="49">
          <cell r="I49">
            <v>1474.56</v>
          </cell>
        </row>
        <row r="50">
          <cell r="I50">
            <v>1473.63</v>
          </cell>
        </row>
        <row r="51">
          <cell r="I51">
            <v>1480.17</v>
          </cell>
        </row>
        <row r="52">
          <cell r="I52">
            <v>1474.93</v>
          </cell>
        </row>
        <row r="53">
          <cell r="I53">
            <v>1474.88</v>
          </cell>
        </row>
        <row r="54">
          <cell r="I54">
            <v>1473.9</v>
          </cell>
        </row>
        <row r="55">
          <cell r="I55">
            <v>1479.16</v>
          </cell>
        </row>
        <row r="56">
          <cell r="I56">
            <v>1481.51</v>
          </cell>
        </row>
        <row r="57">
          <cell r="I57">
            <v>1474.84</v>
          </cell>
        </row>
        <row r="58">
          <cell r="I58">
            <v>1477.47</v>
          </cell>
        </row>
        <row r="59">
          <cell r="I59">
            <v>1478.11</v>
          </cell>
        </row>
        <row r="60">
          <cell r="I60">
            <v>1479.01</v>
          </cell>
        </row>
        <row r="61">
          <cell r="I61">
            <v>1476.41</v>
          </cell>
        </row>
        <row r="62">
          <cell r="I62">
            <v>1473.32</v>
          </cell>
        </row>
        <row r="63">
          <cell r="I63">
            <v>1475.3</v>
          </cell>
        </row>
        <row r="64">
          <cell r="I64">
            <v>1475.41</v>
          </cell>
        </row>
        <row r="65">
          <cell r="I65">
            <v>1475.88</v>
          </cell>
        </row>
        <row r="66">
          <cell r="I66">
            <v>1019.65</v>
          </cell>
        </row>
        <row r="67">
          <cell r="I67">
            <v>1481.86</v>
          </cell>
        </row>
        <row r="68">
          <cell r="I68">
            <v>1483.44</v>
          </cell>
        </row>
        <row r="69">
          <cell r="I69">
            <v>1486.44</v>
          </cell>
        </row>
        <row r="70">
          <cell r="I70">
            <v>1481.47</v>
          </cell>
        </row>
        <row r="71">
          <cell r="I71">
            <v>1480.77</v>
          </cell>
        </row>
        <row r="72">
          <cell r="I72">
            <v>1481.72</v>
          </cell>
        </row>
        <row r="73">
          <cell r="I73">
            <v>1465.42</v>
          </cell>
        </row>
        <row r="74">
          <cell r="I74">
            <v>1452.82</v>
          </cell>
        </row>
        <row r="75">
          <cell r="I75">
            <v>1462.61</v>
          </cell>
        </row>
        <row r="76">
          <cell r="I76">
            <v>1468.63</v>
          </cell>
        </row>
        <row r="77">
          <cell r="I77">
            <v>1451.59</v>
          </cell>
        </row>
        <row r="78">
          <cell r="I78">
            <v>1473.04</v>
          </cell>
        </row>
        <row r="79">
          <cell r="I79">
            <v>1473.51</v>
          </cell>
        </row>
        <row r="80">
          <cell r="I80">
            <v>1483.34</v>
          </cell>
        </row>
        <row r="81">
          <cell r="I81">
            <v>1478.88</v>
          </cell>
        </row>
        <row r="82">
          <cell r="I82">
            <v>1478.99</v>
          </cell>
        </row>
        <row r="83">
          <cell r="I83">
            <v>1479.54</v>
          </cell>
        </row>
        <row r="84">
          <cell r="I84">
            <v>1465.36</v>
          </cell>
        </row>
        <row r="85">
          <cell r="I85">
            <v>1454.85</v>
          </cell>
        </row>
        <row r="86">
          <cell r="I86">
            <v>1467.78</v>
          </cell>
        </row>
        <row r="87">
          <cell r="I87">
            <v>1473.53</v>
          </cell>
        </row>
        <row r="88">
          <cell r="I88">
            <v>1482.35</v>
          </cell>
        </row>
        <row r="89">
          <cell r="I89">
            <v>1477.86</v>
          </cell>
        </row>
        <row r="90">
          <cell r="I90">
            <v>1478.76</v>
          </cell>
        </row>
        <row r="91">
          <cell r="I91">
            <v>1462.48</v>
          </cell>
        </row>
        <row r="92">
          <cell r="I92">
            <v>1450.41</v>
          </cell>
        </row>
        <row r="93">
          <cell r="I93">
            <v>1382.17</v>
          </cell>
        </row>
        <row r="94">
          <cell r="I94">
            <v>1305.57</v>
          </cell>
        </row>
        <row r="95">
          <cell r="I95">
            <v>1238.26</v>
          </cell>
        </row>
        <row r="96">
          <cell r="I96">
            <v>1264.99</v>
          </cell>
        </row>
        <row r="97">
          <cell r="I97">
            <v>1263.78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1.82</v>
          </cell>
        </row>
        <row r="25">
          <cell r="D25">
            <v>3.34</v>
          </cell>
        </row>
        <row r="26">
          <cell r="D26">
            <v>0.07</v>
          </cell>
        </row>
        <row r="27">
          <cell r="D27">
            <v>1.56</v>
          </cell>
        </row>
        <row r="28">
          <cell r="D28">
            <v>8.37</v>
          </cell>
        </row>
        <row r="29">
          <cell r="D29">
            <v>25.3</v>
          </cell>
        </row>
        <row r="30">
          <cell r="D30">
            <v>88.17</v>
          </cell>
        </row>
        <row r="31">
          <cell r="D31">
            <v>206.94</v>
          </cell>
        </row>
        <row r="32">
          <cell r="D32">
            <v>388.34</v>
          </cell>
        </row>
        <row r="33">
          <cell r="D33">
            <v>697.92</v>
          </cell>
        </row>
        <row r="34">
          <cell r="D34">
            <v>941.71</v>
          </cell>
        </row>
        <row r="35">
          <cell r="D35">
            <v>1177.12</v>
          </cell>
        </row>
        <row r="36">
          <cell r="D36">
            <v>1396.78</v>
          </cell>
        </row>
        <row r="37">
          <cell r="D37">
            <v>1562.27</v>
          </cell>
        </row>
        <row r="38">
          <cell r="D38">
            <v>1736.92</v>
          </cell>
        </row>
        <row r="39">
          <cell r="D39">
            <v>1946.79</v>
          </cell>
        </row>
        <row r="40">
          <cell r="D40">
            <v>2243.31</v>
          </cell>
        </row>
        <row r="41">
          <cell r="D41">
            <v>2323.89</v>
          </cell>
        </row>
        <row r="42">
          <cell r="D42">
            <v>2537.96</v>
          </cell>
        </row>
        <row r="43">
          <cell r="D43">
            <v>2736.35</v>
          </cell>
        </row>
        <row r="44">
          <cell r="D44">
            <v>2884.17</v>
          </cell>
        </row>
        <row r="45">
          <cell r="D45">
            <v>3002.49</v>
          </cell>
        </row>
        <row r="46">
          <cell r="D46">
            <v>2968.39</v>
          </cell>
        </row>
        <row r="47">
          <cell r="D47">
            <v>3058.12</v>
          </cell>
        </row>
        <row r="48">
          <cell r="D48">
            <v>3082.73</v>
          </cell>
        </row>
        <row r="49">
          <cell r="D49">
            <v>3013.17</v>
          </cell>
        </row>
        <row r="50">
          <cell r="D50">
            <v>2964.9</v>
          </cell>
        </row>
        <row r="51">
          <cell r="D51">
            <v>2990.5</v>
          </cell>
        </row>
        <row r="52">
          <cell r="D52">
            <v>2801.7</v>
          </cell>
        </row>
        <row r="53">
          <cell r="D53">
            <v>2798.45</v>
          </cell>
        </row>
        <row r="54">
          <cell r="D54">
            <v>3019.16</v>
          </cell>
        </row>
        <row r="55">
          <cell r="D55">
            <v>3035.26</v>
          </cell>
        </row>
        <row r="56">
          <cell r="D56">
            <v>3084.92</v>
          </cell>
        </row>
        <row r="57">
          <cell r="D57">
            <v>2974.29</v>
          </cell>
        </row>
        <row r="58">
          <cell r="D58">
            <v>2840.18</v>
          </cell>
        </row>
        <row r="59">
          <cell r="D59">
            <v>2635.51</v>
          </cell>
        </row>
        <row r="60">
          <cell r="D60">
            <v>2439.11</v>
          </cell>
        </row>
        <row r="61">
          <cell r="D61">
            <v>2315.12</v>
          </cell>
        </row>
        <row r="62">
          <cell r="D62">
            <v>2144.04</v>
          </cell>
        </row>
        <row r="63">
          <cell r="D63">
            <v>1968.73</v>
          </cell>
        </row>
        <row r="64">
          <cell r="D64">
            <v>1530.42</v>
          </cell>
        </row>
        <row r="65">
          <cell r="D65">
            <v>1199.78</v>
          </cell>
        </row>
        <row r="66">
          <cell r="D66">
            <v>918.08</v>
          </cell>
        </row>
        <row r="67">
          <cell r="D67">
            <v>840.35</v>
          </cell>
        </row>
        <row r="68">
          <cell r="D68">
            <v>686.21</v>
          </cell>
        </row>
        <row r="69">
          <cell r="D69">
            <v>570.69</v>
          </cell>
        </row>
        <row r="70">
          <cell r="D70">
            <v>351.78</v>
          </cell>
        </row>
        <row r="71">
          <cell r="D71">
            <v>190.83</v>
          </cell>
        </row>
        <row r="72">
          <cell r="D72">
            <v>81.15</v>
          </cell>
        </row>
        <row r="73">
          <cell r="D73">
            <v>20.85</v>
          </cell>
        </row>
        <row r="74">
          <cell r="D74">
            <v>5.44</v>
          </cell>
        </row>
        <row r="75">
          <cell r="D75">
            <v>3.2</v>
          </cell>
        </row>
        <row r="76">
          <cell r="D76">
            <v>0.31</v>
          </cell>
        </row>
        <row r="77">
          <cell r="D77">
            <v>0.09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520.33</v>
          </cell>
        </row>
        <row r="6">
          <cell r="C6">
            <v>520.37</v>
          </cell>
        </row>
        <row r="7">
          <cell r="C7">
            <v>520.37</v>
          </cell>
        </row>
        <row r="8">
          <cell r="C8">
            <v>520.37</v>
          </cell>
        </row>
        <row r="9">
          <cell r="C9">
            <v>520.37</v>
          </cell>
        </row>
        <row r="10">
          <cell r="C10">
            <v>520.37</v>
          </cell>
        </row>
        <row r="11">
          <cell r="C11">
            <v>510.11</v>
          </cell>
        </row>
        <row r="12">
          <cell r="C12">
            <v>495.69</v>
          </cell>
        </row>
        <row r="13">
          <cell r="C13">
            <v>495.69</v>
          </cell>
        </row>
        <row r="14">
          <cell r="C14">
            <v>495.69</v>
          </cell>
        </row>
        <row r="15">
          <cell r="C15">
            <v>495.69</v>
          </cell>
        </row>
        <row r="16">
          <cell r="C16">
            <v>495.69</v>
          </cell>
        </row>
        <row r="17">
          <cell r="C17">
            <v>493.75</v>
          </cell>
        </row>
        <row r="18">
          <cell r="C18">
            <v>493.75</v>
          </cell>
        </row>
        <row r="19">
          <cell r="C19">
            <v>515.37</v>
          </cell>
        </row>
        <row r="20">
          <cell r="C20">
            <v>515.37</v>
          </cell>
        </row>
        <row r="21">
          <cell r="C21">
            <v>520.37</v>
          </cell>
        </row>
        <row r="22">
          <cell r="C22">
            <v>520.37</v>
          </cell>
        </row>
        <row r="23">
          <cell r="C23">
            <v>895.34</v>
          </cell>
        </row>
        <row r="24">
          <cell r="C24">
            <v>940.18</v>
          </cell>
        </row>
        <row r="25">
          <cell r="C25">
            <v>1143.27</v>
          </cell>
        </row>
        <row r="26">
          <cell r="C26">
            <v>1186.8</v>
          </cell>
        </row>
        <row r="27">
          <cell r="C27">
            <v>1385.66</v>
          </cell>
        </row>
        <row r="28">
          <cell r="C28">
            <v>1429.91</v>
          </cell>
        </row>
        <row r="29">
          <cell r="C29">
            <v>1517.79</v>
          </cell>
        </row>
        <row r="30">
          <cell r="C30">
            <v>1543.36</v>
          </cell>
        </row>
        <row r="31">
          <cell r="C31">
            <v>1543.36</v>
          </cell>
        </row>
        <row r="32">
          <cell r="C32">
            <v>1543.36</v>
          </cell>
        </row>
        <row r="33">
          <cell r="C33">
            <v>1541.92</v>
          </cell>
        </row>
        <row r="34">
          <cell r="C34">
            <v>1541.92</v>
          </cell>
        </row>
        <row r="35">
          <cell r="C35">
            <v>1544.61</v>
          </cell>
        </row>
        <row r="36">
          <cell r="C36">
            <v>1548.25</v>
          </cell>
        </row>
        <row r="37">
          <cell r="C37">
            <v>1551.74</v>
          </cell>
        </row>
        <row r="38">
          <cell r="C38">
            <v>1552.43</v>
          </cell>
        </row>
        <row r="39">
          <cell r="C39">
            <v>1552.86</v>
          </cell>
        </row>
        <row r="40">
          <cell r="C40">
            <v>1552.87</v>
          </cell>
        </row>
        <row r="41">
          <cell r="C41">
            <v>1553.14</v>
          </cell>
        </row>
        <row r="42">
          <cell r="C42">
            <v>1553.18</v>
          </cell>
        </row>
        <row r="43">
          <cell r="C43">
            <v>1553.18</v>
          </cell>
        </row>
        <row r="44">
          <cell r="C44">
            <v>1554.7</v>
          </cell>
        </row>
        <row r="45">
          <cell r="C45">
            <v>1554.79</v>
          </cell>
        </row>
        <row r="46">
          <cell r="C46">
            <v>1557.27</v>
          </cell>
        </row>
        <row r="47">
          <cell r="C47">
            <v>1557.49</v>
          </cell>
        </row>
        <row r="48">
          <cell r="C48">
            <v>1557.49</v>
          </cell>
        </row>
        <row r="49">
          <cell r="C49">
            <v>1406.3</v>
          </cell>
        </row>
        <row r="50">
          <cell r="C50">
            <v>1330.12</v>
          </cell>
        </row>
        <row r="51">
          <cell r="C51">
            <v>1206.39</v>
          </cell>
        </row>
        <row r="52">
          <cell r="C52">
            <v>1206.39</v>
          </cell>
        </row>
        <row r="53">
          <cell r="C53">
            <v>1206.39</v>
          </cell>
        </row>
        <row r="54">
          <cell r="C54">
            <v>1206.39</v>
          </cell>
        </row>
        <row r="55">
          <cell r="C55">
            <v>1205.56</v>
          </cell>
        </row>
        <row r="56">
          <cell r="C56">
            <v>846.56</v>
          </cell>
        </row>
        <row r="57">
          <cell r="C57">
            <v>615.92</v>
          </cell>
        </row>
        <row r="58">
          <cell r="C58">
            <v>519.54</v>
          </cell>
        </row>
        <row r="59">
          <cell r="C59">
            <v>631.31</v>
          </cell>
        </row>
        <row r="60">
          <cell r="C60">
            <v>837.15</v>
          </cell>
        </row>
        <row r="61">
          <cell r="C61">
            <v>1141.75</v>
          </cell>
        </row>
        <row r="62">
          <cell r="C62">
            <v>1202.46</v>
          </cell>
        </row>
        <row r="63">
          <cell r="C63">
            <v>1273.85</v>
          </cell>
        </row>
        <row r="64">
          <cell r="C64">
            <v>1551.66</v>
          </cell>
        </row>
        <row r="65">
          <cell r="C65">
            <v>1530.31</v>
          </cell>
        </row>
        <row r="66">
          <cell r="C66">
            <v>1452.16</v>
          </cell>
        </row>
        <row r="67">
          <cell r="C67">
            <v>1464.31</v>
          </cell>
        </row>
        <row r="68">
          <cell r="C68">
            <v>1448.31</v>
          </cell>
        </row>
        <row r="69">
          <cell r="C69">
            <v>1465.88</v>
          </cell>
        </row>
        <row r="70">
          <cell r="C70">
            <v>1451.16</v>
          </cell>
        </row>
        <row r="71">
          <cell r="C71">
            <v>1451.16</v>
          </cell>
        </row>
        <row r="72">
          <cell r="C72">
            <v>1451.16</v>
          </cell>
        </row>
        <row r="73">
          <cell r="C73">
            <v>1551.66</v>
          </cell>
        </row>
        <row r="74">
          <cell r="C74">
            <v>1551.66</v>
          </cell>
        </row>
        <row r="75">
          <cell r="C75">
            <v>1551.66</v>
          </cell>
        </row>
        <row r="76">
          <cell r="C76">
            <v>1551.66</v>
          </cell>
        </row>
        <row r="77">
          <cell r="C77">
            <v>1551.66</v>
          </cell>
        </row>
        <row r="78">
          <cell r="C78">
            <v>1551.66</v>
          </cell>
        </row>
        <row r="79">
          <cell r="C79">
            <v>1551.66</v>
          </cell>
        </row>
        <row r="80">
          <cell r="C80">
            <v>1551.66</v>
          </cell>
        </row>
        <row r="81">
          <cell r="C81">
            <v>1553.13</v>
          </cell>
        </row>
        <row r="82">
          <cell r="C82">
            <v>1553.3</v>
          </cell>
        </row>
        <row r="83">
          <cell r="C83">
            <v>1553.3</v>
          </cell>
        </row>
        <row r="84">
          <cell r="C84">
            <v>1553.3</v>
          </cell>
        </row>
        <row r="85">
          <cell r="C85">
            <v>1553.3</v>
          </cell>
        </row>
        <row r="86">
          <cell r="C86">
            <v>1553.3</v>
          </cell>
        </row>
        <row r="87">
          <cell r="C87">
            <v>1471.26</v>
          </cell>
        </row>
        <row r="88">
          <cell r="C88">
            <v>1430.69</v>
          </cell>
        </row>
        <row r="89">
          <cell r="C89">
            <v>1430.69</v>
          </cell>
        </row>
        <row r="90">
          <cell r="C90">
            <v>1430.69</v>
          </cell>
        </row>
        <row r="91">
          <cell r="C91">
            <v>1439.04</v>
          </cell>
        </row>
        <row r="92">
          <cell r="C92">
            <v>1294.4</v>
          </cell>
        </row>
        <row r="93">
          <cell r="C93">
            <v>1203.36</v>
          </cell>
        </row>
        <row r="94">
          <cell r="C94">
            <v>1145.81</v>
          </cell>
        </row>
        <row r="95">
          <cell r="C95">
            <v>1145.81</v>
          </cell>
        </row>
        <row r="96">
          <cell r="C96">
            <v>1143.8</v>
          </cell>
        </row>
        <row r="97">
          <cell r="C97">
            <v>935.74</v>
          </cell>
        </row>
        <row r="98">
          <cell r="C98">
            <v>649.48</v>
          </cell>
        </row>
        <row r="99">
          <cell r="C99">
            <v>521.59</v>
          </cell>
        </row>
        <row r="100">
          <cell r="C100">
            <v>521.59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2">
          <cell r="G12">
            <v>761.51</v>
          </cell>
        </row>
        <row r="13">
          <cell r="G13">
            <v>856.7</v>
          </cell>
        </row>
        <row r="14">
          <cell r="G14">
            <v>1047.08</v>
          </cell>
        </row>
        <row r="15">
          <cell r="G15">
            <v>951.89</v>
          </cell>
        </row>
        <row r="16">
          <cell r="G16">
            <v>856.68</v>
          </cell>
        </row>
        <row r="17">
          <cell r="G17">
            <v>761.48</v>
          </cell>
        </row>
        <row r="18">
          <cell r="G18">
            <v>856.68</v>
          </cell>
        </row>
        <row r="19">
          <cell r="G19">
            <v>856.67</v>
          </cell>
        </row>
        <row r="20">
          <cell r="G20">
            <v>951.86</v>
          </cell>
        </row>
        <row r="21">
          <cell r="G21">
            <v>951.86</v>
          </cell>
        </row>
        <row r="22">
          <cell r="G22">
            <v>951.86</v>
          </cell>
        </row>
        <row r="23">
          <cell r="G23">
            <v>951.85</v>
          </cell>
        </row>
        <row r="24">
          <cell r="G24">
            <v>1047.05</v>
          </cell>
        </row>
        <row r="25">
          <cell r="G25">
            <v>1142.24</v>
          </cell>
        </row>
        <row r="26">
          <cell r="G26">
            <v>1047.06</v>
          </cell>
        </row>
        <row r="27">
          <cell r="G27">
            <v>1047.06</v>
          </cell>
        </row>
        <row r="28">
          <cell r="G28">
            <v>1047.06</v>
          </cell>
        </row>
        <row r="29">
          <cell r="G29">
            <v>1142.27</v>
          </cell>
        </row>
        <row r="30">
          <cell r="G30">
            <v>1142.28</v>
          </cell>
        </row>
        <row r="31">
          <cell r="G31">
            <v>1142.28</v>
          </cell>
        </row>
        <row r="32">
          <cell r="G32">
            <v>970.93</v>
          </cell>
        </row>
        <row r="33">
          <cell r="G33">
            <v>894.78</v>
          </cell>
        </row>
        <row r="34">
          <cell r="G34">
            <v>609.22</v>
          </cell>
        </row>
        <row r="35">
          <cell r="G35">
            <v>281.14</v>
          </cell>
        </row>
        <row r="36">
          <cell r="G36">
            <v>380.71</v>
          </cell>
        </row>
        <row r="37">
          <cell r="G37">
            <v>190.37</v>
          </cell>
        </row>
        <row r="38">
          <cell r="G38">
            <v>277.46</v>
          </cell>
        </row>
        <row r="39">
          <cell r="G39">
            <v>463.94</v>
          </cell>
        </row>
        <row r="40">
          <cell r="G40">
            <v>281.65</v>
          </cell>
        </row>
        <row r="41">
          <cell r="G41">
            <v>373.62</v>
          </cell>
        </row>
        <row r="42">
          <cell r="G42">
            <v>257.93</v>
          </cell>
        </row>
        <row r="43">
          <cell r="G43">
            <v>156.74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95.19</v>
          </cell>
        </row>
        <row r="49">
          <cell r="G49">
            <v>91.79</v>
          </cell>
        </row>
        <row r="50">
          <cell r="G50">
            <v>190.38</v>
          </cell>
        </row>
        <row r="51">
          <cell r="G51">
            <v>95.18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285.56</v>
          </cell>
        </row>
        <row r="63">
          <cell r="G63">
            <v>571.13</v>
          </cell>
        </row>
        <row r="64">
          <cell r="G64">
            <v>761.5</v>
          </cell>
        </row>
        <row r="65">
          <cell r="G65">
            <v>951.89</v>
          </cell>
        </row>
        <row r="66">
          <cell r="G66">
            <v>571.12</v>
          </cell>
        </row>
        <row r="67">
          <cell r="G67">
            <v>666.31</v>
          </cell>
        </row>
        <row r="68">
          <cell r="G68">
            <v>380.74</v>
          </cell>
        </row>
        <row r="69">
          <cell r="G69">
            <v>475.93</v>
          </cell>
        </row>
        <row r="70">
          <cell r="G70">
            <v>571.13</v>
          </cell>
        </row>
        <row r="71">
          <cell r="G71">
            <v>571.13</v>
          </cell>
        </row>
        <row r="72">
          <cell r="G72">
            <v>285.55</v>
          </cell>
        </row>
        <row r="73">
          <cell r="G73">
            <v>380.75</v>
          </cell>
        </row>
        <row r="74">
          <cell r="G74">
            <v>666.32</v>
          </cell>
        </row>
        <row r="75">
          <cell r="G75">
            <v>761.51</v>
          </cell>
        </row>
        <row r="76">
          <cell r="G76">
            <v>190.35</v>
          </cell>
        </row>
        <row r="77">
          <cell r="G77">
            <v>380.74</v>
          </cell>
        </row>
        <row r="78">
          <cell r="G78">
            <v>761.5</v>
          </cell>
        </row>
        <row r="79">
          <cell r="G79">
            <v>666.33</v>
          </cell>
        </row>
        <row r="80">
          <cell r="G80">
            <v>187.66</v>
          </cell>
        </row>
        <row r="81">
          <cell r="G81">
            <v>280.81</v>
          </cell>
        </row>
        <row r="82">
          <cell r="G82">
            <v>53.65</v>
          </cell>
        </row>
        <row r="83">
          <cell r="G83">
            <v>53.53</v>
          </cell>
        </row>
        <row r="84">
          <cell r="G84">
            <v>-200</v>
          </cell>
        </row>
        <row r="85">
          <cell r="G85">
            <v>-100</v>
          </cell>
        </row>
        <row r="86">
          <cell r="G86">
            <v>-200</v>
          </cell>
        </row>
        <row r="87">
          <cell r="G87">
            <v>-200</v>
          </cell>
        </row>
        <row r="88">
          <cell r="G88">
            <v>-300</v>
          </cell>
        </row>
        <row r="89">
          <cell r="G89">
            <v>-300</v>
          </cell>
        </row>
        <row r="90">
          <cell r="G90">
            <v>-200</v>
          </cell>
        </row>
        <row r="91">
          <cell r="G91">
            <v>-300</v>
          </cell>
        </row>
        <row r="92">
          <cell r="G92">
            <v>-300</v>
          </cell>
        </row>
        <row r="93">
          <cell r="G93">
            <v>-300</v>
          </cell>
        </row>
        <row r="94">
          <cell r="G94">
            <v>-500</v>
          </cell>
        </row>
        <row r="95">
          <cell r="G95">
            <v>-600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190.33</v>
          </cell>
        </row>
        <row r="105">
          <cell r="G105">
            <v>475.91</v>
          </cell>
        </row>
        <row r="106">
          <cell r="G106">
            <v>666.29</v>
          </cell>
        </row>
        <row r="107">
          <cell r="G107">
            <v>571.1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190.37</v>
          </cell>
        </row>
        <row r="33">
          <cell r="G33">
            <v>285.56</v>
          </cell>
        </row>
        <row r="34">
          <cell r="G34">
            <v>380.75</v>
          </cell>
        </row>
        <row r="35">
          <cell r="G35">
            <v>571.16</v>
          </cell>
        </row>
        <row r="36">
          <cell r="G36">
            <v>1142.29</v>
          </cell>
        </row>
        <row r="37">
          <cell r="G37">
            <v>1332.66</v>
          </cell>
        </row>
        <row r="38">
          <cell r="G38">
            <v>1332.66</v>
          </cell>
        </row>
        <row r="39">
          <cell r="G39">
            <v>1237.47</v>
          </cell>
        </row>
        <row r="40">
          <cell r="G40">
            <v>1279.99</v>
          </cell>
        </row>
        <row r="41">
          <cell r="G41">
            <v>1188.56</v>
          </cell>
        </row>
        <row r="42">
          <cell r="G42">
            <v>1142.28</v>
          </cell>
        </row>
        <row r="43">
          <cell r="G43">
            <v>1142.28</v>
          </cell>
        </row>
        <row r="44">
          <cell r="G44">
            <v>1244.69</v>
          </cell>
        </row>
        <row r="45">
          <cell r="G45">
            <v>1303.57</v>
          </cell>
        </row>
        <row r="46">
          <cell r="G46">
            <v>1315.34</v>
          </cell>
        </row>
        <row r="47">
          <cell r="G47">
            <v>1618.23</v>
          </cell>
        </row>
        <row r="48">
          <cell r="G48">
            <v>1618.23</v>
          </cell>
        </row>
        <row r="49">
          <cell r="G49">
            <v>1427.85</v>
          </cell>
        </row>
        <row r="50">
          <cell r="G50">
            <v>1237.47</v>
          </cell>
        </row>
        <row r="51">
          <cell r="G51">
            <v>856.71</v>
          </cell>
        </row>
        <row r="52">
          <cell r="G52">
            <v>666.33</v>
          </cell>
        </row>
        <row r="53">
          <cell r="G53">
            <v>190.38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190.36</v>
          </cell>
        </row>
        <row r="74">
          <cell r="G74">
            <v>285.56</v>
          </cell>
        </row>
        <row r="75">
          <cell r="G75">
            <v>285.56</v>
          </cell>
        </row>
        <row r="76">
          <cell r="G76">
            <v>285.56</v>
          </cell>
        </row>
        <row r="77">
          <cell r="G77">
            <v>285.56</v>
          </cell>
        </row>
        <row r="78">
          <cell r="G78">
            <v>285.56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-100</v>
          </cell>
        </row>
        <row r="94">
          <cell r="G94">
            <v>-200</v>
          </cell>
        </row>
        <row r="95">
          <cell r="G95">
            <v>-400</v>
          </cell>
        </row>
        <row r="96">
          <cell r="G96">
            <v>-400</v>
          </cell>
        </row>
        <row r="97">
          <cell r="G97">
            <v>-400</v>
          </cell>
        </row>
        <row r="98">
          <cell r="G98">
            <v>-273.7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50.04</v>
          </cell>
          <cell r="D4">
            <v>163.26</v>
          </cell>
        </row>
        <row r="5">
          <cell r="C5">
            <v>50.03</v>
          </cell>
          <cell r="D5">
            <v>-3.72</v>
          </cell>
        </row>
        <row r="6">
          <cell r="A6">
            <v>46034.0208333333</v>
          </cell>
        </row>
        <row r="6">
          <cell r="C6">
            <v>50.01</v>
          </cell>
          <cell r="D6">
            <v>-129.29</v>
          </cell>
        </row>
        <row r="7">
          <cell r="C7">
            <v>50.01</v>
          </cell>
          <cell r="D7">
            <v>-31.77</v>
          </cell>
        </row>
        <row r="8">
          <cell r="C8">
            <v>50.01</v>
          </cell>
          <cell r="D8">
            <v>-130.85</v>
          </cell>
        </row>
        <row r="9">
          <cell r="C9">
            <v>50.01</v>
          </cell>
          <cell r="D9">
            <v>-27.25</v>
          </cell>
        </row>
        <row r="10">
          <cell r="C10">
            <v>50.02</v>
          </cell>
          <cell r="D10">
            <v>-10.79</v>
          </cell>
        </row>
        <row r="11">
          <cell r="C11">
            <v>50.03</v>
          </cell>
          <cell r="D11">
            <v>66.22</v>
          </cell>
        </row>
        <row r="12">
          <cell r="C12">
            <v>50.02</v>
          </cell>
          <cell r="D12">
            <v>-79.6</v>
          </cell>
        </row>
        <row r="13">
          <cell r="C13">
            <v>49.99</v>
          </cell>
          <cell r="D13">
            <v>-33.92</v>
          </cell>
        </row>
        <row r="14">
          <cell r="C14">
            <v>50</v>
          </cell>
          <cell r="D14">
            <v>24.62</v>
          </cell>
        </row>
        <row r="15">
          <cell r="C15">
            <v>49.98</v>
          </cell>
          <cell r="D15">
            <v>39.24</v>
          </cell>
        </row>
        <row r="16">
          <cell r="C16">
            <v>49.97</v>
          </cell>
          <cell r="D16">
            <v>44.96</v>
          </cell>
        </row>
        <row r="17">
          <cell r="C17">
            <v>49.97</v>
          </cell>
          <cell r="D17">
            <v>-6.18</v>
          </cell>
        </row>
        <row r="18">
          <cell r="C18">
            <v>49.98</v>
          </cell>
          <cell r="D18">
            <v>45.05</v>
          </cell>
        </row>
        <row r="19">
          <cell r="C19">
            <v>50</v>
          </cell>
          <cell r="D19">
            <v>90.69</v>
          </cell>
        </row>
        <row r="20">
          <cell r="C20">
            <v>50</v>
          </cell>
          <cell r="D20">
            <v>136.39</v>
          </cell>
        </row>
        <row r="21">
          <cell r="C21">
            <v>50.02</v>
          </cell>
          <cell r="D21">
            <v>167.45</v>
          </cell>
        </row>
        <row r="22">
          <cell r="C22">
            <v>50.03</v>
          </cell>
          <cell r="D22">
            <v>-162.93</v>
          </cell>
        </row>
        <row r="23">
          <cell r="C23">
            <v>50.03</v>
          </cell>
          <cell r="D23">
            <v>-93.64</v>
          </cell>
        </row>
        <row r="24">
          <cell r="C24">
            <v>50.01</v>
          </cell>
          <cell r="D24">
            <v>104.22</v>
          </cell>
        </row>
        <row r="25">
          <cell r="C25">
            <v>50</v>
          </cell>
          <cell r="D25">
            <v>67.45</v>
          </cell>
        </row>
        <row r="26">
          <cell r="C26">
            <v>50.02</v>
          </cell>
          <cell r="D26">
            <v>-34.47</v>
          </cell>
        </row>
        <row r="27">
          <cell r="C27">
            <v>50.04</v>
          </cell>
          <cell r="D27">
            <v>132.33</v>
          </cell>
        </row>
        <row r="28">
          <cell r="C28">
            <v>50.08</v>
          </cell>
          <cell r="D28">
            <v>-319.39</v>
          </cell>
        </row>
        <row r="29">
          <cell r="C29">
            <v>50.03</v>
          </cell>
          <cell r="D29">
            <v>-440.29</v>
          </cell>
        </row>
        <row r="30">
          <cell r="C30">
            <v>50.02</v>
          </cell>
          <cell r="D30">
            <v>-499.45</v>
          </cell>
        </row>
        <row r="31">
          <cell r="C31">
            <v>50.04</v>
          </cell>
          <cell r="D31">
            <v>-503.9</v>
          </cell>
        </row>
        <row r="32">
          <cell r="C32">
            <v>50.05</v>
          </cell>
          <cell r="D32">
            <v>-330.06</v>
          </cell>
        </row>
        <row r="33">
          <cell r="C33">
            <v>49.98</v>
          </cell>
          <cell r="D33">
            <v>-271.8</v>
          </cell>
        </row>
        <row r="34">
          <cell r="C34">
            <v>50</v>
          </cell>
          <cell r="D34">
            <v>-66.37</v>
          </cell>
        </row>
        <row r="35">
          <cell r="C35">
            <v>50.07</v>
          </cell>
          <cell r="D35">
            <v>-172.4</v>
          </cell>
        </row>
        <row r="36">
          <cell r="C36">
            <v>50.06</v>
          </cell>
          <cell r="D36">
            <v>151.77</v>
          </cell>
        </row>
        <row r="37">
          <cell r="C37">
            <v>50.1</v>
          </cell>
          <cell r="D37">
            <v>152.19</v>
          </cell>
        </row>
        <row r="38">
          <cell r="C38">
            <v>50.18</v>
          </cell>
          <cell r="D38">
            <v>53.42</v>
          </cell>
        </row>
        <row r="39">
          <cell r="C39">
            <v>50.25</v>
          </cell>
          <cell r="D39">
            <v>56.32</v>
          </cell>
        </row>
        <row r="40">
          <cell r="C40">
            <v>50.22</v>
          </cell>
          <cell r="D40">
            <v>23.81</v>
          </cell>
        </row>
        <row r="41">
          <cell r="C41">
            <v>50.09</v>
          </cell>
          <cell r="D41">
            <v>-323.5</v>
          </cell>
        </row>
        <row r="42">
          <cell r="C42">
            <v>50.08</v>
          </cell>
          <cell r="D42">
            <v>-647.5</v>
          </cell>
        </row>
        <row r="43">
          <cell r="C43">
            <v>50.03</v>
          </cell>
          <cell r="D43">
            <v>-499.9</v>
          </cell>
        </row>
        <row r="44">
          <cell r="C44">
            <v>49.93</v>
          </cell>
          <cell r="D44">
            <v>-408.66</v>
          </cell>
        </row>
        <row r="45">
          <cell r="C45">
            <v>49.83</v>
          </cell>
          <cell r="D45">
            <v>-499.63</v>
          </cell>
        </row>
        <row r="46">
          <cell r="C46">
            <v>49.76</v>
          </cell>
          <cell r="D46">
            <v>-421.34</v>
          </cell>
        </row>
        <row r="47">
          <cell r="C47">
            <v>49.95</v>
          </cell>
          <cell r="D47">
            <v>-421.06</v>
          </cell>
        </row>
        <row r="48">
          <cell r="C48">
            <v>49.99</v>
          </cell>
          <cell r="D48">
            <v>-238.93</v>
          </cell>
        </row>
        <row r="49">
          <cell r="C49">
            <v>49.97</v>
          </cell>
          <cell r="D49">
            <v>-52.66</v>
          </cell>
        </row>
        <row r="50">
          <cell r="C50">
            <v>49.99</v>
          </cell>
          <cell r="D50">
            <v>221.32</v>
          </cell>
        </row>
        <row r="51">
          <cell r="C51">
            <v>50.03</v>
          </cell>
          <cell r="D51">
            <v>374.03</v>
          </cell>
        </row>
        <row r="52">
          <cell r="C52">
            <v>50.04</v>
          </cell>
          <cell r="D52">
            <v>339.61</v>
          </cell>
        </row>
        <row r="53">
          <cell r="C53">
            <v>50.01</v>
          </cell>
          <cell r="D53">
            <v>263.84</v>
          </cell>
        </row>
        <row r="54">
          <cell r="C54">
            <v>50.01</v>
          </cell>
          <cell r="D54">
            <v>151.29</v>
          </cell>
        </row>
        <row r="55">
          <cell r="C55">
            <v>50.01</v>
          </cell>
          <cell r="D55">
            <v>222.52</v>
          </cell>
        </row>
        <row r="56">
          <cell r="C56">
            <v>50.08</v>
          </cell>
          <cell r="D56">
            <v>-152.49</v>
          </cell>
        </row>
        <row r="57">
          <cell r="C57">
            <v>50.02</v>
          </cell>
          <cell r="D57">
            <v>-244.68</v>
          </cell>
        </row>
        <row r="58">
          <cell r="C58">
            <v>50.01</v>
          </cell>
          <cell r="D58">
            <v>4.6</v>
          </cell>
        </row>
        <row r="59">
          <cell r="C59">
            <v>50.04</v>
          </cell>
          <cell r="D59">
            <v>-99.36</v>
          </cell>
        </row>
        <row r="60">
          <cell r="C60">
            <v>50.09</v>
          </cell>
          <cell r="D60">
            <v>-13.99</v>
          </cell>
        </row>
        <row r="61">
          <cell r="C61">
            <v>50.04</v>
          </cell>
          <cell r="D61">
            <v>243.31</v>
          </cell>
        </row>
        <row r="62">
          <cell r="C62">
            <v>50.01</v>
          </cell>
          <cell r="D62">
            <v>413.68</v>
          </cell>
        </row>
        <row r="63">
          <cell r="C63">
            <v>49.99</v>
          </cell>
          <cell r="D63">
            <v>117.32</v>
          </cell>
        </row>
        <row r="64">
          <cell r="C64">
            <v>50.04</v>
          </cell>
          <cell r="D64">
            <v>-43.6</v>
          </cell>
        </row>
        <row r="65">
          <cell r="C65">
            <v>50</v>
          </cell>
          <cell r="D65">
            <v>75.01</v>
          </cell>
        </row>
        <row r="66">
          <cell r="C66">
            <v>49.99</v>
          </cell>
          <cell r="D66">
            <v>-19.65</v>
          </cell>
        </row>
        <row r="67">
          <cell r="C67">
            <v>49.99</v>
          </cell>
          <cell r="D67">
            <v>-32.18</v>
          </cell>
        </row>
        <row r="68">
          <cell r="C68">
            <v>45.96</v>
          </cell>
          <cell r="D68">
            <v>59.55</v>
          </cell>
        </row>
        <row r="69">
          <cell r="C69">
            <v>50.07</v>
          </cell>
          <cell r="D69">
            <v>-63.02</v>
          </cell>
        </row>
        <row r="70">
          <cell r="C70">
            <v>50.11</v>
          </cell>
          <cell r="D70">
            <v>-329.7</v>
          </cell>
        </row>
        <row r="71">
          <cell r="C71">
            <v>50.05</v>
          </cell>
          <cell r="D71">
            <v>157.34</v>
          </cell>
        </row>
        <row r="72">
          <cell r="C72">
            <v>50.13</v>
          </cell>
          <cell r="D72">
            <v>-62.61</v>
          </cell>
        </row>
        <row r="73">
          <cell r="C73">
            <v>50.07</v>
          </cell>
          <cell r="D73">
            <v>-212.17</v>
          </cell>
        </row>
        <row r="74">
          <cell r="C74">
            <v>50</v>
          </cell>
          <cell r="D74">
            <v>-279.2</v>
          </cell>
        </row>
        <row r="75">
          <cell r="C75">
            <v>49.92</v>
          </cell>
          <cell r="D75">
            <v>-122.23</v>
          </cell>
        </row>
        <row r="76">
          <cell r="C76">
            <v>50.01</v>
          </cell>
          <cell r="D76">
            <v>-216.33</v>
          </cell>
        </row>
        <row r="77">
          <cell r="C77">
            <v>49.96</v>
          </cell>
          <cell r="D77">
            <v>-190.71</v>
          </cell>
        </row>
        <row r="78">
          <cell r="C78">
            <v>50.03</v>
          </cell>
          <cell r="D78">
            <v>3.69</v>
          </cell>
        </row>
        <row r="79">
          <cell r="C79">
            <v>50.02</v>
          </cell>
          <cell r="D79">
            <v>-14.02</v>
          </cell>
        </row>
        <row r="80">
          <cell r="C80">
            <v>50.01</v>
          </cell>
          <cell r="D80">
            <v>-123.27</v>
          </cell>
        </row>
        <row r="81">
          <cell r="C81">
            <v>50.03</v>
          </cell>
          <cell r="D81">
            <v>-350.88</v>
          </cell>
        </row>
        <row r="82">
          <cell r="C82">
            <v>50.05</v>
          </cell>
          <cell r="D82">
            <v>-181.01</v>
          </cell>
        </row>
        <row r="83">
          <cell r="C83">
            <v>50.07</v>
          </cell>
          <cell r="D83">
            <v>-87.33</v>
          </cell>
        </row>
        <row r="84">
          <cell r="C84">
            <v>50.07</v>
          </cell>
          <cell r="D84">
            <v>-186.96</v>
          </cell>
        </row>
        <row r="85">
          <cell r="C85">
            <v>50.03</v>
          </cell>
          <cell r="D85">
            <v>-263.27</v>
          </cell>
        </row>
        <row r="86">
          <cell r="C86">
            <v>50.01</v>
          </cell>
          <cell r="D86">
            <v>-40.18</v>
          </cell>
        </row>
        <row r="87">
          <cell r="C87">
            <v>50</v>
          </cell>
          <cell r="D87">
            <v>139.14</v>
          </cell>
        </row>
        <row r="88">
          <cell r="C88">
            <v>50.01</v>
          </cell>
          <cell r="D88">
            <v>-114.7</v>
          </cell>
        </row>
        <row r="89">
          <cell r="C89">
            <v>50.03</v>
          </cell>
          <cell r="D89">
            <v>-210.55</v>
          </cell>
        </row>
        <row r="90">
          <cell r="C90">
            <v>50</v>
          </cell>
          <cell r="D90">
            <v>-258.25</v>
          </cell>
        </row>
        <row r="91">
          <cell r="C91">
            <v>50.04</v>
          </cell>
          <cell r="D91">
            <v>-199.57</v>
          </cell>
        </row>
        <row r="92">
          <cell r="C92">
            <v>49.98</v>
          </cell>
          <cell r="D92">
            <v>-29.49</v>
          </cell>
        </row>
        <row r="93">
          <cell r="C93">
            <v>49.99</v>
          </cell>
          <cell r="D93">
            <v>10.38</v>
          </cell>
        </row>
        <row r="94">
          <cell r="C94">
            <v>50.04</v>
          </cell>
          <cell r="D94">
            <v>-103.63</v>
          </cell>
        </row>
        <row r="95">
          <cell r="C95">
            <v>50.06</v>
          </cell>
          <cell r="D95">
            <v>-269.5</v>
          </cell>
        </row>
        <row r="96">
          <cell r="C96">
            <v>50.06</v>
          </cell>
          <cell r="D96">
            <v>-38.62</v>
          </cell>
        </row>
        <row r="97">
          <cell r="C97">
            <v>50.05</v>
          </cell>
          <cell r="D97">
            <v>4.27</v>
          </cell>
        </row>
        <row r="98">
          <cell r="C98">
            <v>50.03</v>
          </cell>
          <cell r="D98">
            <v>-160.02</v>
          </cell>
        </row>
        <row r="99">
          <cell r="C99">
            <v>50.03</v>
          </cell>
          <cell r="D99">
            <v>-170.41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view="pageBreakPreview" zoomScale="80" zoomScaleNormal="85" workbookViewId="0">
      <pane ySplit="2" topLeftCell="A3" activePane="bottomLeft" state="frozen"/>
      <selection/>
      <selection pane="bottomLeft" activeCell="G90" sqref="G90"/>
    </sheetView>
  </sheetViews>
  <sheetFormatPr defaultColWidth="9.1047619047619" defaultRowHeight="25.5" customHeight="1"/>
  <cols>
    <col min="1" max="1" width="11.3333333333333" style="317" customWidth="1"/>
    <col min="2" max="2" width="21.6666666666667" style="319" customWidth="1"/>
    <col min="3" max="3" width="19" style="320" customWidth="1"/>
    <col min="4" max="4" width="20.3333333333333" style="321" customWidth="1"/>
    <col min="5" max="5" width="20.2190476190476" style="317" customWidth="1"/>
    <col min="6" max="6" width="20.3333333333333" style="317" customWidth="1"/>
    <col min="7" max="7" width="24.2190476190476" style="321" customWidth="1"/>
    <col min="8" max="8" width="20.1047619047619" style="321" customWidth="1"/>
    <col min="9" max="9" width="12.6666666666667" style="317" customWidth="1"/>
    <col min="10" max="10" width="17.4380952380952" style="322" customWidth="1"/>
    <col min="11" max="12" width="17.4380952380952" style="321" customWidth="1"/>
    <col min="13" max="13" width="29.2190476190476" style="321" customWidth="1"/>
    <col min="14" max="14" width="19" style="321" customWidth="1"/>
    <col min="15" max="16" width="17.4380952380952" style="317" hidden="1" customWidth="1"/>
    <col min="17" max="17" width="29.2190476190476" style="317" hidden="1" customWidth="1"/>
    <col min="18" max="16356" width="9.1047619047619" style="317"/>
    <col min="16357" max="16366" width="11.552380952381" style="317" customWidth="1"/>
    <col min="16367" max="16370" width="9.1047619047619" style="317"/>
  </cols>
  <sheetData>
    <row r="1" ht="30" spans="1:15">
      <c r="A1" s="323" t="str">
        <f>'Individual BD'!C118</f>
        <v>12/01/2026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30"/>
    </row>
    <row r="2" s="316" customFormat="1" ht="117.75" customHeight="1" spans="1:16">
      <c r="A2" s="324" t="s">
        <v>0</v>
      </c>
      <c r="B2" s="325" t="s">
        <v>1</v>
      </c>
      <c r="C2" s="324" t="s">
        <v>2</v>
      </c>
      <c r="D2" s="324" t="s">
        <v>3</v>
      </c>
      <c r="E2" s="324" t="s">
        <v>4</v>
      </c>
      <c r="F2" s="324" t="s">
        <v>5</v>
      </c>
      <c r="G2" s="324" t="s">
        <v>6</v>
      </c>
      <c r="H2" s="324" t="s">
        <v>7</v>
      </c>
      <c r="I2" s="325" t="s">
        <v>8</v>
      </c>
      <c r="J2" s="331" t="s">
        <v>9</v>
      </c>
      <c r="K2" s="331" t="s">
        <v>10</v>
      </c>
      <c r="L2" s="331" t="s">
        <v>11</v>
      </c>
      <c r="M2" s="331" t="s">
        <v>12</v>
      </c>
      <c r="N2" s="331" t="s">
        <v>13</v>
      </c>
      <c r="O2" s="332"/>
      <c r="P2" s="333"/>
    </row>
    <row r="3" ht="22.5" customHeight="1" spans="1:17">
      <c r="A3" s="326">
        <v>1</v>
      </c>
      <c r="B3" s="326" t="s">
        <v>14</v>
      </c>
      <c r="C3" s="327">
        <f>SUM('Individual BD'!C3:N3)-'Individual BD'!K3-'Individual BD'!M3-'Individual BD'!N3</f>
        <v>1207.77</v>
      </c>
      <c r="D3" s="327">
        <f>IF('CGS BD CAL'!M3&lt;20,0,'CGS BD CAL'!M3)</f>
        <v>1020.312762</v>
      </c>
      <c r="E3" s="327">
        <f>SUM('Individual BD'!K3+'Individual BD'!M3+'Individual BD'!N3)</f>
        <v>202.9</v>
      </c>
      <c r="F3" s="328">
        <v>0</v>
      </c>
      <c r="G3" s="328">
        <v>0</v>
      </c>
      <c r="H3" s="327">
        <v>0</v>
      </c>
      <c r="I3" s="334">
        <f>'SCADA Grid'!D4</f>
        <v>163.26</v>
      </c>
      <c r="J3" s="335">
        <f>'SCADA Grid'!C4</f>
        <v>50.04</v>
      </c>
      <c r="K3" s="336">
        <f>IEX!G11</f>
        <v>0</v>
      </c>
      <c r="L3" s="337">
        <v>2.41314</v>
      </c>
      <c r="M3" s="338">
        <f>RTM!G12</f>
        <v>761.51</v>
      </c>
      <c r="N3" s="337">
        <v>2.81057</v>
      </c>
      <c r="O3" s="339">
        <f>IF(AND(C3&gt;1,OR($K3&gt;100,$M3&gt;100)),1,0)</f>
        <v>1</v>
      </c>
      <c r="P3" s="339">
        <f>IF(AND(D3&gt;1,OR($K3&gt;100,$M3&gt;100)),1,0)</f>
        <v>1</v>
      </c>
      <c r="Q3" s="339">
        <f>IF(AND(E3&gt;1,OR($K3&gt;100,$M3&gt;100)),1,0)</f>
        <v>1</v>
      </c>
    </row>
    <row r="4" ht="22.5" customHeight="1" spans="1:17">
      <c r="A4" s="326">
        <v>2</v>
      </c>
      <c r="B4" s="326" t="s">
        <v>15</v>
      </c>
      <c r="C4" s="327">
        <f>SUM('Individual BD'!C4:N4)-'Individual BD'!K4-'Individual BD'!M4-'Individual BD'!N4</f>
        <v>1217.43</v>
      </c>
      <c r="D4" s="327">
        <f>IF('CGS BD CAL'!M4&lt;20,0,'CGS BD CAL'!M4)</f>
        <v>1020.272762</v>
      </c>
      <c r="E4" s="327">
        <f>SUM('Individual BD'!K4+'Individual BD'!M4+'Individual BD'!N4)</f>
        <v>201.3</v>
      </c>
      <c r="F4" s="328">
        <v>0</v>
      </c>
      <c r="G4" s="329">
        <v>0</v>
      </c>
      <c r="H4" s="327">
        <v>0</v>
      </c>
      <c r="I4" s="334">
        <f>'SCADA Grid'!D5</f>
        <v>-3.72</v>
      </c>
      <c r="J4" s="335">
        <f>'SCADA Grid'!C5</f>
        <v>50.03</v>
      </c>
      <c r="K4" s="336">
        <f>IEX!G12</f>
        <v>0</v>
      </c>
      <c r="L4" s="337">
        <v>2.43522</v>
      </c>
      <c r="M4" s="338">
        <f>RTM!G13</f>
        <v>856.7</v>
      </c>
      <c r="N4" s="337">
        <v>2.59135</v>
      </c>
      <c r="O4" s="339">
        <f t="shared" ref="O4:O35" si="0">IF(AND(C4&gt;1,OR($K4&gt;100,$M4&gt;100)),1,0)</f>
        <v>1</v>
      </c>
      <c r="P4" s="339">
        <f t="shared" ref="P4:P35" si="1">IF(AND(D4&gt;1,OR($K4&gt;100,$M4&gt;100)),1,0)</f>
        <v>1</v>
      </c>
      <c r="Q4" s="339">
        <f t="shared" ref="Q4:Q35" si="2">IF(AND(E4&gt;1,OR($K4&gt;100,$M4&gt;100)),1,0)</f>
        <v>1</v>
      </c>
    </row>
    <row r="5" ht="22.5" customHeight="1" spans="1:17">
      <c r="A5" s="326">
        <v>3</v>
      </c>
      <c r="B5" s="326" t="s">
        <v>16</v>
      </c>
      <c r="C5" s="327">
        <f>SUM('Individual BD'!C5:N5)-'Individual BD'!K5-'Individual BD'!M5-'Individual BD'!N5</f>
        <v>1234.1</v>
      </c>
      <c r="D5" s="327">
        <f>IF('CGS BD CAL'!M5&lt;20,0,'CGS BD CAL'!M5)</f>
        <v>1020.272762</v>
      </c>
      <c r="E5" s="327">
        <f>SUM('Individual BD'!K5+'Individual BD'!M5+'Individual BD'!N5)</f>
        <v>208.06</v>
      </c>
      <c r="F5" s="328">
        <v>0</v>
      </c>
      <c r="G5" s="329">
        <v>0</v>
      </c>
      <c r="H5" s="327">
        <v>0</v>
      </c>
      <c r="I5" s="334">
        <f>'SCADA Grid'!D6</f>
        <v>-129.29</v>
      </c>
      <c r="J5" s="335">
        <f>'SCADA Grid'!C6</f>
        <v>50.01</v>
      </c>
      <c r="K5" s="336">
        <f>IEX!G13</f>
        <v>0</v>
      </c>
      <c r="L5" s="337">
        <v>2.469</v>
      </c>
      <c r="M5" s="338">
        <f>RTM!G14</f>
        <v>1047.08</v>
      </c>
      <c r="N5" s="337">
        <v>2.50039</v>
      </c>
      <c r="O5" s="339">
        <f t="shared" si="0"/>
        <v>1</v>
      </c>
      <c r="P5" s="339">
        <f t="shared" si="1"/>
        <v>1</v>
      </c>
      <c r="Q5" s="339">
        <f t="shared" si="2"/>
        <v>1</v>
      </c>
    </row>
    <row r="6" ht="22.5" customHeight="1" spans="1:17">
      <c r="A6" s="326">
        <v>4</v>
      </c>
      <c r="B6" s="326" t="s">
        <v>17</v>
      </c>
      <c r="C6" s="327">
        <f>SUM('Individual BD'!C6:N6)-'Individual BD'!K6-'Individual BD'!M6-'Individual BD'!N6</f>
        <v>1241.51</v>
      </c>
      <c r="D6" s="327">
        <f>IF('CGS BD CAL'!M6&lt;20,0,'CGS BD CAL'!M6)</f>
        <v>1020.272762</v>
      </c>
      <c r="E6" s="327">
        <f>SUM('Individual BD'!K6+'Individual BD'!M6+'Individual BD'!N6)</f>
        <v>206.87</v>
      </c>
      <c r="F6" s="328">
        <v>0</v>
      </c>
      <c r="G6" s="329">
        <v>0</v>
      </c>
      <c r="H6" s="327">
        <v>0</v>
      </c>
      <c r="I6" s="334">
        <f>'SCADA Grid'!D7</f>
        <v>-31.77</v>
      </c>
      <c r="J6" s="335">
        <f>'SCADA Grid'!C7</f>
        <v>50.01</v>
      </c>
      <c r="K6" s="336">
        <f>IEX!G14</f>
        <v>0</v>
      </c>
      <c r="L6" s="337">
        <v>2.42933</v>
      </c>
      <c r="M6" s="338">
        <f>RTM!G15</f>
        <v>951.89</v>
      </c>
      <c r="N6" s="337">
        <v>2.49925</v>
      </c>
      <c r="O6" s="339">
        <f t="shared" si="0"/>
        <v>1</v>
      </c>
      <c r="P6" s="339">
        <f t="shared" si="1"/>
        <v>1</v>
      </c>
      <c r="Q6" s="339">
        <f t="shared" si="2"/>
        <v>1</v>
      </c>
    </row>
    <row r="7" ht="22.5" customHeight="1" spans="1:17">
      <c r="A7" s="326">
        <v>5</v>
      </c>
      <c r="B7" s="326" t="s">
        <v>18</v>
      </c>
      <c r="C7" s="327">
        <f>SUM('Individual BD'!C7:N7)-'Individual BD'!K7-'Individual BD'!M7-'Individual BD'!N7</f>
        <v>1247.56</v>
      </c>
      <c r="D7" s="327">
        <f>IF('CGS BD CAL'!M7&lt;20,0,'CGS BD CAL'!M7)</f>
        <v>1020.272762</v>
      </c>
      <c r="E7" s="327">
        <f>SUM('Individual BD'!K7+'Individual BD'!M7+'Individual BD'!N7)</f>
        <v>202.06</v>
      </c>
      <c r="F7" s="328">
        <v>0</v>
      </c>
      <c r="G7" s="329">
        <v>0</v>
      </c>
      <c r="H7" s="327">
        <v>0</v>
      </c>
      <c r="I7" s="334">
        <f>'SCADA Grid'!D8</f>
        <v>-130.85</v>
      </c>
      <c r="J7" s="335">
        <f>'SCADA Grid'!C8</f>
        <v>50.01</v>
      </c>
      <c r="K7" s="336">
        <f>IEX!G15</f>
        <v>0</v>
      </c>
      <c r="L7" s="337">
        <v>2.41618</v>
      </c>
      <c r="M7" s="338">
        <f>RTM!G16</f>
        <v>856.68</v>
      </c>
      <c r="N7" s="337">
        <v>2.04901</v>
      </c>
      <c r="O7" s="339">
        <f t="shared" si="0"/>
        <v>1</v>
      </c>
      <c r="P7" s="339">
        <f t="shared" si="1"/>
        <v>1</v>
      </c>
      <c r="Q7" s="339">
        <f t="shared" si="2"/>
        <v>1</v>
      </c>
    </row>
    <row r="8" ht="22.5" customHeight="1" spans="1:17">
      <c r="A8" s="326">
        <v>6</v>
      </c>
      <c r="B8" s="326" t="s">
        <v>19</v>
      </c>
      <c r="C8" s="327">
        <f>SUM('Individual BD'!C8:N8)-'Individual BD'!K8-'Individual BD'!M8-'Individual BD'!N8</f>
        <v>1252.21</v>
      </c>
      <c r="D8" s="327">
        <f>IF('CGS BD CAL'!M8&lt;20,0,'CGS BD CAL'!M8)</f>
        <v>1020.272762</v>
      </c>
      <c r="E8" s="327">
        <f>SUM('Individual BD'!K8+'Individual BD'!M8+'Individual BD'!N8)</f>
        <v>251.62</v>
      </c>
      <c r="F8" s="328">
        <v>0</v>
      </c>
      <c r="G8" s="329">
        <v>0</v>
      </c>
      <c r="H8" s="327">
        <v>0</v>
      </c>
      <c r="I8" s="334">
        <f>'SCADA Grid'!D9</f>
        <v>-27.25</v>
      </c>
      <c r="J8" s="335">
        <f>'SCADA Grid'!C9</f>
        <v>50.01</v>
      </c>
      <c r="K8" s="336">
        <f>IEX!G16</f>
        <v>0</v>
      </c>
      <c r="L8" s="337">
        <v>2.41602</v>
      </c>
      <c r="M8" s="338">
        <f>RTM!G17</f>
        <v>761.48</v>
      </c>
      <c r="N8" s="337">
        <v>1.90879</v>
      </c>
      <c r="O8" s="339">
        <f t="shared" si="0"/>
        <v>1</v>
      </c>
      <c r="P8" s="339">
        <f t="shared" si="1"/>
        <v>1</v>
      </c>
      <c r="Q8" s="339">
        <f t="shared" si="2"/>
        <v>1</v>
      </c>
    </row>
    <row r="9" ht="22.5" customHeight="1" spans="1:17">
      <c r="A9" s="326">
        <v>7</v>
      </c>
      <c r="B9" s="326" t="s">
        <v>20</v>
      </c>
      <c r="C9" s="327">
        <f>SUM('Individual BD'!C9:N9)-'Individual BD'!K9-'Individual BD'!M9-'Individual BD'!N9</f>
        <v>1506.33</v>
      </c>
      <c r="D9" s="327">
        <f>IF('CGS BD CAL'!M9&lt;20,0,'CGS BD CAL'!M9)</f>
        <v>1129.702079</v>
      </c>
      <c r="E9" s="327">
        <f>SUM('Individual BD'!K9+'Individual BD'!M9+'Individual BD'!N9)</f>
        <v>305.79</v>
      </c>
      <c r="F9" s="328">
        <v>0</v>
      </c>
      <c r="G9" s="329">
        <v>0</v>
      </c>
      <c r="H9" s="327">
        <v>0</v>
      </c>
      <c r="I9" s="334">
        <f>'SCADA Grid'!D10</f>
        <v>-10.79</v>
      </c>
      <c r="J9" s="335">
        <f>'SCADA Grid'!C10</f>
        <v>50.02</v>
      </c>
      <c r="K9" s="336">
        <f>IEX!G17</f>
        <v>0</v>
      </c>
      <c r="L9" s="337">
        <v>2.38046</v>
      </c>
      <c r="M9" s="338">
        <f>RTM!G18</f>
        <v>856.68</v>
      </c>
      <c r="N9" s="337">
        <v>2.01963</v>
      </c>
      <c r="O9" s="339">
        <f t="shared" si="0"/>
        <v>1</v>
      </c>
      <c r="P9" s="339">
        <f t="shared" si="1"/>
        <v>1</v>
      </c>
      <c r="Q9" s="339">
        <f t="shared" si="2"/>
        <v>1</v>
      </c>
    </row>
    <row r="10" ht="22.5" customHeight="1" spans="1:17">
      <c r="A10" s="326">
        <v>8</v>
      </c>
      <c r="B10" s="326" t="s">
        <v>21</v>
      </c>
      <c r="C10" s="327">
        <f>SUM('Individual BD'!C10:N10)-'Individual BD'!K10-'Individual BD'!M10-'Individual BD'!N10</f>
        <v>1518.03</v>
      </c>
      <c r="D10" s="327">
        <f>IF('CGS BD CAL'!M10&lt;20,0,'CGS BD CAL'!M10)</f>
        <v>1144.122079</v>
      </c>
      <c r="E10" s="327">
        <f>SUM('Individual BD'!K10+'Individual BD'!M10+'Individual BD'!N10)</f>
        <v>353.51</v>
      </c>
      <c r="F10" s="328">
        <v>0</v>
      </c>
      <c r="G10" s="329">
        <v>0</v>
      </c>
      <c r="H10" s="327">
        <v>0</v>
      </c>
      <c r="I10" s="334">
        <f>'SCADA Grid'!D11</f>
        <v>66.22</v>
      </c>
      <c r="J10" s="335">
        <f>'SCADA Grid'!C11</f>
        <v>50.03</v>
      </c>
      <c r="K10" s="336">
        <f>IEX!G18</f>
        <v>0</v>
      </c>
      <c r="L10" s="337">
        <v>2.38047</v>
      </c>
      <c r="M10" s="338">
        <f>RTM!G19</f>
        <v>856.67</v>
      </c>
      <c r="N10" s="337">
        <v>1.91042</v>
      </c>
      <c r="O10" s="339">
        <f t="shared" si="0"/>
        <v>1</v>
      </c>
      <c r="P10" s="339">
        <f t="shared" si="1"/>
        <v>1</v>
      </c>
      <c r="Q10" s="339">
        <f t="shared" si="2"/>
        <v>1</v>
      </c>
    </row>
    <row r="11" ht="22.5" customHeight="1" spans="1:17">
      <c r="A11" s="326">
        <v>9</v>
      </c>
      <c r="B11" s="326" t="s">
        <v>22</v>
      </c>
      <c r="C11" s="327">
        <f>SUM('Individual BD'!C11:N11)-'Individual BD'!K11-'Individual BD'!M11-'Individual BD'!N11</f>
        <v>1508.9</v>
      </c>
      <c r="D11" s="327">
        <f>IF('CGS BD CAL'!M11&lt;20,0,'CGS BD CAL'!M11)</f>
        <v>1144.122079</v>
      </c>
      <c r="E11" s="327">
        <f>SUM('Individual BD'!K11+'Individual BD'!M11+'Individual BD'!N11)</f>
        <v>364.37</v>
      </c>
      <c r="F11" s="328">
        <v>0</v>
      </c>
      <c r="G11" s="329">
        <v>0</v>
      </c>
      <c r="H11" s="327">
        <v>0</v>
      </c>
      <c r="I11" s="334">
        <f>'SCADA Grid'!D12</f>
        <v>-79.6</v>
      </c>
      <c r="J11" s="335">
        <f>'SCADA Grid'!C12</f>
        <v>50.02</v>
      </c>
      <c r="K11" s="336">
        <f>IEX!G19</f>
        <v>0</v>
      </c>
      <c r="L11" s="337">
        <v>2.41619</v>
      </c>
      <c r="M11" s="338">
        <f>RTM!G20</f>
        <v>951.86</v>
      </c>
      <c r="N11" s="337">
        <v>1.90862</v>
      </c>
      <c r="O11" s="339">
        <f t="shared" si="0"/>
        <v>1</v>
      </c>
      <c r="P11" s="339">
        <f t="shared" si="1"/>
        <v>1</v>
      </c>
      <c r="Q11" s="339">
        <f t="shared" si="2"/>
        <v>1</v>
      </c>
    </row>
    <row r="12" ht="22.5" customHeight="1" spans="1:17">
      <c r="A12" s="326">
        <v>10</v>
      </c>
      <c r="B12" s="326" t="s">
        <v>23</v>
      </c>
      <c r="C12" s="327">
        <f>SUM('Individual BD'!C12:N12)-'Individual BD'!K12-'Individual BD'!M12-'Individual BD'!N12</f>
        <v>1504.89</v>
      </c>
      <c r="D12" s="327">
        <f>IF('CGS BD CAL'!M12&lt;20,0,'CGS BD CAL'!M12)</f>
        <v>1144.122079</v>
      </c>
      <c r="E12" s="327">
        <f>SUM('Individual BD'!K12+'Individual BD'!M12+'Individual BD'!N12)</f>
        <v>361.45</v>
      </c>
      <c r="F12" s="328">
        <v>0</v>
      </c>
      <c r="G12" s="329">
        <v>0</v>
      </c>
      <c r="H12" s="327">
        <v>0</v>
      </c>
      <c r="I12" s="334">
        <f>'SCADA Grid'!D13</f>
        <v>-33.92</v>
      </c>
      <c r="J12" s="335">
        <f>'SCADA Grid'!C13</f>
        <v>49.99</v>
      </c>
      <c r="K12" s="336">
        <f>IEX!G20</f>
        <v>0</v>
      </c>
      <c r="L12" s="337">
        <v>2.41656</v>
      </c>
      <c r="M12" s="338">
        <f>RTM!G21</f>
        <v>951.86</v>
      </c>
      <c r="N12" s="337">
        <v>1.9083</v>
      </c>
      <c r="O12" s="339">
        <f t="shared" si="0"/>
        <v>1</v>
      </c>
      <c r="P12" s="339">
        <f t="shared" si="1"/>
        <v>1</v>
      </c>
      <c r="Q12" s="339">
        <f t="shared" si="2"/>
        <v>1</v>
      </c>
    </row>
    <row r="13" ht="22.5" customHeight="1" spans="1:17">
      <c r="A13" s="326">
        <v>11</v>
      </c>
      <c r="B13" s="326" t="s">
        <v>24</v>
      </c>
      <c r="C13" s="327">
        <f>SUM('Individual BD'!C13:N13)-'Individual BD'!K13-'Individual BD'!M13-'Individual BD'!N13</f>
        <v>1495.11</v>
      </c>
      <c r="D13" s="327">
        <f>IF('CGS BD CAL'!M13&lt;20,0,'CGS BD CAL'!M13)</f>
        <v>1144.122079</v>
      </c>
      <c r="E13" s="327">
        <f>SUM('Individual BD'!K13+'Individual BD'!M13+'Individual BD'!N13)</f>
        <v>361.87</v>
      </c>
      <c r="F13" s="328">
        <v>0</v>
      </c>
      <c r="G13" s="329">
        <v>0</v>
      </c>
      <c r="H13" s="327">
        <v>0</v>
      </c>
      <c r="I13" s="334">
        <f>'SCADA Grid'!D14</f>
        <v>24.62</v>
      </c>
      <c r="J13" s="335">
        <f>'SCADA Grid'!C14</f>
        <v>50</v>
      </c>
      <c r="K13" s="336">
        <f>IEX!G21</f>
        <v>0</v>
      </c>
      <c r="L13" s="337">
        <v>2.42055</v>
      </c>
      <c r="M13" s="338">
        <f>RTM!G22</f>
        <v>951.86</v>
      </c>
      <c r="N13" s="337">
        <v>1.90819</v>
      </c>
      <c r="O13" s="339">
        <f t="shared" si="0"/>
        <v>1</v>
      </c>
      <c r="P13" s="339">
        <f t="shared" si="1"/>
        <v>1</v>
      </c>
      <c r="Q13" s="339">
        <f t="shared" si="2"/>
        <v>1</v>
      </c>
    </row>
    <row r="14" ht="22.5" customHeight="1" spans="1:17">
      <c r="A14" s="326">
        <v>12</v>
      </c>
      <c r="B14" s="326" t="s">
        <v>25</v>
      </c>
      <c r="C14" s="327">
        <f>SUM('Individual BD'!C14:N14)-'Individual BD'!K14-'Individual BD'!M14-'Individual BD'!N14</f>
        <v>1498.81</v>
      </c>
      <c r="D14" s="327">
        <f>IF('CGS BD CAL'!M14&lt;20,0,'CGS BD CAL'!M14)</f>
        <v>1144.122079</v>
      </c>
      <c r="E14" s="327">
        <f>SUM('Individual BD'!K14+'Individual BD'!M14+'Individual BD'!N14)</f>
        <v>361.77</v>
      </c>
      <c r="F14" s="328">
        <v>0</v>
      </c>
      <c r="G14" s="329">
        <v>0</v>
      </c>
      <c r="H14" s="327">
        <v>0</v>
      </c>
      <c r="I14" s="334">
        <f>'SCADA Grid'!D15</f>
        <v>39.24</v>
      </c>
      <c r="J14" s="335">
        <f>'SCADA Grid'!C15</f>
        <v>49.98</v>
      </c>
      <c r="K14" s="336">
        <f>IEX!G22</f>
        <v>0</v>
      </c>
      <c r="L14" s="337">
        <v>2.4209</v>
      </c>
      <c r="M14" s="338">
        <f>RTM!G23</f>
        <v>951.85</v>
      </c>
      <c r="N14" s="337">
        <v>1.89933</v>
      </c>
      <c r="O14" s="339">
        <f t="shared" si="0"/>
        <v>1</v>
      </c>
      <c r="P14" s="339">
        <f t="shared" si="1"/>
        <v>1</v>
      </c>
      <c r="Q14" s="339">
        <f t="shared" si="2"/>
        <v>1</v>
      </c>
    </row>
    <row r="15" ht="22.5" customHeight="1" spans="1:17">
      <c r="A15" s="326">
        <v>13</v>
      </c>
      <c r="B15" s="326" t="s">
        <v>26</v>
      </c>
      <c r="C15" s="327">
        <f>SUM('Individual BD'!C15:N15)-'Individual BD'!K15-'Individual BD'!M15-'Individual BD'!N15</f>
        <v>1502.53</v>
      </c>
      <c r="D15" s="327">
        <f>IF('CGS BD CAL'!M15&lt;20,0,'CGS BD CAL'!M15)</f>
        <v>1146.062079</v>
      </c>
      <c r="E15" s="327">
        <f>SUM('Individual BD'!K15+'Individual BD'!M15+'Individual BD'!N15)</f>
        <v>358.66</v>
      </c>
      <c r="F15" s="328">
        <v>0</v>
      </c>
      <c r="G15" s="329">
        <v>0</v>
      </c>
      <c r="H15" s="327">
        <v>0</v>
      </c>
      <c r="I15" s="334">
        <f>'SCADA Grid'!D16</f>
        <v>44.96</v>
      </c>
      <c r="J15" s="335">
        <f>'SCADA Grid'!C16</f>
        <v>49.97</v>
      </c>
      <c r="K15" s="336">
        <f>IEX!G23</f>
        <v>0</v>
      </c>
      <c r="L15" s="337">
        <v>2.42005</v>
      </c>
      <c r="M15" s="338">
        <f>RTM!G24</f>
        <v>1047.05</v>
      </c>
      <c r="N15" s="337">
        <v>1.90884</v>
      </c>
      <c r="O15" s="339">
        <f t="shared" si="0"/>
        <v>1</v>
      </c>
      <c r="P15" s="339">
        <f t="shared" si="1"/>
        <v>1</v>
      </c>
      <c r="Q15" s="339">
        <f t="shared" si="2"/>
        <v>1</v>
      </c>
    </row>
    <row r="16" ht="22.5" customHeight="1" spans="1:17">
      <c r="A16" s="326">
        <v>14</v>
      </c>
      <c r="B16" s="326" t="s">
        <v>27</v>
      </c>
      <c r="C16" s="327">
        <f>SUM('Individual BD'!C16:N16)-'Individual BD'!K16-'Individual BD'!M16-'Individual BD'!N16</f>
        <v>1480.14</v>
      </c>
      <c r="D16" s="327">
        <f>IF('CGS BD CAL'!M16&lt;20,0,'CGS BD CAL'!M16)</f>
        <v>1146.062079</v>
      </c>
      <c r="E16" s="327">
        <f>SUM('Individual BD'!K16+'Individual BD'!M16+'Individual BD'!N16)</f>
        <v>356.91</v>
      </c>
      <c r="F16" s="328">
        <v>0</v>
      </c>
      <c r="G16" s="329">
        <v>0</v>
      </c>
      <c r="H16" s="327">
        <v>0</v>
      </c>
      <c r="I16" s="334">
        <f>'SCADA Grid'!D17</f>
        <v>-6.18</v>
      </c>
      <c r="J16" s="335">
        <f>'SCADA Grid'!C17</f>
        <v>49.97</v>
      </c>
      <c r="K16" s="336">
        <f>IEX!G24</f>
        <v>0</v>
      </c>
      <c r="L16" s="337">
        <v>2.42099</v>
      </c>
      <c r="M16" s="338">
        <f>RTM!G25</f>
        <v>1142.24</v>
      </c>
      <c r="N16" s="337">
        <v>2.01972</v>
      </c>
      <c r="O16" s="339">
        <f t="shared" si="0"/>
        <v>1</v>
      </c>
      <c r="P16" s="339">
        <f t="shared" si="1"/>
        <v>1</v>
      </c>
      <c r="Q16" s="339">
        <f t="shared" si="2"/>
        <v>1</v>
      </c>
    </row>
    <row r="17" ht="22.5" customHeight="1" spans="1:17">
      <c r="A17" s="326">
        <v>15</v>
      </c>
      <c r="B17" s="326" t="s">
        <v>28</v>
      </c>
      <c r="C17" s="327">
        <f>SUM('Individual BD'!C17:N17)-'Individual BD'!K17-'Individual BD'!M17-'Individual BD'!N17</f>
        <v>1485.67</v>
      </c>
      <c r="D17" s="327">
        <f>IF('CGS BD CAL'!M17&lt;20,0,'CGS BD CAL'!M17)</f>
        <v>1124.651497</v>
      </c>
      <c r="E17" s="327">
        <f>SUM('Individual BD'!K17+'Individual BD'!M17+'Individual BD'!N17)</f>
        <v>359.89</v>
      </c>
      <c r="F17" s="328">
        <v>0</v>
      </c>
      <c r="G17" s="329">
        <v>0</v>
      </c>
      <c r="H17" s="327">
        <v>0</v>
      </c>
      <c r="I17" s="334">
        <f>'SCADA Grid'!D18</f>
        <v>45.05</v>
      </c>
      <c r="J17" s="335">
        <f>'SCADA Grid'!C18</f>
        <v>49.98</v>
      </c>
      <c r="K17" s="336">
        <f>IEX!G25</f>
        <v>0</v>
      </c>
      <c r="L17" s="337">
        <v>2.46908</v>
      </c>
      <c r="M17" s="338">
        <f>RTM!G26</f>
        <v>1047.06</v>
      </c>
      <c r="N17" s="337">
        <v>2.07092</v>
      </c>
      <c r="O17" s="339">
        <f t="shared" si="0"/>
        <v>1</v>
      </c>
      <c r="P17" s="339">
        <f t="shared" si="1"/>
        <v>1</v>
      </c>
      <c r="Q17" s="339">
        <f t="shared" si="2"/>
        <v>1</v>
      </c>
    </row>
    <row r="18" ht="22.5" customHeight="1" spans="1:17">
      <c r="A18" s="326">
        <v>16</v>
      </c>
      <c r="B18" s="326" t="s">
        <v>29</v>
      </c>
      <c r="C18" s="327">
        <f>SUM('Individual BD'!C18:N18)-'Individual BD'!K18-'Individual BD'!M18-'Individual BD'!N18</f>
        <v>1467.44</v>
      </c>
      <c r="D18" s="327">
        <f>IF('CGS BD CAL'!M18&lt;20,0,'CGS BD CAL'!M18)</f>
        <v>1124.651497</v>
      </c>
      <c r="E18" s="327">
        <f>SUM('Individual BD'!K18+'Individual BD'!M18+'Individual BD'!N18)</f>
        <v>205.58</v>
      </c>
      <c r="F18" s="328">
        <v>0</v>
      </c>
      <c r="G18" s="329">
        <v>0</v>
      </c>
      <c r="H18" s="327">
        <v>0</v>
      </c>
      <c r="I18" s="334">
        <f>'SCADA Grid'!D19</f>
        <v>90.69</v>
      </c>
      <c r="J18" s="335">
        <f>'SCADA Grid'!C19</f>
        <v>50</v>
      </c>
      <c r="K18" s="336">
        <f>IEX!G26</f>
        <v>0</v>
      </c>
      <c r="L18" s="337">
        <v>2.46915</v>
      </c>
      <c r="M18" s="338">
        <f>RTM!G27</f>
        <v>1047.06</v>
      </c>
      <c r="N18" s="337">
        <v>2.20255</v>
      </c>
      <c r="O18" s="339">
        <f t="shared" si="0"/>
        <v>1</v>
      </c>
      <c r="P18" s="339">
        <f t="shared" si="1"/>
        <v>1</v>
      </c>
      <c r="Q18" s="339">
        <f t="shared" si="2"/>
        <v>1</v>
      </c>
    </row>
    <row r="19" ht="22.5" customHeight="1" spans="1:17">
      <c r="A19" s="326">
        <v>17</v>
      </c>
      <c r="B19" s="326" t="s">
        <v>30</v>
      </c>
      <c r="C19" s="327">
        <f>SUM('Individual BD'!C19:N19)-'Individual BD'!K19-'Individual BD'!M19-'Individual BD'!N19</f>
        <v>1483.6</v>
      </c>
      <c r="D19" s="327">
        <f>IF('CGS BD CAL'!M19&lt;20,0,'CGS BD CAL'!M19)</f>
        <v>1020.891497</v>
      </c>
      <c r="E19" s="327">
        <f>SUM('Individual BD'!K19+'Individual BD'!M19+'Individual BD'!N19)</f>
        <v>207.98</v>
      </c>
      <c r="F19" s="328">
        <v>0</v>
      </c>
      <c r="G19" s="329">
        <v>0</v>
      </c>
      <c r="H19" s="327">
        <v>0</v>
      </c>
      <c r="I19" s="334">
        <f>'SCADA Grid'!D20</f>
        <v>136.39</v>
      </c>
      <c r="J19" s="335">
        <f>'SCADA Grid'!C20</f>
        <v>50</v>
      </c>
      <c r="K19" s="336">
        <f>IEX!G27</f>
        <v>0</v>
      </c>
      <c r="L19" s="337">
        <v>2.46948</v>
      </c>
      <c r="M19" s="338">
        <f>RTM!G28</f>
        <v>1047.06</v>
      </c>
      <c r="N19" s="337">
        <v>2.29636</v>
      </c>
      <c r="O19" s="339">
        <f t="shared" si="0"/>
        <v>1</v>
      </c>
      <c r="P19" s="339">
        <f t="shared" si="1"/>
        <v>1</v>
      </c>
      <c r="Q19" s="339">
        <f t="shared" si="2"/>
        <v>1</v>
      </c>
    </row>
    <row r="20" ht="22.5" customHeight="1" spans="1:17">
      <c r="A20" s="326">
        <v>18</v>
      </c>
      <c r="B20" s="326" t="s">
        <v>31</v>
      </c>
      <c r="C20" s="327">
        <f>SUM('Individual BD'!C20:N20)-'Individual BD'!K20-'Individual BD'!M20-'Individual BD'!N20</f>
        <v>1254.38</v>
      </c>
      <c r="D20" s="327">
        <f>IF('CGS BD CAL'!M20&lt;20,0,'CGS BD CAL'!M20)</f>
        <v>1020.891497</v>
      </c>
      <c r="E20" s="327">
        <f>SUM('Individual BD'!K20+'Individual BD'!M20+'Individual BD'!N20)</f>
        <v>205.27</v>
      </c>
      <c r="F20" s="328">
        <v>0</v>
      </c>
      <c r="G20" s="329">
        <v>0</v>
      </c>
      <c r="H20" s="327">
        <v>0</v>
      </c>
      <c r="I20" s="334">
        <f>'SCADA Grid'!D21</f>
        <v>167.45</v>
      </c>
      <c r="J20" s="335">
        <f>'SCADA Grid'!C21</f>
        <v>50.02</v>
      </c>
      <c r="K20" s="336">
        <f>IEX!G28</f>
        <v>0</v>
      </c>
      <c r="L20" s="337">
        <v>2.58049</v>
      </c>
      <c r="M20" s="338">
        <f>RTM!G29</f>
        <v>1142.27</v>
      </c>
      <c r="N20" s="337">
        <v>2.45066</v>
      </c>
      <c r="O20" s="339">
        <f t="shared" si="0"/>
        <v>1</v>
      </c>
      <c r="P20" s="339">
        <f t="shared" si="1"/>
        <v>1</v>
      </c>
      <c r="Q20" s="339">
        <f t="shared" si="2"/>
        <v>1</v>
      </c>
    </row>
    <row r="21" ht="22.5" customHeight="1" spans="1:17">
      <c r="A21" s="326">
        <v>19</v>
      </c>
      <c r="B21" s="326" t="s">
        <v>32</v>
      </c>
      <c r="C21" s="327">
        <f>SUM('Individual BD'!C21:N21)-'Individual BD'!K21-'Individual BD'!M21-'Individual BD'!N21</f>
        <v>1253.75</v>
      </c>
      <c r="D21" s="327">
        <f>IF('CGS BD CAL'!M21&lt;20,0,'CGS BD CAL'!M21)</f>
        <v>645.921497</v>
      </c>
      <c r="E21" s="327">
        <f>SUM('Individual BD'!K21+'Individual BD'!M21+'Individual BD'!N21)</f>
        <v>205.69</v>
      </c>
      <c r="F21" s="328">
        <v>0</v>
      </c>
      <c r="G21" s="329">
        <v>0</v>
      </c>
      <c r="H21" s="327">
        <v>0</v>
      </c>
      <c r="I21" s="334">
        <f>'SCADA Grid'!D22</f>
        <v>-162.93</v>
      </c>
      <c r="J21" s="335">
        <f>'SCADA Grid'!C22</f>
        <v>50.03</v>
      </c>
      <c r="K21" s="336">
        <f>IEX!G29</f>
        <v>0</v>
      </c>
      <c r="L21" s="337">
        <v>2.65087</v>
      </c>
      <c r="M21" s="338">
        <f>RTM!G30</f>
        <v>1142.28</v>
      </c>
      <c r="N21" s="337">
        <v>2.50027</v>
      </c>
      <c r="O21" s="339">
        <f t="shared" si="0"/>
        <v>1</v>
      </c>
      <c r="P21" s="339">
        <f t="shared" si="1"/>
        <v>1</v>
      </c>
      <c r="Q21" s="339">
        <f t="shared" si="2"/>
        <v>1</v>
      </c>
    </row>
    <row r="22" ht="22.5" customHeight="1" spans="1:17">
      <c r="A22" s="326">
        <v>20</v>
      </c>
      <c r="B22" s="326" t="s">
        <v>33</v>
      </c>
      <c r="C22" s="327">
        <f>SUM('Individual BD'!C22:N22)-'Individual BD'!K22-'Individual BD'!M22-'Individual BD'!N22</f>
        <v>1251.57</v>
      </c>
      <c r="D22" s="327">
        <f>IF('CGS BD CAL'!M22&lt;20,0,'CGS BD CAL'!M22)</f>
        <v>601.086488</v>
      </c>
      <c r="E22" s="327">
        <f>SUM('Individual BD'!K22+'Individual BD'!M22+'Individual BD'!N22)</f>
        <v>202.24</v>
      </c>
      <c r="F22" s="328">
        <v>0</v>
      </c>
      <c r="G22" s="329">
        <v>0</v>
      </c>
      <c r="H22" s="327">
        <v>0</v>
      </c>
      <c r="I22" s="334">
        <f>'SCADA Grid'!D23</f>
        <v>-93.64</v>
      </c>
      <c r="J22" s="335">
        <f>'SCADA Grid'!C23</f>
        <v>50.03</v>
      </c>
      <c r="K22" s="336">
        <f>IEX!G30</f>
        <v>0</v>
      </c>
      <c r="L22" s="337">
        <v>2.65649</v>
      </c>
      <c r="M22" s="338">
        <f>RTM!G31</f>
        <v>1142.28</v>
      </c>
      <c r="N22" s="337">
        <v>2.5917</v>
      </c>
      <c r="O22" s="339">
        <f t="shared" si="0"/>
        <v>1</v>
      </c>
      <c r="P22" s="339">
        <f t="shared" si="1"/>
        <v>1</v>
      </c>
      <c r="Q22" s="339">
        <f t="shared" si="2"/>
        <v>1</v>
      </c>
    </row>
    <row r="23" ht="22.5" customHeight="1" spans="1:17">
      <c r="A23" s="326">
        <v>21</v>
      </c>
      <c r="B23" s="326" t="s">
        <v>34</v>
      </c>
      <c r="C23" s="327">
        <f>SUM('Individual BD'!C23:N23)-'Individual BD'!K23-'Individual BD'!M23-'Individual BD'!N23</f>
        <v>1248.92</v>
      </c>
      <c r="D23" s="327">
        <f>IF('CGS BD CAL'!M23&lt;20,0,'CGS BD CAL'!M23)</f>
        <v>397.996488</v>
      </c>
      <c r="E23" s="327">
        <f>SUM('Individual BD'!K23+'Individual BD'!M23+'Individual BD'!N23)</f>
        <v>198.99</v>
      </c>
      <c r="F23" s="328">
        <v>0</v>
      </c>
      <c r="G23" s="329">
        <v>0</v>
      </c>
      <c r="H23" s="327">
        <v>0</v>
      </c>
      <c r="I23" s="334">
        <f>'SCADA Grid'!D24</f>
        <v>104.22</v>
      </c>
      <c r="J23" s="335">
        <f>'SCADA Grid'!C24</f>
        <v>50.01</v>
      </c>
      <c r="K23" s="336">
        <f>IEX!G31</f>
        <v>0</v>
      </c>
      <c r="L23" s="337">
        <v>2.63095</v>
      </c>
      <c r="M23" s="338">
        <f>RTM!G32</f>
        <v>970.93</v>
      </c>
      <c r="N23" s="337">
        <v>2.98979</v>
      </c>
      <c r="O23" s="339">
        <f t="shared" si="0"/>
        <v>1</v>
      </c>
      <c r="P23" s="339">
        <f t="shared" si="1"/>
        <v>1</v>
      </c>
      <c r="Q23" s="339">
        <f t="shared" si="2"/>
        <v>1</v>
      </c>
    </row>
    <row r="24" ht="22.5" customHeight="1" spans="1:17">
      <c r="A24" s="326">
        <v>22</v>
      </c>
      <c r="B24" s="326" t="s">
        <v>35</v>
      </c>
      <c r="C24" s="327">
        <f>SUM('Individual BD'!C24:N24)-'Individual BD'!K24-'Individual BD'!M24-'Individual BD'!N24</f>
        <v>655.74</v>
      </c>
      <c r="D24" s="327">
        <f>IF('CGS BD CAL'!M24&lt;20,0,'CGS BD CAL'!M24)</f>
        <v>354.466488</v>
      </c>
      <c r="E24" s="327">
        <f>SUM('Individual BD'!K24+'Individual BD'!M24+'Individual BD'!N24)</f>
        <v>0</v>
      </c>
      <c r="F24" s="328">
        <v>0</v>
      </c>
      <c r="G24" s="329">
        <v>0</v>
      </c>
      <c r="H24" s="327">
        <v>0</v>
      </c>
      <c r="I24" s="334">
        <f>'SCADA Grid'!D25</f>
        <v>67.45</v>
      </c>
      <c r="J24" s="335">
        <f>'SCADA Grid'!C25</f>
        <v>50</v>
      </c>
      <c r="K24" s="336">
        <f>IEX!G32</f>
        <v>190.37</v>
      </c>
      <c r="L24" s="337">
        <v>2.77273</v>
      </c>
      <c r="M24" s="338">
        <f>RTM!G33</f>
        <v>894.78</v>
      </c>
      <c r="N24" s="337">
        <v>2.85501</v>
      </c>
      <c r="O24" s="339">
        <f t="shared" si="0"/>
        <v>1</v>
      </c>
      <c r="P24" s="339">
        <f t="shared" si="1"/>
        <v>1</v>
      </c>
      <c r="Q24" s="339">
        <f t="shared" si="2"/>
        <v>0</v>
      </c>
    </row>
    <row r="25" s="317" customFormat="1" ht="22.5" customHeight="1" spans="1:17">
      <c r="A25" s="326">
        <v>23</v>
      </c>
      <c r="B25" s="326" t="s">
        <v>36</v>
      </c>
      <c r="C25" s="327">
        <f>SUM('Individual BD'!C25:N25)-'Individual BD'!K25-'Individual BD'!M25-'Individual BD'!N25</f>
        <v>648.96</v>
      </c>
      <c r="D25" s="327">
        <f>IF('CGS BD CAL'!M25&lt;20,0,'CGS BD CAL'!M25)</f>
        <v>155.610317</v>
      </c>
      <c r="E25" s="327">
        <f>SUM('Individual BD'!K25+'Individual BD'!M25+'Individual BD'!N25)</f>
        <v>0</v>
      </c>
      <c r="F25" s="328">
        <v>0</v>
      </c>
      <c r="G25" s="329">
        <v>0</v>
      </c>
      <c r="H25" s="327">
        <v>0</v>
      </c>
      <c r="I25" s="334">
        <f>'SCADA Grid'!D26</f>
        <v>-34.47</v>
      </c>
      <c r="J25" s="335">
        <f>'SCADA Grid'!C26</f>
        <v>50.02</v>
      </c>
      <c r="K25" s="336">
        <f>IEX!G33</f>
        <v>285.56</v>
      </c>
      <c r="L25" s="337">
        <v>3.06032</v>
      </c>
      <c r="M25" s="338">
        <f>RTM!G34</f>
        <v>609.22</v>
      </c>
      <c r="N25" s="337">
        <v>3.49984</v>
      </c>
      <c r="O25" s="339">
        <f t="shared" si="0"/>
        <v>1</v>
      </c>
      <c r="P25" s="339">
        <f t="shared" si="1"/>
        <v>1</v>
      </c>
      <c r="Q25" s="339">
        <f t="shared" si="2"/>
        <v>0</v>
      </c>
    </row>
    <row r="26" s="317" customFormat="1" ht="22.5" customHeight="1" spans="1:17">
      <c r="A26" s="326">
        <v>24</v>
      </c>
      <c r="B26" s="326" t="s">
        <v>37</v>
      </c>
      <c r="C26" s="327">
        <f>SUM('Individual BD'!C26:N26)-'Individual BD'!K26-'Individual BD'!M26-'Individual BD'!N26</f>
        <v>654.71</v>
      </c>
      <c r="D26" s="327">
        <f>IF('CGS BD CAL'!M26&lt;20,0,'CGS BD CAL'!M26)</f>
        <v>113.487582</v>
      </c>
      <c r="E26" s="327">
        <f>SUM('Individual BD'!K26+'Individual BD'!M26+'Individual BD'!N26)</f>
        <v>0</v>
      </c>
      <c r="F26" s="328">
        <v>0</v>
      </c>
      <c r="G26" s="329">
        <v>0</v>
      </c>
      <c r="H26" s="327">
        <v>0</v>
      </c>
      <c r="I26" s="334">
        <f>'SCADA Grid'!D27</f>
        <v>132.33</v>
      </c>
      <c r="J26" s="335">
        <f>'SCADA Grid'!C27</f>
        <v>50.04</v>
      </c>
      <c r="K26" s="336">
        <f>IEX!G34</f>
        <v>380.75</v>
      </c>
      <c r="L26" s="337">
        <v>3.35751</v>
      </c>
      <c r="M26" s="338">
        <f>RTM!G35</f>
        <v>281.14</v>
      </c>
      <c r="N26" s="337">
        <v>3.63756</v>
      </c>
      <c r="O26" s="339">
        <f t="shared" si="0"/>
        <v>1</v>
      </c>
      <c r="P26" s="339">
        <f t="shared" si="1"/>
        <v>1</v>
      </c>
      <c r="Q26" s="339">
        <f t="shared" si="2"/>
        <v>0</v>
      </c>
    </row>
    <row r="27" ht="22.5" customHeight="1" spans="1:19">
      <c r="A27" s="326">
        <v>25</v>
      </c>
      <c r="B27" s="326" t="s">
        <v>38</v>
      </c>
      <c r="C27" s="327">
        <f>SUM('Individual BD'!C27:N27)-'Individual BD'!K27-'Individual BD'!M27-'Individual BD'!N27</f>
        <v>632.99</v>
      </c>
      <c r="D27" s="327">
        <f>IF('CGS BD CAL'!M27&lt;20,0,'CGS BD CAL'!M27)</f>
        <v>25.607582</v>
      </c>
      <c r="E27" s="327">
        <f>SUM('Individual BD'!K27+'Individual BD'!M27+'Individual BD'!N27)</f>
        <v>0</v>
      </c>
      <c r="F27" s="328">
        <v>0</v>
      </c>
      <c r="G27" s="329">
        <v>0</v>
      </c>
      <c r="H27" s="327">
        <v>0</v>
      </c>
      <c r="I27" s="334">
        <f>'SCADA Grid'!D28</f>
        <v>-319.39</v>
      </c>
      <c r="J27" s="335">
        <f>'SCADA Grid'!C28</f>
        <v>50.08</v>
      </c>
      <c r="K27" s="336">
        <f>IEX!G35</f>
        <v>571.16</v>
      </c>
      <c r="L27" s="337">
        <v>3.83104</v>
      </c>
      <c r="M27" s="338">
        <f>RTM!G36</f>
        <v>380.71</v>
      </c>
      <c r="N27" s="337">
        <v>3.68073</v>
      </c>
      <c r="O27" s="339">
        <f t="shared" si="0"/>
        <v>1</v>
      </c>
      <c r="P27" s="339">
        <f t="shared" si="1"/>
        <v>1</v>
      </c>
      <c r="Q27" s="339">
        <f t="shared" si="2"/>
        <v>0</v>
      </c>
      <c r="S27" s="340"/>
    </row>
    <row r="28" ht="22.5" customHeight="1" spans="1:19">
      <c r="A28" s="326">
        <v>26</v>
      </c>
      <c r="B28" s="326" t="s">
        <v>39</v>
      </c>
      <c r="C28" s="327">
        <f>SUM('Individual BD'!C28:N28)-'Individual BD'!K28-'Individual BD'!M28-'Individual BD'!N28</f>
        <v>303.52</v>
      </c>
      <c r="D28" s="327">
        <f>IF('CGS BD CAL'!M28&lt;20,0,'CGS BD CAL'!M28)</f>
        <v>0</v>
      </c>
      <c r="E28" s="327">
        <f>SUM('Individual BD'!K28+'Individual BD'!M28+'Individual BD'!N28)</f>
        <v>0</v>
      </c>
      <c r="F28" s="328">
        <v>0</v>
      </c>
      <c r="G28" s="329">
        <v>0</v>
      </c>
      <c r="H28" s="327">
        <v>0</v>
      </c>
      <c r="I28" s="334">
        <f>'SCADA Grid'!D29</f>
        <v>-440.29</v>
      </c>
      <c r="J28" s="335">
        <f>'SCADA Grid'!C29</f>
        <v>50.03</v>
      </c>
      <c r="K28" s="336">
        <f>IEX!G36</f>
        <v>1142.29</v>
      </c>
      <c r="L28" s="337">
        <v>4.14709</v>
      </c>
      <c r="M28" s="338">
        <f>RTM!G37</f>
        <v>190.37</v>
      </c>
      <c r="N28" s="337">
        <v>4.00056</v>
      </c>
      <c r="O28" s="339">
        <f t="shared" si="0"/>
        <v>1</v>
      </c>
      <c r="P28" s="339">
        <f t="shared" si="1"/>
        <v>0</v>
      </c>
      <c r="Q28" s="339">
        <f t="shared" si="2"/>
        <v>0</v>
      </c>
      <c r="S28" s="340"/>
    </row>
    <row r="29" ht="22.5" customHeight="1" spans="1:19">
      <c r="A29" s="326">
        <v>27</v>
      </c>
      <c r="B29" s="326" t="s">
        <v>40</v>
      </c>
      <c r="C29" s="327">
        <f>SUM('Individual BD'!C29:N29)-'Individual BD'!K29-'Individual BD'!M29-'Individual BD'!N29</f>
        <v>301.06</v>
      </c>
      <c r="D29" s="327">
        <f>IF('CGS BD CAL'!M29&lt;20,0,'CGS BD CAL'!M29)</f>
        <v>0</v>
      </c>
      <c r="E29" s="327">
        <f>SUM('Individual BD'!K29+'Individual BD'!M29+'Individual BD'!N29)</f>
        <v>0</v>
      </c>
      <c r="F29" s="328">
        <v>0</v>
      </c>
      <c r="G29" s="329">
        <v>0</v>
      </c>
      <c r="H29" s="327">
        <v>0</v>
      </c>
      <c r="I29" s="334">
        <f>'SCADA Grid'!D30</f>
        <v>-499.45</v>
      </c>
      <c r="J29" s="335">
        <f>'SCADA Grid'!C30</f>
        <v>50.02</v>
      </c>
      <c r="K29" s="336">
        <f>IEX!G37</f>
        <v>1332.66</v>
      </c>
      <c r="L29" s="337">
        <v>4.69375</v>
      </c>
      <c r="M29" s="338">
        <f>RTM!G38</f>
        <v>277.46</v>
      </c>
      <c r="N29" s="337">
        <v>4.85082</v>
      </c>
      <c r="O29" s="339">
        <f t="shared" si="0"/>
        <v>1</v>
      </c>
      <c r="P29" s="339">
        <f t="shared" si="1"/>
        <v>0</v>
      </c>
      <c r="Q29" s="339">
        <f t="shared" si="2"/>
        <v>0</v>
      </c>
      <c r="S29" s="340"/>
    </row>
    <row r="30" ht="22.5" customHeight="1" spans="1:19">
      <c r="A30" s="326">
        <v>28</v>
      </c>
      <c r="B30" s="326" t="s">
        <v>41</v>
      </c>
      <c r="C30" s="327">
        <f>SUM('Individual BD'!C30:N30)-'Individual BD'!K30-'Individual BD'!M30-'Individual BD'!N30</f>
        <v>359.08</v>
      </c>
      <c r="D30" s="327">
        <f>IF('CGS BD CAL'!M30&lt;20,0,'CGS BD CAL'!M30)</f>
        <v>0</v>
      </c>
      <c r="E30" s="327">
        <f>SUM('Individual BD'!K30+'Individual BD'!M30+'Individual BD'!N30)</f>
        <v>0</v>
      </c>
      <c r="F30" s="328">
        <v>0</v>
      </c>
      <c r="G30" s="329">
        <v>0</v>
      </c>
      <c r="H30" s="327">
        <v>0</v>
      </c>
      <c r="I30" s="334">
        <f>'SCADA Grid'!D31</f>
        <v>-503.9</v>
      </c>
      <c r="J30" s="335">
        <f>'SCADA Grid'!C31</f>
        <v>50.04</v>
      </c>
      <c r="K30" s="336">
        <f>IEX!G38</f>
        <v>1332.66</v>
      </c>
      <c r="L30" s="337">
        <v>5.00136</v>
      </c>
      <c r="M30" s="338">
        <f>RTM!G39</f>
        <v>463.94</v>
      </c>
      <c r="N30" s="337">
        <v>5.26106</v>
      </c>
      <c r="O30" s="339">
        <f t="shared" si="0"/>
        <v>1</v>
      </c>
      <c r="P30" s="339">
        <f t="shared" si="1"/>
        <v>0</v>
      </c>
      <c r="Q30" s="339">
        <f t="shared" si="2"/>
        <v>0</v>
      </c>
      <c r="S30" s="340"/>
    </row>
    <row r="31" ht="22.5" customHeight="1" spans="1:17">
      <c r="A31" s="326">
        <v>29</v>
      </c>
      <c r="B31" s="326" t="s">
        <v>42</v>
      </c>
      <c r="C31" s="327">
        <f>SUM('Individual BD'!C31:N31)-'Individual BD'!K31-'Individual BD'!M31-'Individual BD'!N31</f>
        <v>506.85</v>
      </c>
      <c r="D31" s="327">
        <f>IF('CGS BD CAL'!M31&lt;20,0,'CGS BD CAL'!M31)</f>
        <v>0</v>
      </c>
      <c r="E31" s="327">
        <f>SUM('Individual BD'!K31+'Individual BD'!M31+'Individual BD'!N31)</f>
        <v>0</v>
      </c>
      <c r="F31" s="328">
        <v>0</v>
      </c>
      <c r="G31" s="329">
        <v>0</v>
      </c>
      <c r="H31" s="327">
        <v>0</v>
      </c>
      <c r="I31" s="334">
        <f>'SCADA Grid'!D32</f>
        <v>-330.06</v>
      </c>
      <c r="J31" s="335">
        <f>'SCADA Grid'!C32</f>
        <v>50.05</v>
      </c>
      <c r="K31" s="336">
        <f>IEX!G39</f>
        <v>1237.47</v>
      </c>
      <c r="L31" s="337">
        <v>6.50068</v>
      </c>
      <c r="M31" s="338">
        <f>RTM!G40</f>
        <v>281.65</v>
      </c>
      <c r="N31" s="337">
        <v>5.82491</v>
      </c>
      <c r="O31" s="339">
        <f t="shared" si="0"/>
        <v>1</v>
      </c>
      <c r="P31" s="339">
        <f t="shared" si="1"/>
        <v>0</v>
      </c>
      <c r="Q31" s="339">
        <f t="shared" si="2"/>
        <v>0</v>
      </c>
    </row>
    <row r="32" ht="22.5" customHeight="1" spans="1:17">
      <c r="A32" s="326">
        <v>30</v>
      </c>
      <c r="B32" s="326" t="s">
        <v>43</v>
      </c>
      <c r="C32" s="327">
        <f>SUM('Individual BD'!C32:N32)-'Individual BD'!K32-'Individual BD'!M32-'Individual BD'!N32</f>
        <v>622.69</v>
      </c>
      <c r="D32" s="327">
        <f>IF('CGS BD CAL'!M32&lt;20,0,'CGS BD CAL'!M32)</f>
        <v>0</v>
      </c>
      <c r="E32" s="327">
        <f>SUM('Individual BD'!K32+'Individual BD'!M32+'Individual BD'!N32)</f>
        <v>0</v>
      </c>
      <c r="F32" s="328">
        <v>0</v>
      </c>
      <c r="G32" s="329">
        <v>0</v>
      </c>
      <c r="H32" s="327">
        <v>0</v>
      </c>
      <c r="I32" s="334">
        <f>'SCADA Grid'!D33</f>
        <v>-271.8</v>
      </c>
      <c r="J32" s="335">
        <f>'SCADA Grid'!C33</f>
        <v>49.98</v>
      </c>
      <c r="K32" s="336">
        <f>IEX!G40</f>
        <v>1279.99</v>
      </c>
      <c r="L32" s="337">
        <v>10</v>
      </c>
      <c r="M32" s="338">
        <f>RTM!G41</f>
        <v>373.62</v>
      </c>
      <c r="N32" s="337">
        <v>6.49974</v>
      </c>
      <c r="O32" s="339">
        <f t="shared" si="0"/>
        <v>1</v>
      </c>
      <c r="P32" s="339">
        <f t="shared" si="1"/>
        <v>0</v>
      </c>
      <c r="Q32" s="339">
        <f t="shared" si="2"/>
        <v>0</v>
      </c>
    </row>
    <row r="33" ht="22.5" customHeight="1" spans="1:17">
      <c r="A33" s="326">
        <v>31</v>
      </c>
      <c r="B33" s="326" t="s">
        <v>44</v>
      </c>
      <c r="C33" s="327">
        <f>SUM('Individual BD'!C33:N33)-'Individual BD'!K33-'Individual BD'!M33-'Individual BD'!N33</f>
        <v>685.14</v>
      </c>
      <c r="D33" s="327">
        <f>IF('CGS BD CAL'!M33&lt;20,0,'CGS BD CAL'!M33)</f>
        <v>0</v>
      </c>
      <c r="E33" s="327">
        <f>SUM('Individual BD'!K33+'Individual BD'!M33+'Individual BD'!N33)</f>
        <v>0</v>
      </c>
      <c r="F33" s="328">
        <v>0</v>
      </c>
      <c r="G33" s="329">
        <v>0</v>
      </c>
      <c r="H33" s="327">
        <v>0</v>
      </c>
      <c r="I33" s="334">
        <f>'SCADA Grid'!D34</f>
        <v>-66.37</v>
      </c>
      <c r="J33" s="335">
        <f>'SCADA Grid'!C34</f>
        <v>50</v>
      </c>
      <c r="K33" s="336">
        <f>IEX!G41</f>
        <v>1188.56</v>
      </c>
      <c r="L33" s="337">
        <v>10</v>
      </c>
      <c r="M33" s="338">
        <f>RTM!G42</f>
        <v>257.93</v>
      </c>
      <c r="N33" s="337">
        <v>10</v>
      </c>
      <c r="O33" s="339">
        <f t="shared" si="0"/>
        <v>1</v>
      </c>
      <c r="P33" s="339">
        <f t="shared" si="1"/>
        <v>0</v>
      </c>
      <c r="Q33" s="339">
        <f t="shared" si="2"/>
        <v>0</v>
      </c>
    </row>
    <row r="34" ht="22.5" customHeight="1" spans="1:17">
      <c r="A34" s="326">
        <v>32</v>
      </c>
      <c r="B34" s="326" t="s">
        <v>45</v>
      </c>
      <c r="C34" s="327">
        <f>SUM('Individual BD'!C34:N34)-'Individual BD'!K34-'Individual BD'!M34-'Individual BD'!N34</f>
        <v>280.82</v>
      </c>
      <c r="D34" s="327">
        <f>IF('CGS BD CAL'!M34&lt;20,0,'CGS BD CAL'!M34)</f>
        <v>0</v>
      </c>
      <c r="E34" s="327">
        <f>SUM('Individual BD'!K34+'Individual BD'!M34+'Individual BD'!N34)</f>
        <v>0</v>
      </c>
      <c r="F34" s="328">
        <v>0</v>
      </c>
      <c r="G34" s="329">
        <v>0</v>
      </c>
      <c r="H34" s="327">
        <v>0</v>
      </c>
      <c r="I34" s="334">
        <f>'SCADA Grid'!D35</f>
        <v>-172.4</v>
      </c>
      <c r="J34" s="335">
        <f>'SCADA Grid'!C35</f>
        <v>50.07</v>
      </c>
      <c r="K34" s="336">
        <f>IEX!G42</f>
        <v>1142.28</v>
      </c>
      <c r="L34" s="337">
        <v>10</v>
      </c>
      <c r="M34" s="338">
        <f>RTM!G43</f>
        <v>156.74</v>
      </c>
      <c r="N34" s="337">
        <v>10</v>
      </c>
      <c r="O34" s="339">
        <f t="shared" si="0"/>
        <v>1</v>
      </c>
      <c r="P34" s="339">
        <f t="shared" si="1"/>
        <v>0</v>
      </c>
      <c r="Q34" s="339">
        <f t="shared" si="2"/>
        <v>0</v>
      </c>
    </row>
    <row r="35" ht="22.5" customHeight="1" spans="1:17">
      <c r="A35" s="326">
        <v>33</v>
      </c>
      <c r="B35" s="326" t="s">
        <v>46</v>
      </c>
      <c r="C35" s="327">
        <f>SUM('Individual BD'!C35:N35)-'Individual BD'!K35-'Individual BD'!M35-'Individual BD'!N35</f>
        <v>0</v>
      </c>
      <c r="D35" s="327">
        <f>IF('CGS BD CAL'!M35&lt;20,0,'CGS BD CAL'!M35)</f>
        <v>0</v>
      </c>
      <c r="E35" s="327">
        <f>SUM('Individual BD'!K35+'Individual BD'!M35+'Individual BD'!N35)</f>
        <v>0</v>
      </c>
      <c r="F35" s="328">
        <v>0</v>
      </c>
      <c r="G35" s="329">
        <v>0</v>
      </c>
      <c r="H35" s="327">
        <v>0</v>
      </c>
      <c r="I35" s="334">
        <f>'SCADA Grid'!D36</f>
        <v>151.77</v>
      </c>
      <c r="J35" s="335">
        <f>'SCADA Grid'!C36</f>
        <v>50.06</v>
      </c>
      <c r="K35" s="336">
        <f>IEX!G43</f>
        <v>1142.28</v>
      </c>
      <c r="L35" s="337">
        <v>10</v>
      </c>
      <c r="M35" s="338">
        <f>RTM!G44</f>
        <v>0</v>
      </c>
      <c r="N35" s="337">
        <v>10</v>
      </c>
      <c r="O35" s="339">
        <f t="shared" si="0"/>
        <v>0</v>
      </c>
      <c r="P35" s="339">
        <f t="shared" si="1"/>
        <v>0</v>
      </c>
      <c r="Q35" s="339">
        <f t="shared" si="2"/>
        <v>0</v>
      </c>
    </row>
    <row r="36" ht="22.5" customHeight="1" spans="1:17">
      <c r="A36" s="326">
        <v>34</v>
      </c>
      <c r="B36" s="326" t="s">
        <v>47</v>
      </c>
      <c r="C36" s="327">
        <f>SUM('Individual BD'!C36:N36)-'Individual BD'!K36-'Individual BD'!M36-'Individual BD'!N36</f>
        <v>0</v>
      </c>
      <c r="D36" s="327">
        <f>IF('CGS BD CAL'!M36&lt;20,0,'CGS BD CAL'!M36)</f>
        <v>0</v>
      </c>
      <c r="E36" s="327">
        <f>SUM('Individual BD'!K36+'Individual BD'!M36+'Individual BD'!N36)</f>
        <v>0</v>
      </c>
      <c r="F36" s="328">
        <v>0</v>
      </c>
      <c r="G36" s="329">
        <v>0</v>
      </c>
      <c r="H36" s="327">
        <v>0</v>
      </c>
      <c r="I36" s="334">
        <f>'SCADA Grid'!D37</f>
        <v>152.19</v>
      </c>
      <c r="J36" s="335">
        <f>'SCADA Grid'!C37</f>
        <v>50.1</v>
      </c>
      <c r="K36" s="336">
        <f>IEX!G44</f>
        <v>1244.69</v>
      </c>
      <c r="L36" s="337">
        <v>10</v>
      </c>
      <c r="M36" s="338">
        <f>RTM!G45</f>
        <v>0</v>
      </c>
      <c r="N36" s="337">
        <v>10</v>
      </c>
      <c r="O36" s="339">
        <f t="shared" ref="O36:O67" si="3">IF(AND(C36&gt;1,OR($K36&gt;100,$M36&gt;100)),1,0)</f>
        <v>0</v>
      </c>
      <c r="P36" s="339">
        <f t="shared" ref="P36:P67" si="4">IF(AND(D36&gt;1,OR($K36&gt;100,$M36&gt;100)),1,0)</f>
        <v>0</v>
      </c>
      <c r="Q36" s="339">
        <f t="shared" ref="Q36:Q67" si="5">IF(AND(E36&gt;1,OR($K36&gt;100,$M36&gt;100)),1,0)</f>
        <v>0</v>
      </c>
    </row>
    <row r="37" ht="22.5" customHeight="1" spans="1:17">
      <c r="A37" s="326">
        <v>35</v>
      </c>
      <c r="B37" s="326" t="s">
        <v>48</v>
      </c>
      <c r="C37" s="327">
        <f>SUM('Individual BD'!C37:N37)-'Individual BD'!K37-'Individual BD'!M37-'Individual BD'!N37</f>
        <v>0</v>
      </c>
      <c r="D37" s="327">
        <f>IF('CGS BD CAL'!M37&lt;20,0,'CGS BD CAL'!M37)</f>
        <v>0</v>
      </c>
      <c r="E37" s="327">
        <f>SUM('Individual BD'!K37+'Individual BD'!M37+'Individual BD'!N37)</f>
        <v>0</v>
      </c>
      <c r="F37" s="328">
        <v>0</v>
      </c>
      <c r="G37" s="329">
        <v>0</v>
      </c>
      <c r="H37" s="327">
        <v>0</v>
      </c>
      <c r="I37" s="334">
        <f>'SCADA Grid'!D38</f>
        <v>53.42</v>
      </c>
      <c r="J37" s="335">
        <f>'SCADA Grid'!C38</f>
        <v>50.18</v>
      </c>
      <c r="K37" s="336">
        <f>IEX!G45</f>
        <v>1303.57</v>
      </c>
      <c r="L37" s="337">
        <v>10</v>
      </c>
      <c r="M37" s="338">
        <f>RTM!G46</f>
        <v>0</v>
      </c>
      <c r="N37" s="337">
        <v>6.20077</v>
      </c>
      <c r="O37" s="339">
        <f t="shared" si="3"/>
        <v>0</v>
      </c>
      <c r="P37" s="339">
        <f t="shared" si="4"/>
        <v>0</v>
      </c>
      <c r="Q37" s="339">
        <f t="shared" si="5"/>
        <v>0</v>
      </c>
    </row>
    <row r="38" ht="22.5" customHeight="1" spans="1:17">
      <c r="A38" s="326">
        <v>36</v>
      </c>
      <c r="B38" s="326" t="s">
        <v>49</v>
      </c>
      <c r="C38" s="327">
        <f>SUM('Individual BD'!C38:N38)-'Individual BD'!K38-'Individual BD'!M38-'Individual BD'!N38</f>
        <v>0</v>
      </c>
      <c r="D38" s="327">
        <f>IF('CGS BD CAL'!M38&lt;20,0,'CGS BD CAL'!M38)</f>
        <v>0</v>
      </c>
      <c r="E38" s="327">
        <f>SUM('Individual BD'!K38+'Individual BD'!M38+'Individual BD'!N38)</f>
        <v>0</v>
      </c>
      <c r="F38" s="328">
        <v>0</v>
      </c>
      <c r="G38" s="329">
        <v>0</v>
      </c>
      <c r="H38" s="327">
        <v>0</v>
      </c>
      <c r="I38" s="334">
        <f>'SCADA Grid'!D39</f>
        <v>56.32</v>
      </c>
      <c r="J38" s="335">
        <f>'SCADA Grid'!C39</f>
        <v>50.25</v>
      </c>
      <c r="K38" s="336">
        <f>IEX!G46</f>
        <v>1315.34</v>
      </c>
      <c r="L38" s="337">
        <v>10</v>
      </c>
      <c r="M38" s="338">
        <f>RTM!G47</f>
        <v>0</v>
      </c>
      <c r="N38" s="337">
        <v>6.49921</v>
      </c>
      <c r="O38" s="339">
        <f t="shared" si="3"/>
        <v>0</v>
      </c>
      <c r="P38" s="339">
        <f t="shared" si="4"/>
        <v>0</v>
      </c>
      <c r="Q38" s="339">
        <f t="shared" si="5"/>
        <v>0</v>
      </c>
    </row>
    <row r="39" s="1" customFormat="1" ht="22.5" customHeight="1" spans="1:16370">
      <c r="A39" s="326">
        <v>37</v>
      </c>
      <c r="B39" s="326" t="s">
        <v>50</v>
      </c>
      <c r="C39" s="327">
        <f>SUM('Individual BD'!C39:N39)-'Individual BD'!K39-'Individual BD'!M39-'Individual BD'!N39</f>
        <v>0</v>
      </c>
      <c r="D39" s="327">
        <f>IF('CGS BD CAL'!M39&lt;20,0,'CGS BD CAL'!M39)</f>
        <v>0</v>
      </c>
      <c r="E39" s="327">
        <f>SUM('Individual BD'!K39+'Individual BD'!M39+'Individual BD'!N39)</f>
        <v>0</v>
      </c>
      <c r="F39" s="328">
        <v>0</v>
      </c>
      <c r="G39" s="329">
        <v>0</v>
      </c>
      <c r="H39" s="327">
        <v>0</v>
      </c>
      <c r="I39" s="334">
        <f>'SCADA Grid'!D40</f>
        <v>23.81</v>
      </c>
      <c r="J39" s="335">
        <f>'SCADA Grid'!C40</f>
        <v>50.22</v>
      </c>
      <c r="K39" s="336">
        <f>IEX!G47</f>
        <v>1618.23</v>
      </c>
      <c r="L39" s="337">
        <v>6.82808</v>
      </c>
      <c r="M39" s="338">
        <f>RTM!G48</f>
        <v>95.19</v>
      </c>
      <c r="N39" s="337">
        <v>5.65098</v>
      </c>
      <c r="O39" s="339">
        <f t="shared" si="3"/>
        <v>0</v>
      </c>
      <c r="P39" s="339">
        <f t="shared" si="4"/>
        <v>0</v>
      </c>
      <c r="Q39" s="339">
        <f t="shared" si="5"/>
        <v>0</v>
      </c>
      <c r="R39" s="317"/>
      <c r="S39" s="317"/>
      <c r="T39" s="317"/>
      <c r="U39" s="317"/>
      <c r="V39" s="317"/>
      <c r="W39" s="317"/>
      <c r="X39" s="317"/>
      <c r="Y39" s="317"/>
      <c r="Z39" s="317"/>
      <c r="AA39" s="317"/>
      <c r="AB39" s="317"/>
      <c r="AC39" s="317"/>
      <c r="AD39" s="317"/>
      <c r="AE39" s="317"/>
      <c r="AF39" s="317"/>
      <c r="AG39" s="317"/>
      <c r="AH39" s="317"/>
      <c r="AI39" s="317"/>
      <c r="AJ39" s="317"/>
      <c r="AK39" s="317"/>
      <c r="AL39" s="317"/>
      <c r="AM39" s="317"/>
      <c r="AN39" s="317"/>
      <c r="AO39" s="317"/>
      <c r="AP39" s="317"/>
      <c r="AQ39" s="317"/>
      <c r="AR39" s="317"/>
      <c r="AS39" s="317"/>
      <c r="AT39" s="317"/>
      <c r="AU39" s="317"/>
      <c r="AV39" s="317"/>
      <c r="AW39" s="317"/>
      <c r="AX39" s="317"/>
      <c r="AY39" s="317"/>
      <c r="AZ39" s="317"/>
      <c r="BA39" s="317"/>
      <c r="BB39" s="317"/>
      <c r="BC39" s="317"/>
      <c r="BD39" s="317"/>
      <c r="BE39" s="317"/>
      <c r="BF39" s="317"/>
      <c r="BG39" s="317"/>
      <c r="BH39" s="317"/>
      <c r="BI39" s="317"/>
      <c r="BJ39" s="317"/>
      <c r="BK39" s="317"/>
      <c r="BL39" s="317"/>
      <c r="BM39" s="317"/>
      <c r="BN39" s="317"/>
      <c r="BO39" s="317"/>
      <c r="BP39" s="317"/>
      <c r="BQ39" s="317"/>
      <c r="BR39" s="317"/>
      <c r="BS39" s="317"/>
      <c r="BT39" s="317"/>
      <c r="BU39" s="317"/>
      <c r="BV39" s="317"/>
      <c r="BW39" s="317"/>
      <c r="BX39" s="317"/>
      <c r="BY39" s="317"/>
      <c r="BZ39" s="317"/>
      <c r="CA39" s="317"/>
      <c r="CB39" s="317"/>
      <c r="CC39" s="317"/>
      <c r="CD39" s="317"/>
      <c r="CE39" s="317"/>
      <c r="CF39" s="317"/>
      <c r="CG39" s="317"/>
      <c r="CH39" s="317"/>
      <c r="CI39" s="317"/>
      <c r="CJ39" s="317"/>
      <c r="CK39" s="317"/>
      <c r="CL39" s="317"/>
      <c r="CM39" s="317"/>
      <c r="CN39" s="317"/>
      <c r="CO39" s="317"/>
      <c r="CP39" s="317"/>
      <c r="CQ39" s="317"/>
      <c r="CR39" s="317"/>
      <c r="CS39" s="317"/>
      <c r="CT39" s="317"/>
      <c r="CU39" s="317"/>
      <c r="CV39" s="317"/>
      <c r="CW39" s="317"/>
      <c r="CX39" s="317"/>
      <c r="CY39" s="317"/>
      <c r="CZ39" s="317"/>
      <c r="DA39" s="317"/>
      <c r="DB39" s="317"/>
      <c r="DC39" s="317"/>
      <c r="DD39" s="317"/>
      <c r="DE39" s="317"/>
      <c r="DF39" s="317"/>
      <c r="DG39" s="317"/>
      <c r="DH39" s="317"/>
      <c r="DI39" s="317"/>
      <c r="DJ39" s="317"/>
      <c r="DK39" s="317"/>
      <c r="DL39" s="317"/>
      <c r="DM39" s="317"/>
      <c r="DN39" s="317"/>
      <c r="DO39" s="317"/>
      <c r="DP39" s="317"/>
      <c r="DQ39" s="317"/>
      <c r="DR39" s="317"/>
      <c r="DS39" s="317"/>
      <c r="DT39" s="317"/>
      <c r="DU39" s="317"/>
      <c r="DV39" s="317"/>
      <c r="DW39" s="317"/>
      <c r="DX39" s="317"/>
      <c r="DY39" s="317"/>
      <c r="DZ39" s="317"/>
      <c r="EA39" s="317"/>
      <c r="EB39" s="317"/>
      <c r="EC39" s="317"/>
      <c r="ED39" s="317"/>
      <c r="EE39" s="317"/>
      <c r="EF39" s="317"/>
      <c r="EG39" s="317"/>
      <c r="EH39" s="317"/>
      <c r="EI39" s="317"/>
      <c r="EJ39" s="317"/>
      <c r="EK39" s="317"/>
      <c r="EL39" s="317"/>
      <c r="EM39" s="317"/>
      <c r="EN39" s="317"/>
      <c r="EO39" s="317"/>
      <c r="EP39" s="317"/>
      <c r="EQ39" s="317"/>
      <c r="ER39" s="317"/>
      <c r="ES39" s="317"/>
      <c r="ET39" s="317"/>
      <c r="EU39" s="317"/>
      <c r="EV39" s="317"/>
      <c r="EW39" s="317"/>
      <c r="EX39" s="317"/>
      <c r="EY39" s="317"/>
      <c r="EZ39" s="317"/>
      <c r="FA39" s="317"/>
      <c r="FB39" s="317"/>
      <c r="FC39" s="317"/>
      <c r="FD39" s="317"/>
      <c r="FE39" s="317"/>
      <c r="FF39" s="317"/>
      <c r="FG39" s="317"/>
      <c r="FH39" s="317"/>
      <c r="FI39" s="317"/>
      <c r="FJ39" s="317"/>
      <c r="FK39" s="317"/>
      <c r="FL39" s="317"/>
      <c r="FM39" s="317"/>
      <c r="FN39" s="317"/>
      <c r="FO39" s="317"/>
      <c r="FP39" s="317"/>
      <c r="FQ39" s="317"/>
      <c r="FR39" s="317"/>
      <c r="FS39" s="317"/>
      <c r="FT39" s="317"/>
      <c r="FU39" s="317"/>
      <c r="FV39" s="317"/>
      <c r="FW39" s="317"/>
      <c r="FX39" s="317"/>
      <c r="FY39" s="317"/>
      <c r="FZ39" s="317"/>
      <c r="GA39" s="317"/>
      <c r="GB39" s="317"/>
      <c r="GC39" s="317"/>
      <c r="GD39" s="317"/>
      <c r="GE39" s="317"/>
      <c r="GF39" s="317"/>
      <c r="GG39" s="317"/>
      <c r="GH39" s="317"/>
      <c r="GI39" s="317"/>
      <c r="GJ39" s="317"/>
      <c r="GK39" s="317"/>
      <c r="GL39" s="317"/>
      <c r="GM39" s="317"/>
      <c r="GN39" s="317"/>
      <c r="GO39" s="317"/>
      <c r="GP39" s="317"/>
      <c r="GQ39" s="317"/>
      <c r="GR39" s="317"/>
      <c r="GS39" s="317"/>
      <c r="GT39" s="317"/>
      <c r="GU39" s="317"/>
      <c r="GV39" s="317"/>
      <c r="GW39" s="317"/>
      <c r="GX39" s="317"/>
      <c r="GY39" s="317"/>
      <c r="GZ39" s="317"/>
      <c r="HA39" s="317"/>
      <c r="HB39" s="317"/>
      <c r="HC39" s="317"/>
      <c r="HD39" s="317"/>
      <c r="HE39" s="317"/>
      <c r="HF39" s="317"/>
      <c r="HG39" s="317"/>
      <c r="HH39" s="317"/>
      <c r="HI39" s="317"/>
      <c r="HJ39" s="317"/>
      <c r="HK39" s="317"/>
      <c r="HL39" s="317"/>
      <c r="HM39" s="317"/>
      <c r="HN39" s="317"/>
      <c r="HO39" s="317"/>
      <c r="HP39" s="317"/>
      <c r="HQ39" s="317"/>
      <c r="HR39" s="317"/>
      <c r="HS39" s="317"/>
      <c r="HT39" s="317"/>
      <c r="HU39" s="317"/>
      <c r="HV39" s="317"/>
      <c r="HW39" s="317"/>
      <c r="HX39" s="317"/>
      <c r="HY39" s="317"/>
      <c r="HZ39" s="317"/>
      <c r="IA39" s="317"/>
      <c r="IB39" s="317"/>
      <c r="IC39" s="317"/>
      <c r="ID39" s="317"/>
      <c r="IE39" s="317"/>
      <c r="IF39" s="317"/>
      <c r="IG39" s="317"/>
      <c r="IH39" s="317"/>
      <c r="II39" s="317"/>
      <c r="IJ39" s="317"/>
      <c r="IK39" s="317"/>
      <c r="IL39" s="317"/>
      <c r="IM39" s="317"/>
      <c r="IN39" s="317"/>
      <c r="IO39" s="317"/>
      <c r="IP39" s="317"/>
      <c r="IQ39" s="317"/>
      <c r="IR39" s="317"/>
      <c r="IS39" s="317"/>
      <c r="IT39" s="317"/>
      <c r="IU39" s="317"/>
      <c r="IV39" s="317"/>
      <c r="IW39" s="317"/>
      <c r="IX39" s="317"/>
      <c r="IY39" s="317"/>
      <c r="IZ39" s="317"/>
      <c r="JA39" s="317"/>
      <c r="JB39" s="317"/>
      <c r="JC39" s="317"/>
      <c r="JD39" s="317"/>
      <c r="JE39" s="317"/>
      <c r="JF39" s="317"/>
      <c r="JG39" s="317"/>
      <c r="JH39" s="317"/>
      <c r="JI39" s="317"/>
      <c r="JJ39" s="317"/>
      <c r="JK39" s="317"/>
      <c r="JL39" s="317"/>
      <c r="JM39" s="317"/>
      <c r="JN39" s="317"/>
      <c r="JO39" s="317"/>
      <c r="JP39" s="317"/>
      <c r="JQ39" s="317"/>
      <c r="JR39" s="317"/>
      <c r="JS39" s="317"/>
      <c r="JT39" s="317"/>
      <c r="JU39" s="317"/>
      <c r="JV39" s="317"/>
      <c r="JW39" s="317"/>
      <c r="JX39" s="317"/>
      <c r="JY39" s="317"/>
      <c r="JZ39" s="317"/>
      <c r="KA39" s="317"/>
      <c r="KB39" s="317"/>
      <c r="KC39" s="317"/>
      <c r="KD39" s="317"/>
      <c r="KE39" s="317"/>
      <c r="KF39" s="317"/>
      <c r="KG39" s="317"/>
      <c r="KH39" s="317"/>
      <c r="KI39" s="317"/>
      <c r="KJ39" s="317"/>
      <c r="KK39" s="317"/>
      <c r="KL39" s="317"/>
      <c r="KM39" s="317"/>
      <c r="KN39" s="317"/>
      <c r="KO39" s="317"/>
      <c r="KP39" s="317"/>
      <c r="KQ39" s="317"/>
      <c r="KR39" s="317"/>
      <c r="KS39" s="317"/>
      <c r="KT39" s="317"/>
      <c r="KU39" s="317"/>
      <c r="KV39" s="317"/>
      <c r="KW39" s="317"/>
      <c r="KX39" s="317"/>
      <c r="KY39" s="317"/>
      <c r="KZ39" s="317"/>
      <c r="LA39" s="317"/>
      <c r="LB39" s="317"/>
      <c r="LC39" s="317"/>
      <c r="LD39" s="317"/>
      <c r="LE39" s="317"/>
      <c r="LF39" s="317"/>
      <c r="LG39" s="317"/>
      <c r="LH39" s="317"/>
      <c r="LI39" s="317"/>
      <c r="LJ39" s="317"/>
      <c r="LK39" s="317"/>
      <c r="LL39" s="317"/>
      <c r="LM39" s="317"/>
      <c r="LN39" s="317"/>
      <c r="LO39" s="317"/>
      <c r="LP39" s="317"/>
      <c r="LQ39" s="317"/>
      <c r="LR39" s="317"/>
      <c r="LS39" s="317"/>
      <c r="LT39" s="317"/>
      <c r="LU39" s="317"/>
      <c r="LV39" s="317"/>
      <c r="LW39" s="317"/>
      <c r="LX39" s="317"/>
      <c r="LY39" s="317"/>
      <c r="LZ39" s="317"/>
      <c r="MA39" s="317"/>
      <c r="MB39" s="317"/>
      <c r="MC39" s="317"/>
      <c r="MD39" s="317"/>
      <c r="ME39" s="317"/>
      <c r="MF39" s="317"/>
      <c r="MG39" s="317"/>
      <c r="MH39" s="317"/>
      <c r="MI39" s="317"/>
      <c r="MJ39" s="317"/>
      <c r="MK39" s="317"/>
      <c r="ML39" s="317"/>
      <c r="MM39" s="317"/>
      <c r="MN39" s="317"/>
      <c r="MO39" s="317"/>
      <c r="MP39" s="317"/>
      <c r="MQ39" s="317"/>
      <c r="MR39" s="317"/>
      <c r="MS39" s="317"/>
      <c r="MT39" s="317"/>
      <c r="MU39" s="317"/>
      <c r="MV39" s="317"/>
      <c r="MW39" s="317"/>
      <c r="MX39" s="317"/>
      <c r="MY39" s="317"/>
      <c r="MZ39" s="317"/>
      <c r="NA39" s="317"/>
      <c r="NB39" s="317"/>
      <c r="NC39" s="317"/>
      <c r="ND39" s="317"/>
      <c r="NE39" s="317"/>
      <c r="NF39" s="317"/>
      <c r="NG39" s="317"/>
      <c r="NH39" s="317"/>
      <c r="NI39" s="317"/>
      <c r="NJ39" s="317"/>
      <c r="NK39" s="317"/>
      <c r="NL39" s="317"/>
      <c r="NM39" s="317"/>
      <c r="NN39" s="317"/>
      <c r="NO39" s="317"/>
      <c r="NP39" s="317"/>
      <c r="NQ39" s="317"/>
      <c r="NR39" s="317"/>
      <c r="NS39" s="317"/>
      <c r="NT39" s="317"/>
      <c r="NU39" s="317"/>
      <c r="NV39" s="317"/>
      <c r="NW39" s="317"/>
      <c r="NX39" s="317"/>
      <c r="NY39" s="317"/>
      <c r="NZ39" s="317"/>
      <c r="OA39" s="317"/>
      <c r="OB39" s="317"/>
      <c r="OC39" s="317"/>
      <c r="OD39" s="317"/>
      <c r="OE39" s="317"/>
      <c r="OF39" s="317"/>
      <c r="OG39" s="317"/>
      <c r="OH39" s="317"/>
      <c r="OI39" s="317"/>
      <c r="OJ39" s="317"/>
      <c r="OK39" s="317"/>
      <c r="OL39" s="317"/>
      <c r="OM39" s="317"/>
      <c r="ON39" s="317"/>
      <c r="OO39" s="317"/>
      <c r="OP39" s="317"/>
      <c r="OQ39" s="317"/>
      <c r="OR39" s="317"/>
      <c r="OS39" s="317"/>
      <c r="OT39" s="317"/>
      <c r="OU39" s="317"/>
      <c r="OV39" s="317"/>
      <c r="OW39" s="317"/>
      <c r="OX39" s="317"/>
      <c r="OY39" s="317"/>
      <c r="OZ39" s="317"/>
      <c r="PA39" s="317"/>
      <c r="PB39" s="317"/>
      <c r="PC39" s="317"/>
      <c r="PD39" s="317"/>
      <c r="PE39" s="317"/>
      <c r="PF39" s="317"/>
      <c r="PG39" s="317"/>
      <c r="PH39" s="317"/>
      <c r="PI39" s="317"/>
      <c r="PJ39" s="317"/>
      <c r="PK39" s="317"/>
      <c r="PL39" s="317"/>
      <c r="PM39" s="317"/>
      <c r="PN39" s="317"/>
      <c r="PO39" s="317"/>
      <c r="PP39" s="317"/>
      <c r="PQ39" s="317"/>
      <c r="PR39" s="317"/>
      <c r="PS39" s="317"/>
      <c r="PT39" s="317"/>
      <c r="PU39" s="317"/>
      <c r="PV39" s="317"/>
      <c r="PW39" s="317"/>
      <c r="PX39" s="317"/>
      <c r="PY39" s="317"/>
      <c r="PZ39" s="317"/>
      <c r="QA39" s="317"/>
      <c r="QB39" s="317"/>
      <c r="QC39" s="317"/>
      <c r="QD39" s="317"/>
      <c r="QE39" s="317"/>
      <c r="QF39" s="317"/>
      <c r="QG39" s="317"/>
      <c r="QH39" s="317"/>
      <c r="QI39" s="317"/>
      <c r="QJ39" s="317"/>
      <c r="QK39" s="317"/>
      <c r="QL39" s="317"/>
      <c r="QM39" s="317"/>
      <c r="QN39" s="317"/>
      <c r="QO39" s="317"/>
      <c r="QP39" s="317"/>
      <c r="QQ39" s="317"/>
      <c r="QR39" s="317"/>
      <c r="QS39" s="317"/>
      <c r="QT39" s="317"/>
      <c r="QU39" s="317"/>
      <c r="QV39" s="317"/>
      <c r="QW39" s="317"/>
      <c r="QX39" s="317"/>
      <c r="QY39" s="317"/>
      <c r="QZ39" s="317"/>
      <c r="RA39" s="317"/>
      <c r="RB39" s="317"/>
      <c r="RC39" s="317"/>
      <c r="RD39" s="317"/>
      <c r="RE39" s="317"/>
      <c r="RF39" s="317"/>
      <c r="RG39" s="317"/>
      <c r="RH39" s="317"/>
      <c r="RI39" s="317"/>
      <c r="RJ39" s="317"/>
      <c r="RK39" s="317"/>
      <c r="RL39" s="317"/>
      <c r="RM39" s="317"/>
      <c r="RN39" s="317"/>
      <c r="RO39" s="317"/>
      <c r="RP39" s="317"/>
      <c r="RQ39" s="317"/>
      <c r="RR39" s="317"/>
      <c r="RS39" s="317"/>
      <c r="RT39" s="317"/>
      <c r="RU39" s="317"/>
      <c r="RV39" s="317"/>
      <c r="RW39" s="317"/>
      <c r="RX39" s="317"/>
      <c r="RY39" s="317"/>
      <c r="RZ39" s="317"/>
      <c r="SA39" s="317"/>
      <c r="SB39" s="317"/>
      <c r="SC39" s="317"/>
      <c r="SD39" s="317"/>
      <c r="SE39" s="317"/>
      <c r="SF39" s="317"/>
      <c r="SG39" s="317"/>
      <c r="SH39" s="317"/>
      <c r="SI39" s="317"/>
      <c r="SJ39" s="317"/>
      <c r="SK39" s="317"/>
      <c r="SL39" s="317"/>
      <c r="SM39" s="317"/>
      <c r="SN39" s="317"/>
      <c r="SO39" s="317"/>
      <c r="SP39" s="317"/>
      <c r="SQ39" s="317"/>
      <c r="SR39" s="317"/>
      <c r="SS39" s="317"/>
      <c r="ST39" s="317"/>
      <c r="SU39" s="317"/>
      <c r="SV39" s="317"/>
      <c r="SW39" s="317"/>
      <c r="SX39" s="317"/>
      <c r="SY39" s="317"/>
      <c r="SZ39" s="317"/>
      <c r="TA39" s="317"/>
      <c r="TB39" s="317"/>
      <c r="TC39" s="317"/>
      <c r="TD39" s="317"/>
      <c r="TE39" s="317"/>
      <c r="TF39" s="317"/>
      <c r="TG39" s="317"/>
      <c r="TH39" s="317"/>
      <c r="TI39" s="317"/>
      <c r="TJ39" s="317"/>
      <c r="TK39" s="317"/>
      <c r="TL39" s="317"/>
      <c r="TM39" s="317"/>
      <c r="TN39" s="317"/>
      <c r="TO39" s="317"/>
      <c r="TP39" s="317"/>
      <c r="TQ39" s="317"/>
      <c r="TR39" s="317"/>
      <c r="TS39" s="317"/>
      <c r="TT39" s="317"/>
      <c r="TU39" s="317"/>
      <c r="TV39" s="317"/>
      <c r="TW39" s="317"/>
      <c r="TX39" s="317"/>
      <c r="TY39" s="317"/>
      <c r="TZ39" s="317"/>
      <c r="UA39" s="317"/>
      <c r="UB39" s="317"/>
      <c r="UC39" s="317"/>
      <c r="UD39" s="317"/>
      <c r="UE39" s="317"/>
      <c r="UF39" s="317"/>
      <c r="UG39" s="317"/>
      <c r="UH39" s="317"/>
      <c r="UI39" s="317"/>
      <c r="UJ39" s="317"/>
      <c r="UK39" s="317"/>
      <c r="UL39" s="317"/>
      <c r="UM39" s="317"/>
      <c r="UN39" s="317"/>
      <c r="UO39" s="317"/>
      <c r="UP39" s="317"/>
      <c r="UQ39" s="317"/>
      <c r="UR39" s="317"/>
      <c r="US39" s="317"/>
      <c r="UT39" s="317"/>
      <c r="UU39" s="317"/>
      <c r="UV39" s="317"/>
      <c r="UW39" s="317"/>
      <c r="UX39" s="317"/>
      <c r="UY39" s="317"/>
      <c r="UZ39" s="317"/>
      <c r="VA39" s="317"/>
      <c r="VB39" s="317"/>
      <c r="VC39" s="317"/>
      <c r="VD39" s="317"/>
      <c r="VE39" s="317"/>
      <c r="VF39" s="317"/>
      <c r="VG39" s="317"/>
      <c r="VH39" s="317"/>
      <c r="VI39" s="317"/>
      <c r="VJ39" s="317"/>
      <c r="VK39" s="317"/>
      <c r="VL39" s="317"/>
      <c r="VM39" s="317"/>
      <c r="VN39" s="317"/>
      <c r="VO39" s="317"/>
      <c r="VP39" s="317"/>
      <c r="VQ39" s="317"/>
      <c r="VR39" s="317"/>
      <c r="VS39" s="317"/>
      <c r="VT39" s="317"/>
      <c r="VU39" s="317"/>
      <c r="VV39" s="317"/>
      <c r="VW39" s="317"/>
      <c r="VX39" s="317"/>
      <c r="VY39" s="317"/>
      <c r="VZ39" s="317"/>
      <c r="WA39" s="317"/>
      <c r="WB39" s="317"/>
      <c r="WC39" s="317"/>
      <c r="WD39" s="317"/>
      <c r="WE39" s="317"/>
      <c r="WF39" s="317"/>
      <c r="WG39" s="317"/>
      <c r="WH39" s="317"/>
      <c r="WI39" s="317"/>
      <c r="WJ39" s="317"/>
      <c r="WK39" s="317"/>
      <c r="WL39" s="317"/>
      <c r="WM39" s="317"/>
      <c r="WN39" s="317"/>
      <c r="WO39" s="317"/>
      <c r="WP39" s="317"/>
      <c r="WQ39" s="317"/>
      <c r="WR39" s="317"/>
      <c r="WS39" s="317"/>
      <c r="WT39" s="317"/>
      <c r="WU39" s="317"/>
      <c r="WV39" s="317"/>
      <c r="WW39" s="317"/>
      <c r="WX39" s="317"/>
      <c r="WY39" s="317"/>
      <c r="WZ39" s="317"/>
      <c r="XA39" s="317"/>
      <c r="XB39" s="317"/>
      <c r="XC39" s="317"/>
      <c r="XD39" s="317"/>
      <c r="XE39" s="317"/>
      <c r="XF39" s="317"/>
      <c r="XG39" s="317"/>
      <c r="XH39" s="317"/>
      <c r="XI39" s="317"/>
      <c r="XJ39" s="317"/>
      <c r="XK39" s="317"/>
      <c r="XL39" s="317"/>
      <c r="XM39" s="317"/>
      <c r="XN39" s="317"/>
      <c r="XO39" s="317"/>
      <c r="XP39" s="317"/>
      <c r="XQ39" s="317"/>
      <c r="XR39" s="317"/>
      <c r="XS39" s="317"/>
      <c r="XT39" s="317"/>
      <c r="XU39" s="317"/>
      <c r="XV39" s="317"/>
      <c r="XW39" s="317"/>
      <c r="XX39" s="317"/>
      <c r="XY39" s="317"/>
      <c r="XZ39" s="317"/>
      <c r="YA39" s="317"/>
      <c r="YB39" s="317"/>
      <c r="YC39" s="317"/>
      <c r="YD39" s="317"/>
      <c r="YE39" s="317"/>
      <c r="YF39" s="317"/>
      <c r="YG39" s="317"/>
      <c r="YH39" s="317"/>
      <c r="YI39" s="317"/>
      <c r="YJ39" s="317"/>
      <c r="YK39" s="317"/>
      <c r="YL39" s="317"/>
      <c r="YM39" s="317"/>
      <c r="YN39" s="317"/>
      <c r="YO39" s="317"/>
      <c r="YP39" s="317"/>
      <c r="YQ39" s="317"/>
      <c r="YR39" s="317"/>
      <c r="YS39" s="317"/>
      <c r="YT39" s="317"/>
      <c r="YU39" s="317"/>
      <c r="YV39" s="317"/>
      <c r="YW39" s="317"/>
      <c r="YX39" s="317"/>
      <c r="YY39" s="317"/>
      <c r="YZ39" s="317"/>
      <c r="ZA39" s="317"/>
      <c r="ZB39" s="317"/>
      <c r="ZC39" s="317"/>
      <c r="ZD39" s="317"/>
      <c r="ZE39" s="317"/>
      <c r="ZF39" s="317"/>
      <c r="ZG39" s="317"/>
      <c r="ZH39" s="317"/>
      <c r="ZI39" s="317"/>
      <c r="ZJ39" s="317"/>
      <c r="ZK39" s="317"/>
      <c r="ZL39" s="317"/>
      <c r="ZM39" s="317"/>
      <c r="ZN39" s="317"/>
      <c r="ZO39" s="317"/>
      <c r="ZP39" s="317"/>
      <c r="ZQ39" s="317"/>
      <c r="ZR39" s="317"/>
      <c r="ZS39" s="317"/>
      <c r="ZT39" s="317"/>
      <c r="ZU39" s="317"/>
      <c r="ZV39" s="317"/>
      <c r="ZW39" s="317"/>
      <c r="ZX39" s="317"/>
      <c r="ZY39" s="317"/>
      <c r="ZZ39" s="317"/>
      <c r="AAA39" s="317"/>
      <c r="AAB39" s="317"/>
      <c r="AAC39" s="317"/>
      <c r="AAD39" s="317"/>
      <c r="AAE39" s="317"/>
      <c r="AAF39" s="317"/>
      <c r="AAG39" s="317"/>
      <c r="AAH39" s="317"/>
      <c r="AAI39" s="317"/>
      <c r="AAJ39" s="317"/>
      <c r="AAK39" s="317"/>
      <c r="AAL39" s="317"/>
      <c r="AAM39" s="317"/>
      <c r="AAN39" s="317"/>
      <c r="AAO39" s="317"/>
      <c r="AAP39" s="317"/>
      <c r="AAQ39" s="317"/>
      <c r="AAR39" s="317"/>
      <c r="AAS39" s="317"/>
      <c r="AAT39" s="317"/>
      <c r="AAU39" s="317"/>
      <c r="AAV39" s="317"/>
      <c r="AAW39" s="317"/>
      <c r="AAX39" s="317"/>
      <c r="AAY39" s="317"/>
      <c r="AAZ39" s="317"/>
      <c r="ABA39" s="317"/>
      <c r="ABB39" s="317"/>
      <c r="ABC39" s="317"/>
      <c r="ABD39" s="317"/>
      <c r="ABE39" s="317"/>
      <c r="ABF39" s="317"/>
      <c r="ABG39" s="317"/>
      <c r="ABH39" s="317"/>
      <c r="ABI39" s="317"/>
      <c r="ABJ39" s="317"/>
      <c r="ABK39" s="317"/>
      <c r="ABL39" s="317"/>
      <c r="ABM39" s="317"/>
      <c r="ABN39" s="317"/>
      <c r="ABO39" s="317"/>
      <c r="ABP39" s="317"/>
      <c r="ABQ39" s="317"/>
      <c r="ABR39" s="317"/>
      <c r="ABS39" s="317"/>
      <c r="ABT39" s="317"/>
      <c r="ABU39" s="317"/>
      <c r="ABV39" s="317"/>
      <c r="ABW39" s="317"/>
      <c r="ABX39" s="317"/>
      <c r="ABY39" s="317"/>
      <c r="ABZ39" s="317"/>
      <c r="ACA39" s="317"/>
      <c r="ACB39" s="317"/>
      <c r="ACC39" s="317"/>
      <c r="ACD39" s="317"/>
      <c r="ACE39" s="317"/>
      <c r="ACF39" s="317"/>
      <c r="ACG39" s="317"/>
      <c r="ACH39" s="317"/>
      <c r="ACI39" s="317"/>
      <c r="ACJ39" s="317"/>
      <c r="ACK39" s="317"/>
      <c r="ACL39" s="317"/>
      <c r="ACM39" s="317"/>
      <c r="ACN39" s="317"/>
      <c r="ACO39" s="317"/>
      <c r="ACP39" s="317"/>
      <c r="ACQ39" s="317"/>
      <c r="ACR39" s="317"/>
      <c r="ACS39" s="317"/>
      <c r="ACT39" s="317"/>
      <c r="ACU39" s="317"/>
      <c r="ACV39" s="317"/>
      <c r="ACW39" s="317"/>
      <c r="ACX39" s="317"/>
      <c r="ACY39" s="317"/>
      <c r="ACZ39" s="317"/>
      <c r="ADA39" s="317"/>
      <c r="ADB39" s="317"/>
      <c r="ADC39" s="317"/>
      <c r="ADD39" s="317"/>
      <c r="ADE39" s="317"/>
      <c r="ADF39" s="317"/>
      <c r="ADG39" s="317"/>
      <c r="ADH39" s="317"/>
      <c r="ADI39" s="317"/>
      <c r="ADJ39" s="317"/>
      <c r="ADK39" s="317"/>
      <c r="ADL39" s="317"/>
      <c r="ADM39" s="317"/>
      <c r="ADN39" s="317"/>
      <c r="ADO39" s="317"/>
      <c r="ADP39" s="317"/>
      <c r="ADQ39" s="317"/>
      <c r="ADR39" s="317"/>
      <c r="ADS39" s="317"/>
      <c r="ADT39" s="317"/>
      <c r="ADU39" s="317"/>
      <c r="ADV39" s="317"/>
      <c r="ADW39" s="317"/>
      <c r="ADX39" s="317"/>
      <c r="ADY39" s="317"/>
      <c r="ADZ39" s="317"/>
      <c r="AEA39" s="317"/>
      <c r="AEB39" s="317"/>
      <c r="AEC39" s="317"/>
      <c r="AED39" s="317"/>
      <c r="AEE39" s="317"/>
      <c r="AEF39" s="317"/>
      <c r="AEG39" s="317"/>
      <c r="AEH39" s="317"/>
      <c r="AEI39" s="317"/>
      <c r="AEJ39" s="317"/>
      <c r="AEK39" s="317"/>
      <c r="AEL39" s="317"/>
      <c r="AEM39" s="317"/>
      <c r="AEN39" s="317"/>
      <c r="AEO39" s="317"/>
      <c r="AEP39" s="317"/>
      <c r="AEQ39" s="317"/>
      <c r="AER39" s="317"/>
      <c r="AES39" s="317"/>
      <c r="AET39" s="317"/>
      <c r="AEU39" s="317"/>
      <c r="AEV39" s="317"/>
      <c r="AEW39" s="317"/>
      <c r="AEX39" s="317"/>
      <c r="AEY39" s="317"/>
      <c r="AEZ39" s="317"/>
      <c r="AFA39" s="317"/>
      <c r="AFB39" s="317"/>
      <c r="AFC39" s="317"/>
      <c r="AFD39" s="317"/>
      <c r="AFE39" s="317"/>
      <c r="AFF39" s="317"/>
      <c r="AFG39" s="317"/>
      <c r="AFH39" s="317"/>
      <c r="AFI39" s="317"/>
      <c r="AFJ39" s="317"/>
      <c r="AFK39" s="317"/>
      <c r="AFL39" s="317"/>
      <c r="AFM39" s="317"/>
      <c r="AFN39" s="317"/>
      <c r="AFO39" s="317"/>
      <c r="AFP39" s="317"/>
      <c r="AFQ39" s="317"/>
      <c r="AFR39" s="317"/>
      <c r="AFS39" s="317"/>
      <c r="AFT39" s="317"/>
      <c r="AFU39" s="317"/>
      <c r="AFV39" s="317"/>
      <c r="AFW39" s="317"/>
      <c r="AFX39" s="317"/>
      <c r="AFY39" s="317"/>
      <c r="AFZ39" s="317"/>
      <c r="AGA39" s="317"/>
      <c r="AGB39" s="317"/>
      <c r="AGC39" s="317"/>
      <c r="AGD39" s="317"/>
      <c r="AGE39" s="317"/>
      <c r="AGF39" s="317"/>
      <c r="AGG39" s="317"/>
      <c r="AGH39" s="317"/>
      <c r="AGI39" s="317"/>
      <c r="AGJ39" s="317"/>
      <c r="AGK39" s="317"/>
      <c r="AGL39" s="317"/>
      <c r="AGM39" s="317"/>
      <c r="AGN39" s="317"/>
      <c r="AGO39" s="317"/>
      <c r="AGP39" s="317"/>
      <c r="AGQ39" s="317"/>
      <c r="AGR39" s="317"/>
      <c r="AGS39" s="317"/>
      <c r="AGT39" s="317"/>
      <c r="AGU39" s="317"/>
      <c r="AGV39" s="317"/>
      <c r="AGW39" s="317"/>
      <c r="AGX39" s="317"/>
      <c r="AGY39" s="317"/>
      <c r="AGZ39" s="317"/>
      <c r="AHA39" s="317"/>
      <c r="AHB39" s="317"/>
      <c r="AHC39" s="317"/>
      <c r="AHD39" s="317"/>
      <c r="AHE39" s="317"/>
      <c r="AHF39" s="317"/>
      <c r="AHG39" s="317"/>
      <c r="AHH39" s="317"/>
      <c r="AHI39" s="317"/>
      <c r="AHJ39" s="317"/>
      <c r="AHK39" s="317"/>
      <c r="AHL39" s="317"/>
      <c r="AHM39" s="317"/>
      <c r="AHN39" s="317"/>
      <c r="AHO39" s="317"/>
      <c r="AHP39" s="317"/>
      <c r="AHQ39" s="317"/>
      <c r="AHR39" s="317"/>
      <c r="AHS39" s="317"/>
      <c r="AHT39" s="317"/>
      <c r="AHU39" s="317"/>
      <c r="AHV39" s="317"/>
      <c r="AHW39" s="317"/>
      <c r="AHX39" s="317"/>
      <c r="AHY39" s="317"/>
      <c r="AHZ39" s="317"/>
      <c r="AIA39" s="317"/>
      <c r="AIB39" s="317"/>
      <c r="AIC39" s="317"/>
      <c r="AID39" s="317"/>
      <c r="AIE39" s="317"/>
      <c r="AIF39" s="317"/>
      <c r="AIG39" s="317"/>
      <c r="AIH39" s="317"/>
      <c r="AII39" s="317"/>
      <c r="AIJ39" s="317"/>
      <c r="AIK39" s="317"/>
      <c r="AIL39" s="317"/>
      <c r="AIM39" s="317"/>
      <c r="AIN39" s="317"/>
      <c r="AIO39" s="317"/>
      <c r="AIP39" s="317"/>
      <c r="AIQ39" s="317"/>
      <c r="AIR39" s="317"/>
      <c r="AIS39" s="317"/>
      <c r="AIT39" s="317"/>
      <c r="AIU39" s="317"/>
      <c r="AIV39" s="317"/>
      <c r="AIW39" s="317"/>
      <c r="AIX39" s="317"/>
      <c r="AIY39" s="317"/>
      <c r="AIZ39" s="317"/>
      <c r="AJA39" s="317"/>
      <c r="AJB39" s="317"/>
      <c r="AJC39" s="317"/>
      <c r="AJD39" s="317"/>
      <c r="AJE39" s="317"/>
      <c r="AJF39" s="317"/>
      <c r="AJG39" s="317"/>
      <c r="AJH39" s="317"/>
      <c r="AJI39" s="317"/>
      <c r="AJJ39" s="317"/>
      <c r="AJK39" s="317"/>
      <c r="AJL39" s="317"/>
      <c r="AJM39" s="317"/>
      <c r="AJN39" s="317"/>
      <c r="AJO39" s="317"/>
      <c r="AJP39" s="317"/>
      <c r="AJQ39" s="317"/>
      <c r="AJR39" s="317"/>
      <c r="AJS39" s="317"/>
      <c r="AJT39" s="317"/>
      <c r="AJU39" s="317"/>
      <c r="AJV39" s="317"/>
      <c r="AJW39" s="317"/>
      <c r="AJX39" s="317"/>
      <c r="AJY39" s="317"/>
      <c r="AJZ39" s="317"/>
      <c r="AKA39" s="317"/>
      <c r="AKB39" s="317"/>
      <c r="AKC39" s="317"/>
      <c r="AKD39" s="317"/>
      <c r="AKE39" s="317"/>
      <c r="AKF39" s="317"/>
      <c r="AKG39" s="317"/>
      <c r="AKH39" s="317"/>
      <c r="AKI39" s="317"/>
      <c r="AKJ39" s="317"/>
      <c r="AKK39" s="317"/>
      <c r="AKL39" s="317"/>
      <c r="AKM39" s="317"/>
      <c r="AKN39" s="317"/>
      <c r="AKO39" s="317"/>
      <c r="AKP39" s="317"/>
      <c r="AKQ39" s="317"/>
      <c r="AKR39" s="317"/>
      <c r="AKS39" s="317"/>
      <c r="AKT39" s="317"/>
      <c r="AKU39" s="317"/>
      <c r="AKV39" s="317"/>
      <c r="AKW39" s="317"/>
      <c r="AKX39" s="317"/>
      <c r="AKY39" s="317"/>
      <c r="AKZ39" s="317"/>
      <c r="ALA39" s="317"/>
      <c r="ALB39" s="317"/>
      <c r="ALC39" s="317"/>
      <c r="ALD39" s="317"/>
      <c r="ALE39" s="317"/>
      <c r="ALF39" s="317"/>
      <c r="ALG39" s="317"/>
      <c r="ALH39" s="317"/>
      <c r="ALI39" s="317"/>
      <c r="ALJ39" s="317"/>
      <c r="ALK39" s="317"/>
      <c r="ALL39" s="317"/>
      <c r="ALM39" s="317"/>
      <c r="ALN39" s="317"/>
      <c r="ALO39" s="317"/>
      <c r="ALP39" s="317"/>
      <c r="ALQ39" s="317"/>
      <c r="ALR39" s="317"/>
      <c r="ALS39" s="317"/>
      <c r="ALT39" s="317"/>
      <c r="ALU39" s="317"/>
      <c r="ALV39" s="317"/>
      <c r="ALW39" s="317"/>
      <c r="ALX39" s="317"/>
      <c r="ALY39" s="317"/>
      <c r="ALZ39" s="317"/>
      <c r="AMA39" s="317"/>
      <c r="AMB39" s="317"/>
      <c r="AMC39" s="317"/>
      <c r="AMD39" s="317"/>
      <c r="AME39" s="317"/>
      <c r="AMF39" s="317"/>
      <c r="AMG39" s="317"/>
      <c r="AMH39" s="317"/>
      <c r="AMI39" s="317"/>
      <c r="AMJ39" s="317"/>
      <c r="AMK39" s="317"/>
      <c r="AML39" s="317"/>
      <c r="AMM39" s="317"/>
      <c r="AMN39" s="317"/>
      <c r="AMO39" s="317"/>
      <c r="AMP39" s="317"/>
      <c r="AMQ39" s="317"/>
      <c r="AMR39" s="317"/>
      <c r="AMS39" s="317"/>
      <c r="AMT39" s="317"/>
      <c r="AMU39" s="317"/>
      <c r="AMV39" s="317"/>
      <c r="AMW39" s="317"/>
      <c r="AMX39" s="317"/>
      <c r="AMY39" s="317"/>
      <c r="AMZ39" s="317"/>
      <c r="ANA39" s="317"/>
      <c r="ANB39" s="317"/>
      <c r="ANC39" s="317"/>
      <c r="AND39" s="317"/>
      <c r="ANE39" s="317"/>
      <c r="ANF39" s="317"/>
      <c r="ANG39" s="317"/>
      <c r="ANH39" s="317"/>
      <c r="ANI39" s="317"/>
      <c r="ANJ39" s="317"/>
      <c r="ANK39" s="317"/>
      <c r="ANL39" s="317"/>
      <c r="ANM39" s="317"/>
      <c r="ANN39" s="317"/>
      <c r="ANO39" s="317"/>
      <c r="ANP39" s="317"/>
      <c r="ANQ39" s="317"/>
      <c r="ANR39" s="317"/>
      <c r="ANS39" s="317"/>
      <c r="ANT39" s="317"/>
      <c r="ANU39" s="317"/>
      <c r="ANV39" s="317"/>
      <c r="ANW39" s="317"/>
      <c r="ANX39" s="317"/>
      <c r="ANY39" s="317"/>
      <c r="ANZ39" s="317"/>
      <c r="AOA39" s="317"/>
      <c r="AOB39" s="317"/>
      <c r="AOC39" s="317"/>
      <c r="AOD39" s="317"/>
      <c r="AOE39" s="317"/>
      <c r="AOF39" s="317"/>
      <c r="AOG39" s="317"/>
      <c r="AOH39" s="317"/>
      <c r="AOI39" s="317"/>
      <c r="AOJ39" s="317"/>
      <c r="AOK39" s="317"/>
      <c r="AOL39" s="317"/>
      <c r="AOM39" s="317"/>
      <c r="AON39" s="317"/>
      <c r="AOO39" s="317"/>
      <c r="AOP39" s="317"/>
      <c r="AOQ39" s="317"/>
      <c r="AOR39" s="317"/>
      <c r="AOS39" s="317"/>
      <c r="AOT39" s="317"/>
      <c r="AOU39" s="317"/>
      <c r="AOV39" s="317"/>
      <c r="AOW39" s="317"/>
      <c r="AOX39" s="317"/>
      <c r="AOY39" s="317"/>
      <c r="AOZ39" s="317"/>
      <c r="APA39" s="317"/>
      <c r="APB39" s="317"/>
      <c r="APC39" s="317"/>
      <c r="APD39" s="317"/>
      <c r="APE39" s="317"/>
      <c r="APF39" s="317"/>
      <c r="APG39" s="317"/>
      <c r="APH39" s="317"/>
      <c r="API39" s="317"/>
      <c r="APJ39" s="317"/>
      <c r="APK39" s="317"/>
      <c r="APL39" s="317"/>
      <c r="APM39" s="317"/>
      <c r="APN39" s="317"/>
      <c r="APO39" s="317"/>
      <c r="APP39" s="317"/>
      <c r="APQ39" s="317"/>
      <c r="APR39" s="317"/>
      <c r="APS39" s="317"/>
      <c r="APT39" s="317"/>
      <c r="APU39" s="317"/>
      <c r="APV39" s="317"/>
      <c r="APW39" s="317"/>
      <c r="APX39" s="317"/>
      <c r="APY39" s="317"/>
      <c r="APZ39" s="317"/>
      <c r="AQA39" s="317"/>
      <c r="AQB39" s="317"/>
      <c r="AQC39" s="317"/>
      <c r="AQD39" s="317"/>
      <c r="AQE39" s="317"/>
      <c r="AQF39" s="317"/>
      <c r="AQG39" s="317"/>
      <c r="AQH39" s="317"/>
      <c r="AQI39" s="317"/>
      <c r="AQJ39" s="317"/>
      <c r="AQK39" s="317"/>
      <c r="AQL39" s="317"/>
      <c r="AQM39" s="317"/>
      <c r="AQN39" s="317"/>
      <c r="AQO39" s="317"/>
      <c r="AQP39" s="317"/>
      <c r="AQQ39" s="317"/>
      <c r="AQR39" s="317"/>
      <c r="AQS39" s="317"/>
      <c r="AQT39" s="317"/>
      <c r="AQU39" s="317"/>
      <c r="AQV39" s="317"/>
      <c r="AQW39" s="317"/>
      <c r="AQX39" s="317"/>
      <c r="AQY39" s="317"/>
      <c r="AQZ39" s="317"/>
      <c r="ARA39" s="317"/>
      <c r="ARB39" s="317"/>
      <c r="ARC39" s="317"/>
      <c r="ARD39" s="317"/>
      <c r="ARE39" s="317"/>
      <c r="ARF39" s="317"/>
      <c r="ARG39" s="317"/>
      <c r="ARH39" s="317"/>
      <c r="ARI39" s="317"/>
      <c r="ARJ39" s="317"/>
      <c r="ARK39" s="317"/>
      <c r="ARL39" s="317"/>
      <c r="ARM39" s="317"/>
      <c r="ARN39" s="317"/>
      <c r="ARO39" s="317"/>
      <c r="ARP39" s="317"/>
      <c r="ARQ39" s="317"/>
      <c r="ARR39" s="317"/>
      <c r="ARS39" s="317"/>
      <c r="ART39" s="317"/>
      <c r="ARU39" s="317"/>
      <c r="ARV39" s="317"/>
      <c r="ARW39" s="317"/>
      <c r="ARX39" s="317"/>
      <c r="ARY39" s="317"/>
      <c r="ARZ39" s="317"/>
      <c r="ASA39" s="317"/>
      <c r="ASB39" s="317"/>
      <c r="ASC39" s="317"/>
      <c r="ASD39" s="317"/>
      <c r="ASE39" s="317"/>
      <c r="ASF39" s="317"/>
      <c r="ASG39" s="317"/>
      <c r="ASH39" s="317"/>
      <c r="ASI39" s="317"/>
      <c r="ASJ39" s="317"/>
      <c r="ASK39" s="317"/>
      <c r="ASL39" s="317"/>
      <c r="ASM39" s="317"/>
      <c r="ASN39" s="317"/>
      <c r="ASO39" s="317"/>
      <c r="ASP39" s="317"/>
      <c r="ASQ39" s="317"/>
      <c r="ASR39" s="317"/>
      <c r="ASS39" s="317"/>
      <c r="AST39" s="317"/>
      <c r="ASU39" s="317"/>
      <c r="ASV39" s="317"/>
      <c r="ASW39" s="317"/>
      <c r="ASX39" s="317"/>
      <c r="ASY39" s="317"/>
      <c r="ASZ39" s="317"/>
      <c r="ATA39" s="317"/>
      <c r="ATB39" s="317"/>
      <c r="ATC39" s="317"/>
      <c r="ATD39" s="317"/>
      <c r="ATE39" s="317"/>
      <c r="ATF39" s="317"/>
      <c r="ATG39" s="317"/>
      <c r="ATH39" s="317"/>
      <c r="ATI39" s="317"/>
      <c r="ATJ39" s="317"/>
      <c r="ATK39" s="317"/>
      <c r="ATL39" s="317"/>
      <c r="ATM39" s="317"/>
      <c r="ATN39" s="317"/>
      <c r="ATO39" s="317"/>
      <c r="ATP39" s="317"/>
      <c r="ATQ39" s="317"/>
      <c r="ATR39" s="317"/>
      <c r="ATS39" s="317"/>
      <c r="ATT39" s="317"/>
      <c r="ATU39" s="317"/>
      <c r="ATV39" s="317"/>
      <c r="ATW39" s="317"/>
      <c r="ATX39" s="317"/>
      <c r="ATY39" s="317"/>
      <c r="ATZ39" s="317"/>
      <c r="AUA39" s="317"/>
      <c r="AUB39" s="317"/>
      <c r="AUC39" s="317"/>
      <c r="AUD39" s="317"/>
      <c r="AUE39" s="317"/>
      <c r="AUF39" s="317"/>
      <c r="AUG39" s="317"/>
      <c r="AUH39" s="317"/>
      <c r="AUI39" s="317"/>
      <c r="AUJ39" s="317"/>
      <c r="AUK39" s="317"/>
      <c r="AUL39" s="317"/>
      <c r="AUM39" s="317"/>
      <c r="AUN39" s="317"/>
      <c r="AUO39" s="317"/>
      <c r="AUP39" s="317"/>
      <c r="AUQ39" s="317"/>
      <c r="AUR39" s="317"/>
      <c r="AUS39" s="317"/>
      <c r="AUT39" s="317"/>
      <c r="AUU39" s="317"/>
      <c r="AUV39" s="317"/>
      <c r="AUW39" s="317"/>
      <c r="AUX39" s="317"/>
      <c r="AUY39" s="317"/>
      <c r="AUZ39" s="317"/>
      <c r="AVA39" s="317"/>
      <c r="AVB39" s="317"/>
      <c r="AVC39" s="317"/>
      <c r="AVD39" s="317"/>
      <c r="AVE39" s="317"/>
      <c r="AVF39" s="317"/>
      <c r="AVG39" s="317"/>
      <c r="AVH39" s="317"/>
      <c r="AVI39" s="317"/>
      <c r="AVJ39" s="317"/>
      <c r="AVK39" s="317"/>
      <c r="AVL39" s="317"/>
      <c r="AVM39" s="317"/>
      <c r="AVN39" s="317"/>
      <c r="AVO39" s="317"/>
      <c r="AVP39" s="317"/>
      <c r="AVQ39" s="317"/>
      <c r="AVR39" s="317"/>
      <c r="AVS39" s="317"/>
      <c r="AVT39" s="317"/>
      <c r="AVU39" s="317"/>
      <c r="AVV39" s="317"/>
      <c r="AVW39" s="317"/>
      <c r="AVX39" s="317"/>
      <c r="AVY39" s="317"/>
      <c r="AVZ39" s="317"/>
      <c r="AWA39" s="317"/>
      <c r="AWB39" s="317"/>
      <c r="AWC39" s="317"/>
      <c r="AWD39" s="317"/>
      <c r="AWE39" s="317"/>
      <c r="AWF39" s="317"/>
      <c r="AWG39" s="317"/>
      <c r="AWH39" s="317"/>
      <c r="AWI39" s="317"/>
      <c r="AWJ39" s="317"/>
      <c r="AWK39" s="317"/>
      <c r="AWL39" s="317"/>
      <c r="AWM39" s="317"/>
      <c r="AWN39" s="317"/>
      <c r="AWO39" s="317"/>
      <c r="AWP39" s="317"/>
      <c r="AWQ39" s="317"/>
      <c r="AWR39" s="317"/>
      <c r="AWS39" s="317"/>
      <c r="AWT39" s="317"/>
      <c r="AWU39" s="317"/>
      <c r="AWV39" s="317"/>
      <c r="AWW39" s="317"/>
      <c r="AWX39" s="317"/>
      <c r="AWY39" s="317"/>
      <c r="AWZ39" s="317"/>
      <c r="AXA39" s="317"/>
      <c r="AXB39" s="317"/>
      <c r="AXC39" s="317"/>
      <c r="AXD39" s="317"/>
      <c r="AXE39" s="317"/>
      <c r="AXF39" s="317"/>
      <c r="AXG39" s="317"/>
      <c r="AXH39" s="317"/>
      <c r="AXI39" s="317"/>
      <c r="AXJ39" s="317"/>
      <c r="AXK39" s="317"/>
      <c r="AXL39" s="317"/>
      <c r="AXM39" s="317"/>
      <c r="AXN39" s="317"/>
      <c r="AXO39" s="317"/>
      <c r="AXP39" s="317"/>
      <c r="AXQ39" s="317"/>
      <c r="AXR39" s="317"/>
      <c r="AXS39" s="317"/>
      <c r="AXT39" s="317"/>
      <c r="AXU39" s="317"/>
      <c r="AXV39" s="317"/>
      <c r="AXW39" s="317"/>
      <c r="AXX39" s="317"/>
      <c r="AXY39" s="317"/>
      <c r="AXZ39" s="317"/>
      <c r="AYA39" s="317"/>
      <c r="AYB39" s="317"/>
      <c r="AYC39" s="317"/>
      <c r="AYD39" s="317"/>
      <c r="AYE39" s="317"/>
      <c r="AYF39" s="317"/>
      <c r="AYG39" s="317"/>
      <c r="AYH39" s="317"/>
      <c r="AYI39" s="317"/>
      <c r="AYJ39" s="317"/>
      <c r="AYK39" s="317"/>
      <c r="AYL39" s="317"/>
      <c r="AYM39" s="317"/>
      <c r="AYN39" s="317"/>
      <c r="AYO39" s="317"/>
      <c r="AYP39" s="317"/>
      <c r="AYQ39" s="317"/>
      <c r="AYR39" s="317"/>
      <c r="AYS39" s="317"/>
      <c r="AYT39" s="317"/>
      <c r="AYU39" s="317"/>
      <c r="AYV39" s="317"/>
      <c r="AYW39" s="317"/>
      <c r="AYX39" s="317"/>
      <c r="AYY39" s="317"/>
      <c r="AYZ39" s="317"/>
      <c r="AZA39" s="317"/>
      <c r="AZB39" s="317"/>
      <c r="AZC39" s="317"/>
      <c r="AZD39" s="317"/>
      <c r="AZE39" s="317"/>
      <c r="AZF39" s="317"/>
      <c r="AZG39" s="317"/>
      <c r="AZH39" s="317"/>
      <c r="AZI39" s="317"/>
      <c r="AZJ39" s="317"/>
      <c r="AZK39" s="317"/>
      <c r="AZL39" s="317"/>
      <c r="AZM39" s="317"/>
      <c r="AZN39" s="317"/>
      <c r="AZO39" s="317"/>
      <c r="AZP39" s="317"/>
      <c r="AZQ39" s="317"/>
      <c r="AZR39" s="317"/>
      <c r="AZS39" s="317"/>
      <c r="AZT39" s="317"/>
      <c r="AZU39" s="317"/>
      <c r="AZV39" s="317"/>
      <c r="AZW39" s="317"/>
      <c r="AZX39" s="317"/>
      <c r="AZY39" s="317"/>
      <c r="AZZ39" s="317"/>
      <c r="BAA39" s="317"/>
      <c r="BAB39" s="317"/>
      <c r="BAC39" s="317"/>
      <c r="BAD39" s="317"/>
      <c r="BAE39" s="317"/>
      <c r="BAF39" s="317"/>
      <c r="BAG39" s="317"/>
      <c r="BAH39" s="317"/>
      <c r="BAI39" s="317"/>
      <c r="BAJ39" s="317"/>
      <c r="BAK39" s="317"/>
      <c r="BAL39" s="317"/>
      <c r="BAM39" s="317"/>
      <c r="BAN39" s="317"/>
      <c r="BAO39" s="317"/>
      <c r="BAP39" s="317"/>
      <c r="BAQ39" s="317"/>
      <c r="BAR39" s="317"/>
      <c r="BAS39" s="317"/>
      <c r="BAT39" s="317"/>
      <c r="BAU39" s="317"/>
      <c r="BAV39" s="317"/>
      <c r="BAW39" s="317"/>
      <c r="BAX39" s="317"/>
      <c r="BAY39" s="317"/>
      <c r="BAZ39" s="317"/>
      <c r="BBA39" s="317"/>
      <c r="BBB39" s="317"/>
      <c r="BBC39" s="317"/>
      <c r="BBD39" s="317"/>
      <c r="BBE39" s="317"/>
      <c r="BBF39" s="317"/>
      <c r="BBG39" s="317"/>
      <c r="BBH39" s="317"/>
      <c r="BBI39" s="317"/>
      <c r="BBJ39" s="317"/>
      <c r="BBK39" s="317"/>
      <c r="BBL39" s="317"/>
      <c r="BBM39" s="317"/>
      <c r="BBN39" s="317"/>
      <c r="BBO39" s="317"/>
      <c r="BBP39" s="317"/>
      <c r="BBQ39" s="317"/>
      <c r="BBR39" s="317"/>
      <c r="BBS39" s="317"/>
      <c r="BBT39" s="317"/>
      <c r="BBU39" s="317"/>
      <c r="BBV39" s="317"/>
      <c r="BBW39" s="317"/>
      <c r="BBX39" s="317"/>
      <c r="BBY39" s="317"/>
      <c r="BBZ39" s="317"/>
      <c r="BCA39" s="317"/>
      <c r="BCB39" s="317"/>
      <c r="BCC39" s="317"/>
      <c r="BCD39" s="317"/>
      <c r="BCE39" s="317"/>
      <c r="BCF39" s="317"/>
      <c r="BCG39" s="317"/>
      <c r="BCH39" s="317"/>
      <c r="BCI39" s="317"/>
      <c r="BCJ39" s="317"/>
      <c r="BCK39" s="317"/>
      <c r="BCL39" s="317"/>
      <c r="BCM39" s="317"/>
      <c r="BCN39" s="317"/>
      <c r="BCO39" s="317"/>
      <c r="BCP39" s="317"/>
      <c r="BCQ39" s="317"/>
      <c r="BCR39" s="317"/>
      <c r="BCS39" s="317"/>
      <c r="BCT39" s="317"/>
      <c r="BCU39" s="317"/>
      <c r="BCV39" s="317"/>
      <c r="BCW39" s="317"/>
      <c r="BCX39" s="317"/>
      <c r="BCY39" s="317"/>
      <c r="BCZ39" s="317"/>
      <c r="BDA39" s="317"/>
      <c r="BDB39" s="317"/>
      <c r="BDC39" s="317"/>
      <c r="BDD39" s="317"/>
      <c r="BDE39" s="317"/>
      <c r="BDF39" s="317"/>
      <c r="BDG39" s="317"/>
      <c r="BDH39" s="317"/>
      <c r="BDI39" s="317"/>
      <c r="BDJ39" s="317"/>
      <c r="BDK39" s="317"/>
      <c r="BDL39" s="317"/>
      <c r="BDM39" s="317"/>
      <c r="BDN39" s="317"/>
      <c r="BDO39" s="317"/>
      <c r="BDP39" s="317"/>
      <c r="BDQ39" s="317"/>
      <c r="BDR39" s="317"/>
      <c r="BDS39" s="317"/>
      <c r="BDT39" s="317"/>
      <c r="BDU39" s="317"/>
      <c r="BDV39" s="317"/>
      <c r="BDW39" s="317"/>
      <c r="BDX39" s="317"/>
      <c r="BDY39" s="317"/>
      <c r="BDZ39" s="317"/>
      <c r="BEA39" s="317"/>
      <c r="BEB39" s="317"/>
      <c r="BEC39" s="317"/>
      <c r="BED39" s="317"/>
      <c r="BEE39" s="317"/>
      <c r="BEF39" s="317"/>
      <c r="BEG39" s="317"/>
      <c r="BEH39" s="317"/>
      <c r="BEI39" s="317"/>
      <c r="BEJ39" s="317"/>
      <c r="BEK39" s="317"/>
      <c r="BEL39" s="317"/>
      <c r="BEM39" s="317"/>
      <c r="BEN39" s="317"/>
      <c r="BEO39" s="317"/>
      <c r="BEP39" s="317"/>
      <c r="BEQ39" s="317"/>
      <c r="BER39" s="317"/>
      <c r="BES39" s="317"/>
      <c r="BET39" s="317"/>
      <c r="BEU39" s="317"/>
      <c r="BEV39" s="317"/>
      <c r="BEW39" s="317"/>
      <c r="BEX39" s="317"/>
      <c r="BEY39" s="317"/>
      <c r="BEZ39" s="317"/>
      <c r="BFA39" s="317"/>
      <c r="BFB39" s="317"/>
      <c r="BFC39" s="317"/>
      <c r="BFD39" s="317"/>
      <c r="BFE39" s="317"/>
      <c r="BFF39" s="317"/>
      <c r="BFG39" s="317"/>
      <c r="BFH39" s="317"/>
      <c r="BFI39" s="317"/>
      <c r="BFJ39" s="317"/>
      <c r="BFK39" s="317"/>
      <c r="BFL39" s="317"/>
      <c r="BFM39" s="317"/>
      <c r="BFN39" s="317"/>
      <c r="BFO39" s="317"/>
      <c r="BFP39" s="317"/>
      <c r="BFQ39" s="317"/>
      <c r="BFR39" s="317"/>
      <c r="BFS39" s="317"/>
      <c r="BFT39" s="317"/>
      <c r="BFU39" s="317"/>
      <c r="BFV39" s="317"/>
      <c r="BFW39" s="317"/>
      <c r="BFX39" s="317"/>
      <c r="BFY39" s="317"/>
      <c r="BFZ39" s="317"/>
      <c r="BGA39" s="317"/>
      <c r="BGB39" s="317"/>
      <c r="BGC39" s="317"/>
      <c r="BGD39" s="317"/>
      <c r="BGE39" s="317"/>
      <c r="BGF39" s="317"/>
      <c r="BGG39" s="317"/>
      <c r="BGH39" s="317"/>
      <c r="BGI39" s="317"/>
      <c r="BGJ39" s="317"/>
      <c r="BGK39" s="317"/>
      <c r="BGL39" s="317"/>
      <c r="BGM39" s="317"/>
      <c r="BGN39" s="317"/>
      <c r="BGO39" s="317"/>
      <c r="BGP39" s="317"/>
      <c r="BGQ39" s="317"/>
      <c r="BGR39" s="317"/>
      <c r="BGS39" s="317"/>
      <c r="BGT39" s="317"/>
      <c r="BGU39" s="317"/>
      <c r="BGV39" s="317"/>
      <c r="BGW39" s="317"/>
      <c r="BGX39" s="317"/>
      <c r="BGY39" s="317"/>
      <c r="BGZ39" s="317"/>
      <c r="BHA39" s="317"/>
      <c r="BHB39" s="317"/>
      <c r="BHC39" s="317"/>
      <c r="BHD39" s="317"/>
      <c r="BHE39" s="317"/>
      <c r="BHF39" s="317"/>
      <c r="BHG39" s="317"/>
      <c r="BHH39" s="317"/>
      <c r="BHI39" s="317"/>
      <c r="BHJ39" s="317"/>
      <c r="BHK39" s="317"/>
      <c r="BHL39" s="317"/>
      <c r="BHM39" s="317"/>
      <c r="BHN39" s="317"/>
      <c r="BHO39" s="317"/>
      <c r="BHP39" s="317"/>
      <c r="BHQ39" s="317"/>
      <c r="BHR39" s="317"/>
      <c r="BHS39" s="317"/>
      <c r="BHT39" s="317"/>
      <c r="BHU39" s="317"/>
      <c r="BHV39" s="317"/>
      <c r="BHW39" s="317"/>
      <c r="BHX39" s="317"/>
      <c r="BHY39" s="317"/>
      <c r="BHZ39" s="317"/>
      <c r="BIA39" s="317"/>
      <c r="BIB39" s="317"/>
      <c r="BIC39" s="317"/>
      <c r="BID39" s="317"/>
      <c r="BIE39" s="317"/>
      <c r="BIF39" s="317"/>
      <c r="BIG39" s="317"/>
      <c r="BIH39" s="317"/>
      <c r="BII39" s="317"/>
      <c r="BIJ39" s="317"/>
      <c r="BIK39" s="317"/>
      <c r="BIL39" s="317"/>
      <c r="BIM39" s="317"/>
      <c r="BIN39" s="317"/>
      <c r="BIO39" s="317"/>
      <c r="BIP39" s="317"/>
      <c r="BIQ39" s="317"/>
      <c r="BIR39" s="317"/>
      <c r="BIS39" s="317"/>
      <c r="BIT39" s="317"/>
      <c r="BIU39" s="317"/>
      <c r="BIV39" s="317"/>
      <c r="BIW39" s="317"/>
      <c r="BIX39" s="317"/>
      <c r="BIY39" s="317"/>
      <c r="BIZ39" s="317"/>
      <c r="BJA39" s="317"/>
      <c r="BJB39" s="317"/>
      <c r="BJC39" s="317"/>
      <c r="BJD39" s="317"/>
      <c r="BJE39" s="317"/>
      <c r="BJF39" s="317"/>
      <c r="BJG39" s="317"/>
      <c r="BJH39" s="317"/>
      <c r="BJI39" s="317"/>
      <c r="BJJ39" s="317"/>
      <c r="BJK39" s="317"/>
      <c r="BJL39" s="317"/>
      <c r="BJM39" s="317"/>
      <c r="BJN39" s="317"/>
      <c r="BJO39" s="317"/>
      <c r="BJP39" s="317"/>
      <c r="BJQ39" s="317"/>
      <c r="BJR39" s="317"/>
      <c r="BJS39" s="317"/>
      <c r="BJT39" s="317"/>
      <c r="BJU39" s="317"/>
      <c r="BJV39" s="317"/>
      <c r="BJW39" s="317"/>
      <c r="BJX39" s="317"/>
      <c r="BJY39" s="317"/>
      <c r="BJZ39" s="317"/>
      <c r="BKA39" s="317"/>
      <c r="BKB39" s="317"/>
      <c r="BKC39" s="317"/>
      <c r="BKD39" s="317"/>
      <c r="BKE39" s="317"/>
      <c r="BKF39" s="317"/>
      <c r="BKG39" s="317"/>
      <c r="BKH39" s="317"/>
      <c r="BKI39" s="317"/>
      <c r="BKJ39" s="317"/>
      <c r="BKK39" s="317"/>
      <c r="BKL39" s="317"/>
      <c r="BKM39" s="317"/>
      <c r="BKN39" s="317"/>
      <c r="BKO39" s="317"/>
      <c r="BKP39" s="317"/>
      <c r="BKQ39" s="317"/>
      <c r="BKR39" s="317"/>
      <c r="BKS39" s="317"/>
      <c r="BKT39" s="317"/>
      <c r="BKU39" s="317"/>
      <c r="BKV39" s="317"/>
      <c r="BKW39" s="317"/>
      <c r="BKX39" s="317"/>
      <c r="BKY39" s="317"/>
      <c r="BKZ39" s="317"/>
      <c r="BLA39" s="317"/>
      <c r="BLB39" s="317"/>
      <c r="BLC39" s="317"/>
      <c r="BLD39" s="317"/>
      <c r="BLE39" s="317"/>
      <c r="BLF39" s="317"/>
      <c r="BLG39" s="317"/>
      <c r="BLH39" s="317"/>
      <c r="BLI39" s="317"/>
      <c r="BLJ39" s="317"/>
      <c r="BLK39" s="317"/>
      <c r="BLL39" s="317"/>
      <c r="BLM39" s="317"/>
      <c r="BLN39" s="317"/>
      <c r="BLO39" s="317"/>
      <c r="BLP39" s="317"/>
      <c r="BLQ39" s="317"/>
      <c r="BLR39" s="317"/>
      <c r="BLS39" s="317"/>
      <c r="BLT39" s="317"/>
      <c r="BLU39" s="317"/>
      <c r="BLV39" s="317"/>
      <c r="BLW39" s="317"/>
      <c r="BLX39" s="317"/>
      <c r="BLY39" s="317"/>
      <c r="BLZ39" s="317"/>
      <c r="BMA39" s="317"/>
      <c r="BMB39" s="317"/>
      <c r="BMC39" s="317"/>
      <c r="BMD39" s="317"/>
      <c r="BME39" s="317"/>
      <c r="BMF39" s="317"/>
      <c r="BMG39" s="317"/>
      <c r="BMH39" s="317"/>
      <c r="BMI39" s="317"/>
      <c r="BMJ39" s="317"/>
      <c r="BMK39" s="317"/>
      <c r="BML39" s="317"/>
      <c r="BMM39" s="317"/>
      <c r="BMN39" s="317"/>
      <c r="BMO39" s="317"/>
      <c r="BMP39" s="317"/>
      <c r="BMQ39" s="317"/>
      <c r="BMR39" s="317"/>
      <c r="BMS39" s="317"/>
      <c r="BMT39" s="317"/>
      <c r="BMU39" s="317"/>
      <c r="BMV39" s="317"/>
      <c r="BMW39" s="317"/>
      <c r="BMX39" s="317"/>
      <c r="BMY39" s="317"/>
      <c r="BMZ39" s="317"/>
      <c r="BNA39" s="317"/>
      <c r="BNB39" s="317"/>
      <c r="BNC39" s="317"/>
      <c r="BND39" s="317"/>
      <c r="BNE39" s="317"/>
      <c r="BNF39" s="317"/>
      <c r="BNG39" s="317"/>
      <c r="BNH39" s="317"/>
      <c r="BNI39" s="317"/>
      <c r="BNJ39" s="317"/>
      <c r="BNK39" s="317"/>
      <c r="BNL39" s="317"/>
      <c r="BNM39" s="317"/>
      <c r="BNN39" s="317"/>
      <c r="BNO39" s="317"/>
      <c r="BNP39" s="317"/>
      <c r="BNQ39" s="317"/>
      <c r="BNR39" s="317"/>
      <c r="BNS39" s="317"/>
      <c r="BNT39" s="317"/>
      <c r="BNU39" s="317"/>
      <c r="BNV39" s="317"/>
      <c r="BNW39" s="317"/>
      <c r="BNX39" s="317"/>
      <c r="BNY39" s="317"/>
      <c r="BNZ39" s="317"/>
      <c r="BOA39" s="317"/>
      <c r="BOB39" s="317"/>
      <c r="BOC39" s="317"/>
      <c r="BOD39" s="317"/>
      <c r="BOE39" s="317"/>
      <c r="BOF39" s="317"/>
      <c r="BOG39" s="317"/>
      <c r="BOH39" s="317"/>
      <c r="BOI39" s="317"/>
      <c r="BOJ39" s="317"/>
      <c r="BOK39" s="317"/>
      <c r="BOL39" s="317"/>
      <c r="BOM39" s="317"/>
      <c r="BON39" s="317"/>
      <c r="BOO39" s="317"/>
      <c r="BOP39" s="317"/>
      <c r="BOQ39" s="317"/>
      <c r="BOR39" s="317"/>
      <c r="BOS39" s="317"/>
      <c r="BOT39" s="317"/>
      <c r="BOU39" s="317"/>
      <c r="BOV39" s="317"/>
      <c r="BOW39" s="317"/>
      <c r="BOX39" s="317"/>
      <c r="BOY39" s="317"/>
      <c r="BOZ39" s="317"/>
      <c r="BPA39" s="317"/>
      <c r="BPB39" s="317"/>
      <c r="BPC39" s="317"/>
      <c r="BPD39" s="317"/>
      <c r="BPE39" s="317"/>
      <c r="BPF39" s="317"/>
      <c r="BPG39" s="317"/>
      <c r="BPH39" s="317"/>
      <c r="BPI39" s="317"/>
      <c r="BPJ39" s="317"/>
      <c r="BPK39" s="317"/>
      <c r="BPL39" s="317"/>
      <c r="BPM39" s="317"/>
      <c r="BPN39" s="317"/>
      <c r="BPO39" s="317"/>
      <c r="BPP39" s="317"/>
      <c r="BPQ39" s="317"/>
      <c r="BPR39" s="317"/>
      <c r="BPS39" s="317"/>
      <c r="BPT39" s="317"/>
      <c r="BPU39" s="317"/>
      <c r="BPV39" s="317"/>
      <c r="BPW39" s="317"/>
      <c r="BPX39" s="317"/>
      <c r="BPY39" s="317"/>
      <c r="BPZ39" s="317"/>
      <c r="BQA39" s="317"/>
      <c r="BQB39" s="317"/>
      <c r="BQC39" s="317"/>
      <c r="BQD39" s="317"/>
      <c r="BQE39" s="317"/>
      <c r="BQF39" s="317"/>
      <c r="BQG39" s="317"/>
      <c r="BQH39" s="317"/>
      <c r="BQI39" s="317"/>
      <c r="BQJ39" s="317"/>
      <c r="BQK39" s="317"/>
      <c r="BQL39" s="317"/>
      <c r="BQM39" s="317"/>
      <c r="BQN39" s="317"/>
      <c r="BQO39" s="317"/>
      <c r="BQP39" s="317"/>
      <c r="BQQ39" s="317"/>
      <c r="BQR39" s="317"/>
      <c r="BQS39" s="317"/>
      <c r="BQT39" s="317"/>
      <c r="BQU39" s="317"/>
      <c r="BQV39" s="317"/>
      <c r="BQW39" s="317"/>
      <c r="BQX39" s="317"/>
      <c r="BQY39" s="317"/>
      <c r="BQZ39" s="317"/>
      <c r="BRA39" s="317"/>
      <c r="BRB39" s="317"/>
      <c r="BRC39" s="317"/>
      <c r="BRD39" s="317"/>
      <c r="BRE39" s="317"/>
      <c r="BRF39" s="317"/>
      <c r="BRG39" s="317"/>
      <c r="BRH39" s="317"/>
      <c r="BRI39" s="317"/>
      <c r="BRJ39" s="317"/>
      <c r="BRK39" s="317"/>
      <c r="BRL39" s="317"/>
      <c r="BRM39" s="317"/>
      <c r="BRN39" s="317"/>
      <c r="BRO39" s="317"/>
      <c r="BRP39" s="317"/>
      <c r="BRQ39" s="317"/>
      <c r="BRR39" s="317"/>
      <c r="BRS39" s="317"/>
      <c r="BRT39" s="317"/>
      <c r="BRU39" s="317"/>
      <c r="BRV39" s="317"/>
      <c r="BRW39" s="317"/>
      <c r="BRX39" s="317"/>
      <c r="BRY39" s="317"/>
      <c r="BRZ39" s="317"/>
      <c r="BSA39" s="317"/>
      <c r="BSB39" s="317"/>
      <c r="BSC39" s="317"/>
      <c r="BSD39" s="317"/>
      <c r="BSE39" s="317"/>
      <c r="BSF39" s="317"/>
      <c r="BSG39" s="317"/>
      <c r="BSH39" s="317"/>
      <c r="BSI39" s="317"/>
      <c r="BSJ39" s="317"/>
      <c r="BSK39" s="317"/>
      <c r="BSL39" s="317"/>
      <c r="BSM39" s="317"/>
      <c r="BSN39" s="317"/>
      <c r="BSO39" s="317"/>
      <c r="BSP39" s="317"/>
      <c r="BSQ39" s="317"/>
      <c r="BSR39" s="317"/>
      <c r="BSS39" s="317"/>
      <c r="BST39" s="317"/>
      <c r="BSU39" s="317"/>
      <c r="BSV39" s="317"/>
      <c r="BSW39" s="317"/>
      <c r="BSX39" s="317"/>
      <c r="BSY39" s="317"/>
      <c r="BSZ39" s="317"/>
      <c r="BTA39" s="317"/>
      <c r="BTB39" s="317"/>
      <c r="BTC39" s="317"/>
      <c r="BTD39" s="317"/>
      <c r="BTE39" s="317"/>
      <c r="BTF39" s="317"/>
      <c r="BTG39" s="317"/>
      <c r="BTH39" s="317"/>
      <c r="BTI39" s="317"/>
      <c r="BTJ39" s="317"/>
      <c r="BTK39" s="317"/>
      <c r="BTL39" s="317"/>
      <c r="BTM39" s="317"/>
      <c r="BTN39" s="317"/>
      <c r="BTO39" s="317"/>
      <c r="BTP39" s="317"/>
      <c r="BTQ39" s="317"/>
      <c r="BTR39" s="317"/>
      <c r="BTS39" s="317"/>
      <c r="BTT39" s="317"/>
      <c r="BTU39" s="317"/>
      <c r="BTV39" s="317"/>
      <c r="BTW39" s="317"/>
      <c r="BTX39" s="317"/>
      <c r="BTY39" s="317"/>
      <c r="BTZ39" s="317"/>
      <c r="BUA39" s="317"/>
      <c r="BUB39" s="317"/>
      <c r="BUC39" s="317"/>
      <c r="BUD39" s="317"/>
      <c r="BUE39" s="317"/>
      <c r="BUF39" s="317"/>
      <c r="BUG39" s="317"/>
      <c r="BUH39" s="317"/>
      <c r="BUI39" s="317"/>
      <c r="BUJ39" s="317"/>
      <c r="BUK39" s="317"/>
      <c r="BUL39" s="317"/>
      <c r="BUM39" s="317"/>
      <c r="BUN39" s="317"/>
      <c r="BUO39" s="317"/>
      <c r="BUP39" s="317"/>
      <c r="BUQ39" s="317"/>
      <c r="BUR39" s="317"/>
      <c r="BUS39" s="317"/>
      <c r="BUT39" s="317"/>
      <c r="BUU39" s="317"/>
      <c r="BUV39" s="317"/>
      <c r="BUW39" s="317"/>
      <c r="BUX39" s="317"/>
      <c r="BUY39" s="317"/>
      <c r="BUZ39" s="317"/>
      <c r="BVA39" s="317"/>
      <c r="BVB39" s="317"/>
      <c r="BVC39" s="317"/>
      <c r="BVD39" s="317"/>
      <c r="BVE39" s="317"/>
      <c r="BVF39" s="317"/>
      <c r="BVG39" s="317"/>
      <c r="BVH39" s="317"/>
      <c r="BVI39" s="317"/>
      <c r="BVJ39" s="317"/>
      <c r="BVK39" s="317"/>
      <c r="BVL39" s="317"/>
      <c r="BVM39" s="317"/>
      <c r="BVN39" s="317"/>
      <c r="BVO39" s="317"/>
      <c r="BVP39" s="317"/>
      <c r="BVQ39" s="317"/>
      <c r="BVR39" s="317"/>
      <c r="BVS39" s="317"/>
      <c r="BVT39" s="317"/>
      <c r="BVU39" s="317"/>
      <c r="BVV39" s="317"/>
      <c r="BVW39" s="317"/>
      <c r="BVX39" s="317"/>
      <c r="BVY39" s="317"/>
      <c r="BVZ39" s="317"/>
      <c r="BWA39" s="317"/>
      <c r="BWB39" s="317"/>
      <c r="BWC39" s="317"/>
      <c r="BWD39" s="317"/>
      <c r="BWE39" s="317"/>
      <c r="BWF39" s="317"/>
      <c r="BWG39" s="317"/>
      <c r="BWH39" s="317"/>
      <c r="BWI39" s="317"/>
      <c r="BWJ39" s="317"/>
      <c r="BWK39" s="317"/>
      <c r="BWL39" s="317"/>
      <c r="BWM39" s="317"/>
      <c r="BWN39" s="317"/>
      <c r="BWO39" s="317"/>
      <c r="BWP39" s="317"/>
      <c r="BWQ39" s="317"/>
      <c r="BWR39" s="317"/>
      <c r="BWS39" s="317"/>
      <c r="BWT39" s="317"/>
      <c r="BWU39" s="317"/>
      <c r="BWV39" s="317"/>
      <c r="BWW39" s="317"/>
      <c r="BWX39" s="317"/>
      <c r="BWY39" s="317"/>
      <c r="BWZ39" s="317"/>
      <c r="BXA39" s="317"/>
      <c r="BXB39" s="317"/>
      <c r="BXC39" s="317"/>
      <c r="BXD39" s="317"/>
      <c r="BXE39" s="317"/>
      <c r="BXF39" s="317"/>
      <c r="BXG39" s="317"/>
      <c r="BXH39" s="317"/>
      <c r="BXI39" s="317"/>
      <c r="BXJ39" s="317"/>
      <c r="BXK39" s="317"/>
      <c r="BXL39" s="317"/>
      <c r="BXM39" s="317"/>
      <c r="BXN39" s="317"/>
      <c r="BXO39" s="317"/>
      <c r="BXP39" s="317"/>
      <c r="BXQ39" s="317"/>
      <c r="BXR39" s="317"/>
      <c r="BXS39" s="317"/>
      <c r="BXT39" s="317"/>
      <c r="BXU39" s="317"/>
      <c r="BXV39" s="317"/>
      <c r="BXW39" s="317"/>
      <c r="BXX39" s="317"/>
      <c r="BXY39" s="317"/>
      <c r="BXZ39" s="317"/>
      <c r="BYA39" s="317"/>
      <c r="BYB39" s="317"/>
      <c r="BYC39" s="317"/>
      <c r="BYD39" s="317"/>
      <c r="BYE39" s="317"/>
      <c r="BYF39" s="317"/>
      <c r="BYG39" s="317"/>
      <c r="BYH39" s="317"/>
      <c r="BYI39" s="317"/>
      <c r="BYJ39" s="317"/>
      <c r="BYK39" s="317"/>
      <c r="BYL39" s="317"/>
      <c r="BYM39" s="317"/>
      <c r="BYN39" s="317"/>
      <c r="BYO39" s="317"/>
      <c r="BYP39" s="317"/>
      <c r="BYQ39" s="317"/>
      <c r="BYR39" s="317"/>
      <c r="BYS39" s="317"/>
      <c r="BYT39" s="317"/>
      <c r="BYU39" s="317"/>
      <c r="BYV39" s="317"/>
      <c r="BYW39" s="317"/>
      <c r="BYX39" s="317"/>
      <c r="BYY39" s="317"/>
      <c r="BYZ39" s="317"/>
      <c r="BZA39" s="317"/>
      <c r="BZB39" s="317"/>
      <c r="BZC39" s="317"/>
      <c r="BZD39" s="317"/>
      <c r="BZE39" s="317"/>
      <c r="BZF39" s="317"/>
      <c r="BZG39" s="317"/>
      <c r="BZH39" s="317"/>
      <c r="BZI39" s="317"/>
      <c r="BZJ39" s="317"/>
      <c r="BZK39" s="317"/>
      <c r="BZL39" s="317"/>
      <c r="BZM39" s="317"/>
      <c r="BZN39" s="317"/>
      <c r="BZO39" s="317"/>
      <c r="BZP39" s="317"/>
      <c r="BZQ39" s="317"/>
      <c r="BZR39" s="317"/>
      <c r="BZS39" s="317"/>
      <c r="BZT39" s="317"/>
      <c r="BZU39" s="317"/>
      <c r="BZV39" s="317"/>
      <c r="BZW39" s="317"/>
      <c r="BZX39" s="317"/>
      <c r="BZY39" s="317"/>
      <c r="BZZ39" s="317"/>
      <c r="CAA39" s="317"/>
      <c r="CAB39" s="317"/>
      <c r="CAC39" s="317"/>
      <c r="CAD39" s="317"/>
      <c r="CAE39" s="317"/>
      <c r="CAF39" s="317"/>
      <c r="CAG39" s="317"/>
      <c r="CAH39" s="317"/>
      <c r="CAI39" s="317"/>
      <c r="CAJ39" s="317"/>
      <c r="CAK39" s="317"/>
      <c r="CAL39" s="317"/>
      <c r="CAM39" s="317"/>
      <c r="CAN39" s="317"/>
      <c r="CAO39" s="317"/>
      <c r="CAP39" s="317"/>
      <c r="CAQ39" s="317"/>
      <c r="CAR39" s="317"/>
      <c r="CAS39" s="317"/>
      <c r="CAT39" s="317"/>
      <c r="CAU39" s="317"/>
      <c r="CAV39" s="317"/>
      <c r="CAW39" s="317"/>
      <c r="CAX39" s="317"/>
      <c r="CAY39" s="317"/>
      <c r="CAZ39" s="317"/>
      <c r="CBA39" s="317"/>
      <c r="CBB39" s="317"/>
      <c r="CBC39" s="317"/>
      <c r="CBD39" s="317"/>
      <c r="CBE39" s="317"/>
      <c r="CBF39" s="317"/>
      <c r="CBG39" s="317"/>
      <c r="CBH39" s="317"/>
      <c r="CBI39" s="317"/>
      <c r="CBJ39" s="317"/>
      <c r="CBK39" s="317"/>
      <c r="CBL39" s="317"/>
      <c r="CBM39" s="317"/>
      <c r="CBN39" s="317"/>
      <c r="CBO39" s="317"/>
      <c r="CBP39" s="317"/>
      <c r="CBQ39" s="317"/>
      <c r="CBR39" s="317"/>
      <c r="CBS39" s="317"/>
      <c r="CBT39" s="317"/>
      <c r="CBU39" s="317"/>
      <c r="CBV39" s="317"/>
      <c r="CBW39" s="317"/>
      <c r="CBX39" s="317"/>
      <c r="CBY39" s="317"/>
      <c r="CBZ39" s="317"/>
      <c r="CCA39" s="317"/>
      <c r="CCB39" s="317"/>
      <c r="CCC39" s="317"/>
      <c r="CCD39" s="317"/>
      <c r="CCE39" s="317"/>
      <c r="CCF39" s="317"/>
      <c r="CCG39" s="317"/>
      <c r="CCH39" s="317"/>
      <c r="CCI39" s="317"/>
      <c r="CCJ39" s="317"/>
      <c r="CCK39" s="317"/>
      <c r="CCL39" s="317"/>
      <c r="CCM39" s="317"/>
      <c r="CCN39" s="317"/>
      <c r="CCO39" s="317"/>
      <c r="CCP39" s="317"/>
      <c r="CCQ39" s="317"/>
      <c r="CCR39" s="317"/>
      <c r="CCS39" s="317"/>
      <c r="CCT39" s="317"/>
      <c r="CCU39" s="317"/>
      <c r="CCV39" s="317"/>
      <c r="CCW39" s="317"/>
      <c r="CCX39" s="317"/>
      <c r="CCY39" s="317"/>
      <c r="CCZ39" s="317"/>
      <c r="CDA39" s="317"/>
      <c r="CDB39" s="317"/>
      <c r="CDC39" s="317"/>
      <c r="CDD39" s="317"/>
      <c r="CDE39" s="317"/>
      <c r="CDF39" s="317"/>
      <c r="CDG39" s="317"/>
      <c r="CDH39" s="317"/>
      <c r="CDI39" s="317"/>
      <c r="CDJ39" s="317"/>
      <c r="CDK39" s="317"/>
      <c r="CDL39" s="317"/>
      <c r="CDM39" s="317"/>
      <c r="CDN39" s="317"/>
      <c r="CDO39" s="317"/>
      <c r="CDP39" s="317"/>
      <c r="CDQ39" s="317"/>
      <c r="CDR39" s="317"/>
      <c r="CDS39" s="317"/>
      <c r="CDT39" s="317"/>
      <c r="CDU39" s="317"/>
      <c r="CDV39" s="317"/>
      <c r="CDW39" s="317"/>
      <c r="CDX39" s="317"/>
      <c r="CDY39" s="317"/>
      <c r="CDZ39" s="317"/>
      <c r="CEA39" s="317"/>
      <c r="CEB39" s="317"/>
      <c r="CEC39" s="317"/>
      <c r="CED39" s="317"/>
      <c r="CEE39" s="317"/>
      <c r="CEF39" s="317"/>
      <c r="CEG39" s="317"/>
      <c r="CEH39" s="317"/>
      <c r="CEI39" s="317"/>
      <c r="CEJ39" s="317"/>
      <c r="CEK39" s="317"/>
      <c r="CEL39" s="317"/>
      <c r="CEM39" s="317"/>
      <c r="CEN39" s="317"/>
      <c r="CEO39" s="317"/>
      <c r="CEP39" s="317"/>
      <c r="CEQ39" s="317"/>
      <c r="CER39" s="317"/>
      <c r="CES39" s="317"/>
      <c r="CET39" s="317"/>
      <c r="CEU39" s="317"/>
      <c r="CEV39" s="317"/>
      <c r="CEW39" s="317"/>
      <c r="CEX39" s="317"/>
      <c r="CEY39" s="317"/>
      <c r="CEZ39" s="317"/>
      <c r="CFA39" s="317"/>
      <c r="CFB39" s="317"/>
      <c r="CFC39" s="317"/>
      <c r="CFD39" s="317"/>
      <c r="CFE39" s="317"/>
      <c r="CFF39" s="317"/>
      <c r="CFG39" s="317"/>
      <c r="CFH39" s="317"/>
      <c r="CFI39" s="317"/>
      <c r="CFJ39" s="317"/>
      <c r="CFK39" s="317"/>
      <c r="CFL39" s="317"/>
      <c r="CFM39" s="317"/>
      <c r="CFN39" s="317"/>
      <c r="CFO39" s="317"/>
      <c r="CFP39" s="317"/>
      <c r="CFQ39" s="317"/>
      <c r="CFR39" s="317"/>
      <c r="CFS39" s="317"/>
      <c r="CFT39" s="317"/>
      <c r="CFU39" s="317"/>
      <c r="CFV39" s="317"/>
      <c r="CFW39" s="317"/>
      <c r="CFX39" s="317"/>
      <c r="CFY39" s="317"/>
      <c r="CFZ39" s="317"/>
      <c r="CGA39" s="317"/>
      <c r="CGB39" s="317"/>
      <c r="CGC39" s="317"/>
      <c r="CGD39" s="317"/>
      <c r="CGE39" s="317"/>
      <c r="CGF39" s="317"/>
      <c r="CGG39" s="317"/>
      <c r="CGH39" s="317"/>
      <c r="CGI39" s="317"/>
      <c r="CGJ39" s="317"/>
      <c r="CGK39" s="317"/>
      <c r="CGL39" s="317"/>
      <c r="CGM39" s="317"/>
      <c r="CGN39" s="317"/>
      <c r="CGO39" s="317"/>
      <c r="CGP39" s="317"/>
      <c r="CGQ39" s="317"/>
      <c r="CGR39" s="317"/>
      <c r="CGS39" s="317"/>
      <c r="CGT39" s="317"/>
      <c r="CGU39" s="317"/>
      <c r="CGV39" s="317"/>
      <c r="CGW39" s="317"/>
      <c r="CGX39" s="317"/>
      <c r="CGY39" s="317"/>
      <c r="CGZ39" s="317"/>
      <c r="CHA39" s="317"/>
      <c r="CHB39" s="317"/>
      <c r="CHC39" s="317"/>
      <c r="CHD39" s="317"/>
      <c r="CHE39" s="317"/>
      <c r="CHF39" s="317"/>
      <c r="CHG39" s="317"/>
      <c r="CHH39" s="317"/>
      <c r="CHI39" s="317"/>
      <c r="CHJ39" s="317"/>
      <c r="CHK39" s="317"/>
      <c r="CHL39" s="317"/>
      <c r="CHM39" s="317"/>
      <c r="CHN39" s="317"/>
      <c r="CHO39" s="317"/>
      <c r="CHP39" s="317"/>
      <c r="CHQ39" s="317"/>
      <c r="CHR39" s="317"/>
      <c r="CHS39" s="317"/>
      <c r="CHT39" s="317"/>
      <c r="CHU39" s="317"/>
      <c r="CHV39" s="317"/>
      <c r="CHW39" s="317"/>
      <c r="CHX39" s="317"/>
      <c r="CHY39" s="317"/>
      <c r="CHZ39" s="317"/>
      <c r="CIA39" s="317"/>
      <c r="CIB39" s="317"/>
      <c r="CIC39" s="317"/>
      <c r="CID39" s="317"/>
      <c r="CIE39" s="317"/>
      <c r="CIF39" s="317"/>
      <c r="CIG39" s="317"/>
      <c r="CIH39" s="317"/>
      <c r="CII39" s="317"/>
      <c r="CIJ39" s="317"/>
      <c r="CIK39" s="317"/>
      <c r="CIL39" s="317"/>
      <c r="CIM39" s="317"/>
      <c r="CIN39" s="317"/>
      <c r="CIO39" s="317"/>
      <c r="CIP39" s="317"/>
      <c r="CIQ39" s="317"/>
      <c r="CIR39" s="317"/>
      <c r="CIS39" s="317"/>
      <c r="CIT39" s="317"/>
      <c r="CIU39" s="317"/>
      <c r="CIV39" s="317"/>
      <c r="CIW39" s="317"/>
      <c r="CIX39" s="317"/>
      <c r="CIY39" s="317"/>
      <c r="CIZ39" s="317"/>
      <c r="CJA39" s="317"/>
      <c r="CJB39" s="317"/>
      <c r="CJC39" s="317"/>
      <c r="CJD39" s="317"/>
      <c r="CJE39" s="317"/>
      <c r="CJF39" s="317"/>
      <c r="CJG39" s="317"/>
      <c r="CJH39" s="317"/>
      <c r="CJI39" s="317"/>
      <c r="CJJ39" s="317"/>
      <c r="CJK39" s="317"/>
      <c r="CJL39" s="317"/>
      <c r="CJM39" s="317"/>
      <c r="CJN39" s="317"/>
      <c r="CJO39" s="317"/>
      <c r="CJP39" s="317"/>
      <c r="CJQ39" s="317"/>
      <c r="CJR39" s="317"/>
      <c r="CJS39" s="317"/>
      <c r="CJT39" s="317"/>
      <c r="CJU39" s="317"/>
      <c r="CJV39" s="317"/>
      <c r="CJW39" s="317"/>
      <c r="CJX39" s="317"/>
      <c r="CJY39" s="317"/>
      <c r="CJZ39" s="317"/>
      <c r="CKA39" s="317"/>
      <c r="CKB39" s="317"/>
      <c r="CKC39" s="317"/>
      <c r="CKD39" s="317"/>
      <c r="CKE39" s="317"/>
      <c r="CKF39" s="317"/>
      <c r="CKG39" s="317"/>
      <c r="CKH39" s="317"/>
      <c r="CKI39" s="317"/>
      <c r="CKJ39" s="317"/>
      <c r="CKK39" s="317"/>
      <c r="CKL39" s="317"/>
      <c r="CKM39" s="317"/>
      <c r="CKN39" s="317"/>
      <c r="CKO39" s="317"/>
      <c r="CKP39" s="317"/>
      <c r="CKQ39" s="317"/>
      <c r="CKR39" s="317"/>
      <c r="CKS39" s="317"/>
      <c r="CKT39" s="317"/>
      <c r="CKU39" s="317"/>
      <c r="CKV39" s="317"/>
      <c r="CKW39" s="317"/>
      <c r="CKX39" s="317"/>
      <c r="CKY39" s="317"/>
      <c r="CKZ39" s="317"/>
      <c r="CLA39" s="317"/>
      <c r="CLB39" s="317"/>
      <c r="CLC39" s="317"/>
      <c r="CLD39" s="317"/>
      <c r="CLE39" s="317"/>
      <c r="CLF39" s="317"/>
      <c r="CLG39" s="317"/>
      <c r="CLH39" s="317"/>
      <c r="CLI39" s="317"/>
      <c r="CLJ39" s="317"/>
      <c r="CLK39" s="317"/>
      <c r="CLL39" s="317"/>
      <c r="CLM39" s="317"/>
      <c r="CLN39" s="317"/>
      <c r="CLO39" s="317"/>
      <c r="CLP39" s="317"/>
      <c r="CLQ39" s="317"/>
      <c r="CLR39" s="317"/>
      <c r="CLS39" s="317"/>
      <c r="CLT39" s="317"/>
      <c r="CLU39" s="317"/>
      <c r="CLV39" s="317"/>
      <c r="CLW39" s="317"/>
      <c r="CLX39" s="317"/>
      <c r="CLY39" s="317"/>
      <c r="CLZ39" s="317"/>
      <c r="CMA39" s="317"/>
      <c r="CMB39" s="317"/>
      <c r="CMC39" s="317"/>
      <c r="CMD39" s="317"/>
      <c r="CME39" s="317"/>
      <c r="CMF39" s="317"/>
      <c r="CMG39" s="317"/>
      <c r="CMH39" s="317"/>
      <c r="CMI39" s="317"/>
      <c r="CMJ39" s="317"/>
      <c r="CMK39" s="317"/>
      <c r="CML39" s="317"/>
      <c r="CMM39" s="317"/>
      <c r="CMN39" s="317"/>
      <c r="CMO39" s="317"/>
      <c r="CMP39" s="317"/>
      <c r="CMQ39" s="317"/>
      <c r="CMR39" s="317"/>
      <c r="CMS39" s="317"/>
      <c r="CMT39" s="317"/>
      <c r="CMU39" s="317"/>
      <c r="CMV39" s="317"/>
      <c r="CMW39" s="317"/>
      <c r="CMX39" s="317"/>
      <c r="CMY39" s="317"/>
      <c r="CMZ39" s="317"/>
      <c r="CNA39" s="317"/>
      <c r="CNB39" s="317"/>
      <c r="CNC39" s="317"/>
      <c r="CND39" s="317"/>
      <c r="CNE39" s="317"/>
      <c r="CNF39" s="317"/>
      <c r="CNG39" s="317"/>
      <c r="CNH39" s="317"/>
      <c r="CNI39" s="317"/>
      <c r="CNJ39" s="317"/>
      <c r="CNK39" s="317"/>
      <c r="CNL39" s="317"/>
      <c r="CNM39" s="317"/>
      <c r="CNN39" s="317"/>
      <c r="CNO39" s="317"/>
      <c r="CNP39" s="317"/>
      <c r="CNQ39" s="317"/>
      <c r="CNR39" s="317"/>
      <c r="CNS39" s="317"/>
      <c r="CNT39" s="317"/>
      <c r="CNU39" s="317"/>
      <c r="CNV39" s="317"/>
      <c r="CNW39" s="317"/>
      <c r="CNX39" s="317"/>
      <c r="CNY39" s="317"/>
      <c r="CNZ39" s="317"/>
      <c r="COA39" s="317"/>
      <c r="COB39" s="317"/>
      <c r="COC39" s="317"/>
      <c r="COD39" s="317"/>
      <c r="COE39" s="317"/>
      <c r="COF39" s="317"/>
      <c r="COG39" s="317"/>
      <c r="COH39" s="317"/>
      <c r="COI39" s="317"/>
      <c r="COJ39" s="317"/>
      <c r="COK39" s="317"/>
      <c r="COL39" s="317"/>
      <c r="COM39" s="317"/>
      <c r="CON39" s="317"/>
      <c r="COO39" s="317"/>
      <c r="COP39" s="317"/>
      <c r="COQ39" s="317"/>
      <c r="COR39" s="317"/>
      <c r="COS39" s="317"/>
      <c r="COT39" s="317"/>
      <c r="COU39" s="317"/>
      <c r="COV39" s="317"/>
      <c r="COW39" s="317"/>
      <c r="COX39" s="317"/>
      <c r="COY39" s="317"/>
      <c r="COZ39" s="317"/>
      <c r="CPA39" s="317"/>
      <c r="CPB39" s="317"/>
      <c r="CPC39" s="317"/>
      <c r="CPD39" s="317"/>
      <c r="CPE39" s="317"/>
      <c r="CPF39" s="317"/>
      <c r="CPG39" s="317"/>
      <c r="CPH39" s="317"/>
      <c r="CPI39" s="317"/>
      <c r="CPJ39" s="317"/>
      <c r="CPK39" s="317"/>
      <c r="CPL39" s="317"/>
      <c r="CPM39" s="317"/>
      <c r="CPN39" s="317"/>
      <c r="CPO39" s="317"/>
      <c r="CPP39" s="317"/>
      <c r="CPQ39" s="317"/>
      <c r="CPR39" s="317"/>
      <c r="CPS39" s="317"/>
      <c r="CPT39" s="317"/>
      <c r="CPU39" s="317"/>
      <c r="CPV39" s="317"/>
      <c r="CPW39" s="317"/>
      <c r="CPX39" s="317"/>
      <c r="CPY39" s="317"/>
      <c r="CPZ39" s="317"/>
      <c r="CQA39" s="317"/>
      <c r="CQB39" s="317"/>
      <c r="CQC39" s="317"/>
      <c r="CQD39" s="317"/>
      <c r="CQE39" s="317"/>
      <c r="CQF39" s="317"/>
      <c r="CQG39" s="317"/>
      <c r="CQH39" s="317"/>
      <c r="CQI39" s="317"/>
      <c r="CQJ39" s="317"/>
      <c r="CQK39" s="317"/>
      <c r="CQL39" s="317"/>
      <c r="CQM39" s="317"/>
      <c r="CQN39" s="317"/>
      <c r="CQO39" s="317"/>
      <c r="CQP39" s="317"/>
      <c r="CQQ39" s="317"/>
      <c r="CQR39" s="317"/>
      <c r="CQS39" s="317"/>
      <c r="CQT39" s="317"/>
      <c r="CQU39" s="317"/>
      <c r="CQV39" s="317"/>
      <c r="CQW39" s="317"/>
      <c r="CQX39" s="317"/>
      <c r="CQY39" s="317"/>
      <c r="CQZ39" s="317"/>
      <c r="CRA39" s="317"/>
      <c r="CRB39" s="317"/>
      <c r="CRC39" s="317"/>
      <c r="CRD39" s="317"/>
      <c r="CRE39" s="317"/>
      <c r="CRF39" s="317"/>
      <c r="CRG39" s="317"/>
      <c r="CRH39" s="317"/>
      <c r="CRI39" s="317"/>
      <c r="CRJ39" s="317"/>
      <c r="CRK39" s="317"/>
      <c r="CRL39" s="317"/>
      <c r="CRM39" s="317"/>
      <c r="CRN39" s="317"/>
      <c r="CRO39" s="317"/>
      <c r="CRP39" s="317"/>
      <c r="CRQ39" s="317"/>
      <c r="CRR39" s="317"/>
      <c r="CRS39" s="317"/>
      <c r="CRT39" s="317"/>
      <c r="CRU39" s="317"/>
      <c r="CRV39" s="317"/>
      <c r="CRW39" s="317"/>
      <c r="CRX39" s="317"/>
      <c r="CRY39" s="317"/>
      <c r="CRZ39" s="317"/>
      <c r="CSA39" s="317"/>
      <c r="CSB39" s="317"/>
      <c r="CSC39" s="317"/>
      <c r="CSD39" s="317"/>
      <c r="CSE39" s="317"/>
      <c r="CSF39" s="317"/>
      <c r="CSG39" s="317"/>
      <c r="CSH39" s="317"/>
      <c r="CSI39" s="317"/>
      <c r="CSJ39" s="317"/>
      <c r="CSK39" s="317"/>
      <c r="CSL39" s="317"/>
      <c r="CSM39" s="317"/>
      <c r="CSN39" s="317"/>
      <c r="CSO39" s="317"/>
      <c r="CSP39" s="317"/>
      <c r="CSQ39" s="317"/>
      <c r="CSR39" s="317"/>
      <c r="CSS39" s="317"/>
      <c r="CST39" s="317"/>
      <c r="CSU39" s="317"/>
      <c r="CSV39" s="317"/>
      <c r="CSW39" s="317"/>
      <c r="CSX39" s="317"/>
      <c r="CSY39" s="317"/>
      <c r="CSZ39" s="317"/>
      <c r="CTA39" s="317"/>
      <c r="CTB39" s="317"/>
      <c r="CTC39" s="317"/>
      <c r="CTD39" s="317"/>
      <c r="CTE39" s="317"/>
      <c r="CTF39" s="317"/>
      <c r="CTG39" s="317"/>
      <c r="CTH39" s="317"/>
      <c r="CTI39" s="317"/>
      <c r="CTJ39" s="317"/>
      <c r="CTK39" s="317"/>
      <c r="CTL39" s="317"/>
      <c r="CTM39" s="317"/>
      <c r="CTN39" s="317"/>
      <c r="CTO39" s="317"/>
      <c r="CTP39" s="317"/>
      <c r="CTQ39" s="317"/>
      <c r="CTR39" s="317"/>
      <c r="CTS39" s="317"/>
      <c r="CTT39" s="317"/>
      <c r="CTU39" s="317"/>
      <c r="CTV39" s="317"/>
      <c r="CTW39" s="317"/>
      <c r="CTX39" s="317"/>
      <c r="CTY39" s="317"/>
      <c r="CTZ39" s="317"/>
      <c r="CUA39" s="317"/>
      <c r="CUB39" s="317"/>
      <c r="CUC39" s="317"/>
      <c r="CUD39" s="317"/>
      <c r="CUE39" s="317"/>
      <c r="CUF39" s="317"/>
      <c r="CUG39" s="317"/>
      <c r="CUH39" s="317"/>
      <c r="CUI39" s="317"/>
      <c r="CUJ39" s="317"/>
      <c r="CUK39" s="317"/>
      <c r="CUL39" s="317"/>
      <c r="CUM39" s="317"/>
      <c r="CUN39" s="317"/>
      <c r="CUO39" s="317"/>
      <c r="CUP39" s="317"/>
      <c r="CUQ39" s="317"/>
      <c r="CUR39" s="317"/>
      <c r="CUS39" s="317"/>
      <c r="CUT39" s="317"/>
      <c r="CUU39" s="317"/>
      <c r="CUV39" s="317"/>
      <c r="CUW39" s="317"/>
      <c r="CUX39" s="317"/>
      <c r="CUY39" s="317"/>
      <c r="CUZ39" s="317"/>
      <c r="CVA39" s="317"/>
      <c r="CVB39" s="317"/>
      <c r="CVC39" s="317"/>
      <c r="CVD39" s="317"/>
      <c r="CVE39" s="317"/>
      <c r="CVF39" s="317"/>
      <c r="CVG39" s="317"/>
      <c r="CVH39" s="317"/>
      <c r="CVI39" s="317"/>
      <c r="CVJ39" s="317"/>
      <c r="CVK39" s="317"/>
      <c r="CVL39" s="317"/>
      <c r="CVM39" s="317"/>
      <c r="CVN39" s="317"/>
      <c r="CVO39" s="317"/>
      <c r="CVP39" s="317"/>
      <c r="CVQ39" s="317"/>
      <c r="CVR39" s="317"/>
      <c r="CVS39" s="317"/>
      <c r="CVT39" s="317"/>
      <c r="CVU39" s="317"/>
      <c r="CVV39" s="317"/>
      <c r="CVW39" s="317"/>
      <c r="CVX39" s="317"/>
      <c r="CVY39" s="317"/>
      <c r="CVZ39" s="317"/>
      <c r="CWA39" s="317"/>
      <c r="CWB39" s="317"/>
      <c r="CWC39" s="317"/>
      <c r="CWD39" s="317"/>
      <c r="CWE39" s="317"/>
      <c r="CWF39" s="317"/>
      <c r="CWG39" s="317"/>
      <c r="CWH39" s="317"/>
      <c r="CWI39" s="317"/>
      <c r="CWJ39" s="317"/>
      <c r="CWK39" s="317"/>
      <c r="CWL39" s="317"/>
      <c r="CWM39" s="317"/>
      <c r="CWN39" s="317"/>
      <c r="CWO39" s="317"/>
      <c r="CWP39" s="317"/>
      <c r="CWQ39" s="317"/>
      <c r="CWR39" s="317"/>
      <c r="CWS39" s="317"/>
      <c r="CWT39" s="317"/>
      <c r="CWU39" s="317"/>
      <c r="CWV39" s="317"/>
      <c r="CWW39" s="317"/>
      <c r="CWX39" s="317"/>
      <c r="CWY39" s="317"/>
      <c r="CWZ39" s="317"/>
      <c r="CXA39" s="317"/>
      <c r="CXB39" s="317"/>
      <c r="CXC39" s="317"/>
      <c r="CXD39" s="317"/>
      <c r="CXE39" s="317"/>
      <c r="CXF39" s="317"/>
      <c r="CXG39" s="317"/>
      <c r="CXH39" s="317"/>
      <c r="CXI39" s="317"/>
      <c r="CXJ39" s="317"/>
      <c r="CXK39" s="317"/>
      <c r="CXL39" s="317"/>
      <c r="CXM39" s="317"/>
      <c r="CXN39" s="317"/>
      <c r="CXO39" s="317"/>
      <c r="CXP39" s="317"/>
      <c r="CXQ39" s="317"/>
      <c r="CXR39" s="317"/>
      <c r="CXS39" s="317"/>
      <c r="CXT39" s="317"/>
      <c r="CXU39" s="317"/>
      <c r="CXV39" s="317"/>
      <c r="CXW39" s="317"/>
      <c r="CXX39" s="317"/>
      <c r="CXY39" s="317"/>
      <c r="CXZ39" s="317"/>
      <c r="CYA39" s="317"/>
      <c r="CYB39" s="317"/>
      <c r="CYC39" s="317"/>
      <c r="CYD39" s="317"/>
      <c r="CYE39" s="317"/>
      <c r="CYF39" s="317"/>
      <c r="CYG39" s="317"/>
      <c r="CYH39" s="317"/>
      <c r="CYI39" s="317"/>
      <c r="CYJ39" s="317"/>
      <c r="CYK39" s="317"/>
      <c r="CYL39" s="317"/>
      <c r="CYM39" s="317"/>
      <c r="CYN39" s="317"/>
      <c r="CYO39" s="317"/>
      <c r="CYP39" s="317"/>
      <c r="CYQ39" s="317"/>
      <c r="CYR39" s="317"/>
      <c r="CYS39" s="317"/>
      <c r="CYT39" s="317"/>
      <c r="CYU39" s="317"/>
      <c r="CYV39" s="317"/>
      <c r="CYW39" s="317"/>
      <c r="CYX39" s="317"/>
      <c r="CYY39" s="317"/>
      <c r="CYZ39" s="317"/>
      <c r="CZA39" s="317"/>
      <c r="CZB39" s="317"/>
      <c r="CZC39" s="317"/>
      <c r="CZD39" s="317"/>
      <c r="CZE39" s="317"/>
      <c r="CZF39" s="317"/>
      <c r="CZG39" s="317"/>
      <c r="CZH39" s="317"/>
      <c r="CZI39" s="317"/>
      <c r="CZJ39" s="317"/>
      <c r="CZK39" s="317"/>
      <c r="CZL39" s="317"/>
      <c r="CZM39" s="317"/>
      <c r="CZN39" s="317"/>
      <c r="CZO39" s="317"/>
      <c r="CZP39" s="317"/>
      <c r="CZQ39" s="317"/>
      <c r="CZR39" s="317"/>
      <c r="CZS39" s="317"/>
      <c r="CZT39" s="317"/>
      <c r="CZU39" s="317"/>
      <c r="CZV39" s="317"/>
      <c r="CZW39" s="317"/>
      <c r="CZX39" s="317"/>
      <c r="CZY39" s="317"/>
      <c r="CZZ39" s="317"/>
      <c r="DAA39" s="317"/>
      <c r="DAB39" s="317"/>
      <c r="DAC39" s="317"/>
      <c r="DAD39" s="317"/>
      <c r="DAE39" s="317"/>
      <c r="DAF39" s="317"/>
      <c r="DAG39" s="317"/>
      <c r="DAH39" s="317"/>
      <c r="DAI39" s="317"/>
      <c r="DAJ39" s="317"/>
      <c r="DAK39" s="317"/>
      <c r="DAL39" s="317"/>
      <c r="DAM39" s="317"/>
      <c r="DAN39" s="317"/>
      <c r="DAO39" s="317"/>
      <c r="DAP39" s="317"/>
      <c r="DAQ39" s="317"/>
      <c r="DAR39" s="317"/>
      <c r="DAS39" s="317"/>
      <c r="DAT39" s="317"/>
      <c r="DAU39" s="317"/>
      <c r="DAV39" s="317"/>
      <c r="DAW39" s="317"/>
      <c r="DAX39" s="317"/>
      <c r="DAY39" s="317"/>
      <c r="DAZ39" s="317"/>
      <c r="DBA39" s="317"/>
      <c r="DBB39" s="317"/>
      <c r="DBC39" s="317"/>
      <c r="DBD39" s="317"/>
      <c r="DBE39" s="317"/>
      <c r="DBF39" s="317"/>
      <c r="DBG39" s="317"/>
      <c r="DBH39" s="317"/>
      <c r="DBI39" s="317"/>
      <c r="DBJ39" s="317"/>
      <c r="DBK39" s="317"/>
      <c r="DBL39" s="317"/>
      <c r="DBM39" s="317"/>
      <c r="DBN39" s="317"/>
      <c r="DBO39" s="317"/>
      <c r="DBP39" s="317"/>
      <c r="DBQ39" s="317"/>
      <c r="DBR39" s="317"/>
      <c r="DBS39" s="317"/>
      <c r="DBT39" s="317"/>
      <c r="DBU39" s="317"/>
      <c r="DBV39" s="317"/>
      <c r="DBW39" s="317"/>
      <c r="DBX39" s="317"/>
      <c r="DBY39" s="317"/>
      <c r="DBZ39" s="317"/>
      <c r="DCA39" s="317"/>
      <c r="DCB39" s="317"/>
      <c r="DCC39" s="317"/>
      <c r="DCD39" s="317"/>
      <c r="DCE39" s="317"/>
      <c r="DCF39" s="317"/>
      <c r="DCG39" s="317"/>
      <c r="DCH39" s="317"/>
      <c r="DCI39" s="317"/>
      <c r="DCJ39" s="317"/>
      <c r="DCK39" s="317"/>
      <c r="DCL39" s="317"/>
      <c r="DCM39" s="317"/>
      <c r="DCN39" s="317"/>
      <c r="DCO39" s="317"/>
      <c r="DCP39" s="317"/>
      <c r="DCQ39" s="317"/>
      <c r="DCR39" s="317"/>
      <c r="DCS39" s="317"/>
      <c r="DCT39" s="317"/>
      <c r="DCU39" s="317"/>
      <c r="DCV39" s="317"/>
      <c r="DCW39" s="317"/>
      <c r="DCX39" s="317"/>
      <c r="DCY39" s="317"/>
      <c r="DCZ39" s="317"/>
      <c r="DDA39" s="317"/>
      <c r="DDB39" s="317"/>
      <c r="DDC39" s="317"/>
      <c r="DDD39" s="317"/>
      <c r="DDE39" s="317"/>
      <c r="DDF39" s="317"/>
      <c r="DDG39" s="317"/>
      <c r="DDH39" s="317"/>
      <c r="DDI39" s="317"/>
      <c r="DDJ39" s="317"/>
      <c r="DDK39" s="317"/>
      <c r="DDL39" s="317"/>
      <c r="DDM39" s="317"/>
      <c r="DDN39" s="317"/>
      <c r="DDO39" s="317"/>
      <c r="DDP39" s="317"/>
      <c r="DDQ39" s="317"/>
      <c r="DDR39" s="317"/>
      <c r="DDS39" s="317"/>
      <c r="DDT39" s="317"/>
      <c r="DDU39" s="317"/>
      <c r="DDV39" s="317"/>
      <c r="DDW39" s="317"/>
      <c r="DDX39" s="317"/>
      <c r="DDY39" s="317"/>
      <c r="DDZ39" s="317"/>
      <c r="DEA39" s="317"/>
      <c r="DEB39" s="317"/>
      <c r="DEC39" s="317"/>
      <c r="DED39" s="317"/>
      <c r="DEE39" s="317"/>
      <c r="DEF39" s="317"/>
      <c r="DEG39" s="317"/>
      <c r="DEH39" s="317"/>
      <c r="DEI39" s="317"/>
      <c r="DEJ39" s="317"/>
      <c r="DEK39" s="317"/>
      <c r="DEL39" s="317"/>
      <c r="DEM39" s="317"/>
      <c r="DEN39" s="317"/>
      <c r="DEO39" s="317"/>
      <c r="DEP39" s="317"/>
      <c r="DEQ39" s="317"/>
      <c r="DER39" s="317"/>
      <c r="DES39" s="317"/>
      <c r="DET39" s="317"/>
      <c r="DEU39" s="317"/>
      <c r="DEV39" s="317"/>
      <c r="DEW39" s="317"/>
      <c r="DEX39" s="317"/>
      <c r="DEY39" s="317"/>
      <c r="DEZ39" s="317"/>
      <c r="DFA39" s="317"/>
      <c r="DFB39" s="317"/>
      <c r="DFC39" s="317"/>
      <c r="DFD39" s="317"/>
      <c r="DFE39" s="317"/>
      <c r="DFF39" s="317"/>
      <c r="DFG39" s="317"/>
      <c r="DFH39" s="317"/>
      <c r="DFI39" s="317"/>
      <c r="DFJ39" s="317"/>
      <c r="DFK39" s="317"/>
      <c r="DFL39" s="317"/>
      <c r="DFM39" s="317"/>
      <c r="DFN39" s="317"/>
      <c r="DFO39" s="317"/>
      <c r="DFP39" s="317"/>
      <c r="DFQ39" s="317"/>
      <c r="DFR39" s="317"/>
      <c r="DFS39" s="317"/>
      <c r="DFT39" s="317"/>
      <c r="DFU39" s="317"/>
      <c r="DFV39" s="317"/>
      <c r="DFW39" s="317"/>
      <c r="DFX39" s="317"/>
      <c r="DFY39" s="317"/>
      <c r="DFZ39" s="317"/>
      <c r="DGA39" s="317"/>
      <c r="DGB39" s="317"/>
      <c r="DGC39" s="317"/>
      <c r="DGD39" s="317"/>
      <c r="DGE39" s="317"/>
      <c r="DGF39" s="317"/>
      <c r="DGG39" s="317"/>
      <c r="DGH39" s="317"/>
      <c r="DGI39" s="317"/>
      <c r="DGJ39" s="317"/>
      <c r="DGK39" s="317"/>
      <c r="DGL39" s="317"/>
      <c r="DGM39" s="317"/>
      <c r="DGN39" s="317"/>
      <c r="DGO39" s="317"/>
      <c r="DGP39" s="317"/>
      <c r="DGQ39" s="317"/>
      <c r="DGR39" s="317"/>
      <c r="DGS39" s="317"/>
      <c r="DGT39" s="317"/>
      <c r="DGU39" s="317"/>
      <c r="DGV39" s="317"/>
      <c r="DGW39" s="317"/>
      <c r="DGX39" s="317"/>
      <c r="DGY39" s="317"/>
      <c r="DGZ39" s="317"/>
      <c r="DHA39" s="317"/>
      <c r="DHB39" s="317"/>
      <c r="DHC39" s="317"/>
      <c r="DHD39" s="317"/>
      <c r="DHE39" s="317"/>
      <c r="DHF39" s="317"/>
      <c r="DHG39" s="317"/>
      <c r="DHH39" s="317"/>
      <c r="DHI39" s="317"/>
      <c r="DHJ39" s="317"/>
      <c r="DHK39" s="317"/>
      <c r="DHL39" s="317"/>
      <c r="DHM39" s="317"/>
      <c r="DHN39" s="317"/>
      <c r="DHO39" s="317"/>
      <c r="DHP39" s="317"/>
      <c r="DHQ39" s="317"/>
      <c r="DHR39" s="317"/>
      <c r="DHS39" s="317"/>
      <c r="DHT39" s="317"/>
      <c r="DHU39" s="317"/>
      <c r="DHV39" s="317"/>
      <c r="DHW39" s="317"/>
      <c r="DHX39" s="317"/>
      <c r="DHY39" s="317"/>
      <c r="DHZ39" s="317"/>
      <c r="DIA39" s="317"/>
      <c r="DIB39" s="317"/>
      <c r="DIC39" s="317"/>
      <c r="DID39" s="317"/>
      <c r="DIE39" s="317"/>
      <c r="DIF39" s="317"/>
      <c r="DIG39" s="317"/>
      <c r="DIH39" s="317"/>
      <c r="DII39" s="317"/>
      <c r="DIJ39" s="317"/>
      <c r="DIK39" s="317"/>
      <c r="DIL39" s="317"/>
      <c r="DIM39" s="317"/>
      <c r="DIN39" s="317"/>
      <c r="DIO39" s="317"/>
      <c r="DIP39" s="317"/>
      <c r="DIQ39" s="317"/>
      <c r="DIR39" s="317"/>
      <c r="DIS39" s="317"/>
      <c r="DIT39" s="317"/>
      <c r="DIU39" s="317"/>
      <c r="DIV39" s="317"/>
      <c r="DIW39" s="317"/>
      <c r="DIX39" s="317"/>
      <c r="DIY39" s="317"/>
      <c r="DIZ39" s="317"/>
      <c r="DJA39" s="317"/>
      <c r="DJB39" s="317"/>
      <c r="DJC39" s="317"/>
      <c r="DJD39" s="317"/>
      <c r="DJE39" s="317"/>
      <c r="DJF39" s="317"/>
      <c r="DJG39" s="317"/>
      <c r="DJH39" s="317"/>
      <c r="DJI39" s="317"/>
      <c r="DJJ39" s="317"/>
      <c r="DJK39" s="317"/>
      <c r="DJL39" s="317"/>
      <c r="DJM39" s="317"/>
      <c r="DJN39" s="317"/>
      <c r="DJO39" s="317"/>
      <c r="DJP39" s="317"/>
      <c r="DJQ39" s="317"/>
      <c r="DJR39" s="317"/>
      <c r="DJS39" s="317"/>
      <c r="DJT39" s="317"/>
      <c r="DJU39" s="317"/>
      <c r="DJV39" s="317"/>
      <c r="DJW39" s="317"/>
      <c r="DJX39" s="317"/>
      <c r="DJY39" s="317"/>
      <c r="DJZ39" s="317"/>
      <c r="DKA39" s="317"/>
      <c r="DKB39" s="317"/>
      <c r="DKC39" s="317"/>
      <c r="DKD39" s="317"/>
      <c r="DKE39" s="317"/>
      <c r="DKF39" s="317"/>
      <c r="DKG39" s="317"/>
      <c r="DKH39" s="317"/>
      <c r="DKI39" s="317"/>
      <c r="DKJ39" s="317"/>
      <c r="DKK39" s="317"/>
      <c r="DKL39" s="317"/>
      <c r="DKM39" s="317"/>
      <c r="DKN39" s="317"/>
      <c r="DKO39" s="317"/>
      <c r="DKP39" s="317"/>
      <c r="DKQ39" s="317"/>
      <c r="DKR39" s="317"/>
      <c r="DKS39" s="317"/>
      <c r="DKT39" s="317"/>
      <c r="DKU39" s="317"/>
      <c r="DKV39" s="317"/>
      <c r="DKW39" s="317"/>
      <c r="DKX39" s="317"/>
      <c r="DKY39" s="317"/>
      <c r="DKZ39" s="317"/>
      <c r="DLA39" s="317"/>
      <c r="DLB39" s="317"/>
      <c r="DLC39" s="317"/>
      <c r="DLD39" s="317"/>
      <c r="DLE39" s="317"/>
      <c r="DLF39" s="317"/>
      <c r="DLG39" s="317"/>
      <c r="DLH39" s="317"/>
      <c r="DLI39" s="317"/>
      <c r="DLJ39" s="317"/>
      <c r="DLK39" s="317"/>
      <c r="DLL39" s="317"/>
      <c r="DLM39" s="317"/>
      <c r="DLN39" s="317"/>
      <c r="DLO39" s="317"/>
      <c r="DLP39" s="317"/>
      <c r="DLQ39" s="317"/>
      <c r="DLR39" s="317"/>
      <c r="DLS39" s="317"/>
      <c r="DLT39" s="317"/>
      <c r="DLU39" s="317"/>
      <c r="DLV39" s="317"/>
      <c r="DLW39" s="317"/>
      <c r="DLX39" s="317"/>
      <c r="DLY39" s="317"/>
      <c r="DLZ39" s="317"/>
      <c r="DMA39" s="317"/>
      <c r="DMB39" s="317"/>
      <c r="DMC39" s="317"/>
      <c r="DMD39" s="317"/>
      <c r="DME39" s="317"/>
      <c r="DMF39" s="317"/>
      <c r="DMG39" s="317"/>
      <c r="DMH39" s="317"/>
      <c r="DMI39" s="317"/>
      <c r="DMJ39" s="317"/>
      <c r="DMK39" s="317"/>
      <c r="DML39" s="317"/>
      <c r="DMM39" s="317"/>
      <c r="DMN39" s="317"/>
      <c r="DMO39" s="317"/>
      <c r="DMP39" s="317"/>
      <c r="DMQ39" s="317"/>
      <c r="DMR39" s="317"/>
      <c r="DMS39" s="317"/>
      <c r="DMT39" s="317"/>
      <c r="DMU39" s="317"/>
      <c r="DMV39" s="317"/>
      <c r="DMW39" s="317"/>
      <c r="DMX39" s="317"/>
      <c r="DMY39" s="317"/>
      <c r="DMZ39" s="317"/>
      <c r="DNA39" s="317"/>
      <c r="DNB39" s="317"/>
      <c r="DNC39" s="317"/>
      <c r="DND39" s="317"/>
      <c r="DNE39" s="317"/>
      <c r="DNF39" s="317"/>
      <c r="DNG39" s="317"/>
      <c r="DNH39" s="317"/>
      <c r="DNI39" s="317"/>
      <c r="DNJ39" s="317"/>
      <c r="DNK39" s="317"/>
      <c r="DNL39" s="317"/>
      <c r="DNM39" s="317"/>
      <c r="DNN39" s="317"/>
      <c r="DNO39" s="317"/>
      <c r="DNP39" s="317"/>
      <c r="DNQ39" s="317"/>
      <c r="DNR39" s="317"/>
      <c r="DNS39" s="317"/>
      <c r="DNT39" s="317"/>
      <c r="DNU39" s="317"/>
      <c r="DNV39" s="317"/>
      <c r="DNW39" s="317"/>
      <c r="DNX39" s="317"/>
      <c r="DNY39" s="317"/>
      <c r="DNZ39" s="317"/>
      <c r="DOA39" s="317"/>
      <c r="DOB39" s="317"/>
      <c r="DOC39" s="317"/>
      <c r="DOD39" s="317"/>
      <c r="DOE39" s="317"/>
      <c r="DOF39" s="317"/>
      <c r="DOG39" s="317"/>
      <c r="DOH39" s="317"/>
      <c r="DOI39" s="317"/>
      <c r="DOJ39" s="317"/>
      <c r="DOK39" s="317"/>
      <c r="DOL39" s="317"/>
      <c r="DOM39" s="317"/>
      <c r="DON39" s="317"/>
      <c r="DOO39" s="317"/>
      <c r="DOP39" s="317"/>
      <c r="DOQ39" s="317"/>
      <c r="DOR39" s="317"/>
      <c r="DOS39" s="317"/>
      <c r="DOT39" s="317"/>
      <c r="DOU39" s="317"/>
      <c r="DOV39" s="317"/>
      <c r="DOW39" s="317"/>
      <c r="DOX39" s="317"/>
      <c r="DOY39" s="317"/>
      <c r="DOZ39" s="317"/>
      <c r="DPA39" s="317"/>
      <c r="DPB39" s="317"/>
      <c r="DPC39" s="317"/>
      <c r="DPD39" s="317"/>
      <c r="DPE39" s="317"/>
      <c r="DPF39" s="317"/>
      <c r="DPG39" s="317"/>
      <c r="DPH39" s="317"/>
      <c r="DPI39" s="317"/>
      <c r="DPJ39" s="317"/>
      <c r="DPK39" s="317"/>
      <c r="DPL39" s="317"/>
      <c r="DPM39" s="317"/>
      <c r="DPN39" s="317"/>
      <c r="DPO39" s="317"/>
      <c r="DPP39" s="317"/>
      <c r="DPQ39" s="317"/>
      <c r="DPR39" s="317"/>
      <c r="DPS39" s="317"/>
      <c r="DPT39" s="317"/>
      <c r="DPU39" s="317"/>
      <c r="DPV39" s="317"/>
      <c r="DPW39" s="317"/>
      <c r="DPX39" s="317"/>
      <c r="DPY39" s="317"/>
      <c r="DPZ39" s="317"/>
      <c r="DQA39" s="317"/>
      <c r="DQB39" s="317"/>
      <c r="DQC39" s="317"/>
      <c r="DQD39" s="317"/>
      <c r="DQE39" s="317"/>
      <c r="DQF39" s="317"/>
      <c r="DQG39" s="317"/>
      <c r="DQH39" s="317"/>
      <c r="DQI39" s="317"/>
      <c r="DQJ39" s="317"/>
      <c r="DQK39" s="317"/>
      <c r="DQL39" s="317"/>
      <c r="DQM39" s="317"/>
      <c r="DQN39" s="317"/>
      <c r="DQO39" s="317"/>
      <c r="DQP39" s="317"/>
      <c r="DQQ39" s="317"/>
      <c r="DQR39" s="317"/>
      <c r="DQS39" s="317"/>
      <c r="DQT39" s="317"/>
      <c r="DQU39" s="317"/>
      <c r="DQV39" s="317"/>
      <c r="DQW39" s="317"/>
      <c r="DQX39" s="317"/>
      <c r="DQY39" s="317"/>
      <c r="DQZ39" s="317"/>
      <c r="DRA39" s="317"/>
      <c r="DRB39" s="317"/>
      <c r="DRC39" s="317"/>
      <c r="DRD39" s="317"/>
      <c r="DRE39" s="317"/>
      <c r="DRF39" s="317"/>
      <c r="DRG39" s="317"/>
      <c r="DRH39" s="317"/>
      <c r="DRI39" s="317"/>
      <c r="DRJ39" s="317"/>
      <c r="DRK39" s="317"/>
      <c r="DRL39" s="317"/>
      <c r="DRM39" s="317"/>
      <c r="DRN39" s="317"/>
      <c r="DRO39" s="317"/>
      <c r="DRP39" s="317"/>
      <c r="DRQ39" s="317"/>
      <c r="DRR39" s="317"/>
      <c r="DRS39" s="317"/>
      <c r="DRT39" s="317"/>
      <c r="DRU39" s="317"/>
      <c r="DRV39" s="317"/>
      <c r="DRW39" s="317"/>
      <c r="DRX39" s="317"/>
      <c r="DRY39" s="317"/>
      <c r="DRZ39" s="317"/>
      <c r="DSA39" s="317"/>
      <c r="DSB39" s="317"/>
      <c r="DSC39" s="317"/>
      <c r="DSD39" s="317"/>
      <c r="DSE39" s="317"/>
      <c r="DSF39" s="317"/>
      <c r="DSG39" s="317"/>
      <c r="DSH39" s="317"/>
      <c r="DSI39" s="317"/>
      <c r="DSJ39" s="317"/>
      <c r="DSK39" s="317"/>
      <c r="DSL39" s="317"/>
      <c r="DSM39" s="317"/>
      <c r="DSN39" s="317"/>
      <c r="DSO39" s="317"/>
      <c r="DSP39" s="317"/>
      <c r="DSQ39" s="317"/>
      <c r="DSR39" s="317"/>
      <c r="DSS39" s="317"/>
      <c r="DST39" s="317"/>
      <c r="DSU39" s="317"/>
      <c r="DSV39" s="317"/>
      <c r="DSW39" s="317"/>
      <c r="DSX39" s="317"/>
      <c r="DSY39" s="317"/>
      <c r="DSZ39" s="317"/>
      <c r="DTA39" s="317"/>
      <c r="DTB39" s="317"/>
      <c r="DTC39" s="317"/>
      <c r="DTD39" s="317"/>
      <c r="DTE39" s="317"/>
      <c r="DTF39" s="317"/>
      <c r="DTG39" s="317"/>
      <c r="DTH39" s="317"/>
      <c r="DTI39" s="317"/>
      <c r="DTJ39" s="317"/>
      <c r="DTK39" s="317"/>
      <c r="DTL39" s="317"/>
      <c r="DTM39" s="317"/>
      <c r="DTN39" s="317"/>
      <c r="DTO39" s="317"/>
      <c r="DTP39" s="317"/>
      <c r="DTQ39" s="317"/>
      <c r="DTR39" s="317"/>
      <c r="DTS39" s="317"/>
      <c r="DTT39" s="317"/>
      <c r="DTU39" s="317"/>
      <c r="DTV39" s="317"/>
      <c r="DTW39" s="317"/>
      <c r="DTX39" s="317"/>
      <c r="DTY39" s="317"/>
      <c r="DTZ39" s="317"/>
      <c r="DUA39" s="317"/>
      <c r="DUB39" s="317"/>
      <c r="DUC39" s="317"/>
      <c r="DUD39" s="317"/>
      <c r="DUE39" s="317"/>
      <c r="DUF39" s="317"/>
      <c r="DUG39" s="317"/>
      <c r="DUH39" s="317"/>
      <c r="DUI39" s="317"/>
      <c r="DUJ39" s="317"/>
      <c r="DUK39" s="317"/>
      <c r="DUL39" s="317"/>
      <c r="DUM39" s="317"/>
      <c r="DUN39" s="317"/>
      <c r="DUO39" s="317"/>
      <c r="DUP39" s="317"/>
      <c r="DUQ39" s="317"/>
      <c r="DUR39" s="317"/>
      <c r="DUS39" s="317"/>
      <c r="DUT39" s="317"/>
      <c r="DUU39" s="317"/>
      <c r="DUV39" s="317"/>
      <c r="DUW39" s="317"/>
      <c r="DUX39" s="317"/>
      <c r="DUY39" s="317"/>
      <c r="DUZ39" s="317"/>
      <c r="DVA39" s="317"/>
      <c r="DVB39" s="317"/>
      <c r="DVC39" s="317"/>
      <c r="DVD39" s="317"/>
      <c r="DVE39" s="317"/>
      <c r="DVF39" s="317"/>
      <c r="DVG39" s="317"/>
      <c r="DVH39" s="317"/>
      <c r="DVI39" s="317"/>
      <c r="DVJ39" s="317"/>
      <c r="DVK39" s="317"/>
      <c r="DVL39" s="317"/>
      <c r="DVM39" s="317"/>
      <c r="DVN39" s="317"/>
      <c r="DVO39" s="317"/>
      <c r="DVP39" s="317"/>
      <c r="DVQ39" s="317"/>
      <c r="DVR39" s="317"/>
      <c r="DVS39" s="317"/>
      <c r="DVT39" s="317"/>
      <c r="DVU39" s="317"/>
      <c r="DVV39" s="317"/>
      <c r="DVW39" s="317"/>
      <c r="DVX39" s="317"/>
      <c r="DVY39" s="317"/>
      <c r="DVZ39" s="317"/>
      <c r="DWA39" s="317"/>
      <c r="DWB39" s="317"/>
      <c r="DWC39" s="317"/>
      <c r="DWD39" s="317"/>
      <c r="DWE39" s="317"/>
      <c r="DWF39" s="317"/>
      <c r="DWG39" s="317"/>
      <c r="DWH39" s="317"/>
      <c r="DWI39" s="317"/>
      <c r="DWJ39" s="317"/>
      <c r="DWK39" s="317"/>
      <c r="DWL39" s="317"/>
      <c r="DWM39" s="317"/>
      <c r="DWN39" s="317"/>
      <c r="DWO39" s="317"/>
      <c r="DWP39" s="317"/>
      <c r="DWQ39" s="317"/>
      <c r="DWR39" s="317"/>
      <c r="DWS39" s="317"/>
      <c r="DWT39" s="317"/>
      <c r="DWU39" s="317"/>
      <c r="DWV39" s="317"/>
      <c r="DWW39" s="317"/>
      <c r="DWX39" s="317"/>
      <c r="DWY39" s="317"/>
      <c r="DWZ39" s="317"/>
      <c r="DXA39" s="317"/>
      <c r="DXB39" s="317"/>
      <c r="DXC39" s="317"/>
      <c r="DXD39" s="317"/>
      <c r="DXE39" s="317"/>
      <c r="DXF39" s="317"/>
      <c r="DXG39" s="317"/>
      <c r="DXH39" s="317"/>
      <c r="DXI39" s="317"/>
      <c r="DXJ39" s="317"/>
      <c r="DXK39" s="317"/>
      <c r="DXL39" s="317"/>
      <c r="DXM39" s="317"/>
      <c r="DXN39" s="317"/>
      <c r="DXO39" s="317"/>
      <c r="DXP39" s="317"/>
      <c r="DXQ39" s="317"/>
      <c r="DXR39" s="317"/>
      <c r="DXS39" s="317"/>
      <c r="DXT39" s="317"/>
      <c r="DXU39" s="317"/>
      <c r="DXV39" s="317"/>
      <c r="DXW39" s="317"/>
      <c r="DXX39" s="317"/>
      <c r="DXY39" s="317"/>
      <c r="DXZ39" s="317"/>
      <c r="DYA39" s="317"/>
      <c r="DYB39" s="317"/>
      <c r="DYC39" s="317"/>
      <c r="DYD39" s="317"/>
      <c r="DYE39" s="317"/>
      <c r="DYF39" s="317"/>
      <c r="DYG39" s="317"/>
      <c r="DYH39" s="317"/>
      <c r="DYI39" s="317"/>
      <c r="DYJ39" s="317"/>
      <c r="DYK39" s="317"/>
      <c r="DYL39" s="317"/>
      <c r="DYM39" s="317"/>
      <c r="DYN39" s="317"/>
      <c r="DYO39" s="317"/>
      <c r="DYP39" s="317"/>
      <c r="DYQ39" s="317"/>
      <c r="DYR39" s="317"/>
      <c r="DYS39" s="317"/>
      <c r="DYT39" s="317"/>
      <c r="DYU39" s="317"/>
      <c r="DYV39" s="317"/>
      <c r="DYW39" s="317"/>
      <c r="DYX39" s="317"/>
      <c r="DYY39" s="317"/>
      <c r="DYZ39" s="317"/>
      <c r="DZA39" s="317"/>
      <c r="DZB39" s="317"/>
      <c r="DZC39" s="317"/>
      <c r="DZD39" s="317"/>
      <c r="DZE39" s="317"/>
      <c r="DZF39" s="317"/>
      <c r="DZG39" s="317"/>
      <c r="DZH39" s="317"/>
      <c r="DZI39" s="317"/>
      <c r="DZJ39" s="317"/>
      <c r="DZK39" s="317"/>
      <c r="DZL39" s="317"/>
      <c r="DZM39" s="317"/>
      <c r="DZN39" s="317"/>
      <c r="DZO39" s="317"/>
      <c r="DZP39" s="317"/>
      <c r="DZQ39" s="317"/>
      <c r="DZR39" s="317"/>
      <c r="DZS39" s="317"/>
      <c r="DZT39" s="317"/>
      <c r="DZU39" s="317"/>
      <c r="DZV39" s="317"/>
      <c r="DZW39" s="317"/>
      <c r="DZX39" s="317"/>
      <c r="DZY39" s="317"/>
      <c r="DZZ39" s="317"/>
      <c r="EAA39" s="317"/>
      <c r="EAB39" s="317"/>
      <c r="EAC39" s="317"/>
      <c r="EAD39" s="317"/>
      <c r="EAE39" s="317"/>
      <c r="EAF39" s="317"/>
      <c r="EAG39" s="317"/>
      <c r="EAH39" s="317"/>
      <c r="EAI39" s="317"/>
      <c r="EAJ39" s="317"/>
      <c r="EAK39" s="317"/>
      <c r="EAL39" s="317"/>
      <c r="EAM39" s="317"/>
      <c r="EAN39" s="317"/>
      <c r="EAO39" s="317"/>
      <c r="EAP39" s="317"/>
      <c r="EAQ39" s="317"/>
      <c r="EAR39" s="317"/>
      <c r="EAS39" s="317"/>
      <c r="EAT39" s="317"/>
      <c r="EAU39" s="317"/>
      <c r="EAV39" s="317"/>
      <c r="EAW39" s="317"/>
      <c r="EAX39" s="317"/>
      <c r="EAY39" s="317"/>
      <c r="EAZ39" s="317"/>
      <c r="EBA39" s="317"/>
      <c r="EBB39" s="317"/>
      <c r="EBC39" s="317"/>
      <c r="EBD39" s="317"/>
      <c r="EBE39" s="317"/>
      <c r="EBF39" s="317"/>
      <c r="EBG39" s="317"/>
      <c r="EBH39" s="317"/>
      <c r="EBI39" s="317"/>
      <c r="EBJ39" s="317"/>
      <c r="EBK39" s="317"/>
      <c r="EBL39" s="317"/>
      <c r="EBM39" s="317"/>
      <c r="EBN39" s="317"/>
      <c r="EBO39" s="317"/>
      <c r="EBP39" s="317"/>
      <c r="EBQ39" s="317"/>
      <c r="EBR39" s="317"/>
      <c r="EBS39" s="317"/>
      <c r="EBT39" s="317"/>
      <c r="EBU39" s="317"/>
      <c r="EBV39" s="317"/>
      <c r="EBW39" s="317"/>
      <c r="EBX39" s="317"/>
      <c r="EBY39" s="317"/>
      <c r="EBZ39" s="317"/>
      <c r="ECA39" s="317"/>
      <c r="ECB39" s="317"/>
      <c r="ECC39" s="317"/>
      <c r="ECD39" s="317"/>
      <c r="ECE39" s="317"/>
      <c r="ECF39" s="317"/>
      <c r="ECG39" s="317"/>
      <c r="ECH39" s="317"/>
      <c r="ECI39" s="317"/>
      <c r="ECJ39" s="317"/>
      <c r="ECK39" s="317"/>
      <c r="ECL39" s="317"/>
      <c r="ECM39" s="317"/>
      <c r="ECN39" s="317"/>
      <c r="ECO39" s="317"/>
      <c r="ECP39" s="317"/>
      <c r="ECQ39" s="317"/>
      <c r="ECR39" s="317"/>
      <c r="ECS39" s="317"/>
      <c r="ECT39" s="317"/>
      <c r="ECU39" s="317"/>
      <c r="ECV39" s="317"/>
      <c r="ECW39" s="317"/>
      <c r="ECX39" s="317"/>
      <c r="ECY39" s="317"/>
      <c r="ECZ39" s="317"/>
      <c r="EDA39" s="317"/>
      <c r="EDB39" s="317"/>
      <c r="EDC39" s="317"/>
      <c r="EDD39" s="317"/>
      <c r="EDE39" s="317"/>
      <c r="EDF39" s="317"/>
      <c r="EDG39" s="317"/>
      <c r="EDH39" s="317"/>
      <c r="EDI39" s="317"/>
      <c r="EDJ39" s="317"/>
      <c r="EDK39" s="317"/>
      <c r="EDL39" s="317"/>
      <c r="EDM39" s="317"/>
      <c r="EDN39" s="317"/>
      <c r="EDO39" s="317"/>
      <c r="EDP39" s="317"/>
      <c r="EDQ39" s="317"/>
      <c r="EDR39" s="317"/>
      <c r="EDS39" s="317"/>
      <c r="EDT39" s="317"/>
      <c r="EDU39" s="317"/>
      <c r="EDV39" s="317"/>
      <c r="EDW39" s="317"/>
      <c r="EDX39" s="317"/>
      <c r="EDY39" s="317"/>
      <c r="EDZ39" s="317"/>
      <c r="EEA39" s="317"/>
      <c r="EEB39" s="317"/>
      <c r="EEC39" s="317"/>
      <c r="EED39" s="317"/>
      <c r="EEE39" s="317"/>
      <c r="EEF39" s="317"/>
      <c r="EEG39" s="317"/>
      <c r="EEH39" s="317"/>
      <c r="EEI39" s="317"/>
      <c r="EEJ39" s="317"/>
      <c r="EEK39" s="317"/>
      <c r="EEL39" s="317"/>
      <c r="EEM39" s="317"/>
      <c r="EEN39" s="317"/>
      <c r="EEO39" s="317"/>
      <c r="EEP39" s="317"/>
      <c r="EEQ39" s="317"/>
      <c r="EER39" s="317"/>
      <c r="EES39" s="317"/>
      <c r="EET39" s="317"/>
      <c r="EEU39" s="317"/>
      <c r="EEV39" s="317"/>
      <c r="EEW39" s="317"/>
      <c r="EEX39" s="317"/>
      <c r="EEY39" s="317"/>
      <c r="EEZ39" s="317"/>
      <c r="EFA39" s="317"/>
      <c r="EFB39" s="317"/>
      <c r="EFC39" s="317"/>
      <c r="EFD39" s="317"/>
      <c r="EFE39" s="317"/>
      <c r="EFF39" s="317"/>
      <c r="EFG39" s="317"/>
      <c r="EFH39" s="317"/>
      <c r="EFI39" s="317"/>
      <c r="EFJ39" s="317"/>
      <c r="EFK39" s="317"/>
      <c r="EFL39" s="317"/>
      <c r="EFM39" s="317"/>
      <c r="EFN39" s="317"/>
      <c r="EFO39" s="317"/>
      <c r="EFP39" s="317"/>
      <c r="EFQ39" s="317"/>
      <c r="EFR39" s="317"/>
      <c r="EFS39" s="317"/>
      <c r="EFT39" s="317"/>
      <c r="EFU39" s="317"/>
      <c r="EFV39" s="317"/>
      <c r="EFW39" s="317"/>
      <c r="EFX39" s="317"/>
      <c r="EFY39" s="317"/>
      <c r="EFZ39" s="317"/>
      <c r="EGA39" s="317"/>
      <c r="EGB39" s="317"/>
      <c r="EGC39" s="317"/>
      <c r="EGD39" s="317"/>
      <c r="EGE39" s="317"/>
      <c r="EGF39" s="317"/>
      <c r="EGG39" s="317"/>
      <c r="EGH39" s="317"/>
      <c r="EGI39" s="317"/>
      <c r="EGJ39" s="317"/>
      <c r="EGK39" s="317"/>
      <c r="EGL39" s="317"/>
      <c r="EGM39" s="317"/>
      <c r="EGN39" s="317"/>
      <c r="EGO39" s="317"/>
      <c r="EGP39" s="317"/>
      <c r="EGQ39" s="317"/>
      <c r="EGR39" s="317"/>
      <c r="EGS39" s="317"/>
      <c r="EGT39" s="317"/>
      <c r="EGU39" s="317"/>
      <c r="EGV39" s="317"/>
      <c r="EGW39" s="317"/>
      <c r="EGX39" s="317"/>
      <c r="EGY39" s="317"/>
      <c r="EGZ39" s="317"/>
      <c r="EHA39" s="317"/>
      <c r="EHB39" s="317"/>
      <c r="EHC39" s="317"/>
      <c r="EHD39" s="317"/>
      <c r="EHE39" s="317"/>
      <c r="EHF39" s="317"/>
      <c r="EHG39" s="317"/>
      <c r="EHH39" s="317"/>
      <c r="EHI39" s="317"/>
      <c r="EHJ39" s="317"/>
      <c r="EHK39" s="317"/>
      <c r="EHL39" s="317"/>
      <c r="EHM39" s="317"/>
      <c r="EHN39" s="317"/>
      <c r="EHO39" s="317"/>
      <c r="EHP39" s="317"/>
      <c r="EHQ39" s="317"/>
      <c r="EHR39" s="317"/>
      <c r="EHS39" s="317"/>
      <c r="EHT39" s="317"/>
      <c r="EHU39" s="317"/>
      <c r="EHV39" s="317"/>
      <c r="EHW39" s="317"/>
      <c r="EHX39" s="317"/>
      <c r="EHY39" s="317"/>
      <c r="EHZ39" s="317"/>
      <c r="EIA39" s="317"/>
      <c r="EIB39" s="317"/>
      <c r="EIC39" s="317"/>
      <c r="EID39" s="317"/>
      <c r="EIE39" s="317"/>
      <c r="EIF39" s="317"/>
      <c r="EIG39" s="317"/>
      <c r="EIH39" s="317"/>
      <c r="EII39" s="317"/>
      <c r="EIJ39" s="317"/>
      <c r="EIK39" s="317"/>
      <c r="EIL39" s="317"/>
      <c r="EIM39" s="317"/>
      <c r="EIN39" s="317"/>
      <c r="EIO39" s="317"/>
      <c r="EIP39" s="317"/>
      <c r="EIQ39" s="317"/>
      <c r="EIR39" s="317"/>
      <c r="EIS39" s="317"/>
      <c r="EIT39" s="317"/>
      <c r="EIU39" s="317"/>
      <c r="EIV39" s="317"/>
      <c r="EIW39" s="317"/>
      <c r="EIX39" s="317"/>
      <c r="EIY39" s="317"/>
      <c r="EIZ39" s="317"/>
      <c r="EJA39" s="317"/>
      <c r="EJB39" s="317"/>
      <c r="EJC39" s="317"/>
      <c r="EJD39" s="317"/>
      <c r="EJE39" s="317"/>
      <c r="EJF39" s="317"/>
      <c r="EJG39" s="317"/>
      <c r="EJH39" s="317"/>
      <c r="EJI39" s="317"/>
      <c r="EJJ39" s="317"/>
      <c r="EJK39" s="317"/>
      <c r="EJL39" s="317"/>
      <c r="EJM39" s="317"/>
      <c r="EJN39" s="317"/>
      <c r="EJO39" s="317"/>
      <c r="EJP39" s="317"/>
      <c r="EJQ39" s="317"/>
      <c r="EJR39" s="317"/>
      <c r="EJS39" s="317"/>
      <c r="EJT39" s="317"/>
      <c r="EJU39" s="317"/>
      <c r="EJV39" s="317"/>
      <c r="EJW39" s="317"/>
      <c r="EJX39" s="317"/>
      <c r="EJY39" s="317"/>
      <c r="EJZ39" s="317"/>
      <c r="EKA39" s="317"/>
      <c r="EKB39" s="317"/>
      <c r="EKC39" s="317"/>
      <c r="EKD39" s="317"/>
      <c r="EKE39" s="317"/>
      <c r="EKF39" s="317"/>
      <c r="EKG39" s="317"/>
      <c r="EKH39" s="317"/>
      <c r="EKI39" s="317"/>
      <c r="EKJ39" s="317"/>
      <c r="EKK39" s="317"/>
      <c r="EKL39" s="317"/>
      <c r="EKM39" s="317"/>
      <c r="EKN39" s="317"/>
      <c r="EKO39" s="317"/>
      <c r="EKP39" s="317"/>
      <c r="EKQ39" s="317"/>
      <c r="EKR39" s="317"/>
      <c r="EKS39" s="317"/>
      <c r="EKT39" s="317"/>
      <c r="EKU39" s="317"/>
      <c r="EKV39" s="317"/>
      <c r="EKW39" s="317"/>
      <c r="EKX39" s="317"/>
      <c r="EKY39" s="317"/>
      <c r="EKZ39" s="317"/>
      <c r="ELA39" s="317"/>
      <c r="ELB39" s="317"/>
      <c r="ELC39" s="317"/>
      <c r="ELD39" s="317"/>
      <c r="ELE39" s="317"/>
      <c r="ELF39" s="317"/>
      <c r="ELG39" s="317"/>
      <c r="ELH39" s="317"/>
      <c r="ELI39" s="317"/>
      <c r="ELJ39" s="317"/>
      <c r="ELK39" s="317"/>
      <c r="ELL39" s="317"/>
      <c r="ELM39" s="317"/>
      <c r="ELN39" s="317"/>
      <c r="ELO39" s="317"/>
      <c r="ELP39" s="317"/>
      <c r="ELQ39" s="317"/>
      <c r="ELR39" s="317"/>
      <c r="ELS39" s="317"/>
      <c r="ELT39" s="317"/>
      <c r="ELU39" s="317"/>
      <c r="ELV39" s="317"/>
      <c r="ELW39" s="317"/>
      <c r="ELX39" s="317"/>
      <c r="ELY39" s="317"/>
      <c r="ELZ39" s="317"/>
      <c r="EMA39" s="317"/>
      <c r="EMB39" s="317"/>
      <c r="EMC39" s="317"/>
      <c r="EMD39" s="317"/>
      <c r="EME39" s="317"/>
      <c r="EMF39" s="317"/>
      <c r="EMG39" s="317"/>
      <c r="EMH39" s="317"/>
      <c r="EMI39" s="317"/>
      <c r="EMJ39" s="317"/>
      <c r="EMK39" s="317"/>
      <c r="EML39" s="317"/>
      <c r="EMM39" s="317"/>
      <c r="EMN39" s="317"/>
      <c r="EMO39" s="317"/>
      <c r="EMP39" s="317"/>
      <c r="EMQ39" s="317"/>
      <c r="EMR39" s="317"/>
      <c r="EMS39" s="317"/>
      <c r="EMT39" s="317"/>
      <c r="EMU39" s="317"/>
      <c r="EMV39" s="317"/>
      <c r="EMW39" s="317"/>
      <c r="EMX39" s="317"/>
      <c r="EMY39" s="317"/>
      <c r="EMZ39" s="317"/>
      <c r="ENA39" s="317"/>
      <c r="ENB39" s="317"/>
      <c r="ENC39" s="317"/>
      <c r="END39" s="317"/>
      <c r="ENE39" s="317"/>
      <c r="ENF39" s="317"/>
      <c r="ENG39" s="317"/>
      <c r="ENH39" s="317"/>
      <c r="ENI39" s="317"/>
      <c r="ENJ39" s="317"/>
      <c r="ENK39" s="317"/>
      <c r="ENL39" s="317"/>
      <c r="ENM39" s="317"/>
      <c r="ENN39" s="317"/>
      <c r="ENO39" s="317"/>
      <c r="ENP39" s="317"/>
      <c r="ENQ39" s="317"/>
      <c r="ENR39" s="317"/>
      <c r="ENS39" s="317"/>
      <c r="ENT39" s="317"/>
      <c r="ENU39" s="317"/>
      <c r="ENV39" s="317"/>
      <c r="ENW39" s="317"/>
      <c r="ENX39" s="317"/>
      <c r="ENY39" s="317"/>
      <c r="ENZ39" s="317"/>
      <c r="EOA39" s="317"/>
      <c r="EOB39" s="317"/>
      <c r="EOC39" s="317"/>
      <c r="EOD39" s="317"/>
      <c r="EOE39" s="317"/>
      <c r="EOF39" s="317"/>
      <c r="EOG39" s="317"/>
      <c r="EOH39" s="317"/>
      <c r="EOI39" s="317"/>
      <c r="EOJ39" s="317"/>
      <c r="EOK39" s="317"/>
      <c r="EOL39" s="317"/>
      <c r="EOM39" s="317"/>
      <c r="EON39" s="317"/>
      <c r="EOO39" s="317"/>
      <c r="EOP39" s="317"/>
      <c r="EOQ39" s="317"/>
      <c r="EOR39" s="317"/>
      <c r="EOS39" s="317"/>
      <c r="EOT39" s="317"/>
      <c r="EOU39" s="317"/>
      <c r="EOV39" s="317"/>
      <c r="EOW39" s="317"/>
      <c r="EOX39" s="317"/>
      <c r="EOY39" s="317"/>
      <c r="EOZ39" s="317"/>
      <c r="EPA39" s="317"/>
      <c r="EPB39" s="317"/>
      <c r="EPC39" s="317"/>
      <c r="EPD39" s="317"/>
      <c r="EPE39" s="317"/>
      <c r="EPF39" s="317"/>
      <c r="EPG39" s="317"/>
      <c r="EPH39" s="317"/>
      <c r="EPI39" s="317"/>
      <c r="EPJ39" s="317"/>
      <c r="EPK39" s="317"/>
      <c r="EPL39" s="317"/>
      <c r="EPM39" s="317"/>
      <c r="EPN39" s="317"/>
      <c r="EPO39" s="317"/>
      <c r="EPP39" s="317"/>
      <c r="EPQ39" s="317"/>
      <c r="EPR39" s="317"/>
      <c r="EPS39" s="317"/>
      <c r="EPT39" s="317"/>
      <c r="EPU39" s="317"/>
      <c r="EPV39" s="317"/>
      <c r="EPW39" s="317"/>
      <c r="EPX39" s="317"/>
      <c r="EPY39" s="317"/>
      <c r="EPZ39" s="317"/>
      <c r="EQA39" s="317"/>
      <c r="EQB39" s="317"/>
      <c r="EQC39" s="317"/>
      <c r="EQD39" s="317"/>
      <c r="EQE39" s="317"/>
      <c r="EQF39" s="317"/>
      <c r="EQG39" s="317"/>
      <c r="EQH39" s="317"/>
      <c r="EQI39" s="317"/>
      <c r="EQJ39" s="317"/>
      <c r="EQK39" s="317"/>
      <c r="EQL39" s="317"/>
      <c r="EQM39" s="317"/>
      <c r="EQN39" s="317"/>
      <c r="EQO39" s="317"/>
      <c r="EQP39" s="317"/>
      <c r="EQQ39" s="317"/>
      <c r="EQR39" s="317"/>
      <c r="EQS39" s="317"/>
      <c r="EQT39" s="317"/>
      <c r="EQU39" s="317"/>
      <c r="EQV39" s="317"/>
      <c r="EQW39" s="317"/>
      <c r="EQX39" s="317"/>
      <c r="EQY39" s="317"/>
      <c r="EQZ39" s="317"/>
      <c r="ERA39" s="317"/>
      <c r="ERB39" s="317"/>
      <c r="ERC39" s="317"/>
      <c r="ERD39" s="317"/>
      <c r="ERE39" s="317"/>
      <c r="ERF39" s="317"/>
      <c r="ERG39" s="317"/>
      <c r="ERH39" s="317"/>
      <c r="ERI39" s="317"/>
      <c r="ERJ39" s="317"/>
      <c r="ERK39" s="317"/>
      <c r="ERL39" s="317"/>
      <c r="ERM39" s="317"/>
      <c r="ERN39" s="317"/>
      <c r="ERO39" s="317"/>
      <c r="ERP39" s="317"/>
      <c r="ERQ39" s="317"/>
      <c r="ERR39" s="317"/>
      <c r="ERS39" s="317"/>
      <c r="ERT39" s="317"/>
      <c r="ERU39" s="317"/>
      <c r="ERV39" s="317"/>
      <c r="ERW39" s="317"/>
      <c r="ERX39" s="317"/>
      <c r="ERY39" s="317"/>
      <c r="ERZ39" s="317"/>
      <c r="ESA39" s="317"/>
      <c r="ESB39" s="317"/>
      <c r="ESC39" s="317"/>
      <c r="ESD39" s="317"/>
      <c r="ESE39" s="317"/>
      <c r="ESF39" s="317"/>
      <c r="ESG39" s="317"/>
      <c r="ESH39" s="317"/>
      <c r="ESI39" s="317"/>
      <c r="ESJ39" s="317"/>
      <c r="ESK39" s="317"/>
      <c r="ESL39" s="317"/>
      <c r="ESM39" s="317"/>
      <c r="ESN39" s="317"/>
      <c r="ESO39" s="317"/>
      <c r="ESP39" s="317"/>
      <c r="ESQ39" s="317"/>
      <c r="ESR39" s="317"/>
      <c r="ESS39" s="317"/>
      <c r="EST39" s="317"/>
      <c r="ESU39" s="317"/>
      <c r="ESV39" s="317"/>
      <c r="ESW39" s="317"/>
      <c r="ESX39" s="317"/>
      <c r="ESY39" s="317"/>
      <c r="ESZ39" s="317"/>
      <c r="ETA39" s="317"/>
      <c r="ETB39" s="317"/>
      <c r="ETC39" s="317"/>
      <c r="ETD39" s="317"/>
      <c r="ETE39" s="317"/>
      <c r="ETF39" s="317"/>
      <c r="ETG39" s="317"/>
      <c r="ETH39" s="317"/>
      <c r="ETI39" s="317"/>
      <c r="ETJ39" s="317"/>
      <c r="ETK39" s="317"/>
      <c r="ETL39" s="317"/>
      <c r="ETM39" s="317"/>
      <c r="ETN39" s="317"/>
      <c r="ETO39" s="317"/>
      <c r="ETP39" s="317"/>
      <c r="ETQ39" s="317"/>
      <c r="ETR39" s="317"/>
      <c r="ETS39" s="317"/>
      <c r="ETT39" s="317"/>
      <c r="ETU39" s="317"/>
      <c r="ETV39" s="317"/>
      <c r="ETW39" s="317"/>
      <c r="ETX39" s="317"/>
      <c r="ETY39" s="317"/>
      <c r="ETZ39" s="317"/>
      <c r="EUA39" s="317"/>
      <c r="EUB39" s="317"/>
      <c r="EUC39" s="317"/>
      <c r="EUD39" s="317"/>
      <c r="EUE39" s="317"/>
      <c r="EUF39" s="317"/>
      <c r="EUG39" s="317"/>
      <c r="EUH39" s="317"/>
      <c r="EUI39" s="317"/>
      <c r="EUJ39" s="317"/>
      <c r="EUK39" s="317"/>
      <c r="EUL39" s="317"/>
      <c r="EUM39" s="317"/>
      <c r="EUN39" s="317"/>
      <c r="EUO39" s="317"/>
      <c r="EUP39" s="317"/>
      <c r="EUQ39" s="317"/>
      <c r="EUR39" s="317"/>
      <c r="EUS39" s="317"/>
      <c r="EUT39" s="317"/>
      <c r="EUU39" s="317"/>
      <c r="EUV39" s="317"/>
      <c r="EUW39" s="317"/>
      <c r="EUX39" s="317"/>
      <c r="EUY39" s="317"/>
      <c r="EUZ39" s="317"/>
      <c r="EVA39" s="317"/>
      <c r="EVB39" s="317"/>
      <c r="EVC39" s="317"/>
      <c r="EVD39" s="317"/>
      <c r="EVE39" s="317"/>
      <c r="EVF39" s="317"/>
      <c r="EVG39" s="317"/>
      <c r="EVH39" s="317"/>
      <c r="EVI39" s="317"/>
      <c r="EVJ39" s="317"/>
      <c r="EVK39" s="317"/>
      <c r="EVL39" s="317"/>
      <c r="EVM39" s="317"/>
      <c r="EVN39" s="317"/>
      <c r="EVO39" s="317"/>
      <c r="EVP39" s="317"/>
      <c r="EVQ39" s="317"/>
      <c r="EVR39" s="317"/>
      <c r="EVS39" s="317"/>
      <c r="EVT39" s="317"/>
      <c r="EVU39" s="317"/>
      <c r="EVV39" s="317"/>
      <c r="EVW39" s="317"/>
      <c r="EVX39" s="317"/>
      <c r="EVY39" s="317"/>
      <c r="EVZ39" s="317"/>
      <c r="EWA39" s="317"/>
      <c r="EWB39" s="317"/>
      <c r="EWC39" s="317"/>
      <c r="EWD39" s="317"/>
      <c r="EWE39" s="317"/>
      <c r="EWF39" s="317"/>
      <c r="EWG39" s="317"/>
      <c r="EWH39" s="317"/>
      <c r="EWI39" s="317"/>
      <c r="EWJ39" s="317"/>
      <c r="EWK39" s="317"/>
      <c r="EWL39" s="317"/>
      <c r="EWM39" s="317"/>
      <c r="EWN39" s="317"/>
      <c r="EWO39" s="317"/>
      <c r="EWP39" s="317"/>
      <c r="EWQ39" s="317"/>
      <c r="EWR39" s="317"/>
      <c r="EWS39" s="317"/>
      <c r="EWT39" s="317"/>
      <c r="EWU39" s="317"/>
      <c r="EWV39" s="317"/>
      <c r="EWW39" s="317"/>
      <c r="EWX39" s="317"/>
      <c r="EWY39" s="317"/>
      <c r="EWZ39" s="317"/>
      <c r="EXA39" s="317"/>
      <c r="EXB39" s="317"/>
      <c r="EXC39" s="317"/>
      <c r="EXD39" s="317"/>
      <c r="EXE39" s="317"/>
      <c r="EXF39" s="317"/>
      <c r="EXG39" s="317"/>
      <c r="EXH39" s="317"/>
      <c r="EXI39" s="317"/>
      <c r="EXJ39" s="317"/>
      <c r="EXK39" s="317"/>
      <c r="EXL39" s="317"/>
      <c r="EXM39" s="317"/>
      <c r="EXN39" s="317"/>
      <c r="EXO39" s="317"/>
      <c r="EXP39" s="317"/>
      <c r="EXQ39" s="317"/>
      <c r="EXR39" s="317"/>
      <c r="EXS39" s="317"/>
      <c r="EXT39" s="317"/>
      <c r="EXU39" s="317"/>
      <c r="EXV39" s="317"/>
      <c r="EXW39" s="317"/>
      <c r="EXX39" s="317"/>
      <c r="EXY39" s="317"/>
      <c r="EXZ39" s="317"/>
      <c r="EYA39" s="317"/>
      <c r="EYB39" s="317"/>
      <c r="EYC39" s="317"/>
      <c r="EYD39" s="317"/>
      <c r="EYE39" s="317"/>
      <c r="EYF39" s="317"/>
      <c r="EYG39" s="317"/>
      <c r="EYH39" s="317"/>
      <c r="EYI39" s="317"/>
      <c r="EYJ39" s="317"/>
      <c r="EYK39" s="317"/>
      <c r="EYL39" s="317"/>
      <c r="EYM39" s="317"/>
      <c r="EYN39" s="317"/>
      <c r="EYO39" s="317"/>
      <c r="EYP39" s="317"/>
      <c r="EYQ39" s="317"/>
      <c r="EYR39" s="317"/>
      <c r="EYS39" s="317"/>
      <c r="EYT39" s="317"/>
      <c r="EYU39" s="317"/>
      <c r="EYV39" s="317"/>
      <c r="EYW39" s="317"/>
      <c r="EYX39" s="317"/>
      <c r="EYY39" s="317"/>
      <c r="EYZ39" s="317"/>
      <c r="EZA39" s="317"/>
      <c r="EZB39" s="317"/>
      <c r="EZC39" s="317"/>
      <c r="EZD39" s="317"/>
      <c r="EZE39" s="317"/>
      <c r="EZF39" s="317"/>
      <c r="EZG39" s="317"/>
      <c r="EZH39" s="317"/>
      <c r="EZI39" s="317"/>
      <c r="EZJ39" s="317"/>
      <c r="EZK39" s="317"/>
      <c r="EZL39" s="317"/>
      <c r="EZM39" s="317"/>
      <c r="EZN39" s="317"/>
      <c r="EZO39" s="317"/>
      <c r="EZP39" s="317"/>
      <c r="EZQ39" s="317"/>
      <c r="EZR39" s="317"/>
      <c r="EZS39" s="317"/>
      <c r="EZT39" s="317"/>
      <c r="EZU39" s="317"/>
      <c r="EZV39" s="317"/>
      <c r="EZW39" s="317"/>
      <c r="EZX39" s="317"/>
      <c r="EZY39" s="317"/>
      <c r="EZZ39" s="317"/>
      <c r="FAA39" s="317"/>
      <c r="FAB39" s="317"/>
      <c r="FAC39" s="317"/>
      <c r="FAD39" s="317"/>
      <c r="FAE39" s="317"/>
      <c r="FAF39" s="317"/>
      <c r="FAG39" s="317"/>
      <c r="FAH39" s="317"/>
      <c r="FAI39" s="317"/>
      <c r="FAJ39" s="317"/>
      <c r="FAK39" s="317"/>
      <c r="FAL39" s="317"/>
      <c r="FAM39" s="317"/>
      <c r="FAN39" s="317"/>
      <c r="FAO39" s="317"/>
      <c r="FAP39" s="317"/>
      <c r="FAQ39" s="317"/>
      <c r="FAR39" s="317"/>
      <c r="FAS39" s="317"/>
      <c r="FAT39" s="317"/>
      <c r="FAU39" s="317"/>
      <c r="FAV39" s="317"/>
      <c r="FAW39" s="317"/>
      <c r="FAX39" s="317"/>
      <c r="FAY39" s="317"/>
      <c r="FAZ39" s="317"/>
      <c r="FBA39" s="317"/>
      <c r="FBB39" s="317"/>
      <c r="FBC39" s="317"/>
      <c r="FBD39" s="317"/>
      <c r="FBE39" s="317"/>
      <c r="FBF39" s="317"/>
      <c r="FBG39" s="317"/>
      <c r="FBH39" s="317"/>
      <c r="FBI39" s="317"/>
      <c r="FBJ39" s="317"/>
      <c r="FBK39" s="317"/>
      <c r="FBL39" s="317"/>
      <c r="FBM39" s="317"/>
      <c r="FBN39" s="317"/>
      <c r="FBO39" s="317"/>
      <c r="FBP39" s="317"/>
      <c r="FBQ39" s="317"/>
      <c r="FBR39" s="317"/>
      <c r="FBS39" s="317"/>
      <c r="FBT39" s="317"/>
      <c r="FBU39" s="317"/>
      <c r="FBV39" s="317"/>
      <c r="FBW39" s="317"/>
      <c r="FBX39" s="317"/>
      <c r="FBY39" s="317"/>
      <c r="FBZ39" s="317"/>
      <c r="FCA39" s="317"/>
      <c r="FCB39" s="317"/>
      <c r="FCC39" s="317"/>
      <c r="FCD39" s="317"/>
      <c r="FCE39" s="317"/>
      <c r="FCF39" s="317"/>
      <c r="FCG39" s="317"/>
      <c r="FCH39" s="317"/>
      <c r="FCI39" s="317"/>
      <c r="FCJ39" s="317"/>
      <c r="FCK39" s="317"/>
      <c r="FCL39" s="317"/>
      <c r="FCM39" s="317"/>
      <c r="FCN39" s="317"/>
      <c r="FCO39" s="317"/>
      <c r="FCP39" s="317"/>
      <c r="FCQ39" s="317"/>
      <c r="FCR39" s="317"/>
      <c r="FCS39" s="317"/>
      <c r="FCT39" s="317"/>
      <c r="FCU39" s="317"/>
      <c r="FCV39" s="317"/>
      <c r="FCW39" s="317"/>
      <c r="FCX39" s="317"/>
      <c r="FCY39" s="317"/>
      <c r="FCZ39" s="317"/>
      <c r="FDA39" s="317"/>
      <c r="FDB39" s="317"/>
      <c r="FDC39" s="317"/>
      <c r="FDD39" s="317"/>
      <c r="FDE39" s="317"/>
      <c r="FDF39" s="317"/>
      <c r="FDG39" s="317"/>
      <c r="FDH39" s="317"/>
      <c r="FDI39" s="317"/>
      <c r="FDJ39" s="317"/>
      <c r="FDK39" s="317"/>
      <c r="FDL39" s="317"/>
      <c r="FDM39" s="317"/>
      <c r="FDN39" s="317"/>
      <c r="FDO39" s="317"/>
      <c r="FDP39" s="317"/>
      <c r="FDQ39" s="317"/>
      <c r="FDR39" s="317"/>
      <c r="FDS39" s="317"/>
      <c r="FDT39" s="317"/>
      <c r="FDU39" s="317"/>
      <c r="FDV39" s="317"/>
      <c r="FDW39" s="317"/>
      <c r="FDX39" s="317"/>
      <c r="FDY39" s="317"/>
      <c r="FDZ39" s="317"/>
      <c r="FEA39" s="317"/>
      <c r="FEB39" s="317"/>
      <c r="FEC39" s="317"/>
      <c r="FED39" s="317"/>
      <c r="FEE39" s="317"/>
      <c r="FEF39" s="317"/>
      <c r="FEG39" s="317"/>
      <c r="FEH39" s="317"/>
      <c r="FEI39" s="317"/>
      <c r="FEJ39" s="317"/>
      <c r="FEK39" s="317"/>
      <c r="FEL39" s="317"/>
      <c r="FEM39" s="317"/>
      <c r="FEN39" s="317"/>
      <c r="FEO39" s="317"/>
      <c r="FEP39" s="317"/>
      <c r="FEQ39" s="317"/>
      <c r="FER39" s="317"/>
      <c r="FES39" s="317"/>
      <c r="FET39" s="317"/>
      <c r="FEU39" s="317"/>
      <c r="FEV39" s="317"/>
      <c r="FEW39" s="317"/>
      <c r="FEX39" s="317"/>
      <c r="FEY39" s="317"/>
      <c r="FEZ39" s="317"/>
      <c r="FFA39" s="317"/>
      <c r="FFB39" s="317"/>
      <c r="FFC39" s="317"/>
      <c r="FFD39" s="317"/>
      <c r="FFE39" s="317"/>
      <c r="FFF39" s="317"/>
      <c r="FFG39" s="317"/>
      <c r="FFH39" s="317"/>
      <c r="FFI39" s="317"/>
      <c r="FFJ39" s="317"/>
      <c r="FFK39" s="317"/>
      <c r="FFL39" s="317"/>
      <c r="FFM39" s="317"/>
      <c r="FFN39" s="317"/>
      <c r="FFO39" s="317"/>
      <c r="FFP39" s="317"/>
      <c r="FFQ39" s="317"/>
      <c r="FFR39" s="317"/>
      <c r="FFS39" s="317"/>
      <c r="FFT39" s="317"/>
      <c r="FFU39" s="317"/>
      <c r="FFV39" s="317"/>
      <c r="FFW39" s="317"/>
      <c r="FFX39" s="317"/>
      <c r="FFY39" s="317"/>
      <c r="FFZ39" s="317"/>
      <c r="FGA39" s="317"/>
      <c r="FGB39" s="317"/>
      <c r="FGC39" s="317"/>
      <c r="FGD39" s="317"/>
      <c r="FGE39" s="317"/>
      <c r="FGF39" s="317"/>
      <c r="FGG39" s="317"/>
      <c r="FGH39" s="317"/>
      <c r="FGI39" s="317"/>
      <c r="FGJ39" s="317"/>
      <c r="FGK39" s="317"/>
      <c r="FGL39" s="317"/>
      <c r="FGM39" s="317"/>
      <c r="FGN39" s="317"/>
      <c r="FGO39" s="317"/>
      <c r="FGP39" s="317"/>
      <c r="FGQ39" s="317"/>
      <c r="FGR39" s="317"/>
      <c r="FGS39" s="317"/>
      <c r="FGT39" s="317"/>
      <c r="FGU39" s="317"/>
      <c r="FGV39" s="317"/>
      <c r="FGW39" s="317"/>
      <c r="FGX39" s="317"/>
      <c r="FGY39" s="317"/>
      <c r="FGZ39" s="317"/>
      <c r="FHA39" s="317"/>
      <c r="FHB39" s="317"/>
      <c r="FHC39" s="317"/>
      <c r="FHD39" s="317"/>
      <c r="FHE39" s="317"/>
      <c r="FHF39" s="317"/>
      <c r="FHG39" s="317"/>
      <c r="FHH39" s="317"/>
      <c r="FHI39" s="317"/>
      <c r="FHJ39" s="317"/>
      <c r="FHK39" s="317"/>
      <c r="FHL39" s="317"/>
      <c r="FHM39" s="317"/>
      <c r="FHN39" s="317"/>
      <c r="FHO39" s="317"/>
      <c r="FHP39" s="317"/>
      <c r="FHQ39" s="317"/>
      <c r="FHR39" s="317"/>
      <c r="FHS39" s="317"/>
      <c r="FHT39" s="317"/>
      <c r="FHU39" s="317"/>
      <c r="FHV39" s="317"/>
      <c r="FHW39" s="317"/>
      <c r="FHX39" s="317"/>
      <c r="FHY39" s="317"/>
      <c r="FHZ39" s="317"/>
      <c r="FIA39" s="317"/>
      <c r="FIB39" s="317"/>
      <c r="FIC39" s="317"/>
      <c r="FID39" s="317"/>
      <c r="FIE39" s="317"/>
      <c r="FIF39" s="317"/>
      <c r="FIG39" s="317"/>
      <c r="FIH39" s="317"/>
      <c r="FII39" s="317"/>
      <c r="FIJ39" s="317"/>
      <c r="FIK39" s="317"/>
      <c r="FIL39" s="317"/>
      <c r="FIM39" s="317"/>
      <c r="FIN39" s="317"/>
      <c r="FIO39" s="317"/>
      <c r="FIP39" s="317"/>
      <c r="FIQ39" s="317"/>
      <c r="FIR39" s="317"/>
      <c r="FIS39" s="317"/>
      <c r="FIT39" s="317"/>
      <c r="FIU39" s="317"/>
      <c r="FIV39" s="317"/>
      <c r="FIW39" s="317"/>
      <c r="FIX39" s="317"/>
      <c r="FIY39" s="317"/>
      <c r="FIZ39" s="317"/>
      <c r="FJA39" s="317"/>
      <c r="FJB39" s="317"/>
      <c r="FJC39" s="317"/>
      <c r="FJD39" s="317"/>
      <c r="FJE39" s="317"/>
      <c r="FJF39" s="317"/>
      <c r="FJG39" s="317"/>
      <c r="FJH39" s="317"/>
      <c r="FJI39" s="317"/>
      <c r="FJJ39" s="317"/>
      <c r="FJK39" s="317"/>
      <c r="FJL39" s="317"/>
      <c r="FJM39" s="317"/>
      <c r="FJN39" s="317"/>
      <c r="FJO39" s="317"/>
      <c r="FJP39" s="317"/>
      <c r="FJQ39" s="317"/>
      <c r="FJR39" s="317"/>
      <c r="FJS39" s="317"/>
      <c r="FJT39" s="317"/>
      <c r="FJU39" s="317"/>
      <c r="FJV39" s="317"/>
      <c r="FJW39" s="317"/>
      <c r="FJX39" s="317"/>
      <c r="FJY39" s="317"/>
      <c r="FJZ39" s="317"/>
      <c r="FKA39" s="317"/>
      <c r="FKB39" s="317"/>
      <c r="FKC39" s="317"/>
      <c r="FKD39" s="317"/>
      <c r="FKE39" s="317"/>
      <c r="FKF39" s="317"/>
      <c r="FKG39" s="317"/>
      <c r="FKH39" s="317"/>
      <c r="FKI39" s="317"/>
      <c r="FKJ39" s="317"/>
      <c r="FKK39" s="317"/>
      <c r="FKL39" s="317"/>
      <c r="FKM39" s="317"/>
      <c r="FKN39" s="317"/>
      <c r="FKO39" s="317"/>
      <c r="FKP39" s="317"/>
      <c r="FKQ39" s="317"/>
      <c r="FKR39" s="317"/>
      <c r="FKS39" s="317"/>
      <c r="FKT39" s="317"/>
      <c r="FKU39" s="317"/>
      <c r="FKV39" s="317"/>
      <c r="FKW39" s="317"/>
      <c r="FKX39" s="317"/>
      <c r="FKY39" s="317"/>
      <c r="FKZ39" s="317"/>
      <c r="FLA39" s="317"/>
      <c r="FLB39" s="317"/>
      <c r="FLC39" s="317"/>
      <c r="FLD39" s="317"/>
      <c r="FLE39" s="317"/>
      <c r="FLF39" s="317"/>
      <c r="FLG39" s="317"/>
      <c r="FLH39" s="317"/>
      <c r="FLI39" s="317"/>
      <c r="FLJ39" s="317"/>
      <c r="FLK39" s="317"/>
      <c r="FLL39" s="317"/>
      <c r="FLM39" s="317"/>
      <c r="FLN39" s="317"/>
      <c r="FLO39" s="317"/>
      <c r="FLP39" s="317"/>
      <c r="FLQ39" s="317"/>
      <c r="FLR39" s="317"/>
      <c r="FLS39" s="317"/>
      <c r="FLT39" s="317"/>
      <c r="FLU39" s="317"/>
      <c r="FLV39" s="317"/>
      <c r="FLW39" s="317"/>
      <c r="FLX39" s="317"/>
      <c r="FLY39" s="317"/>
      <c r="FLZ39" s="317"/>
      <c r="FMA39" s="317"/>
      <c r="FMB39" s="317"/>
      <c r="FMC39" s="317"/>
      <c r="FMD39" s="317"/>
      <c r="FME39" s="317"/>
      <c r="FMF39" s="317"/>
      <c r="FMG39" s="317"/>
      <c r="FMH39" s="317"/>
      <c r="FMI39" s="317"/>
      <c r="FMJ39" s="317"/>
      <c r="FMK39" s="317"/>
      <c r="FML39" s="317"/>
      <c r="FMM39" s="317"/>
      <c r="FMN39" s="317"/>
      <c r="FMO39" s="317"/>
      <c r="FMP39" s="317"/>
      <c r="FMQ39" s="317"/>
      <c r="FMR39" s="317"/>
      <c r="FMS39" s="317"/>
      <c r="FMT39" s="317"/>
      <c r="FMU39" s="317"/>
      <c r="FMV39" s="317"/>
      <c r="FMW39" s="317"/>
      <c r="FMX39" s="317"/>
      <c r="FMY39" s="317"/>
      <c r="FMZ39" s="317"/>
      <c r="FNA39" s="317"/>
      <c r="FNB39" s="317"/>
      <c r="FNC39" s="317"/>
      <c r="FND39" s="317"/>
      <c r="FNE39" s="317"/>
      <c r="FNF39" s="317"/>
      <c r="FNG39" s="317"/>
      <c r="FNH39" s="317"/>
      <c r="FNI39" s="317"/>
      <c r="FNJ39" s="317"/>
      <c r="FNK39" s="317"/>
      <c r="FNL39" s="317"/>
      <c r="FNM39" s="317"/>
      <c r="FNN39" s="317"/>
      <c r="FNO39" s="317"/>
      <c r="FNP39" s="317"/>
      <c r="FNQ39" s="317"/>
      <c r="FNR39" s="317"/>
      <c r="FNS39" s="317"/>
      <c r="FNT39" s="317"/>
      <c r="FNU39" s="317"/>
      <c r="FNV39" s="317"/>
      <c r="FNW39" s="317"/>
      <c r="FNX39" s="317"/>
      <c r="FNY39" s="317"/>
      <c r="FNZ39" s="317"/>
      <c r="FOA39" s="317"/>
      <c r="FOB39" s="317"/>
      <c r="FOC39" s="317"/>
      <c r="FOD39" s="317"/>
      <c r="FOE39" s="317"/>
      <c r="FOF39" s="317"/>
      <c r="FOG39" s="317"/>
      <c r="FOH39" s="317"/>
      <c r="FOI39" s="317"/>
      <c r="FOJ39" s="317"/>
      <c r="FOK39" s="317"/>
      <c r="FOL39" s="317"/>
      <c r="FOM39" s="317"/>
      <c r="FON39" s="317"/>
      <c r="FOO39" s="317"/>
      <c r="FOP39" s="317"/>
      <c r="FOQ39" s="317"/>
      <c r="FOR39" s="317"/>
      <c r="FOS39" s="317"/>
      <c r="FOT39" s="317"/>
      <c r="FOU39" s="317"/>
      <c r="FOV39" s="317"/>
      <c r="FOW39" s="317"/>
      <c r="FOX39" s="317"/>
      <c r="FOY39" s="317"/>
      <c r="FOZ39" s="317"/>
      <c r="FPA39" s="317"/>
      <c r="FPB39" s="317"/>
      <c r="FPC39" s="317"/>
      <c r="FPD39" s="317"/>
      <c r="FPE39" s="317"/>
      <c r="FPF39" s="317"/>
      <c r="FPG39" s="317"/>
      <c r="FPH39" s="317"/>
      <c r="FPI39" s="317"/>
      <c r="FPJ39" s="317"/>
      <c r="FPK39" s="317"/>
      <c r="FPL39" s="317"/>
      <c r="FPM39" s="317"/>
      <c r="FPN39" s="317"/>
      <c r="FPO39" s="317"/>
      <c r="FPP39" s="317"/>
      <c r="FPQ39" s="317"/>
      <c r="FPR39" s="317"/>
      <c r="FPS39" s="317"/>
      <c r="FPT39" s="317"/>
      <c r="FPU39" s="317"/>
      <c r="FPV39" s="317"/>
      <c r="FPW39" s="317"/>
      <c r="FPX39" s="317"/>
      <c r="FPY39" s="317"/>
      <c r="FPZ39" s="317"/>
      <c r="FQA39" s="317"/>
      <c r="FQB39" s="317"/>
      <c r="FQC39" s="317"/>
      <c r="FQD39" s="317"/>
      <c r="FQE39" s="317"/>
      <c r="FQF39" s="317"/>
      <c r="FQG39" s="317"/>
      <c r="FQH39" s="317"/>
      <c r="FQI39" s="317"/>
      <c r="FQJ39" s="317"/>
      <c r="FQK39" s="317"/>
      <c r="FQL39" s="317"/>
      <c r="FQM39" s="317"/>
      <c r="FQN39" s="317"/>
      <c r="FQO39" s="317"/>
      <c r="FQP39" s="317"/>
      <c r="FQQ39" s="317"/>
      <c r="FQR39" s="317"/>
      <c r="FQS39" s="317"/>
      <c r="FQT39" s="317"/>
      <c r="FQU39" s="317"/>
      <c r="FQV39" s="317"/>
      <c r="FQW39" s="317"/>
      <c r="FQX39" s="317"/>
      <c r="FQY39" s="317"/>
      <c r="FQZ39" s="317"/>
      <c r="FRA39" s="317"/>
      <c r="FRB39" s="317"/>
      <c r="FRC39" s="317"/>
      <c r="FRD39" s="317"/>
      <c r="FRE39" s="317"/>
      <c r="FRF39" s="317"/>
      <c r="FRG39" s="317"/>
      <c r="FRH39" s="317"/>
      <c r="FRI39" s="317"/>
      <c r="FRJ39" s="317"/>
      <c r="FRK39" s="317"/>
      <c r="FRL39" s="317"/>
      <c r="FRM39" s="317"/>
      <c r="FRN39" s="317"/>
      <c r="FRO39" s="317"/>
      <c r="FRP39" s="317"/>
      <c r="FRQ39" s="317"/>
      <c r="FRR39" s="317"/>
      <c r="FRS39" s="317"/>
      <c r="FRT39" s="317"/>
      <c r="FRU39" s="317"/>
      <c r="FRV39" s="317"/>
      <c r="FRW39" s="317"/>
      <c r="FRX39" s="317"/>
      <c r="FRY39" s="317"/>
      <c r="FRZ39" s="317"/>
      <c r="FSA39" s="317"/>
      <c r="FSB39" s="317"/>
      <c r="FSC39" s="317"/>
      <c r="FSD39" s="317"/>
      <c r="FSE39" s="317"/>
      <c r="FSF39" s="317"/>
      <c r="FSG39" s="317"/>
      <c r="FSH39" s="317"/>
      <c r="FSI39" s="317"/>
      <c r="FSJ39" s="317"/>
      <c r="FSK39" s="317"/>
      <c r="FSL39" s="317"/>
      <c r="FSM39" s="317"/>
      <c r="FSN39" s="317"/>
      <c r="FSO39" s="317"/>
      <c r="FSP39" s="317"/>
      <c r="FSQ39" s="317"/>
      <c r="FSR39" s="317"/>
      <c r="FSS39" s="317"/>
      <c r="FST39" s="317"/>
      <c r="FSU39" s="317"/>
      <c r="FSV39" s="317"/>
      <c r="FSW39" s="317"/>
      <c r="FSX39" s="317"/>
      <c r="FSY39" s="317"/>
      <c r="FSZ39" s="317"/>
      <c r="FTA39" s="317"/>
      <c r="FTB39" s="317"/>
      <c r="FTC39" s="317"/>
      <c r="FTD39" s="317"/>
      <c r="FTE39" s="317"/>
      <c r="FTF39" s="317"/>
      <c r="FTG39" s="317"/>
      <c r="FTH39" s="317"/>
      <c r="FTI39" s="317"/>
      <c r="FTJ39" s="317"/>
      <c r="FTK39" s="317"/>
      <c r="FTL39" s="317"/>
      <c r="FTM39" s="317"/>
      <c r="FTN39" s="317"/>
      <c r="FTO39" s="317"/>
      <c r="FTP39" s="317"/>
      <c r="FTQ39" s="317"/>
      <c r="FTR39" s="317"/>
      <c r="FTS39" s="317"/>
      <c r="FTT39" s="317"/>
      <c r="FTU39" s="317"/>
      <c r="FTV39" s="317"/>
      <c r="FTW39" s="317"/>
      <c r="FTX39" s="317"/>
      <c r="FTY39" s="317"/>
      <c r="FTZ39" s="317"/>
      <c r="FUA39" s="317"/>
      <c r="FUB39" s="317"/>
      <c r="FUC39" s="317"/>
      <c r="FUD39" s="317"/>
      <c r="FUE39" s="317"/>
      <c r="FUF39" s="317"/>
      <c r="FUG39" s="317"/>
      <c r="FUH39" s="317"/>
      <c r="FUI39" s="317"/>
      <c r="FUJ39" s="317"/>
      <c r="FUK39" s="317"/>
      <c r="FUL39" s="317"/>
      <c r="FUM39" s="317"/>
      <c r="FUN39" s="317"/>
      <c r="FUO39" s="317"/>
      <c r="FUP39" s="317"/>
      <c r="FUQ39" s="317"/>
      <c r="FUR39" s="317"/>
      <c r="FUS39" s="317"/>
      <c r="FUT39" s="317"/>
      <c r="FUU39" s="317"/>
      <c r="FUV39" s="317"/>
      <c r="FUW39" s="317"/>
      <c r="FUX39" s="317"/>
      <c r="FUY39" s="317"/>
      <c r="FUZ39" s="317"/>
      <c r="FVA39" s="317"/>
      <c r="FVB39" s="317"/>
      <c r="FVC39" s="317"/>
      <c r="FVD39" s="317"/>
      <c r="FVE39" s="317"/>
      <c r="FVF39" s="317"/>
      <c r="FVG39" s="317"/>
      <c r="FVH39" s="317"/>
      <c r="FVI39" s="317"/>
      <c r="FVJ39" s="317"/>
      <c r="FVK39" s="317"/>
      <c r="FVL39" s="317"/>
      <c r="FVM39" s="317"/>
      <c r="FVN39" s="317"/>
      <c r="FVO39" s="317"/>
      <c r="FVP39" s="317"/>
      <c r="FVQ39" s="317"/>
      <c r="FVR39" s="317"/>
      <c r="FVS39" s="317"/>
      <c r="FVT39" s="317"/>
      <c r="FVU39" s="317"/>
      <c r="FVV39" s="317"/>
      <c r="FVW39" s="317"/>
      <c r="FVX39" s="317"/>
      <c r="FVY39" s="317"/>
      <c r="FVZ39" s="317"/>
      <c r="FWA39" s="317"/>
      <c r="FWB39" s="317"/>
      <c r="FWC39" s="317"/>
      <c r="FWD39" s="317"/>
      <c r="FWE39" s="317"/>
      <c r="FWF39" s="317"/>
      <c r="FWG39" s="317"/>
      <c r="FWH39" s="317"/>
      <c r="FWI39" s="317"/>
      <c r="FWJ39" s="317"/>
      <c r="FWK39" s="317"/>
      <c r="FWL39" s="317"/>
      <c r="FWM39" s="317"/>
      <c r="FWN39" s="317"/>
      <c r="FWO39" s="317"/>
      <c r="FWP39" s="317"/>
      <c r="FWQ39" s="317"/>
      <c r="FWR39" s="317"/>
      <c r="FWS39" s="317"/>
      <c r="FWT39" s="317"/>
      <c r="FWU39" s="317"/>
      <c r="FWV39" s="317"/>
      <c r="FWW39" s="317"/>
      <c r="FWX39" s="317"/>
      <c r="FWY39" s="317"/>
      <c r="FWZ39" s="317"/>
      <c r="FXA39" s="317"/>
      <c r="FXB39" s="317"/>
      <c r="FXC39" s="317"/>
      <c r="FXD39" s="317"/>
      <c r="FXE39" s="317"/>
      <c r="FXF39" s="317"/>
      <c r="FXG39" s="317"/>
      <c r="FXH39" s="317"/>
      <c r="FXI39" s="317"/>
      <c r="FXJ39" s="317"/>
      <c r="FXK39" s="317"/>
      <c r="FXL39" s="317"/>
      <c r="FXM39" s="317"/>
      <c r="FXN39" s="317"/>
      <c r="FXO39" s="317"/>
      <c r="FXP39" s="317"/>
      <c r="FXQ39" s="317"/>
      <c r="FXR39" s="317"/>
      <c r="FXS39" s="317"/>
      <c r="FXT39" s="317"/>
      <c r="FXU39" s="317"/>
      <c r="FXV39" s="317"/>
      <c r="FXW39" s="317"/>
      <c r="FXX39" s="317"/>
      <c r="FXY39" s="317"/>
      <c r="FXZ39" s="317"/>
      <c r="FYA39" s="317"/>
      <c r="FYB39" s="317"/>
      <c r="FYC39" s="317"/>
      <c r="FYD39" s="317"/>
      <c r="FYE39" s="317"/>
      <c r="FYF39" s="317"/>
      <c r="FYG39" s="317"/>
      <c r="FYH39" s="317"/>
      <c r="FYI39" s="317"/>
      <c r="FYJ39" s="317"/>
      <c r="FYK39" s="317"/>
      <c r="FYL39" s="317"/>
      <c r="FYM39" s="317"/>
      <c r="FYN39" s="317"/>
      <c r="FYO39" s="317"/>
      <c r="FYP39" s="317"/>
      <c r="FYQ39" s="317"/>
      <c r="FYR39" s="317"/>
      <c r="FYS39" s="317"/>
      <c r="FYT39" s="317"/>
      <c r="FYU39" s="317"/>
      <c r="FYV39" s="317"/>
      <c r="FYW39" s="317"/>
      <c r="FYX39" s="317"/>
      <c r="FYY39" s="317"/>
      <c r="FYZ39" s="317"/>
      <c r="FZA39" s="317"/>
      <c r="FZB39" s="317"/>
      <c r="FZC39" s="317"/>
      <c r="FZD39" s="317"/>
      <c r="FZE39" s="317"/>
      <c r="FZF39" s="317"/>
      <c r="FZG39" s="317"/>
      <c r="FZH39" s="317"/>
      <c r="FZI39" s="317"/>
      <c r="FZJ39" s="317"/>
      <c r="FZK39" s="317"/>
      <c r="FZL39" s="317"/>
      <c r="FZM39" s="317"/>
      <c r="FZN39" s="317"/>
      <c r="FZO39" s="317"/>
      <c r="FZP39" s="317"/>
      <c r="FZQ39" s="317"/>
      <c r="FZR39" s="317"/>
      <c r="FZS39" s="317"/>
      <c r="FZT39" s="317"/>
      <c r="FZU39" s="317"/>
      <c r="FZV39" s="317"/>
      <c r="FZW39" s="317"/>
      <c r="FZX39" s="317"/>
      <c r="FZY39" s="317"/>
      <c r="FZZ39" s="317"/>
      <c r="GAA39" s="317"/>
      <c r="GAB39" s="317"/>
      <c r="GAC39" s="317"/>
      <c r="GAD39" s="317"/>
      <c r="GAE39" s="317"/>
      <c r="GAF39" s="317"/>
      <c r="GAG39" s="317"/>
      <c r="GAH39" s="317"/>
      <c r="GAI39" s="317"/>
      <c r="GAJ39" s="317"/>
      <c r="GAK39" s="317"/>
      <c r="GAL39" s="317"/>
      <c r="GAM39" s="317"/>
      <c r="GAN39" s="317"/>
      <c r="GAO39" s="317"/>
      <c r="GAP39" s="317"/>
      <c r="GAQ39" s="317"/>
      <c r="GAR39" s="317"/>
      <c r="GAS39" s="317"/>
      <c r="GAT39" s="317"/>
      <c r="GAU39" s="317"/>
      <c r="GAV39" s="317"/>
      <c r="GAW39" s="317"/>
      <c r="GAX39" s="317"/>
      <c r="GAY39" s="317"/>
      <c r="GAZ39" s="317"/>
      <c r="GBA39" s="317"/>
      <c r="GBB39" s="317"/>
      <c r="GBC39" s="317"/>
      <c r="GBD39" s="317"/>
      <c r="GBE39" s="317"/>
      <c r="GBF39" s="317"/>
      <c r="GBG39" s="317"/>
      <c r="GBH39" s="317"/>
      <c r="GBI39" s="317"/>
      <c r="GBJ39" s="317"/>
      <c r="GBK39" s="317"/>
      <c r="GBL39" s="317"/>
      <c r="GBM39" s="317"/>
      <c r="GBN39" s="317"/>
      <c r="GBO39" s="317"/>
      <c r="GBP39" s="317"/>
      <c r="GBQ39" s="317"/>
      <c r="GBR39" s="317"/>
      <c r="GBS39" s="317"/>
      <c r="GBT39" s="317"/>
      <c r="GBU39" s="317"/>
      <c r="GBV39" s="317"/>
      <c r="GBW39" s="317"/>
      <c r="GBX39" s="317"/>
      <c r="GBY39" s="317"/>
      <c r="GBZ39" s="317"/>
      <c r="GCA39" s="317"/>
      <c r="GCB39" s="317"/>
      <c r="GCC39" s="317"/>
      <c r="GCD39" s="317"/>
      <c r="GCE39" s="317"/>
      <c r="GCF39" s="317"/>
      <c r="GCG39" s="317"/>
      <c r="GCH39" s="317"/>
      <c r="GCI39" s="317"/>
      <c r="GCJ39" s="317"/>
      <c r="GCK39" s="317"/>
      <c r="GCL39" s="317"/>
      <c r="GCM39" s="317"/>
      <c r="GCN39" s="317"/>
      <c r="GCO39" s="317"/>
      <c r="GCP39" s="317"/>
      <c r="GCQ39" s="317"/>
      <c r="GCR39" s="317"/>
      <c r="GCS39" s="317"/>
      <c r="GCT39" s="317"/>
      <c r="GCU39" s="317"/>
      <c r="GCV39" s="317"/>
      <c r="GCW39" s="317"/>
      <c r="GCX39" s="317"/>
      <c r="GCY39" s="317"/>
      <c r="GCZ39" s="317"/>
      <c r="GDA39" s="317"/>
      <c r="GDB39" s="317"/>
      <c r="GDC39" s="317"/>
      <c r="GDD39" s="317"/>
      <c r="GDE39" s="317"/>
      <c r="GDF39" s="317"/>
      <c r="GDG39" s="317"/>
      <c r="GDH39" s="317"/>
      <c r="GDI39" s="317"/>
      <c r="GDJ39" s="317"/>
      <c r="GDK39" s="317"/>
      <c r="GDL39" s="317"/>
      <c r="GDM39" s="317"/>
      <c r="GDN39" s="317"/>
      <c r="GDO39" s="317"/>
      <c r="GDP39" s="317"/>
      <c r="GDQ39" s="317"/>
      <c r="GDR39" s="317"/>
      <c r="GDS39" s="317"/>
      <c r="GDT39" s="317"/>
      <c r="GDU39" s="317"/>
      <c r="GDV39" s="317"/>
      <c r="GDW39" s="317"/>
      <c r="GDX39" s="317"/>
      <c r="GDY39" s="317"/>
      <c r="GDZ39" s="317"/>
      <c r="GEA39" s="317"/>
      <c r="GEB39" s="317"/>
      <c r="GEC39" s="317"/>
      <c r="GED39" s="317"/>
      <c r="GEE39" s="317"/>
      <c r="GEF39" s="317"/>
      <c r="GEG39" s="317"/>
      <c r="GEH39" s="317"/>
      <c r="GEI39" s="317"/>
      <c r="GEJ39" s="317"/>
      <c r="GEK39" s="317"/>
      <c r="GEL39" s="317"/>
      <c r="GEM39" s="317"/>
      <c r="GEN39" s="317"/>
      <c r="GEO39" s="317"/>
      <c r="GEP39" s="317"/>
      <c r="GEQ39" s="317"/>
      <c r="GER39" s="317"/>
      <c r="GES39" s="317"/>
      <c r="GET39" s="317"/>
      <c r="GEU39" s="317"/>
      <c r="GEV39" s="317"/>
      <c r="GEW39" s="317"/>
      <c r="GEX39" s="317"/>
      <c r="GEY39" s="317"/>
      <c r="GEZ39" s="317"/>
      <c r="GFA39" s="317"/>
      <c r="GFB39" s="317"/>
      <c r="GFC39" s="317"/>
      <c r="GFD39" s="317"/>
      <c r="GFE39" s="317"/>
      <c r="GFF39" s="317"/>
      <c r="GFG39" s="317"/>
      <c r="GFH39" s="317"/>
      <c r="GFI39" s="317"/>
      <c r="GFJ39" s="317"/>
      <c r="GFK39" s="317"/>
      <c r="GFL39" s="317"/>
      <c r="GFM39" s="317"/>
      <c r="GFN39" s="317"/>
      <c r="GFO39" s="317"/>
      <c r="GFP39" s="317"/>
      <c r="GFQ39" s="317"/>
      <c r="GFR39" s="317"/>
      <c r="GFS39" s="317"/>
      <c r="GFT39" s="317"/>
      <c r="GFU39" s="317"/>
      <c r="GFV39" s="317"/>
      <c r="GFW39" s="317"/>
      <c r="GFX39" s="317"/>
      <c r="GFY39" s="317"/>
      <c r="GFZ39" s="317"/>
      <c r="GGA39" s="317"/>
      <c r="GGB39" s="317"/>
      <c r="GGC39" s="317"/>
      <c r="GGD39" s="317"/>
      <c r="GGE39" s="317"/>
      <c r="GGF39" s="317"/>
      <c r="GGG39" s="317"/>
      <c r="GGH39" s="317"/>
      <c r="GGI39" s="317"/>
      <c r="GGJ39" s="317"/>
      <c r="GGK39" s="317"/>
      <c r="GGL39" s="317"/>
      <c r="GGM39" s="317"/>
      <c r="GGN39" s="317"/>
      <c r="GGO39" s="317"/>
      <c r="GGP39" s="317"/>
      <c r="GGQ39" s="317"/>
      <c r="GGR39" s="317"/>
      <c r="GGS39" s="317"/>
      <c r="GGT39" s="317"/>
      <c r="GGU39" s="317"/>
      <c r="GGV39" s="317"/>
      <c r="GGW39" s="317"/>
      <c r="GGX39" s="317"/>
      <c r="GGY39" s="317"/>
      <c r="GGZ39" s="317"/>
      <c r="GHA39" s="317"/>
      <c r="GHB39" s="317"/>
      <c r="GHC39" s="317"/>
      <c r="GHD39" s="317"/>
      <c r="GHE39" s="317"/>
      <c r="GHF39" s="317"/>
      <c r="GHG39" s="317"/>
      <c r="GHH39" s="317"/>
      <c r="GHI39" s="317"/>
      <c r="GHJ39" s="317"/>
      <c r="GHK39" s="317"/>
      <c r="GHL39" s="317"/>
      <c r="GHM39" s="317"/>
      <c r="GHN39" s="317"/>
      <c r="GHO39" s="317"/>
      <c r="GHP39" s="317"/>
      <c r="GHQ39" s="317"/>
      <c r="GHR39" s="317"/>
      <c r="GHS39" s="317"/>
      <c r="GHT39" s="317"/>
      <c r="GHU39" s="317"/>
      <c r="GHV39" s="317"/>
      <c r="GHW39" s="317"/>
      <c r="GHX39" s="317"/>
      <c r="GHY39" s="317"/>
      <c r="GHZ39" s="317"/>
      <c r="GIA39" s="317"/>
      <c r="GIB39" s="317"/>
      <c r="GIC39" s="317"/>
      <c r="GID39" s="317"/>
      <c r="GIE39" s="317"/>
      <c r="GIF39" s="317"/>
      <c r="GIG39" s="317"/>
      <c r="GIH39" s="317"/>
      <c r="GII39" s="317"/>
      <c r="GIJ39" s="317"/>
      <c r="GIK39" s="317"/>
      <c r="GIL39" s="317"/>
      <c r="GIM39" s="317"/>
      <c r="GIN39" s="317"/>
      <c r="GIO39" s="317"/>
      <c r="GIP39" s="317"/>
      <c r="GIQ39" s="317"/>
      <c r="GIR39" s="317"/>
      <c r="GIS39" s="317"/>
      <c r="GIT39" s="317"/>
      <c r="GIU39" s="317"/>
      <c r="GIV39" s="317"/>
      <c r="GIW39" s="317"/>
      <c r="GIX39" s="317"/>
      <c r="GIY39" s="317"/>
      <c r="GIZ39" s="317"/>
      <c r="GJA39" s="317"/>
      <c r="GJB39" s="317"/>
      <c r="GJC39" s="317"/>
      <c r="GJD39" s="317"/>
      <c r="GJE39" s="317"/>
      <c r="GJF39" s="317"/>
      <c r="GJG39" s="317"/>
      <c r="GJH39" s="317"/>
      <c r="GJI39" s="317"/>
      <c r="GJJ39" s="317"/>
      <c r="GJK39" s="317"/>
      <c r="GJL39" s="317"/>
      <c r="GJM39" s="317"/>
      <c r="GJN39" s="317"/>
      <c r="GJO39" s="317"/>
      <c r="GJP39" s="317"/>
      <c r="GJQ39" s="317"/>
      <c r="GJR39" s="317"/>
      <c r="GJS39" s="317"/>
      <c r="GJT39" s="317"/>
      <c r="GJU39" s="317"/>
      <c r="GJV39" s="317"/>
      <c r="GJW39" s="317"/>
      <c r="GJX39" s="317"/>
      <c r="GJY39" s="317"/>
      <c r="GJZ39" s="317"/>
      <c r="GKA39" s="317"/>
      <c r="GKB39" s="317"/>
      <c r="GKC39" s="317"/>
      <c r="GKD39" s="317"/>
      <c r="GKE39" s="317"/>
      <c r="GKF39" s="317"/>
      <c r="GKG39" s="317"/>
      <c r="GKH39" s="317"/>
      <c r="GKI39" s="317"/>
      <c r="GKJ39" s="317"/>
      <c r="GKK39" s="317"/>
      <c r="GKL39" s="317"/>
      <c r="GKM39" s="317"/>
      <c r="GKN39" s="317"/>
      <c r="GKO39" s="317"/>
      <c r="GKP39" s="317"/>
      <c r="GKQ39" s="317"/>
      <c r="GKR39" s="317"/>
      <c r="GKS39" s="317"/>
      <c r="GKT39" s="317"/>
      <c r="GKU39" s="317"/>
      <c r="GKV39" s="317"/>
      <c r="GKW39" s="317"/>
      <c r="GKX39" s="317"/>
      <c r="GKY39" s="317"/>
      <c r="GKZ39" s="317"/>
      <c r="GLA39" s="317"/>
      <c r="GLB39" s="317"/>
      <c r="GLC39" s="317"/>
      <c r="GLD39" s="317"/>
      <c r="GLE39" s="317"/>
      <c r="GLF39" s="317"/>
      <c r="GLG39" s="317"/>
      <c r="GLH39" s="317"/>
      <c r="GLI39" s="317"/>
      <c r="GLJ39" s="317"/>
      <c r="GLK39" s="317"/>
      <c r="GLL39" s="317"/>
      <c r="GLM39" s="317"/>
      <c r="GLN39" s="317"/>
      <c r="GLO39" s="317"/>
      <c r="GLP39" s="317"/>
      <c r="GLQ39" s="317"/>
      <c r="GLR39" s="317"/>
      <c r="GLS39" s="317"/>
      <c r="GLT39" s="317"/>
      <c r="GLU39" s="317"/>
      <c r="GLV39" s="317"/>
      <c r="GLW39" s="317"/>
      <c r="GLX39" s="317"/>
      <c r="GLY39" s="317"/>
      <c r="GLZ39" s="317"/>
      <c r="GMA39" s="317"/>
      <c r="GMB39" s="317"/>
      <c r="GMC39" s="317"/>
      <c r="GMD39" s="317"/>
      <c r="GME39" s="317"/>
      <c r="GMF39" s="317"/>
      <c r="GMG39" s="317"/>
      <c r="GMH39" s="317"/>
      <c r="GMI39" s="317"/>
      <c r="GMJ39" s="317"/>
      <c r="GMK39" s="317"/>
      <c r="GML39" s="317"/>
      <c r="GMM39" s="317"/>
      <c r="GMN39" s="317"/>
      <c r="GMO39" s="317"/>
      <c r="GMP39" s="317"/>
      <c r="GMQ39" s="317"/>
      <c r="GMR39" s="317"/>
      <c r="GMS39" s="317"/>
      <c r="GMT39" s="317"/>
      <c r="GMU39" s="317"/>
      <c r="GMV39" s="317"/>
      <c r="GMW39" s="317"/>
      <c r="GMX39" s="317"/>
      <c r="GMY39" s="317"/>
      <c r="GMZ39" s="317"/>
      <c r="GNA39" s="317"/>
      <c r="GNB39" s="317"/>
      <c r="GNC39" s="317"/>
      <c r="GND39" s="317"/>
      <c r="GNE39" s="317"/>
      <c r="GNF39" s="317"/>
      <c r="GNG39" s="317"/>
      <c r="GNH39" s="317"/>
      <c r="GNI39" s="317"/>
      <c r="GNJ39" s="317"/>
      <c r="GNK39" s="317"/>
      <c r="GNL39" s="317"/>
      <c r="GNM39" s="317"/>
      <c r="GNN39" s="317"/>
      <c r="GNO39" s="317"/>
      <c r="GNP39" s="317"/>
      <c r="GNQ39" s="317"/>
      <c r="GNR39" s="317"/>
      <c r="GNS39" s="317"/>
      <c r="GNT39" s="317"/>
      <c r="GNU39" s="317"/>
      <c r="GNV39" s="317"/>
      <c r="GNW39" s="317"/>
      <c r="GNX39" s="317"/>
      <c r="GNY39" s="317"/>
      <c r="GNZ39" s="317"/>
      <c r="GOA39" s="317"/>
      <c r="GOB39" s="317"/>
      <c r="GOC39" s="317"/>
      <c r="GOD39" s="317"/>
      <c r="GOE39" s="317"/>
      <c r="GOF39" s="317"/>
      <c r="GOG39" s="317"/>
      <c r="GOH39" s="317"/>
      <c r="GOI39" s="317"/>
      <c r="GOJ39" s="317"/>
      <c r="GOK39" s="317"/>
      <c r="GOL39" s="317"/>
      <c r="GOM39" s="317"/>
      <c r="GON39" s="317"/>
      <c r="GOO39" s="317"/>
      <c r="GOP39" s="317"/>
      <c r="GOQ39" s="317"/>
      <c r="GOR39" s="317"/>
      <c r="GOS39" s="317"/>
      <c r="GOT39" s="317"/>
      <c r="GOU39" s="317"/>
      <c r="GOV39" s="317"/>
      <c r="GOW39" s="317"/>
      <c r="GOX39" s="317"/>
      <c r="GOY39" s="317"/>
      <c r="GOZ39" s="317"/>
      <c r="GPA39" s="317"/>
      <c r="GPB39" s="317"/>
      <c r="GPC39" s="317"/>
      <c r="GPD39" s="317"/>
      <c r="GPE39" s="317"/>
      <c r="GPF39" s="317"/>
      <c r="GPG39" s="317"/>
      <c r="GPH39" s="317"/>
      <c r="GPI39" s="317"/>
      <c r="GPJ39" s="317"/>
      <c r="GPK39" s="317"/>
      <c r="GPL39" s="317"/>
      <c r="GPM39" s="317"/>
      <c r="GPN39" s="317"/>
      <c r="GPO39" s="317"/>
      <c r="GPP39" s="317"/>
      <c r="GPQ39" s="317"/>
      <c r="GPR39" s="317"/>
      <c r="GPS39" s="317"/>
      <c r="GPT39" s="317"/>
      <c r="GPU39" s="317"/>
      <c r="GPV39" s="317"/>
      <c r="GPW39" s="317"/>
      <c r="GPX39" s="317"/>
      <c r="GPY39" s="317"/>
      <c r="GPZ39" s="317"/>
      <c r="GQA39" s="317"/>
      <c r="GQB39" s="317"/>
      <c r="GQC39" s="317"/>
      <c r="GQD39" s="317"/>
      <c r="GQE39" s="317"/>
      <c r="GQF39" s="317"/>
      <c r="GQG39" s="317"/>
      <c r="GQH39" s="317"/>
      <c r="GQI39" s="317"/>
      <c r="GQJ39" s="317"/>
      <c r="GQK39" s="317"/>
      <c r="GQL39" s="317"/>
      <c r="GQM39" s="317"/>
      <c r="GQN39" s="317"/>
      <c r="GQO39" s="317"/>
      <c r="GQP39" s="317"/>
      <c r="GQQ39" s="317"/>
      <c r="GQR39" s="317"/>
      <c r="GQS39" s="317"/>
      <c r="GQT39" s="317"/>
      <c r="GQU39" s="317"/>
      <c r="GQV39" s="317"/>
      <c r="GQW39" s="317"/>
      <c r="GQX39" s="317"/>
      <c r="GQY39" s="317"/>
      <c r="GQZ39" s="317"/>
      <c r="GRA39" s="317"/>
      <c r="GRB39" s="317"/>
      <c r="GRC39" s="317"/>
      <c r="GRD39" s="317"/>
      <c r="GRE39" s="317"/>
      <c r="GRF39" s="317"/>
      <c r="GRG39" s="317"/>
      <c r="GRH39" s="317"/>
      <c r="GRI39" s="317"/>
      <c r="GRJ39" s="317"/>
      <c r="GRK39" s="317"/>
      <c r="GRL39" s="317"/>
      <c r="GRM39" s="317"/>
      <c r="GRN39" s="317"/>
      <c r="GRO39" s="317"/>
      <c r="GRP39" s="317"/>
      <c r="GRQ39" s="317"/>
      <c r="GRR39" s="317"/>
      <c r="GRS39" s="317"/>
      <c r="GRT39" s="317"/>
      <c r="GRU39" s="317"/>
      <c r="GRV39" s="317"/>
      <c r="GRW39" s="317"/>
      <c r="GRX39" s="317"/>
      <c r="GRY39" s="317"/>
      <c r="GRZ39" s="317"/>
      <c r="GSA39" s="317"/>
      <c r="GSB39" s="317"/>
      <c r="GSC39" s="317"/>
      <c r="GSD39" s="317"/>
      <c r="GSE39" s="317"/>
      <c r="GSF39" s="317"/>
      <c r="GSG39" s="317"/>
      <c r="GSH39" s="317"/>
      <c r="GSI39" s="317"/>
      <c r="GSJ39" s="317"/>
      <c r="GSK39" s="317"/>
      <c r="GSL39" s="317"/>
      <c r="GSM39" s="317"/>
      <c r="GSN39" s="317"/>
      <c r="GSO39" s="317"/>
      <c r="GSP39" s="317"/>
      <c r="GSQ39" s="317"/>
      <c r="GSR39" s="317"/>
      <c r="GSS39" s="317"/>
      <c r="GST39" s="317"/>
      <c r="GSU39" s="317"/>
      <c r="GSV39" s="317"/>
      <c r="GSW39" s="317"/>
      <c r="GSX39" s="317"/>
      <c r="GSY39" s="317"/>
      <c r="GSZ39" s="317"/>
      <c r="GTA39" s="317"/>
      <c r="GTB39" s="317"/>
      <c r="GTC39" s="317"/>
      <c r="GTD39" s="317"/>
      <c r="GTE39" s="317"/>
      <c r="GTF39" s="317"/>
      <c r="GTG39" s="317"/>
      <c r="GTH39" s="317"/>
      <c r="GTI39" s="317"/>
      <c r="GTJ39" s="317"/>
      <c r="GTK39" s="317"/>
      <c r="GTL39" s="317"/>
      <c r="GTM39" s="317"/>
      <c r="GTN39" s="317"/>
      <c r="GTO39" s="317"/>
      <c r="GTP39" s="317"/>
      <c r="GTQ39" s="317"/>
      <c r="GTR39" s="317"/>
      <c r="GTS39" s="317"/>
      <c r="GTT39" s="317"/>
      <c r="GTU39" s="317"/>
      <c r="GTV39" s="317"/>
      <c r="GTW39" s="317"/>
      <c r="GTX39" s="317"/>
      <c r="GTY39" s="317"/>
      <c r="GTZ39" s="317"/>
      <c r="GUA39" s="317"/>
      <c r="GUB39" s="317"/>
      <c r="GUC39" s="317"/>
      <c r="GUD39" s="317"/>
      <c r="GUE39" s="317"/>
      <c r="GUF39" s="317"/>
      <c r="GUG39" s="317"/>
      <c r="GUH39" s="317"/>
      <c r="GUI39" s="317"/>
      <c r="GUJ39" s="317"/>
      <c r="GUK39" s="317"/>
      <c r="GUL39" s="317"/>
      <c r="GUM39" s="317"/>
      <c r="GUN39" s="317"/>
      <c r="GUO39" s="317"/>
      <c r="GUP39" s="317"/>
      <c r="GUQ39" s="317"/>
      <c r="GUR39" s="317"/>
      <c r="GUS39" s="317"/>
      <c r="GUT39" s="317"/>
      <c r="GUU39" s="317"/>
      <c r="GUV39" s="317"/>
      <c r="GUW39" s="317"/>
      <c r="GUX39" s="317"/>
      <c r="GUY39" s="317"/>
      <c r="GUZ39" s="317"/>
      <c r="GVA39" s="317"/>
      <c r="GVB39" s="317"/>
      <c r="GVC39" s="317"/>
      <c r="GVD39" s="317"/>
      <c r="GVE39" s="317"/>
      <c r="GVF39" s="317"/>
      <c r="GVG39" s="317"/>
      <c r="GVH39" s="317"/>
      <c r="GVI39" s="317"/>
      <c r="GVJ39" s="317"/>
      <c r="GVK39" s="317"/>
      <c r="GVL39" s="317"/>
      <c r="GVM39" s="317"/>
      <c r="GVN39" s="317"/>
      <c r="GVO39" s="317"/>
      <c r="GVP39" s="317"/>
      <c r="GVQ39" s="317"/>
      <c r="GVR39" s="317"/>
      <c r="GVS39" s="317"/>
      <c r="GVT39" s="317"/>
      <c r="GVU39" s="317"/>
      <c r="GVV39" s="317"/>
      <c r="GVW39" s="317"/>
      <c r="GVX39" s="317"/>
      <c r="GVY39" s="317"/>
      <c r="GVZ39" s="317"/>
      <c r="GWA39" s="317"/>
      <c r="GWB39" s="317"/>
      <c r="GWC39" s="317"/>
      <c r="GWD39" s="317"/>
      <c r="GWE39" s="317"/>
      <c r="GWF39" s="317"/>
      <c r="GWG39" s="317"/>
      <c r="GWH39" s="317"/>
      <c r="GWI39" s="317"/>
      <c r="GWJ39" s="317"/>
      <c r="GWK39" s="317"/>
      <c r="GWL39" s="317"/>
      <c r="GWM39" s="317"/>
      <c r="GWN39" s="317"/>
      <c r="GWO39" s="317"/>
      <c r="GWP39" s="317"/>
      <c r="GWQ39" s="317"/>
      <c r="GWR39" s="317"/>
      <c r="GWS39" s="317"/>
      <c r="GWT39" s="317"/>
      <c r="GWU39" s="317"/>
      <c r="GWV39" s="317"/>
      <c r="GWW39" s="317"/>
      <c r="GWX39" s="317"/>
      <c r="GWY39" s="317"/>
      <c r="GWZ39" s="317"/>
      <c r="GXA39" s="317"/>
      <c r="GXB39" s="317"/>
      <c r="GXC39" s="317"/>
      <c r="GXD39" s="317"/>
      <c r="GXE39" s="317"/>
      <c r="GXF39" s="317"/>
      <c r="GXG39" s="317"/>
      <c r="GXH39" s="317"/>
      <c r="GXI39" s="317"/>
      <c r="GXJ39" s="317"/>
      <c r="GXK39" s="317"/>
      <c r="GXL39" s="317"/>
      <c r="GXM39" s="317"/>
      <c r="GXN39" s="317"/>
      <c r="GXO39" s="317"/>
      <c r="GXP39" s="317"/>
      <c r="GXQ39" s="317"/>
      <c r="GXR39" s="317"/>
      <c r="GXS39" s="317"/>
      <c r="GXT39" s="317"/>
      <c r="GXU39" s="317"/>
      <c r="GXV39" s="317"/>
      <c r="GXW39" s="317"/>
      <c r="GXX39" s="317"/>
      <c r="GXY39" s="317"/>
      <c r="GXZ39" s="317"/>
      <c r="GYA39" s="317"/>
      <c r="GYB39" s="317"/>
      <c r="GYC39" s="317"/>
      <c r="GYD39" s="317"/>
      <c r="GYE39" s="317"/>
      <c r="GYF39" s="317"/>
      <c r="GYG39" s="317"/>
      <c r="GYH39" s="317"/>
      <c r="GYI39" s="317"/>
      <c r="GYJ39" s="317"/>
      <c r="GYK39" s="317"/>
      <c r="GYL39" s="317"/>
      <c r="GYM39" s="317"/>
      <c r="GYN39" s="317"/>
      <c r="GYO39" s="317"/>
      <c r="GYP39" s="317"/>
      <c r="GYQ39" s="317"/>
      <c r="GYR39" s="317"/>
      <c r="GYS39" s="317"/>
      <c r="GYT39" s="317"/>
      <c r="GYU39" s="317"/>
      <c r="GYV39" s="317"/>
      <c r="GYW39" s="317"/>
      <c r="GYX39" s="317"/>
      <c r="GYY39" s="317"/>
      <c r="GYZ39" s="317"/>
      <c r="GZA39" s="317"/>
      <c r="GZB39" s="317"/>
      <c r="GZC39" s="317"/>
      <c r="GZD39" s="317"/>
      <c r="GZE39" s="317"/>
      <c r="GZF39" s="317"/>
      <c r="GZG39" s="317"/>
      <c r="GZH39" s="317"/>
      <c r="GZI39" s="317"/>
      <c r="GZJ39" s="317"/>
      <c r="GZK39" s="317"/>
      <c r="GZL39" s="317"/>
      <c r="GZM39" s="317"/>
      <c r="GZN39" s="317"/>
      <c r="GZO39" s="317"/>
      <c r="GZP39" s="317"/>
      <c r="GZQ39" s="317"/>
      <c r="GZR39" s="317"/>
      <c r="GZS39" s="317"/>
      <c r="GZT39" s="317"/>
      <c r="GZU39" s="317"/>
      <c r="GZV39" s="317"/>
      <c r="GZW39" s="317"/>
      <c r="GZX39" s="317"/>
      <c r="GZY39" s="317"/>
      <c r="GZZ39" s="317"/>
      <c r="HAA39" s="317"/>
      <c r="HAB39" s="317"/>
      <c r="HAC39" s="317"/>
      <c r="HAD39" s="317"/>
      <c r="HAE39" s="317"/>
      <c r="HAF39" s="317"/>
      <c r="HAG39" s="317"/>
      <c r="HAH39" s="317"/>
      <c r="HAI39" s="317"/>
      <c r="HAJ39" s="317"/>
      <c r="HAK39" s="317"/>
      <c r="HAL39" s="317"/>
      <c r="HAM39" s="317"/>
      <c r="HAN39" s="317"/>
      <c r="HAO39" s="317"/>
      <c r="HAP39" s="317"/>
      <c r="HAQ39" s="317"/>
      <c r="HAR39" s="317"/>
      <c r="HAS39" s="317"/>
      <c r="HAT39" s="317"/>
      <c r="HAU39" s="317"/>
      <c r="HAV39" s="317"/>
      <c r="HAW39" s="317"/>
      <c r="HAX39" s="317"/>
      <c r="HAY39" s="317"/>
      <c r="HAZ39" s="317"/>
      <c r="HBA39" s="317"/>
      <c r="HBB39" s="317"/>
      <c r="HBC39" s="317"/>
      <c r="HBD39" s="317"/>
      <c r="HBE39" s="317"/>
      <c r="HBF39" s="317"/>
      <c r="HBG39" s="317"/>
      <c r="HBH39" s="317"/>
      <c r="HBI39" s="317"/>
      <c r="HBJ39" s="317"/>
      <c r="HBK39" s="317"/>
      <c r="HBL39" s="317"/>
      <c r="HBM39" s="317"/>
      <c r="HBN39" s="317"/>
      <c r="HBO39" s="317"/>
      <c r="HBP39" s="317"/>
      <c r="HBQ39" s="317"/>
      <c r="HBR39" s="317"/>
      <c r="HBS39" s="317"/>
      <c r="HBT39" s="317"/>
      <c r="HBU39" s="317"/>
      <c r="HBV39" s="317"/>
      <c r="HBW39" s="317"/>
      <c r="HBX39" s="317"/>
      <c r="HBY39" s="317"/>
      <c r="HBZ39" s="317"/>
      <c r="HCA39" s="317"/>
      <c r="HCB39" s="317"/>
      <c r="HCC39" s="317"/>
      <c r="HCD39" s="317"/>
      <c r="HCE39" s="317"/>
      <c r="HCF39" s="317"/>
      <c r="HCG39" s="317"/>
      <c r="HCH39" s="317"/>
      <c r="HCI39" s="317"/>
      <c r="HCJ39" s="317"/>
      <c r="HCK39" s="317"/>
      <c r="HCL39" s="317"/>
      <c r="HCM39" s="317"/>
      <c r="HCN39" s="317"/>
      <c r="HCO39" s="317"/>
      <c r="HCP39" s="317"/>
      <c r="HCQ39" s="317"/>
      <c r="HCR39" s="317"/>
      <c r="HCS39" s="317"/>
      <c r="HCT39" s="317"/>
      <c r="HCU39" s="317"/>
      <c r="HCV39" s="317"/>
      <c r="HCW39" s="317"/>
      <c r="HCX39" s="317"/>
      <c r="HCY39" s="317"/>
      <c r="HCZ39" s="317"/>
      <c r="HDA39" s="317"/>
      <c r="HDB39" s="317"/>
      <c r="HDC39" s="317"/>
      <c r="HDD39" s="317"/>
      <c r="HDE39" s="317"/>
      <c r="HDF39" s="317"/>
      <c r="HDG39" s="317"/>
      <c r="HDH39" s="317"/>
      <c r="HDI39" s="317"/>
      <c r="HDJ39" s="317"/>
      <c r="HDK39" s="317"/>
      <c r="HDL39" s="317"/>
      <c r="HDM39" s="317"/>
      <c r="HDN39" s="317"/>
      <c r="HDO39" s="317"/>
      <c r="HDP39" s="317"/>
      <c r="HDQ39" s="317"/>
      <c r="HDR39" s="317"/>
      <c r="HDS39" s="317"/>
      <c r="HDT39" s="317"/>
      <c r="HDU39" s="317"/>
      <c r="HDV39" s="317"/>
      <c r="HDW39" s="317"/>
      <c r="HDX39" s="317"/>
      <c r="HDY39" s="317"/>
      <c r="HDZ39" s="317"/>
      <c r="HEA39" s="317"/>
      <c r="HEB39" s="317"/>
      <c r="HEC39" s="317"/>
      <c r="HED39" s="317"/>
      <c r="HEE39" s="317"/>
      <c r="HEF39" s="317"/>
      <c r="HEG39" s="317"/>
      <c r="HEH39" s="317"/>
      <c r="HEI39" s="317"/>
      <c r="HEJ39" s="317"/>
      <c r="HEK39" s="317"/>
      <c r="HEL39" s="317"/>
      <c r="HEM39" s="317"/>
      <c r="HEN39" s="317"/>
      <c r="HEO39" s="317"/>
      <c r="HEP39" s="317"/>
      <c r="HEQ39" s="317"/>
      <c r="HER39" s="317"/>
      <c r="HES39" s="317"/>
      <c r="HET39" s="317"/>
      <c r="HEU39" s="317"/>
      <c r="HEV39" s="317"/>
      <c r="HEW39" s="317"/>
      <c r="HEX39" s="317"/>
      <c r="HEY39" s="317"/>
      <c r="HEZ39" s="317"/>
      <c r="HFA39" s="317"/>
      <c r="HFB39" s="317"/>
      <c r="HFC39" s="317"/>
      <c r="HFD39" s="317"/>
      <c r="HFE39" s="317"/>
      <c r="HFF39" s="317"/>
      <c r="HFG39" s="317"/>
      <c r="HFH39" s="317"/>
      <c r="HFI39" s="317"/>
      <c r="HFJ39" s="317"/>
      <c r="HFK39" s="317"/>
      <c r="HFL39" s="317"/>
      <c r="HFM39" s="317"/>
      <c r="HFN39" s="317"/>
      <c r="HFO39" s="317"/>
      <c r="HFP39" s="317"/>
      <c r="HFQ39" s="317"/>
      <c r="HFR39" s="317"/>
      <c r="HFS39" s="317"/>
      <c r="HFT39" s="317"/>
      <c r="HFU39" s="317"/>
      <c r="HFV39" s="317"/>
      <c r="HFW39" s="317"/>
      <c r="HFX39" s="317"/>
      <c r="HFY39" s="317"/>
      <c r="HFZ39" s="317"/>
      <c r="HGA39" s="317"/>
      <c r="HGB39" s="317"/>
      <c r="HGC39" s="317"/>
      <c r="HGD39" s="317"/>
      <c r="HGE39" s="317"/>
      <c r="HGF39" s="317"/>
      <c r="HGG39" s="317"/>
      <c r="HGH39" s="317"/>
      <c r="HGI39" s="317"/>
      <c r="HGJ39" s="317"/>
      <c r="HGK39" s="317"/>
      <c r="HGL39" s="317"/>
      <c r="HGM39" s="317"/>
      <c r="HGN39" s="317"/>
      <c r="HGO39" s="317"/>
      <c r="HGP39" s="317"/>
      <c r="HGQ39" s="317"/>
      <c r="HGR39" s="317"/>
      <c r="HGS39" s="317"/>
      <c r="HGT39" s="317"/>
      <c r="HGU39" s="317"/>
      <c r="HGV39" s="317"/>
      <c r="HGW39" s="317"/>
      <c r="HGX39" s="317"/>
      <c r="HGY39" s="317"/>
      <c r="HGZ39" s="317"/>
      <c r="HHA39" s="317"/>
      <c r="HHB39" s="317"/>
      <c r="HHC39" s="317"/>
      <c r="HHD39" s="317"/>
      <c r="HHE39" s="317"/>
      <c r="HHF39" s="317"/>
      <c r="HHG39" s="317"/>
      <c r="HHH39" s="317"/>
      <c r="HHI39" s="317"/>
      <c r="HHJ39" s="317"/>
      <c r="HHK39" s="317"/>
      <c r="HHL39" s="317"/>
      <c r="HHM39" s="317"/>
      <c r="HHN39" s="317"/>
      <c r="HHO39" s="317"/>
      <c r="HHP39" s="317"/>
      <c r="HHQ39" s="317"/>
      <c r="HHR39" s="317"/>
      <c r="HHS39" s="317"/>
      <c r="HHT39" s="317"/>
      <c r="HHU39" s="317"/>
      <c r="HHV39" s="317"/>
      <c r="HHW39" s="317"/>
      <c r="HHX39" s="317"/>
      <c r="HHY39" s="317"/>
      <c r="HHZ39" s="317"/>
      <c r="HIA39" s="317"/>
      <c r="HIB39" s="317"/>
      <c r="HIC39" s="317"/>
      <c r="HID39" s="317"/>
      <c r="HIE39" s="317"/>
      <c r="HIF39" s="317"/>
      <c r="HIG39" s="317"/>
      <c r="HIH39" s="317"/>
      <c r="HII39" s="317"/>
      <c r="HIJ39" s="317"/>
      <c r="HIK39" s="317"/>
      <c r="HIL39" s="317"/>
      <c r="HIM39" s="317"/>
      <c r="HIN39" s="317"/>
      <c r="HIO39" s="317"/>
      <c r="HIP39" s="317"/>
      <c r="HIQ39" s="317"/>
      <c r="HIR39" s="317"/>
      <c r="HIS39" s="317"/>
      <c r="HIT39" s="317"/>
      <c r="HIU39" s="317"/>
      <c r="HIV39" s="317"/>
      <c r="HIW39" s="317"/>
      <c r="HIX39" s="317"/>
      <c r="HIY39" s="317"/>
      <c r="HIZ39" s="317"/>
      <c r="HJA39" s="317"/>
      <c r="HJB39" s="317"/>
      <c r="HJC39" s="317"/>
      <c r="HJD39" s="317"/>
      <c r="HJE39" s="317"/>
      <c r="HJF39" s="317"/>
      <c r="HJG39" s="317"/>
      <c r="HJH39" s="317"/>
      <c r="HJI39" s="317"/>
      <c r="HJJ39" s="317"/>
      <c r="HJK39" s="317"/>
      <c r="HJL39" s="317"/>
      <c r="HJM39" s="317"/>
      <c r="HJN39" s="317"/>
      <c r="HJO39" s="317"/>
      <c r="HJP39" s="317"/>
      <c r="HJQ39" s="317"/>
      <c r="HJR39" s="317"/>
      <c r="HJS39" s="317"/>
      <c r="HJT39" s="317"/>
      <c r="HJU39" s="317"/>
      <c r="HJV39" s="317"/>
      <c r="HJW39" s="317"/>
      <c r="HJX39" s="317"/>
      <c r="HJY39" s="317"/>
      <c r="HJZ39" s="317"/>
      <c r="HKA39" s="317"/>
      <c r="HKB39" s="317"/>
      <c r="HKC39" s="317"/>
      <c r="HKD39" s="317"/>
      <c r="HKE39" s="317"/>
      <c r="HKF39" s="317"/>
      <c r="HKG39" s="317"/>
      <c r="HKH39" s="317"/>
      <c r="HKI39" s="317"/>
      <c r="HKJ39" s="317"/>
      <c r="HKK39" s="317"/>
      <c r="HKL39" s="317"/>
      <c r="HKM39" s="317"/>
      <c r="HKN39" s="317"/>
      <c r="HKO39" s="317"/>
      <c r="HKP39" s="317"/>
      <c r="HKQ39" s="317"/>
      <c r="HKR39" s="317"/>
      <c r="HKS39" s="317"/>
      <c r="HKT39" s="317"/>
      <c r="HKU39" s="317"/>
      <c r="HKV39" s="317"/>
      <c r="HKW39" s="317"/>
      <c r="HKX39" s="317"/>
      <c r="HKY39" s="317"/>
      <c r="HKZ39" s="317"/>
      <c r="HLA39" s="317"/>
      <c r="HLB39" s="317"/>
      <c r="HLC39" s="317"/>
      <c r="HLD39" s="317"/>
      <c r="HLE39" s="317"/>
      <c r="HLF39" s="317"/>
      <c r="HLG39" s="317"/>
      <c r="HLH39" s="317"/>
      <c r="HLI39" s="317"/>
      <c r="HLJ39" s="317"/>
      <c r="HLK39" s="317"/>
      <c r="HLL39" s="317"/>
      <c r="HLM39" s="317"/>
      <c r="HLN39" s="317"/>
      <c r="HLO39" s="317"/>
      <c r="HLP39" s="317"/>
      <c r="HLQ39" s="317"/>
      <c r="HLR39" s="317"/>
      <c r="HLS39" s="317"/>
      <c r="HLT39" s="317"/>
      <c r="HLU39" s="317"/>
      <c r="HLV39" s="317"/>
      <c r="HLW39" s="317"/>
      <c r="HLX39" s="317"/>
      <c r="HLY39" s="317"/>
      <c r="HLZ39" s="317"/>
      <c r="HMA39" s="317"/>
      <c r="HMB39" s="317"/>
      <c r="HMC39" s="317"/>
      <c r="HMD39" s="317"/>
      <c r="HME39" s="317"/>
      <c r="HMF39" s="317"/>
      <c r="HMG39" s="317"/>
      <c r="HMH39" s="317"/>
      <c r="HMI39" s="317"/>
      <c r="HMJ39" s="317"/>
      <c r="HMK39" s="317"/>
      <c r="HML39" s="317"/>
      <c r="HMM39" s="317"/>
      <c r="HMN39" s="317"/>
      <c r="HMO39" s="317"/>
      <c r="HMP39" s="317"/>
      <c r="HMQ39" s="317"/>
      <c r="HMR39" s="317"/>
      <c r="HMS39" s="317"/>
      <c r="HMT39" s="317"/>
      <c r="HMU39" s="317"/>
      <c r="HMV39" s="317"/>
      <c r="HMW39" s="317"/>
      <c r="HMX39" s="317"/>
      <c r="HMY39" s="317"/>
      <c r="HMZ39" s="317"/>
      <c r="HNA39" s="317"/>
      <c r="HNB39" s="317"/>
      <c r="HNC39" s="317"/>
      <c r="HND39" s="317"/>
      <c r="HNE39" s="317"/>
      <c r="HNF39" s="317"/>
      <c r="HNG39" s="317"/>
      <c r="HNH39" s="317"/>
      <c r="HNI39" s="317"/>
      <c r="HNJ39" s="317"/>
      <c r="HNK39" s="317"/>
      <c r="HNL39" s="317"/>
      <c r="HNM39" s="317"/>
      <c r="HNN39" s="317"/>
      <c r="HNO39" s="317"/>
      <c r="HNP39" s="317"/>
      <c r="HNQ39" s="317"/>
      <c r="HNR39" s="317"/>
      <c r="HNS39" s="317"/>
      <c r="HNT39" s="317"/>
      <c r="HNU39" s="317"/>
      <c r="HNV39" s="317"/>
      <c r="HNW39" s="317"/>
      <c r="HNX39" s="317"/>
      <c r="HNY39" s="317"/>
      <c r="HNZ39" s="317"/>
      <c r="HOA39" s="317"/>
      <c r="HOB39" s="317"/>
      <c r="HOC39" s="317"/>
      <c r="HOD39" s="317"/>
      <c r="HOE39" s="317"/>
      <c r="HOF39" s="317"/>
      <c r="HOG39" s="317"/>
      <c r="HOH39" s="317"/>
      <c r="HOI39" s="317"/>
      <c r="HOJ39" s="317"/>
      <c r="HOK39" s="317"/>
      <c r="HOL39" s="317"/>
      <c r="HOM39" s="317"/>
      <c r="HON39" s="317"/>
      <c r="HOO39" s="317"/>
      <c r="HOP39" s="317"/>
      <c r="HOQ39" s="317"/>
      <c r="HOR39" s="317"/>
      <c r="HOS39" s="317"/>
      <c r="HOT39" s="317"/>
      <c r="HOU39" s="317"/>
      <c r="HOV39" s="317"/>
      <c r="HOW39" s="317"/>
      <c r="HOX39" s="317"/>
      <c r="HOY39" s="317"/>
      <c r="HOZ39" s="317"/>
      <c r="HPA39" s="317"/>
      <c r="HPB39" s="317"/>
      <c r="HPC39" s="317"/>
      <c r="HPD39" s="317"/>
      <c r="HPE39" s="317"/>
      <c r="HPF39" s="317"/>
      <c r="HPG39" s="317"/>
      <c r="HPH39" s="317"/>
      <c r="HPI39" s="317"/>
      <c r="HPJ39" s="317"/>
      <c r="HPK39" s="317"/>
      <c r="HPL39" s="317"/>
      <c r="HPM39" s="317"/>
      <c r="HPN39" s="317"/>
      <c r="HPO39" s="317"/>
      <c r="HPP39" s="317"/>
      <c r="HPQ39" s="317"/>
      <c r="HPR39" s="317"/>
      <c r="HPS39" s="317"/>
      <c r="HPT39" s="317"/>
      <c r="HPU39" s="317"/>
      <c r="HPV39" s="317"/>
      <c r="HPW39" s="317"/>
      <c r="HPX39" s="317"/>
      <c r="HPY39" s="317"/>
      <c r="HPZ39" s="317"/>
      <c r="HQA39" s="317"/>
      <c r="HQB39" s="317"/>
      <c r="HQC39" s="317"/>
      <c r="HQD39" s="317"/>
      <c r="HQE39" s="317"/>
      <c r="HQF39" s="317"/>
      <c r="HQG39" s="317"/>
      <c r="HQH39" s="317"/>
      <c r="HQI39" s="317"/>
      <c r="HQJ39" s="317"/>
      <c r="HQK39" s="317"/>
      <c r="HQL39" s="317"/>
      <c r="HQM39" s="317"/>
      <c r="HQN39" s="317"/>
      <c r="HQO39" s="317"/>
      <c r="HQP39" s="317"/>
      <c r="HQQ39" s="317"/>
      <c r="HQR39" s="317"/>
      <c r="HQS39" s="317"/>
      <c r="HQT39" s="317"/>
      <c r="HQU39" s="317"/>
      <c r="HQV39" s="317"/>
      <c r="HQW39" s="317"/>
      <c r="HQX39" s="317"/>
      <c r="HQY39" s="317"/>
      <c r="HQZ39" s="317"/>
      <c r="HRA39" s="317"/>
      <c r="HRB39" s="317"/>
      <c r="HRC39" s="317"/>
      <c r="HRD39" s="317"/>
      <c r="HRE39" s="317"/>
      <c r="HRF39" s="317"/>
      <c r="HRG39" s="317"/>
      <c r="HRH39" s="317"/>
      <c r="HRI39" s="317"/>
      <c r="HRJ39" s="317"/>
      <c r="HRK39" s="317"/>
      <c r="HRL39" s="317"/>
      <c r="HRM39" s="317"/>
      <c r="HRN39" s="317"/>
      <c r="HRO39" s="317"/>
      <c r="HRP39" s="317"/>
      <c r="HRQ39" s="317"/>
      <c r="HRR39" s="317"/>
      <c r="HRS39" s="317"/>
      <c r="HRT39" s="317"/>
      <c r="HRU39" s="317"/>
      <c r="HRV39" s="317"/>
      <c r="HRW39" s="317"/>
      <c r="HRX39" s="317"/>
      <c r="HRY39" s="317"/>
      <c r="HRZ39" s="317"/>
      <c r="HSA39" s="317"/>
      <c r="HSB39" s="317"/>
      <c r="HSC39" s="317"/>
      <c r="HSD39" s="317"/>
      <c r="HSE39" s="317"/>
      <c r="HSF39" s="317"/>
      <c r="HSG39" s="317"/>
      <c r="HSH39" s="317"/>
      <c r="HSI39" s="317"/>
      <c r="HSJ39" s="317"/>
      <c r="HSK39" s="317"/>
      <c r="HSL39" s="317"/>
      <c r="HSM39" s="317"/>
      <c r="HSN39" s="317"/>
      <c r="HSO39" s="317"/>
      <c r="HSP39" s="317"/>
      <c r="HSQ39" s="317"/>
      <c r="HSR39" s="317"/>
      <c r="HSS39" s="317"/>
      <c r="HST39" s="317"/>
      <c r="HSU39" s="317"/>
      <c r="HSV39" s="317"/>
      <c r="HSW39" s="317"/>
      <c r="HSX39" s="317"/>
      <c r="HSY39" s="317"/>
      <c r="HSZ39" s="317"/>
      <c r="HTA39" s="317"/>
      <c r="HTB39" s="317"/>
      <c r="HTC39" s="317"/>
      <c r="HTD39" s="317"/>
      <c r="HTE39" s="317"/>
      <c r="HTF39" s="317"/>
      <c r="HTG39" s="317"/>
      <c r="HTH39" s="317"/>
      <c r="HTI39" s="317"/>
      <c r="HTJ39" s="317"/>
      <c r="HTK39" s="317"/>
      <c r="HTL39" s="317"/>
      <c r="HTM39" s="317"/>
      <c r="HTN39" s="317"/>
      <c r="HTO39" s="317"/>
      <c r="HTP39" s="317"/>
      <c r="HTQ39" s="317"/>
      <c r="HTR39" s="317"/>
      <c r="HTS39" s="317"/>
      <c r="HTT39" s="317"/>
      <c r="HTU39" s="317"/>
      <c r="HTV39" s="317"/>
      <c r="HTW39" s="317"/>
      <c r="HTX39" s="317"/>
      <c r="HTY39" s="317"/>
      <c r="HTZ39" s="317"/>
      <c r="HUA39" s="317"/>
      <c r="HUB39" s="317"/>
      <c r="HUC39" s="317"/>
      <c r="HUD39" s="317"/>
      <c r="HUE39" s="317"/>
      <c r="HUF39" s="317"/>
      <c r="HUG39" s="317"/>
      <c r="HUH39" s="317"/>
      <c r="HUI39" s="317"/>
      <c r="HUJ39" s="317"/>
      <c r="HUK39" s="317"/>
      <c r="HUL39" s="317"/>
      <c r="HUM39" s="317"/>
      <c r="HUN39" s="317"/>
      <c r="HUO39" s="317"/>
      <c r="HUP39" s="317"/>
      <c r="HUQ39" s="317"/>
      <c r="HUR39" s="317"/>
      <c r="HUS39" s="317"/>
      <c r="HUT39" s="317"/>
      <c r="HUU39" s="317"/>
      <c r="HUV39" s="317"/>
      <c r="HUW39" s="317"/>
      <c r="HUX39" s="317"/>
      <c r="HUY39" s="317"/>
      <c r="HUZ39" s="317"/>
      <c r="HVA39" s="317"/>
      <c r="HVB39" s="317"/>
      <c r="HVC39" s="317"/>
      <c r="HVD39" s="317"/>
      <c r="HVE39" s="317"/>
      <c r="HVF39" s="317"/>
      <c r="HVG39" s="317"/>
      <c r="HVH39" s="317"/>
      <c r="HVI39" s="317"/>
      <c r="HVJ39" s="317"/>
      <c r="HVK39" s="317"/>
      <c r="HVL39" s="317"/>
      <c r="HVM39" s="317"/>
      <c r="HVN39" s="317"/>
      <c r="HVO39" s="317"/>
      <c r="HVP39" s="317"/>
      <c r="HVQ39" s="317"/>
      <c r="HVR39" s="317"/>
      <c r="HVS39" s="317"/>
      <c r="HVT39" s="317"/>
      <c r="HVU39" s="317"/>
      <c r="HVV39" s="317"/>
      <c r="HVW39" s="317"/>
      <c r="HVX39" s="317"/>
      <c r="HVY39" s="317"/>
      <c r="HVZ39" s="317"/>
      <c r="HWA39" s="317"/>
      <c r="HWB39" s="317"/>
      <c r="HWC39" s="317"/>
      <c r="HWD39" s="317"/>
      <c r="HWE39" s="317"/>
      <c r="HWF39" s="317"/>
      <c r="HWG39" s="317"/>
      <c r="HWH39" s="317"/>
      <c r="HWI39" s="317"/>
      <c r="HWJ39" s="317"/>
      <c r="HWK39" s="317"/>
      <c r="HWL39" s="317"/>
      <c r="HWM39" s="317"/>
      <c r="HWN39" s="317"/>
      <c r="HWO39" s="317"/>
      <c r="HWP39" s="317"/>
      <c r="HWQ39" s="317"/>
      <c r="HWR39" s="317"/>
      <c r="HWS39" s="317"/>
      <c r="HWT39" s="317"/>
      <c r="HWU39" s="317"/>
      <c r="HWV39" s="317"/>
      <c r="HWW39" s="317"/>
      <c r="HWX39" s="317"/>
      <c r="HWY39" s="317"/>
      <c r="HWZ39" s="317"/>
      <c r="HXA39" s="317"/>
      <c r="HXB39" s="317"/>
      <c r="HXC39" s="317"/>
      <c r="HXD39" s="317"/>
      <c r="HXE39" s="317"/>
      <c r="HXF39" s="317"/>
      <c r="HXG39" s="317"/>
      <c r="HXH39" s="317"/>
      <c r="HXI39" s="317"/>
      <c r="HXJ39" s="317"/>
      <c r="HXK39" s="317"/>
      <c r="HXL39" s="317"/>
      <c r="HXM39" s="317"/>
      <c r="HXN39" s="317"/>
      <c r="HXO39" s="317"/>
      <c r="HXP39" s="317"/>
      <c r="HXQ39" s="317"/>
      <c r="HXR39" s="317"/>
      <c r="HXS39" s="317"/>
      <c r="HXT39" s="317"/>
      <c r="HXU39" s="317"/>
      <c r="HXV39" s="317"/>
      <c r="HXW39" s="317"/>
      <c r="HXX39" s="317"/>
      <c r="HXY39" s="317"/>
      <c r="HXZ39" s="317"/>
      <c r="HYA39" s="317"/>
      <c r="HYB39" s="317"/>
      <c r="HYC39" s="317"/>
      <c r="HYD39" s="317"/>
      <c r="HYE39" s="317"/>
      <c r="HYF39" s="317"/>
      <c r="HYG39" s="317"/>
      <c r="HYH39" s="317"/>
      <c r="HYI39" s="317"/>
      <c r="HYJ39" s="317"/>
      <c r="HYK39" s="317"/>
      <c r="HYL39" s="317"/>
      <c r="HYM39" s="317"/>
      <c r="HYN39" s="317"/>
      <c r="HYO39" s="317"/>
      <c r="HYP39" s="317"/>
      <c r="HYQ39" s="317"/>
      <c r="HYR39" s="317"/>
      <c r="HYS39" s="317"/>
      <c r="HYT39" s="317"/>
      <c r="HYU39" s="317"/>
      <c r="HYV39" s="317"/>
      <c r="HYW39" s="317"/>
      <c r="HYX39" s="317"/>
      <c r="HYY39" s="317"/>
      <c r="HYZ39" s="317"/>
      <c r="HZA39" s="317"/>
      <c r="HZB39" s="317"/>
      <c r="HZC39" s="317"/>
      <c r="HZD39" s="317"/>
      <c r="HZE39" s="317"/>
      <c r="HZF39" s="317"/>
      <c r="HZG39" s="317"/>
      <c r="HZH39" s="317"/>
      <c r="HZI39" s="317"/>
      <c r="HZJ39" s="317"/>
      <c r="HZK39" s="317"/>
      <c r="HZL39" s="317"/>
      <c r="HZM39" s="317"/>
      <c r="HZN39" s="317"/>
      <c r="HZO39" s="317"/>
      <c r="HZP39" s="317"/>
      <c r="HZQ39" s="317"/>
      <c r="HZR39" s="317"/>
      <c r="HZS39" s="317"/>
      <c r="HZT39" s="317"/>
      <c r="HZU39" s="317"/>
      <c r="HZV39" s="317"/>
      <c r="HZW39" s="317"/>
      <c r="HZX39" s="317"/>
      <c r="HZY39" s="317"/>
      <c r="HZZ39" s="317"/>
      <c r="IAA39" s="317"/>
      <c r="IAB39" s="317"/>
      <c r="IAC39" s="317"/>
      <c r="IAD39" s="317"/>
      <c r="IAE39" s="317"/>
      <c r="IAF39" s="317"/>
      <c r="IAG39" s="317"/>
      <c r="IAH39" s="317"/>
      <c r="IAI39" s="317"/>
      <c r="IAJ39" s="317"/>
      <c r="IAK39" s="317"/>
      <c r="IAL39" s="317"/>
      <c r="IAM39" s="317"/>
      <c r="IAN39" s="317"/>
      <c r="IAO39" s="317"/>
      <c r="IAP39" s="317"/>
      <c r="IAQ39" s="317"/>
      <c r="IAR39" s="317"/>
      <c r="IAS39" s="317"/>
      <c r="IAT39" s="317"/>
      <c r="IAU39" s="317"/>
      <c r="IAV39" s="317"/>
      <c r="IAW39" s="317"/>
      <c r="IAX39" s="317"/>
      <c r="IAY39" s="317"/>
      <c r="IAZ39" s="317"/>
      <c r="IBA39" s="317"/>
      <c r="IBB39" s="317"/>
      <c r="IBC39" s="317"/>
      <c r="IBD39" s="317"/>
      <c r="IBE39" s="317"/>
      <c r="IBF39" s="317"/>
      <c r="IBG39" s="317"/>
      <c r="IBH39" s="317"/>
      <c r="IBI39" s="317"/>
      <c r="IBJ39" s="317"/>
      <c r="IBK39" s="317"/>
      <c r="IBL39" s="317"/>
      <c r="IBM39" s="317"/>
      <c r="IBN39" s="317"/>
      <c r="IBO39" s="317"/>
      <c r="IBP39" s="317"/>
      <c r="IBQ39" s="317"/>
      <c r="IBR39" s="317"/>
      <c r="IBS39" s="317"/>
      <c r="IBT39" s="317"/>
      <c r="IBU39" s="317"/>
      <c r="IBV39" s="317"/>
      <c r="IBW39" s="317"/>
      <c r="IBX39" s="317"/>
      <c r="IBY39" s="317"/>
      <c r="IBZ39" s="317"/>
      <c r="ICA39" s="317"/>
      <c r="ICB39" s="317"/>
      <c r="ICC39" s="317"/>
      <c r="ICD39" s="317"/>
      <c r="ICE39" s="317"/>
      <c r="ICF39" s="317"/>
      <c r="ICG39" s="317"/>
      <c r="ICH39" s="317"/>
      <c r="ICI39" s="317"/>
      <c r="ICJ39" s="317"/>
      <c r="ICK39" s="317"/>
      <c r="ICL39" s="317"/>
      <c r="ICM39" s="317"/>
      <c r="ICN39" s="317"/>
      <c r="ICO39" s="317"/>
      <c r="ICP39" s="317"/>
      <c r="ICQ39" s="317"/>
      <c r="ICR39" s="317"/>
      <c r="ICS39" s="317"/>
      <c r="ICT39" s="317"/>
      <c r="ICU39" s="317"/>
      <c r="ICV39" s="317"/>
      <c r="ICW39" s="317"/>
      <c r="ICX39" s="317"/>
      <c r="ICY39" s="317"/>
      <c r="ICZ39" s="317"/>
      <c r="IDA39" s="317"/>
      <c r="IDB39" s="317"/>
      <c r="IDC39" s="317"/>
      <c r="IDD39" s="317"/>
      <c r="IDE39" s="317"/>
      <c r="IDF39" s="317"/>
      <c r="IDG39" s="317"/>
      <c r="IDH39" s="317"/>
      <c r="IDI39" s="317"/>
      <c r="IDJ39" s="317"/>
      <c r="IDK39" s="317"/>
      <c r="IDL39" s="317"/>
      <c r="IDM39" s="317"/>
      <c r="IDN39" s="317"/>
      <c r="IDO39" s="317"/>
      <c r="IDP39" s="317"/>
      <c r="IDQ39" s="317"/>
      <c r="IDR39" s="317"/>
      <c r="IDS39" s="317"/>
      <c r="IDT39" s="317"/>
      <c r="IDU39" s="317"/>
      <c r="IDV39" s="317"/>
      <c r="IDW39" s="317"/>
      <c r="IDX39" s="317"/>
      <c r="IDY39" s="317"/>
      <c r="IDZ39" s="317"/>
      <c r="IEA39" s="317"/>
      <c r="IEB39" s="317"/>
      <c r="IEC39" s="317"/>
      <c r="IED39" s="317"/>
      <c r="IEE39" s="317"/>
      <c r="IEF39" s="317"/>
      <c r="IEG39" s="317"/>
      <c r="IEH39" s="317"/>
      <c r="IEI39" s="317"/>
      <c r="IEJ39" s="317"/>
      <c r="IEK39" s="317"/>
      <c r="IEL39" s="317"/>
      <c r="IEM39" s="317"/>
      <c r="IEN39" s="317"/>
      <c r="IEO39" s="317"/>
      <c r="IEP39" s="317"/>
      <c r="IEQ39" s="317"/>
      <c r="IER39" s="317"/>
      <c r="IES39" s="317"/>
      <c r="IET39" s="317"/>
      <c r="IEU39" s="317"/>
      <c r="IEV39" s="317"/>
      <c r="IEW39" s="317"/>
      <c r="IEX39" s="317"/>
      <c r="IEY39" s="317"/>
      <c r="IEZ39" s="317"/>
      <c r="IFA39" s="317"/>
      <c r="IFB39" s="317"/>
      <c r="IFC39" s="317"/>
      <c r="IFD39" s="317"/>
      <c r="IFE39" s="317"/>
      <c r="IFF39" s="317"/>
      <c r="IFG39" s="317"/>
      <c r="IFH39" s="317"/>
      <c r="IFI39" s="317"/>
      <c r="IFJ39" s="317"/>
      <c r="IFK39" s="317"/>
      <c r="IFL39" s="317"/>
      <c r="IFM39" s="317"/>
      <c r="IFN39" s="317"/>
      <c r="IFO39" s="317"/>
      <c r="IFP39" s="317"/>
      <c r="IFQ39" s="317"/>
      <c r="IFR39" s="317"/>
      <c r="IFS39" s="317"/>
      <c r="IFT39" s="317"/>
      <c r="IFU39" s="317"/>
      <c r="IFV39" s="317"/>
      <c r="IFW39" s="317"/>
      <c r="IFX39" s="317"/>
      <c r="IFY39" s="317"/>
      <c r="IFZ39" s="317"/>
      <c r="IGA39" s="317"/>
      <c r="IGB39" s="317"/>
      <c r="IGC39" s="317"/>
      <c r="IGD39" s="317"/>
      <c r="IGE39" s="317"/>
      <c r="IGF39" s="317"/>
      <c r="IGG39" s="317"/>
      <c r="IGH39" s="317"/>
      <c r="IGI39" s="317"/>
      <c r="IGJ39" s="317"/>
      <c r="IGK39" s="317"/>
      <c r="IGL39" s="317"/>
      <c r="IGM39" s="317"/>
      <c r="IGN39" s="317"/>
      <c r="IGO39" s="317"/>
      <c r="IGP39" s="317"/>
      <c r="IGQ39" s="317"/>
      <c r="IGR39" s="317"/>
      <c r="IGS39" s="317"/>
      <c r="IGT39" s="317"/>
      <c r="IGU39" s="317"/>
      <c r="IGV39" s="317"/>
      <c r="IGW39" s="317"/>
      <c r="IGX39" s="317"/>
      <c r="IGY39" s="317"/>
      <c r="IGZ39" s="317"/>
      <c r="IHA39" s="317"/>
      <c r="IHB39" s="317"/>
      <c r="IHC39" s="317"/>
      <c r="IHD39" s="317"/>
      <c r="IHE39" s="317"/>
      <c r="IHF39" s="317"/>
      <c r="IHG39" s="317"/>
      <c r="IHH39" s="317"/>
      <c r="IHI39" s="317"/>
      <c r="IHJ39" s="317"/>
      <c r="IHK39" s="317"/>
      <c r="IHL39" s="317"/>
      <c r="IHM39" s="317"/>
      <c r="IHN39" s="317"/>
      <c r="IHO39" s="317"/>
      <c r="IHP39" s="317"/>
      <c r="IHQ39" s="317"/>
      <c r="IHR39" s="317"/>
      <c r="IHS39" s="317"/>
      <c r="IHT39" s="317"/>
      <c r="IHU39" s="317"/>
      <c r="IHV39" s="317"/>
      <c r="IHW39" s="317"/>
      <c r="IHX39" s="317"/>
      <c r="IHY39" s="317"/>
      <c r="IHZ39" s="317"/>
      <c r="IIA39" s="317"/>
      <c r="IIB39" s="317"/>
      <c r="IIC39" s="317"/>
      <c r="IID39" s="317"/>
      <c r="IIE39" s="317"/>
      <c r="IIF39" s="317"/>
      <c r="IIG39" s="317"/>
      <c r="IIH39" s="317"/>
      <c r="III39" s="317"/>
      <c r="IIJ39" s="317"/>
      <c r="IIK39" s="317"/>
      <c r="IIL39" s="317"/>
      <c r="IIM39" s="317"/>
      <c r="IIN39" s="317"/>
      <c r="IIO39" s="317"/>
      <c r="IIP39" s="317"/>
      <c r="IIQ39" s="317"/>
      <c r="IIR39" s="317"/>
      <c r="IIS39" s="317"/>
      <c r="IIT39" s="317"/>
      <c r="IIU39" s="317"/>
      <c r="IIV39" s="317"/>
      <c r="IIW39" s="317"/>
      <c r="IIX39" s="317"/>
      <c r="IIY39" s="317"/>
      <c r="IIZ39" s="317"/>
      <c r="IJA39" s="317"/>
      <c r="IJB39" s="317"/>
      <c r="IJC39" s="317"/>
      <c r="IJD39" s="317"/>
      <c r="IJE39" s="317"/>
      <c r="IJF39" s="317"/>
      <c r="IJG39" s="317"/>
      <c r="IJH39" s="317"/>
      <c r="IJI39" s="317"/>
      <c r="IJJ39" s="317"/>
      <c r="IJK39" s="317"/>
      <c r="IJL39" s="317"/>
      <c r="IJM39" s="317"/>
      <c r="IJN39" s="317"/>
      <c r="IJO39" s="317"/>
      <c r="IJP39" s="317"/>
      <c r="IJQ39" s="317"/>
      <c r="IJR39" s="317"/>
      <c r="IJS39" s="317"/>
      <c r="IJT39" s="317"/>
      <c r="IJU39" s="317"/>
      <c r="IJV39" s="317"/>
      <c r="IJW39" s="317"/>
      <c r="IJX39" s="317"/>
      <c r="IJY39" s="317"/>
      <c r="IJZ39" s="317"/>
      <c r="IKA39" s="317"/>
      <c r="IKB39" s="317"/>
      <c r="IKC39" s="317"/>
      <c r="IKD39" s="317"/>
      <c r="IKE39" s="317"/>
      <c r="IKF39" s="317"/>
      <c r="IKG39" s="317"/>
      <c r="IKH39" s="317"/>
      <c r="IKI39" s="317"/>
      <c r="IKJ39" s="317"/>
      <c r="IKK39" s="317"/>
      <c r="IKL39" s="317"/>
      <c r="IKM39" s="317"/>
      <c r="IKN39" s="317"/>
      <c r="IKO39" s="317"/>
      <c r="IKP39" s="317"/>
      <c r="IKQ39" s="317"/>
      <c r="IKR39" s="317"/>
      <c r="IKS39" s="317"/>
      <c r="IKT39" s="317"/>
      <c r="IKU39" s="317"/>
      <c r="IKV39" s="317"/>
      <c r="IKW39" s="317"/>
      <c r="IKX39" s="317"/>
      <c r="IKY39" s="317"/>
      <c r="IKZ39" s="317"/>
      <c r="ILA39" s="317"/>
      <c r="ILB39" s="317"/>
      <c r="ILC39" s="317"/>
      <c r="ILD39" s="317"/>
      <c r="ILE39" s="317"/>
      <c r="ILF39" s="317"/>
      <c r="ILG39" s="317"/>
      <c r="ILH39" s="317"/>
      <c r="ILI39" s="317"/>
      <c r="ILJ39" s="317"/>
      <c r="ILK39" s="317"/>
      <c r="ILL39" s="317"/>
      <c r="ILM39" s="317"/>
      <c r="ILN39" s="317"/>
      <c r="ILO39" s="317"/>
      <c r="ILP39" s="317"/>
      <c r="ILQ39" s="317"/>
      <c r="ILR39" s="317"/>
      <c r="ILS39" s="317"/>
      <c r="ILT39" s="317"/>
      <c r="ILU39" s="317"/>
      <c r="ILV39" s="317"/>
      <c r="ILW39" s="317"/>
      <c r="ILX39" s="317"/>
      <c r="ILY39" s="317"/>
      <c r="ILZ39" s="317"/>
      <c r="IMA39" s="317"/>
      <c r="IMB39" s="317"/>
      <c r="IMC39" s="317"/>
      <c r="IMD39" s="317"/>
      <c r="IME39" s="317"/>
      <c r="IMF39" s="317"/>
      <c r="IMG39" s="317"/>
      <c r="IMH39" s="317"/>
      <c r="IMI39" s="317"/>
      <c r="IMJ39" s="317"/>
      <c r="IMK39" s="317"/>
      <c r="IML39" s="317"/>
      <c r="IMM39" s="317"/>
      <c r="IMN39" s="317"/>
      <c r="IMO39" s="317"/>
      <c r="IMP39" s="317"/>
      <c r="IMQ39" s="317"/>
      <c r="IMR39" s="317"/>
      <c r="IMS39" s="317"/>
      <c r="IMT39" s="317"/>
      <c r="IMU39" s="317"/>
      <c r="IMV39" s="317"/>
      <c r="IMW39" s="317"/>
      <c r="IMX39" s="317"/>
      <c r="IMY39" s="317"/>
      <c r="IMZ39" s="317"/>
      <c r="INA39" s="317"/>
      <c r="INB39" s="317"/>
      <c r="INC39" s="317"/>
      <c r="IND39" s="317"/>
      <c r="INE39" s="317"/>
      <c r="INF39" s="317"/>
      <c r="ING39" s="317"/>
      <c r="INH39" s="317"/>
      <c r="INI39" s="317"/>
      <c r="INJ39" s="317"/>
      <c r="INK39" s="317"/>
      <c r="INL39" s="317"/>
      <c r="INM39" s="317"/>
      <c r="INN39" s="317"/>
      <c r="INO39" s="317"/>
      <c r="INP39" s="317"/>
      <c r="INQ39" s="317"/>
      <c r="INR39" s="317"/>
      <c r="INS39" s="317"/>
      <c r="INT39" s="317"/>
      <c r="INU39" s="317"/>
      <c r="INV39" s="317"/>
      <c r="INW39" s="317"/>
      <c r="INX39" s="317"/>
      <c r="INY39" s="317"/>
      <c r="INZ39" s="317"/>
      <c r="IOA39" s="317"/>
      <c r="IOB39" s="317"/>
      <c r="IOC39" s="317"/>
      <c r="IOD39" s="317"/>
      <c r="IOE39" s="317"/>
      <c r="IOF39" s="317"/>
      <c r="IOG39" s="317"/>
      <c r="IOH39" s="317"/>
      <c r="IOI39" s="317"/>
      <c r="IOJ39" s="317"/>
      <c r="IOK39" s="317"/>
      <c r="IOL39" s="317"/>
      <c r="IOM39" s="317"/>
      <c r="ION39" s="317"/>
      <c r="IOO39" s="317"/>
      <c r="IOP39" s="317"/>
      <c r="IOQ39" s="317"/>
      <c r="IOR39" s="317"/>
      <c r="IOS39" s="317"/>
      <c r="IOT39" s="317"/>
      <c r="IOU39" s="317"/>
      <c r="IOV39" s="317"/>
      <c r="IOW39" s="317"/>
      <c r="IOX39" s="317"/>
      <c r="IOY39" s="317"/>
      <c r="IOZ39" s="317"/>
      <c r="IPA39" s="317"/>
      <c r="IPB39" s="317"/>
      <c r="IPC39" s="317"/>
      <c r="IPD39" s="317"/>
      <c r="IPE39" s="317"/>
      <c r="IPF39" s="317"/>
      <c r="IPG39" s="317"/>
      <c r="IPH39" s="317"/>
      <c r="IPI39" s="317"/>
      <c r="IPJ39" s="317"/>
      <c r="IPK39" s="317"/>
      <c r="IPL39" s="317"/>
      <c r="IPM39" s="317"/>
      <c r="IPN39" s="317"/>
      <c r="IPO39" s="317"/>
      <c r="IPP39" s="317"/>
      <c r="IPQ39" s="317"/>
      <c r="IPR39" s="317"/>
      <c r="IPS39" s="317"/>
      <c r="IPT39" s="317"/>
      <c r="IPU39" s="317"/>
      <c r="IPV39" s="317"/>
      <c r="IPW39" s="317"/>
      <c r="IPX39" s="317"/>
      <c r="IPY39" s="317"/>
      <c r="IPZ39" s="317"/>
      <c r="IQA39" s="317"/>
      <c r="IQB39" s="317"/>
      <c r="IQC39" s="317"/>
      <c r="IQD39" s="317"/>
      <c r="IQE39" s="317"/>
      <c r="IQF39" s="317"/>
      <c r="IQG39" s="317"/>
      <c r="IQH39" s="317"/>
      <c r="IQI39" s="317"/>
      <c r="IQJ39" s="317"/>
      <c r="IQK39" s="317"/>
      <c r="IQL39" s="317"/>
      <c r="IQM39" s="317"/>
      <c r="IQN39" s="317"/>
      <c r="IQO39" s="317"/>
      <c r="IQP39" s="317"/>
      <c r="IQQ39" s="317"/>
      <c r="IQR39" s="317"/>
      <c r="IQS39" s="317"/>
      <c r="IQT39" s="317"/>
      <c r="IQU39" s="317"/>
      <c r="IQV39" s="317"/>
      <c r="IQW39" s="317"/>
      <c r="IQX39" s="317"/>
      <c r="IQY39" s="317"/>
      <c r="IQZ39" s="317"/>
      <c r="IRA39" s="317"/>
      <c r="IRB39" s="317"/>
      <c r="IRC39" s="317"/>
      <c r="IRD39" s="317"/>
      <c r="IRE39" s="317"/>
      <c r="IRF39" s="317"/>
      <c r="IRG39" s="317"/>
      <c r="IRH39" s="317"/>
      <c r="IRI39" s="317"/>
      <c r="IRJ39" s="317"/>
      <c r="IRK39" s="317"/>
      <c r="IRL39" s="317"/>
      <c r="IRM39" s="317"/>
      <c r="IRN39" s="317"/>
      <c r="IRO39" s="317"/>
      <c r="IRP39" s="317"/>
      <c r="IRQ39" s="317"/>
      <c r="IRR39" s="317"/>
      <c r="IRS39" s="317"/>
      <c r="IRT39" s="317"/>
      <c r="IRU39" s="317"/>
      <c r="IRV39" s="317"/>
      <c r="IRW39" s="317"/>
      <c r="IRX39" s="317"/>
      <c r="IRY39" s="317"/>
      <c r="IRZ39" s="317"/>
      <c r="ISA39" s="317"/>
      <c r="ISB39" s="317"/>
      <c r="ISC39" s="317"/>
      <c r="ISD39" s="317"/>
      <c r="ISE39" s="317"/>
      <c r="ISF39" s="317"/>
      <c r="ISG39" s="317"/>
      <c r="ISH39" s="317"/>
      <c r="ISI39" s="317"/>
      <c r="ISJ39" s="317"/>
      <c r="ISK39" s="317"/>
      <c r="ISL39" s="317"/>
      <c r="ISM39" s="317"/>
      <c r="ISN39" s="317"/>
      <c r="ISO39" s="317"/>
      <c r="ISP39" s="317"/>
      <c r="ISQ39" s="317"/>
      <c r="ISR39" s="317"/>
      <c r="ISS39" s="317"/>
      <c r="IST39" s="317"/>
      <c r="ISU39" s="317"/>
      <c r="ISV39" s="317"/>
      <c r="ISW39" s="317"/>
      <c r="ISX39" s="317"/>
      <c r="ISY39" s="317"/>
      <c r="ISZ39" s="317"/>
      <c r="ITA39" s="317"/>
      <c r="ITB39" s="317"/>
      <c r="ITC39" s="317"/>
      <c r="ITD39" s="317"/>
      <c r="ITE39" s="317"/>
      <c r="ITF39" s="317"/>
      <c r="ITG39" s="317"/>
      <c r="ITH39" s="317"/>
      <c r="ITI39" s="317"/>
      <c r="ITJ39" s="317"/>
      <c r="ITK39" s="317"/>
      <c r="ITL39" s="317"/>
      <c r="ITM39" s="317"/>
      <c r="ITN39" s="317"/>
      <c r="ITO39" s="317"/>
      <c r="ITP39" s="317"/>
      <c r="ITQ39" s="317"/>
      <c r="ITR39" s="317"/>
      <c r="ITS39" s="317"/>
      <c r="ITT39" s="317"/>
      <c r="ITU39" s="317"/>
      <c r="ITV39" s="317"/>
      <c r="ITW39" s="317"/>
      <c r="ITX39" s="317"/>
      <c r="ITY39" s="317"/>
      <c r="ITZ39" s="317"/>
      <c r="IUA39" s="317"/>
      <c r="IUB39" s="317"/>
      <c r="IUC39" s="317"/>
      <c r="IUD39" s="317"/>
      <c r="IUE39" s="317"/>
      <c r="IUF39" s="317"/>
      <c r="IUG39" s="317"/>
      <c r="IUH39" s="317"/>
      <c r="IUI39" s="317"/>
      <c r="IUJ39" s="317"/>
      <c r="IUK39" s="317"/>
      <c r="IUL39" s="317"/>
      <c r="IUM39" s="317"/>
      <c r="IUN39" s="317"/>
      <c r="IUO39" s="317"/>
      <c r="IUP39" s="317"/>
      <c r="IUQ39" s="317"/>
      <c r="IUR39" s="317"/>
      <c r="IUS39" s="317"/>
      <c r="IUT39" s="317"/>
      <c r="IUU39" s="317"/>
      <c r="IUV39" s="317"/>
      <c r="IUW39" s="317"/>
      <c r="IUX39" s="317"/>
      <c r="IUY39" s="317"/>
      <c r="IUZ39" s="317"/>
      <c r="IVA39" s="317"/>
      <c r="IVB39" s="317"/>
      <c r="IVC39" s="317"/>
      <c r="IVD39" s="317"/>
      <c r="IVE39" s="317"/>
      <c r="IVF39" s="317"/>
      <c r="IVG39" s="317"/>
      <c r="IVH39" s="317"/>
      <c r="IVI39" s="317"/>
      <c r="IVJ39" s="317"/>
      <c r="IVK39" s="317"/>
      <c r="IVL39" s="317"/>
      <c r="IVM39" s="317"/>
      <c r="IVN39" s="317"/>
      <c r="IVO39" s="317"/>
      <c r="IVP39" s="317"/>
      <c r="IVQ39" s="317"/>
      <c r="IVR39" s="317"/>
      <c r="IVS39" s="317"/>
      <c r="IVT39" s="317"/>
      <c r="IVU39" s="317"/>
      <c r="IVV39" s="317"/>
      <c r="IVW39" s="317"/>
      <c r="IVX39" s="317"/>
      <c r="IVY39" s="317"/>
      <c r="IVZ39" s="317"/>
      <c r="IWA39" s="317"/>
      <c r="IWB39" s="317"/>
      <c r="IWC39" s="317"/>
      <c r="IWD39" s="317"/>
      <c r="IWE39" s="317"/>
      <c r="IWF39" s="317"/>
      <c r="IWG39" s="317"/>
      <c r="IWH39" s="317"/>
      <c r="IWI39" s="317"/>
      <c r="IWJ39" s="317"/>
      <c r="IWK39" s="317"/>
      <c r="IWL39" s="317"/>
      <c r="IWM39" s="317"/>
      <c r="IWN39" s="317"/>
      <c r="IWO39" s="317"/>
      <c r="IWP39" s="317"/>
      <c r="IWQ39" s="317"/>
      <c r="IWR39" s="317"/>
      <c r="IWS39" s="317"/>
      <c r="IWT39" s="317"/>
      <c r="IWU39" s="317"/>
      <c r="IWV39" s="317"/>
      <c r="IWW39" s="317"/>
      <c r="IWX39" s="317"/>
      <c r="IWY39" s="317"/>
      <c r="IWZ39" s="317"/>
      <c r="IXA39" s="317"/>
      <c r="IXB39" s="317"/>
      <c r="IXC39" s="317"/>
      <c r="IXD39" s="317"/>
      <c r="IXE39" s="317"/>
      <c r="IXF39" s="317"/>
      <c r="IXG39" s="317"/>
      <c r="IXH39" s="317"/>
      <c r="IXI39" s="317"/>
      <c r="IXJ39" s="317"/>
      <c r="IXK39" s="317"/>
      <c r="IXL39" s="317"/>
      <c r="IXM39" s="317"/>
      <c r="IXN39" s="317"/>
      <c r="IXO39" s="317"/>
      <c r="IXP39" s="317"/>
      <c r="IXQ39" s="317"/>
      <c r="IXR39" s="317"/>
      <c r="IXS39" s="317"/>
      <c r="IXT39" s="317"/>
      <c r="IXU39" s="317"/>
      <c r="IXV39" s="317"/>
      <c r="IXW39" s="317"/>
      <c r="IXX39" s="317"/>
      <c r="IXY39" s="317"/>
      <c r="IXZ39" s="317"/>
      <c r="IYA39" s="317"/>
      <c r="IYB39" s="317"/>
      <c r="IYC39" s="317"/>
      <c r="IYD39" s="317"/>
      <c r="IYE39" s="317"/>
      <c r="IYF39" s="317"/>
      <c r="IYG39" s="317"/>
      <c r="IYH39" s="317"/>
      <c r="IYI39" s="317"/>
      <c r="IYJ39" s="317"/>
      <c r="IYK39" s="317"/>
      <c r="IYL39" s="317"/>
      <c r="IYM39" s="317"/>
      <c r="IYN39" s="317"/>
      <c r="IYO39" s="317"/>
      <c r="IYP39" s="317"/>
      <c r="IYQ39" s="317"/>
      <c r="IYR39" s="317"/>
      <c r="IYS39" s="317"/>
      <c r="IYT39" s="317"/>
      <c r="IYU39" s="317"/>
      <c r="IYV39" s="317"/>
      <c r="IYW39" s="317"/>
      <c r="IYX39" s="317"/>
      <c r="IYY39" s="317"/>
      <c r="IYZ39" s="317"/>
      <c r="IZA39" s="317"/>
      <c r="IZB39" s="317"/>
      <c r="IZC39" s="317"/>
      <c r="IZD39" s="317"/>
      <c r="IZE39" s="317"/>
      <c r="IZF39" s="317"/>
      <c r="IZG39" s="317"/>
      <c r="IZH39" s="317"/>
      <c r="IZI39" s="317"/>
      <c r="IZJ39" s="317"/>
      <c r="IZK39" s="317"/>
      <c r="IZL39" s="317"/>
      <c r="IZM39" s="317"/>
      <c r="IZN39" s="317"/>
      <c r="IZO39" s="317"/>
      <c r="IZP39" s="317"/>
      <c r="IZQ39" s="317"/>
      <c r="IZR39" s="317"/>
      <c r="IZS39" s="317"/>
      <c r="IZT39" s="317"/>
      <c r="IZU39" s="317"/>
      <c r="IZV39" s="317"/>
      <c r="IZW39" s="317"/>
      <c r="IZX39" s="317"/>
      <c r="IZY39" s="317"/>
      <c r="IZZ39" s="317"/>
      <c r="JAA39" s="317"/>
      <c r="JAB39" s="317"/>
      <c r="JAC39" s="317"/>
      <c r="JAD39" s="317"/>
      <c r="JAE39" s="317"/>
      <c r="JAF39" s="317"/>
      <c r="JAG39" s="317"/>
      <c r="JAH39" s="317"/>
      <c r="JAI39" s="317"/>
      <c r="JAJ39" s="317"/>
      <c r="JAK39" s="317"/>
      <c r="JAL39" s="317"/>
      <c r="JAM39" s="317"/>
      <c r="JAN39" s="317"/>
      <c r="JAO39" s="317"/>
      <c r="JAP39" s="317"/>
      <c r="JAQ39" s="317"/>
      <c r="JAR39" s="317"/>
      <c r="JAS39" s="317"/>
      <c r="JAT39" s="317"/>
      <c r="JAU39" s="317"/>
      <c r="JAV39" s="317"/>
      <c r="JAW39" s="317"/>
      <c r="JAX39" s="317"/>
      <c r="JAY39" s="317"/>
      <c r="JAZ39" s="317"/>
      <c r="JBA39" s="317"/>
      <c r="JBB39" s="317"/>
      <c r="JBC39" s="317"/>
      <c r="JBD39" s="317"/>
      <c r="JBE39" s="317"/>
      <c r="JBF39" s="317"/>
      <c r="JBG39" s="317"/>
      <c r="JBH39" s="317"/>
      <c r="JBI39" s="317"/>
      <c r="JBJ39" s="317"/>
      <c r="JBK39" s="317"/>
      <c r="JBL39" s="317"/>
      <c r="JBM39" s="317"/>
      <c r="JBN39" s="317"/>
      <c r="JBO39" s="317"/>
      <c r="JBP39" s="317"/>
      <c r="JBQ39" s="317"/>
      <c r="JBR39" s="317"/>
      <c r="JBS39" s="317"/>
      <c r="JBT39" s="317"/>
      <c r="JBU39" s="317"/>
      <c r="JBV39" s="317"/>
      <c r="JBW39" s="317"/>
      <c r="JBX39" s="317"/>
      <c r="JBY39" s="317"/>
      <c r="JBZ39" s="317"/>
      <c r="JCA39" s="317"/>
      <c r="JCB39" s="317"/>
      <c r="JCC39" s="317"/>
      <c r="JCD39" s="317"/>
      <c r="JCE39" s="317"/>
      <c r="JCF39" s="317"/>
      <c r="JCG39" s="317"/>
      <c r="JCH39" s="317"/>
      <c r="JCI39" s="317"/>
      <c r="JCJ39" s="317"/>
      <c r="JCK39" s="317"/>
      <c r="JCL39" s="317"/>
      <c r="JCM39" s="317"/>
      <c r="JCN39" s="317"/>
      <c r="JCO39" s="317"/>
      <c r="JCP39" s="317"/>
      <c r="JCQ39" s="317"/>
      <c r="JCR39" s="317"/>
      <c r="JCS39" s="317"/>
      <c r="JCT39" s="317"/>
      <c r="JCU39" s="317"/>
      <c r="JCV39" s="317"/>
      <c r="JCW39" s="317"/>
      <c r="JCX39" s="317"/>
      <c r="JCY39" s="317"/>
      <c r="JCZ39" s="317"/>
      <c r="JDA39" s="317"/>
      <c r="JDB39" s="317"/>
      <c r="JDC39" s="317"/>
      <c r="JDD39" s="317"/>
      <c r="JDE39" s="317"/>
      <c r="JDF39" s="317"/>
      <c r="JDG39" s="317"/>
      <c r="JDH39" s="317"/>
      <c r="JDI39" s="317"/>
      <c r="JDJ39" s="317"/>
      <c r="JDK39" s="317"/>
      <c r="JDL39" s="317"/>
      <c r="JDM39" s="317"/>
      <c r="JDN39" s="317"/>
      <c r="JDO39" s="317"/>
      <c r="JDP39" s="317"/>
      <c r="JDQ39" s="317"/>
      <c r="JDR39" s="317"/>
      <c r="JDS39" s="317"/>
      <c r="JDT39" s="317"/>
      <c r="JDU39" s="317"/>
      <c r="JDV39" s="317"/>
      <c r="JDW39" s="317"/>
      <c r="JDX39" s="317"/>
      <c r="JDY39" s="317"/>
      <c r="JDZ39" s="317"/>
      <c r="JEA39" s="317"/>
      <c r="JEB39" s="317"/>
      <c r="JEC39" s="317"/>
      <c r="JED39" s="317"/>
      <c r="JEE39" s="317"/>
      <c r="JEF39" s="317"/>
      <c r="JEG39" s="317"/>
      <c r="JEH39" s="317"/>
      <c r="JEI39" s="317"/>
      <c r="JEJ39" s="317"/>
      <c r="JEK39" s="317"/>
      <c r="JEL39" s="317"/>
      <c r="JEM39" s="317"/>
      <c r="JEN39" s="317"/>
      <c r="JEO39" s="317"/>
      <c r="JEP39" s="317"/>
      <c r="JEQ39" s="317"/>
      <c r="JER39" s="317"/>
      <c r="JES39" s="317"/>
      <c r="JET39" s="317"/>
      <c r="JEU39" s="317"/>
      <c r="JEV39" s="317"/>
      <c r="JEW39" s="317"/>
      <c r="JEX39" s="317"/>
      <c r="JEY39" s="317"/>
      <c r="JEZ39" s="317"/>
      <c r="JFA39" s="317"/>
      <c r="JFB39" s="317"/>
      <c r="JFC39" s="317"/>
      <c r="JFD39" s="317"/>
      <c r="JFE39" s="317"/>
      <c r="JFF39" s="317"/>
      <c r="JFG39" s="317"/>
      <c r="JFH39" s="317"/>
      <c r="JFI39" s="317"/>
      <c r="JFJ39" s="317"/>
      <c r="JFK39" s="317"/>
      <c r="JFL39" s="317"/>
      <c r="JFM39" s="317"/>
      <c r="JFN39" s="317"/>
      <c r="JFO39" s="317"/>
      <c r="JFP39" s="317"/>
      <c r="JFQ39" s="317"/>
      <c r="JFR39" s="317"/>
      <c r="JFS39" s="317"/>
      <c r="JFT39" s="317"/>
      <c r="JFU39" s="317"/>
      <c r="JFV39" s="317"/>
      <c r="JFW39" s="317"/>
      <c r="JFX39" s="317"/>
      <c r="JFY39" s="317"/>
      <c r="JFZ39" s="317"/>
      <c r="JGA39" s="317"/>
      <c r="JGB39" s="317"/>
      <c r="JGC39" s="317"/>
      <c r="JGD39" s="317"/>
      <c r="JGE39" s="317"/>
      <c r="JGF39" s="317"/>
      <c r="JGG39" s="317"/>
      <c r="JGH39" s="317"/>
      <c r="JGI39" s="317"/>
      <c r="JGJ39" s="317"/>
      <c r="JGK39" s="317"/>
      <c r="JGL39" s="317"/>
      <c r="JGM39" s="317"/>
      <c r="JGN39" s="317"/>
      <c r="JGO39" s="317"/>
      <c r="JGP39" s="317"/>
      <c r="JGQ39" s="317"/>
      <c r="JGR39" s="317"/>
      <c r="JGS39" s="317"/>
      <c r="JGT39" s="317"/>
      <c r="JGU39" s="317"/>
      <c r="JGV39" s="317"/>
      <c r="JGW39" s="317"/>
      <c r="JGX39" s="317"/>
      <c r="JGY39" s="317"/>
      <c r="JGZ39" s="317"/>
      <c r="JHA39" s="317"/>
      <c r="JHB39" s="317"/>
      <c r="JHC39" s="317"/>
      <c r="JHD39" s="317"/>
      <c r="JHE39" s="317"/>
      <c r="JHF39" s="317"/>
      <c r="JHG39" s="317"/>
      <c r="JHH39" s="317"/>
      <c r="JHI39" s="317"/>
      <c r="JHJ39" s="317"/>
      <c r="JHK39" s="317"/>
      <c r="JHL39" s="317"/>
      <c r="JHM39" s="317"/>
      <c r="JHN39" s="317"/>
      <c r="JHO39" s="317"/>
      <c r="JHP39" s="317"/>
      <c r="JHQ39" s="317"/>
      <c r="JHR39" s="317"/>
      <c r="JHS39" s="317"/>
      <c r="JHT39" s="317"/>
      <c r="JHU39" s="317"/>
      <c r="JHV39" s="317"/>
      <c r="JHW39" s="317"/>
      <c r="JHX39" s="317"/>
      <c r="JHY39" s="317"/>
      <c r="JHZ39" s="317"/>
      <c r="JIA39" s="317"/>
      <c r="JIB39" s="317"/>
      <c r="JIC39" s="317"/>
      <c r="JID39" s="317"/>
      <c r="JIE39" s="317"/>
      <c r="JIF39" s="317"/>
      <c r="JIG39" s="317"/>
      <c r="JIH39" s="317"/>
      <c r="JII39" s="317"/>
      <c r="JIJ39" s="317"/>
      <c r="JIK39" s="317"/>
      <c r="JIL39" s="317"/>
      <c r="JIM39" s="317"/>
      <c r="JIN39" s="317"/>
      <c r="JIO39" s="317"/>
      <c r="JIP39" s="317"/>
      <c r="JIQ39" s="317"/>
      <c r="JIR39" s="317"/>
      <c r="JIS39" s="317"/>
      <c r="JIT39" s="317"/>
      <c r="JIU39" s="317"/>
      <c r="JIV39" s="317"/>
      <c r="JIW39" s="317"/>
      <c r="JIX39" s="317"/>
      <c r="JIY39" s="317"/>
      <c r="JIZ39" s="317"/>
      <c r="JJA39" s="317"/>
      <c r="JJB39" s="317"/>
      <c r="JJC39" s="317"/>
      <c r="JJD39" s="317"/>
      <c r="JJE39" s="317"/>
      <c r="JJF39" s="317"/>
      <c r="JJG39" s="317"/>
      <c r="JJH39" s="317"/>
      <c r="JJI39" s="317"/>
      <c r="JJJ39" s="317"/>
      <c r="JJK39" s="317"/>
      <c r="JJL39" s="317"/>
      <c r="JJM39" s="317"/>
      <c r="JJN39" s="317"/>
      <c r="JJO39" s="317"/>
      <c r="JJP39" s="317"/>
      <c r="JJQ39" s="317"/>
      <c r="JJR39" s="317"/>
      <c r="JJS39" s="317"/>
      <c r="JJT39" s="317"/>
      <c r="JJU39" s="317"/>
      <c r="JJV39" s="317"/>
      <c r="JJW39" s="317"/>
      <c r="JJX39" s="317"/>
      <c r="JJY39" s="317"/>
      <c r="JJZ39" s="317"/>
      <c r="JKA39" s="317"/>
      <c r="JKB39" s="317"/>
      <c r="JKC39" s="317"/>
      <c r="JKD39" s="317"/>
      <c r="JKE39" s="317"/>
      <c r="JKF39" s="317"/>
      <c r="JKG39" s="317"/>
      <c r="JKH39" s="317"/>
      <c r="JKI39" s="317"/>
      <c r="JKJ39" s="317"/>
      <c r="JKK39" s="317"/>
      <c r="JKL39" s="317"/>
      <c r="JKM39" s="317"/>
      <c r="JKN39" s="317"/>
      <c r="JKO39" s="317"/>
      <c r="JKP39" s="317"/>
      <c r="JKQ39" s="317"/>
      <c r="JKR39" s="317"/>
      <c r="JKS39" s="317"/>
      <c r="JKT39" s="317"/>
      <c r="JKU39" s="317"/>
      <c r="JKV39" s="317"/>
      <c r="JKW39" s="317"/>
      <c r="JKX39" s="317"/>
      <c r="JKY39" s="317"/>
      <c r="JKZ39" s="317"/>
      <c r="JLA39" s="317"/>
      <c r="JLB39" s="317"/>
      <c r="JLC39" s="317"/>
      <c r="JLD39" s="317"/>
      <c r="JLE39" s="317"/>
      <c r="JLF39" s="317"/>
      <c r="JLG39" s="317"/>
      <c r="JLH39" s="317"/>
      <c r="JLI39" s="317"/>
      <c r="JLJ39" s="317"/>
      <c r="JLK39" s="317"/>
      <c r="JLL39" s="317"/>
      <c r="JLM39" s="317"/>
      <c r="JLN39" s="317"/>
      <c r="JLO39" s="317"/>
      <c r="JLP39" s="317"/>
      <c r="JLQ39" s="317"/>
      <c r="JLR39" s="317"/>
      <c r="JLS39" s="317"/>
      <c r="JLT39" s="317"/>
      <c r="JLU39" s="317"/>
      <c r="JLV39" s="317"/>
      <c r="JLW39" s="317"/>
      <c r="JLX39" s="317"/>
      <c r="JLY39" s="317"/>
      <c r="JLZ39" s="317"/>
      <c r="JMA39" s="317"/>
      <c r="JMB39" s="317"/>
      <c r="JMC39" s="317"/>
      <c r="JMD39" s="317"/>
      <c r="JME39" s="317"/>
      <c r="JMF39" s="317"/>
      <c r="JMG39" s="317"/>
      <c r="JMH39" s="317"/>
      <c r="JMI39" s="317"/>
      <c r="JMJ39" s="317"/>
      <c r="JMK39" s="317"/>
      <c r="JML39" s="317"/>
      <c r="JMM39" s="317"/>
      <c r="JMN39" s="317"/>
      <c r="JMO39" s="317"/>
      <c r="JMP39" s="317"/>
      <c r="JMQ39" s="317"/>
      <c r="JMR39" s="317"/>
      <c r="JMS39" s="317"/>
      <c r="JMT39" s="317"/>
      <c r="JMU39" s="317"/>
      <c r="JMV39" s="317"/>
      <c r="JMW39" s="317"/>
      <c r="JMX39" s="317"/>
      <c r="JMY39" s="317"/>
      <c r="JMZ39" s="317"/>
      <c r="JNA39" s="317"/>
      <c r="JNB39" s="317"/>
      <c r="JNC39" s="317"/>
      <c r="JND39" s="317"/>
      <c r="JNE39" s="317"/>
      <c r="JNF39" s="317"/>
      <c r="JNG39" s="317"/>
      <c r="JNH39" s="317"/>
      <c r="JNI39" s="317"/>
      <c r="JNJ39" s="317"/>
      <c r="JNK39" s="317"/>
      <c r="JNL39" s="317"/>
      <c r="JNM39" s="317"/>
      <c r="JNN39" s="317"/>
      <c r="JNO39" s="317"/>
      <c r="JNP39" s="317"/>
      <c r="JNQ39" s="317"/>
      <c r="JNR39" s="317"/>
      <c r="JNS39" s="317"/>
      <c r="JNT39" s="317"/>
      <c r="JNU39" s="317"/>
      <c r="JNV39" s="317"/>
      <c r="JNW39" s="317"/>
      <c r="JNX39" s="317"/>
      <c r="JNY39" s="317"/>
      <c r="JNZ39" s="317"/>
      <c r="JOA39" s="317"/>
      <c r="JOB39" s="317"/>
      <c r="JOC39" s="317"/>
      <c r="JOD39" s="317"/>
      <c r="JOE39" s="317"/>
      <c r="JOF39" s="317"/>
      <c r="JOG39" s="317"/>
      <c r="JOH39" s="317"/>
      <c r="JOI39" s="317"/>
      <c r="JOJ39" s="317"/>
      <c r="JOK39" s="317"/>
      <c r="JOL39" s="317"/>
      <c r="JOM39" s="317"/>
      <c r="JON39" s="317"/>
      <c r="JOO39" s="317"/>
      <c r="JOP39" s="317"/>
      <c r="JOQ39" s="317"/>
      <c r="JOR39" s="317"/>
      <c r="JOS39" s="317"/>
      <c r="JOT39" s="317"/>
      <c r="JOU39" s="317"/>
      <c r="JOV39" s="317"/>
      <c r="JOW39" s="317"/>
      <c r="JOX39" s="317"/>
      <c r="JOY39" s="317"/>
      <c r="JOZ39" s="317"/>
      <c r="JPA39" s="317"/>
      <c r="JPB39" s="317"/>
      <c r="JPC39" s="317"/>
      <c r="JPD39" s="317"/>
      <c r="JPE39" s="317"/>
      <c r="JPF39" s="317"/>
      <c r="JPG39" s="317"/>
      <c r="JPH39" s="317"/>
      <c r="JPI39" s="317"/>
      <c r="JPJ39" s="317"/>
      <c r="JPK39" s="317"/>
      <c r="JPL39" s="317"/>
      <c r="JPM39" s="317"/>
      <c r="JPN39" s="317"/>
      <c r="JPO39" s="317"/>
      <c r="JPP39" s="317"/>
      <c r="JPQ39" s="317"/>
      <c r="JPR39" s="317"/>
      <c r="JPS39" s="317"/>
      <c r="JPT39" s="317"/>
      <c r="JPU39" s="317"/>
      <c r="JPV39" s="317"/>
      <c r="JPW39" s="317"/>
      <c r="JPX39" s="317"/>
      <c r="JPY39" s="317"/>
      <c r="JPZ39" s="317"/>
      <c r="JQA39" s="317"/>
      <c r="JQB39" s="317"/>
      <c r="JQC39" s="317"/>
      <c r="JQD39" s="317"/>
      <c r="JQE39" s="317"/>
      <c r="JQF39" s="317"/>
      <c r="JQG39" s="317"/>
      <c r="JQH39" s="317"/>
      <c r="JQI39" s="317"/>
      <c r="JQJ39" s="317"/>
      <c r="JQK39" s="317"/>
      <c r="JQL39" s="317"/>
      <c r="JQM39" s="317"/>
      <c r="JQN39" s="317"/>
      <c r="JQO39" s="317"/>
      <c r="JQP39" s="317"/>
      <c r="JQQ39" s="317"/>
      <c r="JQR39" s="317"/>
      <c r="JQS39" s="317"/>
      <c r="JQT39" s="317"/>
      <c r="JQU39" s="317"/>
      <c r="JQV39" s="317"/>
      <c r="JQW39" s="317"/>
      <c r="JQX39" s="317"/>
      <c r="JQY39" s="317"/>
      <c r="JQZ39" s="317"/>
      <c r="JRA39" s="317"/>
      <c r="JRB39" s="317"/>
      <c r="JRC39" s="317"/>
      <c r="JRD39" s="317"/>
      <c r="JRE39" s="317"/>
      <c r="JRF39" s="317"/>
      <c r="JRG39" s="317"/>
      <c r="JRH39" s="317"/>
      <c r="JRI39" s="317"/>
      <c r="JRJ39" s="317"/>
      <c r="JRK39" s="317"/>
      <c r="JRL39" s="317"/>
      <c r="JRM39" s="317"/>
      <c r="JRN39" s="317"/>
      <c r="JRO39" s="317"/>
      <c r="JRP39" s="317"/>
      <c r="JRQ39" s="317"/>
      <c r="JRR39" s="317"/>
      <c r="JRS39" s="317"/>
      <c r="JRT39" s="317"/>
      <c r="JRU39" s="317"/>
      <c r="JRV39" s="317"/>
      <c r="JRW39" s="317"/>
      <c r="JRX39" s="317"/>
      <c r="JRY39" s="317"/>
      <c r="JRZ39" s="317"/>
      <c r="JSA39" s="317"/>
      <c r="JSB39" s="317"/>
      <c r="JSC39" s="317"/>
      <c r="JSD39" s="317"/>
      <c r="JSE39" s="317"/>
      <c r="JSF39" s="317"/>
      <c r="JSG39" s="317"/>
      <c r="JSH39" s="317"/>
      <c r="JSI39" s="317"/>
      <c r="JSJ39" s="317"/>
      <c r="JSK39" s="317"/>
      <c r="JSL39" s="317"/>
      <c r="JSM39" s="317"/>
      <c r="JSN39" s="317"/>
      <c r="JSO39" s="317"/>
      <c r="JSP39" s="317"/>
      <c r="JSQ39" s="317"/>
      <c r="JSR39" s="317"/>
      <c r="JSS39" s="317"/>
      <c r="JST39" s="317"/>
      <c r="JSU39" s="317"/>
      <c r="JSV39" s="317"/>
      <c r="JSW39" s="317"/>
      <c r="JSX39" s="317"/>
      <c r="JSY39" s="317"/>
      <c r="JSZ39" s="317"/>
      <c r="JTA39" s="317"/>
      <c r="JTB39" s="317"/>
      <c r="JTC39" s="317"/>
      <c r="JTD39" s="317"/>
      <c r="JTE39" s="317"/>
      <c r="JTF39" s="317"/>
      <c r="JTG39" s="317"/>
      <c r="JTH39" s="317"/>
      <c r="JTI39" s="317"/>
      <c r="JTJ39" s="317"/>
      <c r="JTK39" s="317"/>
      <c r="JTL39" s="317"/>
      <c r="JTM39" s="317"/>
      <c r="JTN39" s="317"/>
      <c r="JTO39" s="317"/>
      <c r="JTP39" s="317"/>
      <c r="JTQ39" s="317"/>
      <c r="JTR39" s="317"/>
      <c r="JTS39" s="317"/>
      <c r="JTT39" s="317"/>
      <c r="JTU39" s="317"/>
      <c r="JTV39" s="317"/>
      <c r="JTW39" s="317"/>
      <c r="JTX39" s="317"/>
      <c r="JTY39" s="317"/>
      <c r="JTZ39" s="317"/>
      <c r="JUA39" s="317"/>
      <c r="JUB39" s="317"/>
      <c r="JUC39" s="317"/>
      <c r="JUD39" s="317"/>
      <c r="JUE39" s="317"/>
      <c r="JUF39" s="317"/>
      <c r="JUG39" s="317"/>
      <c r="JUH39" s="317"/>
      <c r="JUI39" s="317"/>
      <c r="JUJ39" s="317"/>
      <c r="JUK39" s="317"/>
      <c r="JUL39" s="317"/>
      <c r="JUM39" s="317"/>
      <c r="JUN39" s="317"/>
      <c r="JUO39" s="317"/>
      <c r="JUP39" s="317"/>
      <c r="JUQ39" s="317"/>
      <c r="JUR39" s="317"/>
      <c r="JUS39" s="317"/>
      <c r="JUT39" s="317"/>
      <c r="JUU39" s="317"/>
      <c r="JUV39" s="317"/>
      <c r="JUW39" s="317"/>
      <c r="JUX39" s="317"/>
      <c r="JUY39" s="317"/>
      <c r="JUZ39" s="317"/>
      <c r="JVA39" s="317"/>
      <c r="JVB39" s="317"/>
      <c r="JVC39" s="317"/>
      <c r="JVD39" s="317"/>
      <c r="JVE39" s="317"/>
      <c r="JVF39" s="317"/>
      <c r="JVG39" s="317"/>
      <c r="JVH39" s="317"/>
      <c r="JVI39" s="317"/>
      <c r="JVJ39" s="317"/>
      <c r="JVK39" s="317"/>
      <c r="JVL39" s="317"/>
      <c r="JVM39" s="317"/>
      <c r="JVN39" s="317"/>
      <c r="JVO39" s="317"/>
      <c r="JVP39" s="317"/>
      <c r="JVQ39" s="317"/>
      <c r="JVR39" s="317"/>
      <c r="JVS39" s="317"/>
      <c r="JVT39" s="317"/>
      <c r="JVU39" s="317"/>
      <c r="JVV39" s="317"/>
      <c r="JVW39" s="317"/>
      <c r="JVX39" s="317"/>
      <c r="JVY39" s="317"/>
      <c r="JVZ39" s="317"/>
      <c r="JWA39" s="317"/>
      <c r="JWB39" s="317"/>
      <c r="JWC39" s="317"/>
      <c r="JWD39" s="317"/>
      <c r="JWE39" s="317"/>
      <c r="JWF39" s="317"/>
      <c r="JWG39" s="317"/>
      <c r="JWH39" s="317"/>
      <c r="JWI39" s="317"/>
      <c r="JWJ39" s="317"/>
      <c r="JWK39" s="317"/>
      <c r="JWL39" s="317"/>
      <c r="JWM39" s="317"/>
      <c r="JWN39" s="317"/>
      <c r="JWO39" s="317"/>
      <c r="JWP39" s="317"/>
      <c r="JWQ39" s="317"/>
      <c r="JWR39" s="317"/>
      <c r="JWS39" s="317"/>
      <c r="JWT39" s="317"/>
      <c r="JWU39" s="317"/>
      <c r="JWV39" s="317"/>
      <c r="JWW39" s="317"/>
      <c r="JWX39" s="317"/>
      <c r="JWY39" s="317"/>
      <c r="JWZ39" s="317"/>
      <c r="JXA39" s="317"/>
      <c r="JXB39" s="317"/>
      <c r="JXC39" s="317"/>
      <c r="JXD39" s="317"/>
      <c r="JXE39" s="317"/>
      <c r="JXF39" s="317"/>
      <c r="JXG39" s="317"/>
      <c r="JXH39" s="317"/>
      <c r="JXI39" s="317"/>
      <c r="JXJ39" s="317"/>
      <c r="JXK39" s="317"/>
      <c r="JXL39" s="317"/>
      <c r="JXM39" s="317"/>
      <c r="JXN39" s="317"/>
      <c r="JXO39" s="317"/>
      <c r="JXP39" s="317"/>
      <c r="JXQ39" s="317"/>
      <c r="JXR39" s="317"/>
      <c r="JXS39" s="317"/>
      <c r="JXT39" s="317"/>
      <c r="JXU39" s="317"/>
      <c r="JXV39" s="317"/>
      <c r="JXW39" s="317"/>
      <c r="JXX39" s="317"/>
      <c r="JXY39" s="317"/>
      <c r="JXZ39" s="317"/>
      <c r="JYA39" s="317"/>
      <c r="JYB39" s="317"/>
      <c r="JYC39" s="317"/>
      <c r="JYD39" s="317"/>
      <c r="JYE39" s="317"/>
      <c r="JYF39" s="317"/>
      <c r="JYG39" s="317"/>
      <c r="JYH39" s="317"/>
      <c r="JYI39" s="317"/>
      <c r="JYJ39" s="317"/>
      <c r="JYK39" s="317"/>
      <c r="JYL39" s="317"/>
      <c r="JYM39" s="317"/>
      <c r="JYN39" s="317"/>
      <c r="JYO39" s="317"/>
      <c r="JYP39" s="317"/>
      <c r="JYQ39" s="317"/>
      <c r="JYR39" s="317"/>
      <c r="JYS39" s="317"/>
      <c r="JYT39" s="317"/>
      <c r="JYU39" s="317"/>
      <c r="JYV39" s="317"/>
      <c r="JYW39" s="317"/>
      <c r="JYX39" s="317"/>
      <c r="JYY39" s="317"/>
      <c r="JYZ39" s="317"/>
      <c r="JZA39" s="317"/>
      <c r="JZB39" s="317"/>
      <c r="JZC39" s="317"/>
      <c r="JZD39" s="317"/>
      <c r="JZE39" s="317"/>
      <c r="JZF39" s="317"/>
      <c r="JZG39" s="317"/>
      <c r="JZH39" s="317"/>
      <c r="JZI39" s="317"/>
      <c r="JZJ39" s="317"/>
      <c r="JZK39" s="317"/>
      <c r="JZL39" s="317"/>
      <c r="JZM39" s="317"/>
      <c r="JZN39" s="317"/>
      <c r="JZO39" s="317"/>
      <c r="JZP39" s="317"/>
      <c r="JZQ39" s="317"/>
      <c r="JZR39" s="317"/>
      <c r="JZS39" s="317"/>
      <c r="JZT39" s="317"/>
      <c r="JZU39" s="317"/>
      <c r="JZV39" s="317"/>
      <c r="JZW39" s="317"/>
      <c r="JZX39" s="317"/>
      <c r="JZY39" s="317"/>
      <c r="JZZ39" s="317"/>
      <c r="KAA39" s="317"/>
      <c r="KAB39" s="317"/>
      <c r="KAC39" s="317"/>
      <c r="KAD39" s="317"/>
      <c r="KAE39" s="317"/>
      <c r="KAF39" s="317"/>
      <c r="KAG39" s="317"/>
      <c r="KAH39" s="317"/>
      <c r="KAI39" s="317"/>
      <c r="KAJ39" s="317"/>
      <c r="KAK39" s="317"/>
      <c r="KAL39" s="317"/>
      <c r="KAM39" s="317"/>
      <c r="KAN39" s="317"/>
      <c r="KAO39" s="317"/>
      <c r="KAP39" s="317"/>
      <c r="KAQ39" s="317"/>
      <c r="KAR39" s="317"/>
      <c r="KAS39" s="317"/>
      <c r="KAT39" s="317"/>
      <c r="KAU39" s="317"/>
      <c r="KAV39" s="317"/>
      <c r="KAW39" s="317"/>
      <c r="KAX39" s="317"/>
      <c r="KAY39" s="317"/>
      <c r="KAZ39" s="317"/>
      <c r="KBA39" s="317"/>
      <c r="KBB39" s="317"/>
      <c r="KBC39" s="317"/>
      <c r="KBD39" s="317"/>
      <c r="KBE39" s="317"/>
      <c r="KBF39" s="317"/>
      <c r="KBG39" s="317"/>
      <c r="KBH39" s="317"/>
      <c r="KBI39" s="317"/>
      <c r="KBJ39" s="317"/>
      <c r="KBK39" s="317"/>
      <c r="KBL39" s="317"/>
      <c r="KBM39" s="317"/>
      <c r="KBN39" s="317"/>
      <c r="KBO39" s="317"/>
      <c r="KBP39" s="317"/>
      <c r="KBQ39" s="317"/>
      <c r="KBR39" s="317"/>
      <c r="KBS39" s="317"/>
      <c r="KBT39" s="317"/>
      <c r="KBU39" s="317"/>
      <c r="KBV39" s="317"/>
      <c r="KBW39" s="317"/>
      <c r="KBX39" s="317"/>
      <c r="KBY39" s="317"/>
      <c r="KBZ39" s="317"/>
      <c r="KCA39" s="317"/>
      <c r="KCB39" s="317"/>
      <c r="KCC39" s="317"/>
      <c r="KCD39" s="317"/>
      <c r="KCE39" s="317"/>
      <c r="KCF39" s="317"/>
      <c r="KCG39" s="317"/>
      <c r="KCH39" s="317"/>
      <c r="KCI39" s="317"/>
      <c r="KCJ39" s="317"/>
      <c r="KCK39" s="317"/>
      <c r="KCL39" s="317"/>
      <c r="KCM39" s="317"/>
      <c r="KCN39" s="317"/>
      <c r="KCO39" s="317"/>
      <c r="KCP39" s="317"/>
      <c r="KCQ39" s="317"/>
      <c r="KCR39" s="317"/>
      <c r="KCS39" s="317"/>
      <c r="KCT39" s="317"/>
      <c r="KCU39" s="317"/>
      <c r="KCV39" s="317"/>
      <c r="KCW39" s="317"/>
      <c r="KCX39" s="317"/>
      <c r="KCY39" s="317"/>
      <c r="KCZ39" s="317"/>
      <c r="KDA39" s="317"/>
      <c r="KDB39" s="317"/>
      <c r="KDC39" s="317"/>
      <c r="KDD39" s="317"/>
      <c r="KDE39" s="317"/>
      <c r="KDF39" s="317"/>
      <c r="KDG39" s="317"/>
      <c r="KDH39" s="317"/>
      <c r="KDI39" s="317"/>
      <c r="KDJ39" s="317"/>
      <c r="KDK39" s="317"/>
      <c r="KDL39" s="317"/>
      <c r="KDM39" s="317"/>
      <c r="KDN39" s="317"/>
      <c r="KDO39" s="317"/>
      <c r="KDP39" s="317"/>
      <c r="KDQ39" s="317"/>
      <c r="KDR39" s="317"/>
      <c r="KDS39" s="317"/>
      <c r="KDT39" s="317"/>
      <c r="KDU39" s="317"/>
      <c r="KDV39" s="317"/>
      <c r="KDW39" s="317"/>
      <c r="KDX39" s="317"/>
      <c r="KDY39" s="317"/>
      <c r="KDZ39" s="317"/>
      <c r="KEA39" s="317"/>
      <c r="KEB39" s="317"/>
      <c r="KEC39" s="317"/>
      <c r="KED39" s="317"/>
      <c r="KEE39" s="317"/>
      <c r="KEF39" s="317"/>
      <c r="KEG39" s="317"/>
      <c r="KEH39" s="317"/>
      <c r="KEI39" s="317"/>
      <c r="KEJ39" s="317"/>
      <c r="KEK39" s="317"/>
      <c r="KEL39" s="317"/>
      <c r="KEM39" s="317"/>
      <c r="KEN39" s="317"/>
      <c r="KEO39" s="317"/>
      <c r="KEP39" s="317"/>
      <c r="KEQ39" s="317"/>
      <c r="KER39" s="317"/>
      <c r="KES39" s="317"/>
      <c r="KET39" s="317"/>
      <c r="KEU39" s="317"/>
      <c r="KEV39" s="317"/>
      <c r="KEW39" s="317"/>
      <c r="KEX39" s="317"/>
      <c r="KEY39" s="317"/>
      <c r="KEZ39" s="317"/>
      <c r="KFA39" s="317"/>
      <c r="KFB39" s="317"/>
      <c r="KFC39" s="317"/>
      <c r="KFD39" s="317"/>
      <c r="KFE39" s="317"/>
      <c r="KFF39" s="317"/>
      <c r="KFG39" s="317"/>
      <c r="KFH39" s="317"/>
      <c r="KFI39" s="317"/>
      <c r="KFJ39" s="317"/>
      <c r="KFK39" s="317"/>
      <c r="KFL39" s="317"/>
      <c r="KFM39" s="317"/>
      <c r="KFN39" s="317"/>
      <c r="KFO39" s="317"/>
      <c r="KFP39" s="317"/>
      <c r="KFQ39" s="317"/>
      <c r="KFR39" s="317"/>
      <c r="KFS39" s="317"/>
      <c r="KFT39" s="317"/>
      <c r="KFU39" s="317"/>
      <c r="KFV39" s="317"/>
      <c r="KFW39" s="317"/>
      <c r="KFX39" s="317"/>
      <c r="KFY39" s="317"/>
      <c r="KFZ39" s="317"/>
      <c r="KGA39" s="317"/>
      <c r="KGB39" s="317"/>
      <c r="KGC39" s="317"/>
      <c r="KGD39" s="317"/>
      <c r="KGE39" s="317"/>
      <c r="KGF39" s="317"/>
      <c r="KGG39" s="317"/>
      <c r="KGH39" s="317"/>
      <c r="KGI39" s="317"/>
      <c r="KGJ39" s="317"/>
      <c r="KGK39" s="317"/>
      <c r="KGL39" s="317"/>
      <c r="KGM39" s="317"/>
      <c r="KGN39" s="317"/>
      <c r="KGO39" s="317"/>
      <c r="KGP39" s="317"/>
      <c r="KGQ39" s="317"/>
      <c r="KGR39" s="317"/>
      <c r="KGS39" s="317"/>
      <c r="KGT39" s="317"/>
      <c r="KGU39" s="317"/>
      <c r="KGV39" s="317"/>
      <c r="KGW39" s="317"/>
      <c r="KGX39" s="317"/>
      <c r="KGY39" s="317"/>
      <c r="KGZ39" s="317"/>
      <c r="KHA39" s="317"/>
      <c r="KHB39" s="317"/>
      <c r="KHC39" s="317"/>
      <c r="KHD39" s="317"/>
      <c r="KHE39" s="317"/>
      <c r="KHF39" s="317"/>
      <c r="KHG39" s="317"/>
      <c r="KHH39" s="317"/>
      <c r="KHI39" s="317"/>
      <c r="KHJ39" s="317"/>
      <c r="KHK39" s="317"/>
      <c r="KHL39" s="317"/>
      <c r="KHM39" s="317"/>
      <c r="KHN39" s="317"/>
      <c r="KHO39" s="317"/>
      <c r="KHP39" s="317"/>
      <c r="KHQ39" s="317"/>
      <c r="KHR39" s="317"/>
      <c r="KHS39" s="317"/>
      <c r="KHT39" s="317"/>
      <c r="KHU39" s="317"/>
      <c r="KHV39" s="317"/>
      <c r="KHW39" s="317"/>
      <c r="KHX39" s="317"/>
      <c r="KHY39" s="317"/>
      <c r="KHZ39" s="317"/>
      <c r="KIA39" s="317"/>
      <c r="KIB39" s="317"/>
      <c r="KIC39" s="317"/>
      <c r="KID39" s="317"/>
      <c r="KIE39" s="317"/>
      <c r="KIF39" s="317"/>
      <c r="KIG39" s="317"/>
      <c r="KIH39" s="317"/>
      <c r="KII39" s="317"/>
      <c r="KIJ39" s="317"/>
      <c r="KIK39" s="317"/>
      <c r="KIL39" s="317"/>
      <c r="KIM39" s="317"/>
      <c r="KIN39" s="317"/>
      <c r="KIO39" s="317"/>
      <c r="KIP39" s="317"/>
      <c r="KIQ39" s="317"/>
      <c r="KIR39" s="317"/>
      <c r="KIS39" s="317"/>
      <c r="KIT39" s="317"/>
      <c r="KIU39" s="317"/>
      <c r="KIV39" s="317"/>
      <c r="KIW39" s="317"/>
      <c r="KIX39" s="317"/>
      <c r="KIY39" s="317"/>
      <c r="KIZ39" s="317"/>
      <c r="KJA39" s="317"/>
      <c r="KJB39" s="317"/>
      <c r="KJC39" s="317"/>
      <c r="KJD39" s="317"/>
      <c r="KJE39" s="317"/>
      <c r="KJF39" s="317"/>
      <c r="KJG39" s="317"/>
      <c r="KJH39" s="317"/>
      <c r="KJI39" s="317"/>
      <c r="KJJ39" s="317"/>
      <c r="KJK39" s="317"/>
      <c r="KJL39" s="317"/>
      <c r="KJM39" s="317"/>
      <c r="KJN39" s="317"/>
      <c r="KJO39" s="317"/>
      <c r="KJP39" s="317"/>
      <c r="KJQ39" s="317"/>
      <c r="KJR39" s="317"/>
      <c r="KJS39" s="317"/>
      <c r="KJT39" s="317"/>
      <c r="KJU39" s="317"/>
      <c r="KJV39" s="317"/>
      <c r="KJW39" s="317"/>
      <c r="KJX39" s="317"/>
      <c r="KJY39" s="317"/>
      <c r="KJZ39" s="317"/>
      <c r="KKA39" s="317"/>
      <c r="KKB39" s="317"/>
      <c r="KKC39" s="317"/>
      <c r="KKD39" s="317"/>
      <c r="KKE39" s="317"/>
      <c r="KKF39" s="317"/>
      <c r="KKG39" s="317"/>
      <c r="KKH39" s="317"/>
      <c r="KKI39" s="317"/>
      <c r="KKJ39" s="317"/>
      <c r="KKK39" s="317"/>
      <c r="KKL39" s="317"/>
      <c r="KKM39" s="317"/>
      <c r="KKN39" s="317"/>
      <c r="KKO39" s="317"/>
      <c r="KKP39" s="317"/>
      <c r="KKQ39" s="317"/>
      <c r="KKR39" s="317"/>
      <c r="KKS39" s="317"/>
      <c r="KKT39" s="317"/>
      <c r="KKU39" s="317"/>
      <c r="KKV39" s="317"/>
      <c r="KKW39" s="317"/>
      <c r="KKX39" s="317"/>
      <c r="KKY39" s="317"/>
      <c r="KKZ39" s="317"/>
      <c r="KLA39" s="317"/>
      <c r="KLB39" s="317"/>
      <c r="KLC39" s="317"/>
      <c r="KLD39" s="317"/>
      <c r="KLE39" s="317"/>
      <c r="KLF39" s="317"/>
      <c r="KLG39" s="317"/>
      <c r="KLH39" s="317"/>
      <c r="KLI39" s="317"/>
      <c r="KLJ39" s="317"/>
      <c r="KLK39" s="317"/>
      <c r="KLL39" s="317"/>
      <c r="KLM39" s="317"/>
      <c r="KLN39" s="317"/>
      <c r="KLO39" s="317"/>
      <c r="KLP39" s="317"/>
      <c r="KLQ39" s="317"/>
      <c r="KLR39" s="317"/>
      <c r="KLS39" s="317"/>
      <c r="KLT39" s="317"/>
      <c r="KLU39" s="317"/>
      <c r="KLV39" s="317"/>
      <c r="KLW39" s="317"/>
      <c r="KLX39" s="317"/>
      <c r="KLY39" s="317"/>
      <c r="KLZ39" s="317"/>
      <c r="KMA39" s="317"/>
      <c r="KMB39" s="317"/>
      <c r="KMC39" s="317"/>
      <c r="KMD39" s="317"/>
      <c r="KME39" s="317"/>
      <c r="KMF39" s="317"/>
      <c r="KMG39" s="317"/>
      <c r="KMH39" s="317"/>
      <c r="KMI39" s="317"/>
      <c r="KMJ39" s="317"/>
      <c r="KMK39" s="317"/>
      <c r="KML39" s="317"/>
      <c r="KMM39" s="317"/>
      <c r="KMN39" s="317"/>
      <c r="KMO39" s="317"/>
      <c r="KMP39" s="317"/>
      <c r="KMQ39" s="317"/>
      <c r="KMR39" s="317"/>
      <c r="KMS39" s="317"/>
      <c r="KMT39" s="317"/>
      <c r="KMU39" s="317"/>
      <c r="KMV39" s="317"/>
      <c r="KMW39" s="317"/>
      <c r="KMX39" s="317"/>
      <c r="KMY39" s="317"/>
      <c r="KMZ39" s="317"/>
      <c r="KNA39" s="317"/>
      <c r="KNB39" s="317"/>
      <c r="KNC39" s="317"/>
      <c r="KND39" s="317"/>
      <c r="KNE39" s="317"/>
      <c r="KNF39" s="317"/>
      <c r="KNG39" s="317"/>
      <c r="KNH39" s="317"/>
      <c r="KNI39" s="317"/>
      <c r="KNJ39" s="317"/>
      <c r="KNK39" s="317"/>
      <c r="KNL39" s="317"/>
      <c r="KNM39" s="317"/>
      <c r="KNN39" s="317"/>
      <c r="KNO39" s="317"/>
      <c r="KNP39" s="317"/>
      <c r="KNQ39" s="317"/>
      <c r="KNR39" s="317"/>
      <c r="KNS39" s="317"/>
      <c r="KNT39" s="317"/>
      <c r="KNU39" s="317"/>
      <c r="KNV39" s="317"/>
      <c r="KNW39" s="317"/>
      <c r="KNX39" s="317"/>
      <c r="KNY39" s="317"/>
      <c r="KNZ39" s="317"/>
      <c r="KOA39" s="317"/>
      <c r="KOB39" s="317"/>
      <c r="KOC39" s="317"/>
      <c r="KOD39" s="317"/>
      <c r="KOE39" s="317"/>
      <c r="KOF39" s="317"/>
      <c r="KOG39" s="317"/>
      <c r="KOH39" s="317"/>
      <c r="KOI39" s="317"/>
      <c r="KOJ39" s="317"/>
      <c r="KOK39" s="317"/>
      <c r="KOL39" s="317"/>
      <c r="KOM39" s="317"/>
      <c r="KON39" s="317"/>
      <c r="KOO39" s="317"/>
      <c r="KOP39" s="317"/>
      <c r="KOQ39" s="317"/>
      <c r="KOR39" s="317"/>
      <c r="KOS39" s="317"/>
      <c r="KOT39" s="317"/>
      <c r="KOU39" s="317"/>
      <c r="KOV39" s="317"/>
      <c r="KOW39" s="317"/>
      <c r="KOX39" s="317"/>
      <c r="KOY39" s="317"/>
      <c r="KOZ39" s="317"/>
      <c r="KPA39" s="317"/>
      <c r="KPB39" s="317"/>
      <c r="KPC39" s="317"/>
      <c r="KPD39" s="317"/>
      <c r="KPE39" s="317"/>
      <c r="KPF39" s="317"/>
      <c r="KPG39" s="317"/>
      <c r="KPH39" s="317"/>
      <c r="KPI39" s="317"/>
      <c r="KPJ39" s="317"/>
      <c r="KPK39" s="317"/>
      <c r="KPL39" s="317"/>
      <c r="KPM39" s="317"/>
      <c r="KPN39" s="317"/>
      <c r="KPO39" s="317"/>
      <c r="KPP39" s="317"/>
      <c r="KPQ39" s="317"/>
      <c r="KPR39" s="317"/>
      <c r="KPS39" s="317"/>
      <c r="KPT39" s="317"/>
      <c r="KPU39" s="317"/>
      <c r="KPV39" s="317"/>
      <c r="KPW39" s="317"/>
      <c r="KPX39" s="317"/>
      <c r="KPY39" s="317"/>
      <c r="KPZ39" s="317"/>
      <c r="KQA39" s="317"/>
      <c r="KQB39" s="317"/>
      <c r="KQC39" s="317"/>
      <c r="KQD39" s="317"/>
      <c r="KQE39" s="317"/>
      <c r="KQF39" s="317"/>
      <c r="KQG39" s="317"/>
      <c r="KQH39" s="317"/>
      <c r="KQI39" s="317"/>
      <c r="KQJ39" s="317"/>
      <c r="KQK39" s="317"/>
      <c r="KQL39" s="317"/>
      <c r="KQM39" s="317"/>
      <c r="KQN39" s="317"/>
      <c r="KQO39" s="317"/>
      <c r="KQP39" s="317"/>
      <c r="KQQ39" s="317"/>
      <c r="KQR39" s="317"/>
      <c r="KQS39" s="317"/>
      <c r="KQT39" s="317"/>
      <c r="KQU39" s="317"/>
      <c r="KQV39" s="317"/>
      <c r="KQW39" s="317"/>
      <c r="KQX39" s="317"/>
      <c r="KQY39" s="317"/>
      <c r="KQZ39" s="317"/>
      <c r="KRA39" s="317"/>
      <c r="KRB39" s="317"/>
      <c r="KRC39" s="317"/>
      <c r="KRD39" s="317"/>
      <c r="KRE39" s="317"/>
      <c r="KRF39" s="317"/>
      <c r="KRG39" s="317"/>
      <c r="KRH39" s="317"/>
      <c r="KRI39" s="317"/>
      <c r="KRJ39" s="317"/>
      <c r="KRK39" s="317"/>
      <c r="KRL39" s="317"/>
      <c r="KRM39" s="317"/>
      <c r="KRN39" s="317"/>
      <c r="KRO39" s="317"/>
      <c r="KRP39" s="317"/>
      <c r="KRQ39" s="317"/>
      <c r="KRR39" s="317"/>
      <c r="KRS39" s="317"/>
      <c r="KRT39" s="317"/>
      <c r="KRU39" s="317"/>
      <c r="KRV39" s="317"/>
      <c r="KRW39" s="317"/>
      <c r="KRX39" s="317"/>
      <c r="KRY39" s="317"/>
      <c r="KRZ39" s="317"/>
      <c r="KSA39" s="317"/>
      <c r="KSB39" s="317"/>
      <c r="KSC39" s="317"/>
      <c r="KSD39" s="317"/>
      <c r="KSE39" s="317"/>
      <c r="KSF39" s="317"/>
      <c r="KSG39" s="317"/>
      <c r="KSH39" s="317"/>
      <c r="KSI39" s="317"/>
      <c r="KSJ39" s="317"/>
      <c r="KSK39" s="317"/>
      <c r="KSL39" s="317"/>
      <c r="KSM39" s="317"/>
      <c r="KSN39" s="317"/>
      <c r="KSO39" s="317"/>
      <c r="KSP39" s="317"/>
      <c r="KSQ39" s="317"/>
      <c r="KSR39" s="317"/>
      <c r="KSS39" s="317"/>
      <c r="KST39" s="317"/>
      <c r="KSU39" s="317"/>
      <c r="KSV39" s="317"/>
      <c r="KSW39" s="317"/>
      <c r="KSX39" s="317"/>
      <c r="KSY39" s="317"/>
      <c r="KSZ39" s="317"/>
      <c r="KTA39" s="317"/>
      <c r="KTB39" s="317"/>
      <c r="KTC39" s="317"/>
      <c r="KTD39" s="317"/>
      <c r="KTE39" s="317"/>
      <c r="KTF39" s="317"/>
      <c r="KTG39" s="317"/>
      <c r="KTH39" s="317"/>
      <c r="KTI39" s="317"/>
      <c r="KTJ39" s="317"/>
      <c r="KTK39" s="317"/>
      <c r="KTL39" s="317"/>
      <c r="KTM39" s="317"/>
      <c r="KTN39" s="317"/>
      <c r="KTO39" s="317"/>
      <c r="KTP39" s="317"/>
      <c r="KTQ39" s="317"/>
      <c r="KTR39" s="317"/>
      <c r="KTS39" s="317"/>
      <c r="KTT39" s="317"/>
      <c r="KTU39" s="317"/>
      <c r="KTV39" s="317"/>
      <c r="KTW39" s="317"/>
      <c r="KTX39" s="317"/>
      <c r="KTY39" s="317"/>
      <c r="KTZ39" s="317"/>
      <c r="KUA39" s="317"/>
      <c r="KUB39" s="317"/>
      <c r="KUC39" s="317"/>
      <c r="KUD39" s="317"/>
      <c r="KUE39" s="317"/>
      <c r="KUF39" s="317"/>
      <c r="KUG39" s="317"/>
      <c r="KUH39" s="317"/>
      <c r="KUI39" s="317"/>
      <c r="KUJ39" s="317"/>
      <c r="KUK39" s="317"/>
      <c r="KUL39" s="317"/>
      <c r="KUM39" s="317"/>
      <c r="KUN39" s="317"/>
      <c r="KUO39" s="317"/>
      <c r="KUP39" s="317"/>
      <c r="KUQ39" s="317"/>
      <c r="KUR39" s="317"/>
      <c r="KUS39" s="317"/>
      <c r="KUT39" s="317"/>
      <c r="KUU39" s="317"/>
      <c r="KUV39" s="317"/>
      <c r="KUW39" s="317"/>
      <c r="KUX39" s="317"/>
      <c r="KUY39" s="317"/>
      <c r="KUZ39" s="317"/>
      <c r="KVA39" s="317"/>
      <c r="KVB39" s="317"/>
      <c r="KVC39" s="317"/>
      <c r="KVD39" s="317"/>
      <c r="KVE39" s="317"/>
      <c r="KVF39" s="317"/>
      <c r="KVG39" s="317"/>
      <c r="KVH39" s="317"/>
      <c r="KVI39" s="317"/>
      <c r="KVJ39" s="317"/>
      <c r="KVK39" s="317"/>
      <c r="KVL39" s="317"/>
      <c r="KVM39" s="317"/>
      <c r="KVN39" s="317"/>
      <c r="KVO39" s="317"/>
      <c r="KVP39" s="317"/>
      <c r="KVQ39" s="317"/>
      <c r="KVR39" s="317"/>
      <c r="KVS39" s="317"/>
      <c r="KVT39" s="317"/>
      <c r="KVU39" s="317"/>
      <c r="KVV39" s="317"/>
      <c r="KVW39" s="317"/>
      <c r="KVX39" s="317"/>
      <c r="KVY39" s="317"/>
      <c r="KVZ39" s="317"/>
      <c r="KWA39" s="317"/>
      <c r="KWB39" s="317"/>
      <c r="KWC39" s="317"/>
      <c r="KWD39" s="317"/>
      <c r="KWE39" s="317"/>
      <c r="KWF39" s="317"/>
      <c r="KWG39" s="317"/>
      <c r="KWH39" s="317"/>
      <c r="KWI39" s="317"/>
      <c r="KWJ39" s="317"/>
      <c r="KWK39" s="317"/>
      <c r="KWL39" s="317"/>
      <c r="KWM39" s="317"/>
      <c r="KWN39" s="317"/>
      <c r="KWO39" s="317"/>
      <c r="KWP39" s="317"/>
      <c r="KWQ39" s="317"/>
      <c r="KWR39" s="317"/>
      <c r="KWS39" s="317"/>
      <c r="KWT39" s="317"/>
      <c r="KWU39" s="317"/>
      <c r="KWV39" s="317"/>
      <c r="KWW39" s="317"/>
      <c r="KWX39" s="317"/>
      <c r="KWY39" s="317"/>
      <c r="KWZ39" s="317"/>
      <c r="KXA39" s="317"/>
      <c r="KXB39" s="317"/>
      <c r="KXC39" s="317"/>
      <c r="KXD39" s="317"/>
      <c r="KXE39" s="317"/>
      <c r="KXF39" s="317"/>
      <c r="KXG39" s="317"/>
      <c r="KXH39" s="317"/>
      <c r="KXI39" s="317"/>
      <c r="KXJ39" s="317"/>
      <c r="KXK39" s="317"/>
      <c r="KXL39" s="317"/>
      <c r="KXM39" s="317"/>
      <c r="KXN39" s="317"/>
      <c r="KXO39" s="317"/>
      <c r="KXP39" s="317"/>
      <c r="KXQ39" s="317"/>
      <c r="KXR39" s="317"/>
      <c r="KXS39" s="317"/>
      <c r="KXT39" s="317"/>
      <c r="KXU39" s="317"/>
      <c r="KXV39" s="317"/>
      <c r="KXW39" s="317"/>
      <c r="KXX39" s="317"/>
      <c r="KXY39" s="317"/>
      <c r="KXZ39" s="317"/>
      <c r="KYA39" s="317"/>
      <c r="KYB39" s="317"/>
      <c r="KYC39" s="317"/>
      <c r="KYD39" s="317"/>
      <c r="KYE39" s="317"/>
      <c r="KYF39" s="317"/>
      <c r="KYG39" s="317"/>
      <c r="KYH39" s="317"/>
      <c r="KYI39" s="317"/>
      <c r="KYJ39" s="317"/>
      <c r="KYK39" s="317"/>
      <c r="KYL39" s="317"/>
      <c r="KYM39" s="317"/>
      <c r="KYN39" s="317"/>
      <c r="KYO39" s="317"/>
      <c r="KYP39" s="317"/>
      <c r="KYQ39" s="317"/>
      <c r="KYR39" s="317"/>
      <c r="KYS39" s="317"/>
      <c r="KYT39" s="317"/>
      <c r="KYU39" s="317"/>
      <c r="KYV39" s="317"/>
      <c r="KYW39" s="317"/>
      <c r="KYX39" s="317"/>
      <c r="KYY39" s="317"/>
      <c r="KYZ39" s="317"/>
      <c r="KZA39" s="317"/>
      <c r="KZB39" s="317"/>
      <c r="KZC39" s="317"/>
      <c r="KZD39" s="317"/>
      <c r="KZE39" s="317"/>
      <c r="KZF39" s="317"/>
      <c r="KZG39" s="317"/>
      <c r="KZH39" s="317"/>
      <c r="KZI39" s="317"/>
      <c r="KZJ39" s="317"/>
      <c r="KZK39" s="317"/>
      <c r="KZL39" s="317"/>
      <c r="KZM39" s="317"/>
      <c r="KZN39" s="317"/>
      <c r="KZO39" s="317"/>
      <c r="KZP39" s="317"/>
      <c r="KZQ39" s="317"/>
      <c r="KZR39" s="317"/>
      <c r="KZS39" s="317"/>
      <c r="KZT39" s="317"/>
      <c r="KZU39" s="317"/>
      <c r="KZV39" s="317"/>
      <c r="KZW39" s="317"/>
      <c r="KZX39" s="317"/>
      <c r="KZY39" s="317"/>
      <c r="KZZ39" s="317"/>
      <c r="LAA39" s="317"/>
      <c r="LAB39" s="317"/>
      <c r="LAC39" s="317"/>
      <c r="LAD39" s="317"/>
      <c r="LAE39" s="317"/>
      <c r="LAF39" s="317"/>
      <c r="LAG39" s="317"/>
      <c r="LAH39" s="317"/>
      <c r="LAI39" s="317"/>
      <c r="LAJ39" s="317"/>
      <c r="LAK39" s="317"/>
      <c r="LAL39" s="317"/>
      <c r="LAM39" s="317"/>
      <c r="LAN39" s="317"/>
      <c r="LAO39" s="317"/>
      <c r="LAP39" s="317"/>
      <c r="LAQ39" s="317"/>
      <c r="LAR39" s="317"/>
      <c r="LAS39" s="317"/>
      <c r="LAT39" s="317"/>
      <c r="LAU39" s="317"/>
      <c r="LAV39" s="317"/>
      <c r="LAW39" s="317"/>
      <c r="LAX39" s="317"/>
      <c r="LAY39" s="317"/>
      <c r="LAZ39" s="317"/>
      <c r="LBA39" s="317"/>
      <c r="LBB39" s="317"/>
      <c r="LBC39" s="317"/>
      <c r="LBD39" s="317"/>
      <c r="LBE39" s="317"/>
      <c r="LBF39" s="317"/>
      <c r="LBG39" s="317"/>
      <c r="LBH39" s="317"/>
      <c r="LBI39" s="317"/>
      <c r="LBJ39" s="317"/>
      <c r="LBK39" s="317"/>
      <c r="LBL39" s="317"/>
      <c r="LBM39" s="317"/>
      <c r="LBN39" s="317"/>
      <c r="LBO39" s="317"/>
      <c r="LBP39" s="317"/>
      <c r="LBQ39" s="317"/>
      <c r="LBR39" s="317"/>
      <c r="LBS39" s="317"/>
      <c r="LBT39" s="317"/>
      <c r="LBU39" s="317"/>
      <c r="LBV39" s="317"/>
      <c r="LBW39" s="317"/>
      <c r="LBX39" s="317"/>
      <c r="LBY39" s="317"/>
      <c r="LBZ39" s="317"/>
      <c r="LCA39" s="317"/>
      <c r="LCB39" s="317"/>
      <c r="LCC39" s="317"/>
      <c r="LCD39" s="317"/>
      <c r="LCE39" s="317"/>
      <c r="LCF39" s="317"/>
      <c r="LCG39" s="317"/>
      <c r="LCH39" s="317"/>
      <c r="LCI39" s="317"/>
      <c r="LCJ39" s="317"/>
      <c r="LCK39" s="317"/>
      <c r="LCL39" s="317"/>
      <c r="LCM39" s="317"/>
      <c r="LCN39" s="317"/>
      <c r="LCO39" s="317"/>
      <c r="LCP39" s="317"/>
      <c r="LCQ39" s="317"/>
      <c r="LCR39" s="317"/>
      <c r="LCS39" s="317"/>
      <c r="LCT39" s="317"/>
      <c r="LCU39" s="317"/>
      <c r="LCV39" s="317"/>
      <c r="LCW39" s="317"/>
      <c r="LCX39" s="317"/>
      <c r="LCY39" s="317"/>
      <c r="LCZ39" s="317"/>
      <c r="LDA39" s="317"/>
      <c r="LDB39" s="317"/>
      <c r="LDC39" s="317"/>
      <c r="LDD39" s="317"/>
      <c r="LDE39" s="317"/>
      <c r="LDF39" s="317"/>
      <c r="LDG39" s="317"/>
      <c r="LDH39" s="317"/>
      <c r="LDI39" s="317"/>
      <c r="LDJ39" s="317"/>
      <c r="LDK39" s="317"/>
      <c r="LDL39" s="317"/>
      <c r="LDM39" s="317"/>
      <c r="LDN39" s="317"/>
      <c r="LDO39" s="317"/>
      <c r="LDP39" s="317"/>
      <c r="LDQ39" s="317"/>
      <c r="LDR39" s="317"/>
      <c r="LDS39" s="317"/>
      <c r="LDT39" s="317"/>
      <c r="LDU39" s="317"/>
      <c r="LDV39" s="317"/>
      <c r="LDW39" s="317"/>
      <c r="LDX39" s="317"/>
      <c r="LDY39" s="317"/>
      <c r="LDZ39" s="317"/>
      <c r="LEA39" s="317"/>
      <c r="LEB39" s="317"/>
      <c r="LEC39" s="317"/>
      <c r="LED39" s="317"/>
      <c r="LEE39" s="317"/>
      <c r="LEF39" s="317"/>
      <c r="LEG39" s="317"/>
      <c r="LEH39" s="317"/>
      <c r="LEI39" s="317"/>
      <c r="LEJ39" s="317"/>
      <c r="LEK39" s="317"/>
      <c r="LEL39" s="317"/>
      <c r="LEM39" s="317"/>
      <c r="LEN39" s="317"/>
      <c r="LEO39" s="317"/>
      <c r="LEP39" s="317"/>
      <c r="LEQ39" s="317"/>
      <c r="LER39" s="317"/>
      <c r="LES39" s="317"/>
      <c r="LET39" s="317"/>
      <c r="LEU39" s="317"/>
      <c r="LEV39" s="317"/>
      <c r="LEW39" s="317"/>
      <c r="LEX39" s="317"/>
      <c r="LEY39" s="317"/>
      <c r="LEZ39" s="317"/>
      <c r="LFA39" s="317"/>
      <c r="LFB39" s="317"/>
      <c r="LFC39" s="317"/>
      <c r="LFD39" s="317"/>
      <c r="LFE39" s="317"/>
      <c r="LFF39" s="317"/>
      <c r="LFG39" s="317"/>
      <c r="LFH39" s="317"/>
      <c r="LFI39" s="317"/>
      <c r="LFJ39" s="317"/>
      <c r="LFK39" s="317"/>
      <c r="LFL39" s="317"/>
      <c r="LFM39" s="317"/>
      <c r="LFN39" s="317"/>
      <c r="LFO39" s="317"/>
      <c r="LFP39" s="317"/>
      <c r="LFQ39" s="317"/>
      <c r="LFR39" s="317"/>
      <c r="LFS39" s="317"/>
      <c r="LFT39" s="317"/>
      <c r="LFU39" s="317"/>
      <c r="LFV39" s="317"/>
      <c r="LFW39" s="317"/>
      <c r="LFX39" s="317"/>
      <c r="LFY39" s="317"/>
      <c r="LFZ39" s="317"/>
      <c r="LGA39" s="317"/>
      <c r="LGB39" s="317"/>
      <c r="LGC39" s="317"/>
      <c r="LGD39" s="317"/>
      <c r="LGE39" s="317"/>
      <c r="LGF39" s="317"/>
      <c r="LGG39" s="317"/>
      <c r="LGH39" s="317"/>
      <c r="LGI39" s="317"/>
      <c r="LGJ39" s="317"/>
      <c r="LGK39" s="317"/>
      <c r="LGL39" s="317"/>
      <c r="LGM39" s="317"/>
      <c r="LGN39" s="317"/>
      <c r="LGO39" s="317"/>
      <c r="LGP39" s="317"/>
      <c r="LGQ39" s="317"/>
      <c r="LGR39" s="317"/>
      <c r="LGS39" s="317"/>
      <c r="LGT39" s="317"/>
      <c r="LGU39" s="317"/>
      <c r="LGV39" s="317"/>
      <c r="LGW39" s="317"/>
      <c r="LGX39" s="317"/>
      <c r="LGY39" s="317"/>
      <c r="LGZ39" s="317"/>
      <c r="LHA39" s="317"/>
      <c r="LHB39" s="317"/>
      <c r="LHC39" s="317"/>
      <c r="LHD39" s="317"/>
      <c r="LHE39" s="317"/>
      <c r="LHF39" s="317"/>
      <c r="LHG39" s="317"/>
      <c r="LHH39" s="317"/>
      <c r="LHI39" s="317"/>
      <c r="LHJ39" s="317"/>
      <c r="LHK39" s="317"/>
      <c r="LHL39" s="317"/>
      <c r="LHM39" s="317"/>
      <c r="LHN39" s="317"/>
      <c r="LHO39" s="317"/>
      <c r="LHP39" s="317"/>
      <c r="LHQ39" s="317"/>
      <c r="LHR39" s="317"/>
      <c r="LHS39" s="317"/>
      <c r="LHT39" s="317"/>
      <c r="LHU39" s="317"/>
      <c r="LHV39" s="317"/>
      <c r="LHW39" s="317"/>
      <c r="LHX39" s="317"/>
      <c r="LHY39" s="317"/>
      <c r="LHZ39" s="317"/>
      <c r="LIA39" s="317"/>
      <c r="LIB39" s="317"/>
      <c r="LIC39" s="317"/>
      <c r="LID39" s="317"/>
      <c r="LIE39" s="317"/>
      <c r="LIF39" s="317"/>
      <c r="LIG39" s="317"/>
      <c r="LIH39" s="317"/>
      <c r="LII39" s="317"/>
      <c r="LIJ39" s="317"/>
      <c r="LIK39" s="317"/>
      <c r="LIL39" s="317"/>
      <c r="LIM39" s="317"/>
      <c r="LIN39" s="317"/>
      <c r="LIO39" s="317"/>
      <c r="LIP39" s="317"/>
      <c r="LIQ39" s="317"/>
      <c r="LIR39" s="317"/>
      <c r="LIS39" s="317"/>
      <c r="LIT39" s="317"/>
      <c r="LIU39" s="317"/>
      <c r="LIV39" s="317"/>
      <c r="LIW39" s="317"/>
      <c r="LIX39" s="317"/>
      <c r="LIY39" s="317"/>
      <c r="LIZ39" s="317"/>
      <c r="LJA39" s="317"/>
      <c r="LJB39" s="317"/>
      <c r="LJC39" s="317"/>
      <c r="LJD39" s="317"/>
      <c r="LJE39" s="317"/>
      <c r="LJF39" s="317"/>
      <c r="LJG39" s="317"/>
      <c r="LJH39" s="317"/>
      <c r="LJI39" s="317"/>
      <c r="LJJ39" s="317"/>
      <c r="LJK39" s="317"/>
      <c r="LJL39" s="317"/>
      <c r="LJM39" s="317"/>
      <c r="LJN39" s="317"/>
      <c r="LJO39" s="317"/>
      <c r="LJP39" s="317"/>
      <c r="LJQ39" s="317"/>
      <c r="LJR39" s="317"/>
      <c r="LJS39" s="317"/>
      <c r="LJT39" s="317"/>
      <c r="LJU39" s="317"/>
      <c r="LJV39" s="317"/>
      <c r="LJW39" s="317"/>
      <c r="LJX39" s="317"/>
      <c r="LJY39" s="317"/>
      <c r="LJZ39" s="317"/>
      <c r="LKA39" s="317"/>
      <c r="LKB39" s="317"/>
      <c r="LKC39" s="317"/>
      <c r="LKD39" s="317"/>
      <c r="LKE39" s="317"/>
      <c r="LKF39" s="317"/>
      <c r="LKG39" s="317"/>
      <c r="LKH39" s="317"/>
      <c r="LKI39" s="317"/>
      <c r="LKJ39" s="317"/>
      <c r="LKK39" s="317"/>
      <c r="LKL39" s="317"/>
      <c r="LKM39" s="317"/>
      <c r="LKN39" s="317"/>
      <c r="LKO39" s="317"/>
      <c r="LKP39" s="317"/>
      <c r="LKQ39" s="317"/>
      <c r="LKR39" s="317"/>
      <c r="LKS39" s="317"/>
      <c r="LKT39" s="317"/>
      <c r="LKU39" s="317"/>
      <c r="LKV39" s="317"/>
      <c r="LKW39" s="317"/>
      <c r="LKX39" s="317"/>
      <c r="LKY39" s="317"/>
      <c r="LKZ39" s="317"/>
      <c r="LLA39" s="317"/>
      <c r="LLB39" s="317"/>
      <c r="LLC39" s="317"/>
      <c r="LLD39" s="317"/>
      <c r="LLE39" s="317"/>
      <c r="LLF39" s="317"/>
      <c r="LLG39" s="317"/>
      <c r="LLH39" s="317"/>
      <c r="LLI39" s="317"/>
      <c r="LLJ39" s="317"/>
      <c r="LLK39" s="317"/>
      <c r="LLL39" s="317"/>
      <c r="LLM39" s="317"/>
      <c r="LLN39" s="317"/>
      <c r="LLO39" s="317"/>
      <c r="LLP39" s="317"/>
      <c r="LLQ39" s="317"/>
      <c r="LLR39" s="317"/>
      <c r="LLS39" s="317"/>
      <c r="LLT39" s="317"/>
      <c r="LLU39" s="317"/>
      <c r="LLV39" s="317"/>
      <c r="LLW39" s="317"/>
      <c r="LLX39" s="317"/>
      <c r="LLY39" s="317"/>
      <c r="LLZ39" s="317"/>
      <c r="LMA39" s="317"/>
      <c r="LMB39" s="317"/>
      <c r="LMC39" s="317"/>
      <c r="LMD39" s="317"/>
      <c r="LME39" s="317"/>
      <c r="LMF39" s="317"/>
      <c r="LMG39" s="317"/>
      <c r="LMH39" s="317"/>
      <c r="LMI39" s="317"/>
      <c r="LMJ39" s="317"/>
      <c r="LMK39" s="317"/>
      <c r="LML39" s="317"/>
      <c r="LMM39" s="317"/>
      <c r="LMN39" s="317"/>
      <c r="LMO39" s="317"/>
      <c r="LMP39" s="317"/>
      <c r="LMQ39" s="317"/>
      <c r="LMR39" s="317"/>
      <c r="LMS39" s="317"/>
      <c r="LMT39" s="317"/>
      <c r="LMU39" s="317"/>
      <c r="LMV39" s="317"/>
      <c r="LMW39" s="317"/>
      <c r="LMX39" s="317"/>
      <c r="LMY39" s="317"/>
      <c r="LMZ39" s="317"/>
      <c r="LNA39" s="317"/>
      <c r="LNB39" s="317"/>
      <c r="LNC39" s="317"/>
      <c r="LND39" s="317"/>
      <c r="LNE39" s="317"/>
      <c r="LNF39" s="317"/>
      <c r="LNG39" s="317"/>
      <c r="LNH39" s="317"/>
      <c r="LNI39" s="317"/>
      <c r="LNJ39" s="317"/>
      <c r="LNK39" s="317"/>
      <c r="LNL39" s="317"/>
      <c r="LNM39" s="317"/>
      <c r="LNN39" s="317"/>
      <c r="LNO39" s="317"/>
      <c r="LNP39" s="317"/>
      <c r="LNQ39" s="317"/>
      <c r="LNR39" s="317"/>
      <c r="LNS39" s="317"/>
      <c r="LNT39" s="317"/>
      <c r="LNU39" s="317"/>
      <c r="LNV39" s="317"/>
      <c r="LNW39" s="317"/>
      <c r="LNX39" s="317"/>
      <c r="LNY39" s="317"/>
      <c r="LNZ39" s="317"/>
      <c r="LOA39" s="317"/>
      <c r="LOB39" s="317"/>
      <c r="LOC39" s="317"/>
      <c r="LOD39" s="317"/>
      <c r="LOE39" s="317"/>
      <c r="LOF39" s="317"/>
      <c r="LOG39" s="317"/>
      <c r="LOH39" s="317"/>
      <c r="LOI39" s="317"/>
      <c r="LOJ39" s="317"/>
      <c r="LOK39" s="317"/>
      <c r="LOL39" s="317"/>
      <c r="LOM39" s="317"/>
      <c r="LON39" s="317"/>
      <c r="LOO39" s="317"/>
      <c r="LOP39" s="317"/>
      <c r="LOQ39" s="317"/>
      <c r="LOR39" s="317"/>
      <c r="LOS39" s="317"/>
      <c r="LOT39" s="317"/>
      <c r="LOU39" s="317"/>
      <c r="LOV39" s="317"/>
      <c r="LOW39" s="317"/>
      <c r="LOX39" s="317"/>
      <c r="LOY39" s="317"/>
      <c r="LOZ39" s="317"/>
      <c r="LPA39" s="317"/>
      <c r="LPB39" s="317"/>
      <c r="LPC39" s="317"/>
      <c r="LPD39" s="317"/>
      <c r="LPE39" s="317"/>
      <c r="LPF39" s="317"/>
      <c r="LPG39" s="317"/>
      <c r="LPH39" s="317"/>
      <c r="LPI39" s="317"/>
      <c r="LPJ39" s="317"/>
      <c r="LPK39" s="317"/>
      <c r="LPL39" s="317"/>
      <c r="LPM39" s="317"/>
      <c r="LPN39" s="317"/>
      <c r="LPO39" s="317"/>
      <c r="LPP39" s="317"/>
      <c r="LPQ39" s="317"/>
      <c r="LPR39" s="317"/>
      <c r="LPS39" s="317"/>
      <c r="LPT39" s="317"/>
      <c r="LPU39" s="317"/>
      <c r="LPV39" s="317"/>
      <c r="LPW39" s="317"/>
      <c r="LPX39" s="317"/>
      <c r="LPY39" s="317"/>
      <c r="LPZ39" s="317"/>
      <c r="LQA39" s="317"/>
      <c r="LQB39" s="317"/>
      <c r="LQC39" s="317"/>
      <c r="LQD39" s="317"/>
      <c r="LQE39" s="317"/>
      <c r="LQF39" s="317"/>
      <c r="LQG39" s="317"/>
      <c r="LQH39" s="317"/>
      <c r="LQI39" s="317"/>
      <c r="LQJ39" s="317"/>
      <c r="LQK39" s="317"/>
      <c r="LQL39" s="317"/>
      <c r="LQM39" s="317"/>
      <c r="LQN39" s="317"/>
      <c r="LQO39" s="317"/>
      <c r="LQP39" s="317"/>
      <c r="LQQ39" s="317"/>
      <c r="LQR39" s="317"/>
      <c r="LQS39" s="317"/>
      <c r="LQT39" s="317"/>
      <c r="LQU39" s="317"/>
      <c r="LQV39" s="317"/>
      <c r="LQW39" s="317"/>
      <c r="LQX39" s="317"/>
      <c r="LQY39" s="317"/>
      <c r="LQZ39" s="317"/>
      <c r="LRA39" s="317"/>
      <c r="LRB39" s="317"/>
      <c r="LRC39" s="317"/>
      <c r="LRD39" s="317"/>
      <c r="LRE39" s="317"/>
      <c r="LRF39" s="317"/>
      <c r="LRG39" s="317"/>
      <c r="LRH39" s="317"/>
      <c r="LRI39" s="317"/>
      <c r="LRJ39" s="317"/>
      <c r="LRK39" s="317"/>
      <c r="LRL39" s="317"/>
      <c r="LRM39" s="317"/>
      <c r="LRN39" s="317"/>
      <c r="LRO39" s="317"/>
      <c r="LRP39" s="317"/>
      <c r="LRQ39" s="317"/>
      <c r="LRR39" s="317"/>
      <c r="LRS39" s="317"/>
      <c r="LRT39" s="317"/>
      <c r="LRU39" s="317"/>
      <c r="LRV39" s="317"/>
      <c r="LRW39" s="317"/>
      <c r="LRX39" s="317"/>
      <c r="LRY39" s="317"/>
      <c r="LRZ39" s="317"/>
      <c r="LSA39" s="317"/>
      <c r="LSB39" s="317"/>
      <c r="LSC39" s="317"/>
      <c r="LSD39" s="317"/>
      <c r="LSE39" s="317"/>
      <c r="LSF39" s="317"/>
      <c r="LSG39" s="317"/>
      <c r="LSH39" s="317"/>
      <c r="LSI39" s="317"/>
      <c r="LSJ39" s="317"/>
      <c r="LSK39" s="317"/>
      <c r="LSL39" s="317"/>
      <c r="LSM39" s="317"/>
      <c r="LSN39" s="317"/>
      <c r="LSO39" s="317"/>
      <c r="LSP39" s="317"/>
      <c r="LSQ39" s="317"/>
      <c r="LSR39" s="317"/>
      <c r="LSS39" s="317"/>
      <c r="LST39" s="317"/>
      <c r="LSU39" s="317"/>
      <c r="LSV39" s="317"/>
      <c r="LSW39" s="317"/>
      <c r="LSX39" s="317"/>
      <c r="LSY39" s="317"/>
      <c r="LSZ39" s="317"/>
      <c r="LTA39" s="317"/>
      <c r="LTB39" s="317"/>
      <c r="LTC39" s="317"/>
      <c r="LTD39" s="317"/>
      <c r="LTE39" s="317"/>
      <c r="LTF39" s="317"/>
      <c r="LTG39" s="317"/>
      <c r="LTH39" s="317"/>
      <c r="LTI39" s="317"/>
      <c r="LTJ39" s="317"/>
      <c r="LTK39" s="317"/>
      <c r="LTL39" s="317"/>
      <c r="LTM39" s="317"/>
      <c r="LTN39" s="317"/>
      <c r="LTO39" s="317"/>
      <c r="LTP39" s="317"/>
      <c r="LTQ39" s="317"/>
      <c r="LTR39" s="317"/>
      <c r="LTS39" s="317"/>
      <c r="LTT39" s="317"/>
      <c r="LTU39" s="317"/>
      <c r="LTV39" s="317"/>
      <c r="LTW39" s="317"/>
      <c r="LTX39" s="317"/>
      <c r="LTY39" s="317"/>
      <c r="LTZ39" s="317"/>
      <c r="LUA39" s="317"/>
      <c r="LUB39" s="317"/>
      <c r="LUC39" s="317"/>
      <c r="LUD39" s="317"/>
      <c r="LUE39" s="317"/>
      <c r="LUF39" s="317"/>
      <c r="LUG39" s="317"/>
      <c r="LUH39" s="317"/>
      <c r="LUI39" s="317"/>
      <c r="LUJ39" s="317"/>
      <c r="LUK39" s="317"/>
      <c r="LUL39" s="317"/>
      <c r="LUM39" s="317"/>
      <c r="LUN39" s="317"/>
      <c r="LUO39" s="317"/>
      <c r="LUP39" s="317"/>
      <c r="LUQ39" s="317"/>
      <c r="LUR39" s="317"/>
      <c r="LUS39" s="317"/>
      <c r="LUT39" s="317"/>
      <c r="LUU39" s="317"/>
      <c r="LUV39" s="317"/>
      <c r="LUW39" s="317"/>
      <c r="LUX39" s="317"/>
      <c r="LUY39" s="317"/>
      <c r="LUZ39" s="317"/>
      <c r="LVA39" s="317"/>
      <c r="LVB39" s="317"/>
      <c r="LVC39" s="317"/>
      <c r="LVD39" s="317"/>
      <c r="LVE39" s="317"/>
      <c r="LVF39" s="317"/>
      <c r="LVG39" s="317"/>
      <c r="LVH39" s="317"/>
      <c r="LVI39" s="317"/>
      <c r="LVJ39" s="317"/>
      <c r="LVK39" s="317"/>
      <c r="LVL39" s="317"/>
      <c r="LVM39" s="317"/>
      <c r="LVN39" s="317"/>
      <c r="LVO39" s="317"/>
      <c r="LVP39" s="317"/>
      <c r="LVQ39" s="317"/>
      <c r="LVR39" s="317"/>
      <c r="LVS39" s="317"/>
      <c r="LVT39" s="317"/>
      <c r="LVU39" s="317"/>
      <c r="LVV39" s="317"/>
      <c r="LVW39" s="317"/>
      <c r="LVX39" s="317"/>
      <c r="LVY39" s="317"/>
      <c r="LVZ39" s="317"/>
      <c r="LWA39" s="317"/>
      <c r="LWB39" s="317"/>
      <c r="LWC39" s="317"/>
      <c r="LWD39" s="317"/>
      <c r="LWE39" s="317"/>
      <c r="LWF39" s="317"/>
      <c r="LWG39" s="317"/>
      <c r="LWH39" s="317"/>
      <c r="LWI39" s="317"/>
      <c r="LWJ39" s="317"/>
      <c r="LWK39" s="317"/>
      <c r="LWL39" s="317"/>
      <c r="LWM39" s="317"/>
      <c r="LWN39" s="317"/>
      <c r="LWO39" s="317"/>
      <c r="LWP39" s="317"/>
      <c r="LWQ39" s="317"/>
      <c r="LWR39" s="317"/>
      <c r="LWS39" s="317"/>
      <c r="LWT39" s="317"/>
      <c r="LWU39" s="317"/>
      <c r="LWV39" s="317"/>
      <c r="LWW39" s="317"/>
      <c r="LWX39" s="317"/>
      <c r="LWY39" s="317"/>
      <c r="LWZ39" s="317"/>
      <c r="LXA39" s="317"/>
      <c r="LXB39" s="317"/>
      <c r="LXC39" s="317"/>
      <c r="LXD39" s="317"/>
      <c r="LXE39" s="317"/>
      <c r="LXF39" s="317"/>
      <c r="LXG39" s="317"/>
      <c r="LXH39" s="317"/>
      <c r="LXI39" s="317"/>
      <c r="LXJ39" s="317"/>
      <c r="LXK39" s="317"/>
      <c r="LXL39" s="317"/>
      <c r="LXM39" s="317"/>
      <c r="LXN39" s="317"/>
      <c r="LXO39" s="317"/>
      <c r="LXP39" s="317"/>
      <c r="LXQ39" s="317"/>
      <c r="LXR39" s="317"/>
      <c r="LXS39" s="317"/>
      <c r="LXT39" s="317"/>
      <c r="LXU39" s="317"/>
      <c r="LXV39" s="317"/>
      <c r="LXW39" s="317"/>
      <c r="LXX39" s="317"/>
      <c r="LXY39" s="317"/>
      <c r="LXZ39" s="317"/>
      <c r="LYA39" s="317"/>
      <c r="LYB39" s="317"/>
      <c r="LYC39" s="317"/>
      <c r="LYD39" s="317"/>
      <c r="LYE39" s="317"/>
      <c r="LYF39" s="317"/>
      <c r="LYG39" s="317"/>
      <c r="LYH39" s="317"/>
      <c r="LYI39" s="317"/>
      <c r="LYJ39" s="317"/>
      <c r="LYK39" s="317"/>
      <c r="LYL39" s="317"/>
      <c r="LYM39" s="317"/>
      <c r="LYN39" s="317"/>
      <c r="LYO39" s="317"/>
      <c r="LYP39" s="317"/>
      <c r="LYQ39" s="317"/>
      <c r="LYR39" s="317"/>
      <c r="LYS39" s="317"/>
      <c r="LYT39" s="317"/>
      <c r="LYU39" s="317"/>
      <c r="LYV39" s="317"/>
      <c r="LYW39" s="317"/>
      <c r="LYX39" s="317"/>
      <c r="LYY39" s="317"/>
      <c r="LYZ39" s="317"/>
      <c r="LZA39" s="317"/>
      <c r="LZB39" s="317"/>
      <c r="LZC39" s="317"/>
      <c r="LZD39" s="317"/>
      <c r="LZE39" s="317"/>
      <c r="LZF39" s="317"/>
      <c r="LZG39" s="317"/>
      <c r="LZH39" s="317"/>
      <c r="LZI39" s="317"/>
      <c r="LZJ39" s="317"/>
      <c r="LZK39" s="317"/>
      <c r="LZL39" s="317"/>
      <c r="LZM39" s="317"/>
      <c r="LZN39" s="317"/>
      <c r="LZO39" s="317"/>
      <c r="LZP39" s="317"/>
      <c r="LZQ39" s="317"/>
      <c r="LZR39" s="317"/>
      <c r="LZS39" s="317"/>
      <c r="LZT39" s="317"/>
      <c r="LZU39" s="317"/>
      <c r="LZV39" s="317"/>
      <c r="LZW39" s="317"/>
      <c r="LZX39" s="317"/>
      <c r="LZY39" s="317"/>
      <c r="LZZ39" s="317"/>
      <c r="MAA39" s="317"/>
      <c r="MAB39" s="317"/>
      <c r="MAC39" s="317"/>
      <c r="MAD39" s="317"/>
      <c r="MAE39" s="317"/>
      <c r="MAF39" s="317"/>
      <c r="MAG39" s="317"/>
      <c r="MAH39" s="317"/>
      <c r="MAI39" s="317"/>
      <c r="MAJ39" s="317"/>
      <c r="MAK39" s="317"/>
      <c r="MAL39" s="317"/>
      <c r="MAM39" s="317"/>
      <c r="MAN39" s="317"/>
      <c r="MAO39" s="317"/>
      <c r="MAP39" s="317"/>
      <c r="MAQ39" s="317"/>
      <c r="MAR39" s="317"/>
      <c r="MAS39" s="317"/>
      <c r="MAT39" s="317"/>
      <c r="MAU39" s="317"/>
      <c r="MAV39" s="317"/>
      <c r="MAW39" s="317"/>
      <c r="MAX39" s="317"/>
      <c r="MAY39" s="317"/>
      <c r="MAZ39" s="317"/>
      <c r="MBA39" s="317"/>
      <c r="MBB39" s="317"/>
      <c r="MBC39" s="317"/>
      <c r="MBD39" s="317"/>
      <c r="MBE39" s="317"/>
      <c r="MBF39" s="317"/>
      <c r="MBG39" s="317"/>
      <c r="MBH39" s="317"/>
      <c r="MBI39" s="317"/>
      <c r="MBJ39" s="317"/>
      <c r="MBK39" s="317"/>
      <c r="MBL39" s="317"/>
      <c r="MBM39" s="317"/>
      <c r="MBN39" s="317"/>
      <c r="MBO39" s="317"/>
      <c r="MBP39" s="317"/>
      <c r="MBQ39" s="317"/>
      <c r="MBR39" s="317"/>
      <c r="MBS39" s="317"/>
      <c r="MBT39" s="317"/>
      <c r="MBU39" s="317"/>
      <c r="MBV39" s="317"/>
      <c r="MBW39" s="317"/>
      <c r="MBX39" s="317"/>
      <c r="MBY39" s="317"/>
      <c r="MBZ39" s="317"/>
      <c r="MCA39" s="317"/>
      <c r="MCB39" s="317"/>
      <c r="MCC39" s="317"/>
      <c r="MCD39" s="317"/>
      <c r="MCE39" s="317"/>
      <c r="MCF39" s="317"/>
      <c r="MCG39" s="317"/>
      <c r="MCH39" s="317"/>
      <c r="MCI39" s="317"/>
      <c r="MCJ39" s="317"/>
      <c r="MCK39" s="317"/>
      <c r="MCL39" s="317"/>
      <c r="MCM39" s="317"/>
      <c r="MCN39" s="317"/>
      <c r="MCO39" s="317"/>
      <c r="MCP39" s="317"/>
      <c r="MCQ39" s="317"/>
      <c r="MCR39" s="317"/>
      <c r="MCS39" s="317"/>
      <c r="MCT39" s="317"/>
      <c r="MCU39" s="317"/>
      <c r="MCV39" s="317"/>
      <c r="MCW39" s="317"/>
      <c r="MCX39" s="317"/>
      <c r="MCY39" s="317"/>
      <c r="MCZ39" s="317"/>
      <c r="MDA39" s="317"/>
      <c r="MDB39" s="317"/>
      <c r="MDC39" s="317"/>
      <c r="MDD39" s="317"/>
      <c r="MDE39" s="317"/>
      <c r="MDF39" s="317"/>
      <c r="MDG39" s="317"/>
      <c r="MDH39" s="317"/>
      <c r="MDI39" s="317"/>
      <c r="MDJ39" s="317"/>
      <c r="MDK39" s="317"/>
      <c r="MDL39" s="317"/>
      <c r="MDM39" s="317"/>
      <c r="MDN39" s="317"/>
      <c r="MDO39" s="317"/>
      <c r="MDP39" s="317"/>
      <c r="MDQ39" s="317"/>
      <c r="MDR39" s="317"/>
      <c r="MDS39" s="317"/>
      <c r="MDT39" s="317"/>
      <c r="MDU39" s="317"/>
      <c r="MDV39" s="317"/>
      <c r="MDW39" s="317"/>
      <c r="MDX39" s="317"/>
      <c r="MDY39" s="317"/>
      <c r="MDZ39" s="317"/>
      <c r="MEA39" s="317"/>
      <c r="MEB39" s="317"/>
      <c r="MEC39" s="317"/>
      <c r="MED39" s="317"/>
      <c r="MEE39" s="317"/>
      <c r="MEF39" s="317"/>
      <c r="MEG39" s="317"/>
      <c r="MEH39" s="317"/>
      <c r="MEI39" s="317"/>
      <c r="MEJ39" s="317"/>
      <c r="MEK39" s="317"/>
      <c r="MEL39" s="317"/>
      <c r="MEM39" s="317"/>
      <c r="MEN39" s="317"/>
      <c r="MEO39" s="317"/>
      <c r="MEP39" s="317"/>
      <c r="MEQ39" s="317"/>
      <c r="MER39" s="317"/>
      <c r="MES39" s="317"/>
      <c r="MET39" s="317"/>
      <c r="MEU39" s="317"/>
      <c r="MEV39" s="317"/>
      <c r="MEW39" s="317"/>
      <c r="MEX39" s="317"/>
      <c r="MEY39" s="317"/>
      <c r="MEZ39" s="317"/>
      <c r="MFA39" s="317"/>
      <c r="MFB39" s="317"/>
      <c r="MFC39" s="317"/>
      <c r="MFD39" s="317"/>
      <c r="MFE39" s="317"/>
      <c r="MFF39" s="317"/>
      <c r="MFG39" s="317"/>
      <c r="MFH39" s="317"/>
      <c r="MFI39" s="317"/>
      <c r="MFJ39" s="317"/>
      <c r="MFK39" s="317"/>
      <c r="MFL39" s="317"/>
      <c r="MFM39" s="317"/>
      <c r="MFN39" s="317"/>
      <c r="MFO39" s="317"/>
      <c r="MFP39" s="317"/>
      <c r="MFQ39" s="317"/>
      <c r="MFR39" s="317"/>
      <c r="MFS39" s="317"/>
      <c r="MFT39" s="317"/>
      <c r="MFU39" s="317"/>
      <c r="MFV39" s="317"/>
      <c r="MFW39" s="317"/>
      <c r="MFX39" s="317"/>
      <c r="MFY39" s="317"/>
      <c r="MFZ39" s="317"/>
      <c r="MGA39" s="317"/>
      <c r="MGB39" s="317"/>
      <c r="MGC39" s="317"/>
      <c r="MGD39" s="317"/>
      <c r="MGE39" s="317"/>
      <c r="MGF39" s="317"/>
      <c r="MGG39" s="317"/>
      <c r="MGH39" s="317"/>
      <c r="MGI39" s="317"/>
      <c r="MGJ39" s="317"/>
      <c r="MGK39" s="317"/>
      <c r="MGL39" s="317"/>
      <c r="MGM39" s="317"/>
      <c r="MGN39" s="317"/>
      <c r="MGO39" s="317"/>
      <c r="MGP39" s="317"/>
      <c r="MGQ39" s="317"/>
      <c r="MGR39" s="317"/>
      <c r="MGS39" s="317"/>
      <c r="MGT39" s="317"/>
      <c r="MGU39" s="317"/>
      <c r="MGV39" s="317"/>
      <c r="MGW39" s="317"/>
      <c r="MGX39" s="317"/>
      <c r="MGY39" s="317"/>
      <c r="MGZ39" s="317"/>
      <c r="MHA39" s="317"/>
      <c r="MHB39" s="317"/>
      <c r="MHC39" s="317"/>
      <c r="MHD39" s="317"/>
      <c r="MHE39" s="317"/>
      <c r="MHF39" s="317"/>
      <c r="MHG39" s="317"/>
      <c r="MHH39" s="317"/>
      <c r="MHI39" s="317"/>
      <c r="MHJ39" s="317"/>
      <c r="MHK39" s="317"/>
      <c r="MHL39" s="317"/>
      <c r="MHM39" s="317"/>
      <c r="MHN39" s="317"/>
      <c r="MHO39" s="317"/>
      <c r="MHP39" s="317"/>
      <c r="MHQ39" s="317"/>
      <c r="MHR39" s="317"/>
      <c r="MHS39" s="317"/>
      <c r="MHT39" s="317"/>
      <c r="MHU39" s="317"/>
      <c r="MHV39" s="317"/>
      <c r="MHW39" s="317"/>
      <c r="MHX39" s="317"/>
      <c r="MHY39" s="317"/>
      <c r="MHZ39" s="317"/>
      <c r="MIA39" s="317"/>
      <c r="MIB39" s="317"/>
      <c r="MIC39" s="317"/>
      <c r="MID39" s="317"/>
      <c r="MIE39" s="317"/>
      <c r="MIF39" s="317"/>
      <c r="MIG39" s="317"/>
      <c r="MIH39" s="317"/>
      <c r="MII39" s="317"/>
      <c r="MIJ39" s="317"/>
      <c r="MIK39" s="317"/>
      <c r="MIL39" s="317"/>
      <c r="MIM39" s="317"/>
      <c r="MIN39" s="317"/>
      <c r="MIO39" s="317"/>
      <c r="MIP39" s="317"/>
      <c r="MIQ39" s="317"/>
      <c r="MIR39" s="317"/>
      <c r="MIS39" s="317"/>
      <c r="MIT39" s="317"/>
      <c r="MIU39" s="317"/>
      <c r="MIV39" s="317"/>
      <c r="MIW39" s="317"/>
      <c r="MIX39" s="317"/>
      <c r="MIY39" s="317"/>
      <c r="MIZ39" s="317"/>
      <c r="MJA39" s="317"/>
      <c r="MJB39" s="317"/>
      <c r="MJC39" s="317"/>
      <c r="MJD39" s="317"/>
      <c r="MJE39" s="317"/>
      <c r="MJF39" s="317"/>
      <c r="MJG39" s="317"/>
      <c r="MJH39" s="317"/>
      <c r="MJI39" s="317"/>
      <c r="MJJ39" s="317"/>
      <c r="MJK39" s="317"/>
      <c r="MJL39" s="317"/>
      <c r="MJM39" s="317"/>
      <c r="MJN39" s="317"/>
      <c r="MJO39" s="317"/>
      <c r="MJP39" s="317"/>
      <c r="MJQ39" s="317"/>
      <c r="MJR39" s="317"/>
      <c r="MJS39" s="317"/>
      <c r="MJT39" s="317"/>
      <c r="MJU39" s="317"/>
      <c r="MJV39" s="317"/>
      <c r="MJW39" s="317"/>
      <c r="MJX39" s="317"/>
      <c r="MJY39" s="317"/>
      <c r="MJZ39" s="317"/>
      <c r="MKA39" s="317"/>
      <c r="MKB39" s="317"/>
      <c r="MKC39" s="317"/>
      <c r="MKD39" s="317"/>
      <c r="MKE39" s="317"/>
      <c r="MKF39" s="317"/>
      <c r="MKG39" s="317"/>
      <c r="MKH39" s="317"/>
      <c r="MKI39" s="317"/>
      <c r="MKJ39" s="317"/>
      <c r="MKK39" s="317"/>
      <c r="MKL39" s="317"/>
      <c r="MKM39" s="317"/>
      <c r="MKN39" s="317"/>
      <c r="MKO39" s="317"/>
      <c r="MKP39" s="317"/>
      <c r="MKQ39" s="317"/>
      <c r="MKR39" s="317"/>
      <c r="MKS39" s="317"/>
      <c r="MKT39" s="317"/>
      <c r="MKU39" s="317"/>
      <c r="MKV39" s="317"/>
      <c r="MKW39" s="317"/>
      <c r="MKX39" s="317"/>
      <c r="MKY39" s="317"/>
      <c r="MKZ39" s="317"/>
      <c r="MLA39" s="317"/>
      <c r="MLB39" s="317"/>
      <c r="MLC39" s="317"/>
      <c r="MLD39" s="317"/>
      <c r="MLE39" s="317"/>
      <c r="MLF39" s="317"/>
      <c r="MLG39" s="317"/>
      <c r="MLH39" s="317"/>
      <c r="MLI39" s="317"/>
      <c r="MLJ39" s="317"/>
      <c r="MLK39" s="317"/>
      <c r="MLL39" s="317"/>
      <c r="MLM39" s="317"/>
      <c r="MLN39" s="317"/>
      <c r="MLO39" s="317"/>
      <c r="MLP39" s="317"/>
      <c r="MLQ39" s="317"/>
      <c r="MLR39" s="317"/>
      <c r="MLS39" s="317"/>
      <c r="MLT39" s="317"/>
      <c r="MLU39" s="317"/>
      <c r="MLV39" s="317"/>
      <c r="MLW39" s="317"/>
      <c r="MLX39" s="317"/>
      <c r="MLY39" s="317"/>
      <c r="MLZ39" s="317"/>
      <c r="MMA39" s="317"/>
      <c r="MMB39" s="317"/>
      <c r="MMC39" s="317"/>
      <c r="MMD39" s="317"/>
      <c r="MME39" s="317"/>
      <c r="MMF39" s="317"/>
      <c r="MMG39" s="317"/>
      <c r="MMH39" s="317"/>
      <c r="MMI39" s="317"/>
      <c r="MMJ39" s="317"/>
      <c r="MMK39" s="317"/>
      <c r="MML39" s="317"/>
      <c r="MMM39" s="317"/>
      <c r="MMN39" s="317"/>
      <c r="MMO39" s="317"/>
      <c r="MMP39" s="317"/>
      <c r="MMQ39" s="317"/>
      <c r="MMR39" s="317"/>
      <c r="MMS39" s="317"/>
      <c r="MMT39" s="317"/>
      <c r="MMU39" s="317"/>
      <c r="MMV39" s="317"/>
      <c r="MMW39" s="317"/>
      <c r="MMX39" s="317"/>
      <c r="MMY39" s="317"/>
      <c r="MMZ39" s="317"/>
      <c r="MNA39" s="317"/>
      <c r="MNB39" s="317"/>
      <c r="MNC39" s="317"/>
      <c r="MND39" s="317"/>
      <c r="MNE39" s="317"/>
      <c r="MNF39" s="317"/>
      <c r="MNG39" s="317"/>
      <c r="MNH39" s="317"/>
      <c r="MNI39" s="317"/>
      <c r="MNJ39" s="317"/>
      <c r="MNK39" s="317"/>
      <c r="MNL39" s="317"/>
      <c r="MNM39" s="317"/>
      <c r="MNN39" s="317"/>
      <c r="MNO39" s="317"/>
      <c r="MNP39" s="317"/>
      <c r="MNQ39" s="317"/>
      <c r="MNR39" s="317"/>
      <c r="MNS39" s="317"/>
      <c r="MNT39" s="317"/>
      <c r="MNU39" s="317"/>
      <c r="MNV39" s="317"/>
      <c r="MNW39" s="317"/>
      <c r="MNX39" s="317"/>
      <c r="MNY39" s="317"/>
      <c r="MNZ39" s="317"/>
      <c r="MOA39" s="317"/>
      <c r="MOB39" s="317"/>
      <c r="MOC39" s="317"/>
      <c r="MOD39" s="317"/>
      <c r="MOE39" s="317"/>
      <c r="MOF39" s="317"/>
      <c r="MOG39" s="317"/>
      <c r="MOH39" s="317"/>
      <c r="MOI39" s="317"/>
      <c r="MOJ39" s="317"/>
      <c r="MOK39" s="317"/>
      <c r="MOL39" s="317"/>
      <c r="MOM39" s="317"/>
      <c r="MON39" s="317"/>
      <c r="MOO39" s="317"/>
      <c r="MOP39" s="317"/>
      <c r="MOQ39" s="317"/>
      <c r="MOR39" s="317"/>
      <c r="MOS39" s="317"/>
      <c r="MOT39" s="317"/>
      <c r="MOU39" s="317"/>
      <c r="MOV39" s="317"/>
      <c r="MOW39" s="317"/>
      <c r="MOX39" s="317"/>
      <c r="MOY39" s="317"/>
      <c r="MOZ39" s="317"/>
      <c r="MPA39" s="317"/>
      <c r="MPB39" s="317"/>
      <c r="MPC39" s="317"/>
      <c r="MPD39" s="317"/>
      <c r="MPE39" s="317"/>
      <c r="MPF39" s="317"/>
      <c r="MPG39" s="317"/>
      <c r="MPH39" s="317"/>
      <c r="MPI39" s="317"/>
      <c r="MPJ39" s="317"/>
      <c r="MPK39" s="317"/>
      <c r="MPL39" s="317"/>
      <c r="MPM39" s="317"/>
      <c r="MPN39" s="317"/>
      <c r="MPO39" s="317"/>
      <c r="MPP39" s="317"/>
      <c r="MPQ39" s="317"/>
      <c r="MPR39" s="317"/>
      <c r="MPS39" s="317"/>
      <c r="MPT39" s="317"/>
      <c r="MPU39" s="317"/>
      <c r="MPV39" s="317"/>
      <c r="MPW39" s="317"/>
      <c r="MPX39" s="317"/>
      <c r="MPY39" s="317"/>
      <c r="MPZ39" s="317"/>
      <c r="MQA39" s="317"/>
      <c r="MQB39" s="317"/>
      <c r="MQC39" s="317"/>
      <c r="MQD39" s="317"/>
      <c r="MQE39" s="317"/>
      <c r="MQF39" s="317"/>
      <c r="MQG39" s="317"/>
      <c r="MQH39" s="317"/>
      <c r="MQI39" s="317"/>
      <c r="MQJ39" s="317"/>
      <c r="MQK39" s="317"/>
      <c r="MQL39" s="317"/>
      <c r="MQM39" s="317"/>
      <c r="MQN39" s="317"/>
      <c r="MQO39" s="317"/>
      <c r="MQP39" s="317"/>
      <c r="MQQ39" s="317"/>
      <c r="MQR39" s="317"/>
      <c r="MQS39" s="317"/>
      <c r="MQT39" s="317"/>
      <c r="MQU39" s="317"/>
      <c r="MQV39" s="317"/>
      <c r="MQW39" s="317"/>
      <c r="MQX39" s="317"/>
      <c r="MQY39" s="317"/>
      <c r="MQZ39" s="317"/>
      <c r="MRA39" s="317"/>
      <c r="MRB39" s="317"/>
      <c r="MRC39" s="317"/>
      <c r="MRD39" s="317"/>
      <c r="MRE39" s="317"/>
      <c r="MRF39" s="317"/>
      <c r="MRG39" s="317"/>
      <c r="MRH39" s="317"/>
      <c r="MRI39" s="317"/>
      <c r="MRJ39" s="317"/>
      <c r="MRK39" s="317"/>
      <c r="MRL39" s="317"/>
      <c r="MRM39" s="317"/>
      <c r="MRN39" s="317"/>
      <c r="MRO39" s="317"/>
      <c r="MRP39" s="317"/>
      <c r="MRQ39" s="317"/>
      <c r="MRR39" s="317"/>
      <c r="MRS39" s="317"/>
      <c r="MRT39" s="317"/>
      <c r="MRU39" s="317"/>
      <c r="MRV39" s="317"/>
      <c r="MRW39" s="317"/>
      <c r="MRX39" s="317"/>
      <c r="MRY39" s="317"/>
      <c r="MRZ39" s="317"/>
      <c r="MSA39" s="317"/>
      <c r="MSB39" s="317"/>
      <c r="MSC39" s="317"/>
      <c r="MSD39" s="317"/>
      <c r="MSE39" s="317"/>
      <c r="MSF39" s="317"/>
      <c r="MSG39" s="317"/>
      <c r="MSH39" s="317"/>
      <c r="MSI39" s="317"/>
      <c r="MSJ39" s="317"/>
      <c r="MSK39" s="317"/>
      <c r="MSL39" s="317"/>
      <c r="MSM39" s="317"/>
      <c r="MSN39" s="317"/>
      <c r="MSO39" s="317"/>
      <c r="MSP39" s="317"/>
      <c r="MSQ39" s="317"/>
      <c r="MSR39" s="317"/>
      <c r="MSS39" s="317"/>
      <c r="MST39" s="317"/>
      <c r="MSU39" s="317"/>
      <c r="MSV39" s="317"/>
      <c r="MSW39" s="317"/>
      <c r="MSX39" s="317"/>
      <c r="MSY39" s="317"/>
      <c r="MSZ39" s="317"/>
      <c r="MTA39" s="317"/>
      <c r="MTB39" s="317"/>
      <c r="MTC39" s="317"/>
      <c r="MTD39" s="317"/>
      <c r="MTE39" s="317"/>
      <c r="MTF39" s="317"/>
      <c r="MTG39" s="317"/>
      <c r="MTH39" s="317"/>
      <c r="MTI39" s="317"/>
      <c r="MTJ39" s="317"/>
      <c r="MTK39" s="317"/>
      <c r="MTL39" s="317"/>
      <c r="MTM39" s="317"/>
      <c r="MTN39" s="317"/>
      <c r="MTO39" s="317"/>
      <c r="MTP39" s="317"/>
      <c r="MTQ39" s="317"/>
      <c r="MTR39" s="317"/>
      <c r="MTS39" s="317"/>
      <c r="MTT39" s="317"/>
      <c r="MTU39" s="317"/>
      <c r="MTV39" s="317"/>
      <c r="MTW39" s="317"/>
      <c r="MTX39" s="317"/>
      <c r="MTY39" s="317"/>
      <c r="MTZ39" s="317"/>
      <c r="MUA39" s="317"/>
      <c r="MUB39" s="317"/>
      <c r="MUC39" s="317"/>
      <c r="MUD39" s="317"/>
      <c r="MUE39" s="317"/>
      <c r="MUF39" s="317"/>
      <c r="MUG39" s="317"/>
      <c r="MUH39" s="317"/>
      <c r="MUI39" s="317"/>
      <c r="MUJ39" s="317"/>
      <c r="MUK39" s="317"/>
      <c r="MUL39" s="317"/>
      <c r="MUM39" s="317"/>
      <c r="MUN39" s="317"/>
      <c r="MUO39" s="317"/>
      <c r="MUP39" s="317"/>
      <c r="MUQ39" s="317"/>
      <c r="MUR39" s="317"/>
      <c r="MUS39" s="317"/>
      <c r="MUT39" s="317"/>
      <c r="MUU39" s="317"/>
      <c r="MUV39" s="317"/>
      <c r="MUW39" s="317"/>
      <c r="MUX39" s="317"/>
      <c r="MUY39" s="317"/>
      <c r="MUZ39" s="317"/>
      <c r="MVA39" s="317"/>
      <c r="MVB39" s="317"/>
      <c r="MVC39" s="317"/>
      <c r="MVD39" s="317"/>
      <c r="MVE39" s="317"/>
      <c r="MVF39" s="317"/>
      <c r="MVG39" s="317"/>
      <c r="MVH39" s="317"/>
      <c r="MVI39" s="317"/>
      <c r="MVJ39" s="317"/>
      <c r="MVK39" s="317"/>
      <c r="MVL39" s="317"/>
      <c r="MVM39" s="317"/>
      <c r="MVN39" s="317"/>
      <c r="MVO39" s="317"/>
      <c r="MVP39" s="317"/>
      <c r="MVQ39" s="317"/>
      <c r="MVR39" s="317"/>
      <c r="MVS39" s="317"/>
      <c r="MVT39" s="317"/>
      <c r="MVU39" s="317"/>
      <c r="MVV39" s="317"/>
      <c r="MVW39" s="317"/>
      <c r="MVX39" s="317"/>
      <c r="MVY39" s="317"/>
      <c r="MVZ39" s="317"/>
      <c r="MWA39" s="317"/>
      <c r="MWB39" s="317"/>
      <c r="MWC39" s="317"/>
      <c r="MWD39" s="317"/>
      <c r="MWE39" s="317"/>
      <c r="MWF39" s="317"/>
      <c r="MWG39" s="317"/>
      <c r="MWH39" s="317"/>
      <c r="MWI39" s="317"/>
      <c r="MWJ39" s="317"/>
      <c r="MWK39" s="317"/>
      <c r="MWL39" s="317"/>
      <c r="MWM39" s="317"/>
      <c r="MWN39" s="317"/>
      <c r="MWO39" s="317"/>
      <c r="MWP39" s="317"/>
      <c r="MWQ39" s="317"/>
      <c r="MWR39" s="317"/>
      <c r="MWS39" s="317"/>
      <c r="MWT39" s="317"/>
      <c r="MWU39" s="317"/>
      <c r="MWV39" s="317"/>
      <c r="MWW39" s="317"/>
      <c r="MWX39" s="317"/>
      <c r="MWY39" s="317"/>
      <c r="MWZ39" s="317"/>
      <c r="MXA39" s="317"/>
      <c r="MXB39" s="317"/>
      <c r="MXC39" s="317"/>
      <c r="MXD39" s="317"/>
      <c r="MXE39" s="317"/>
      <c r="MXF39" s="317"/>
      <c r="MXG39" s="317"/>
      <c r="MXH39" s="317"/>
      <c r="MXI39" s="317"/>
      <c r="MXJ39" s="317"/>
      <c r="MXK39" s="317"/>
      <c r="MXL39" s="317"/>
      <c r="MXM39" s="317"/>
      <c r="MXN39" s="317"/>
      <c r="MXO39" s="317"/>
      <c r="MXP39" s="317"/>
      <c r="MXQ39" s="317"/>
      <c r="MXR39" s="317"/>
      <c r="MXS39" s="317"/>
      <c r="MXT39" s="317"/>
      <c r="MXU39" s="317"/>
      <c r="MXV39" s="317"/>
      <c r="MXW39" s="317"/>
      <c r="MXX39" s="317"/>
      <c r="MXY39" s="317"/>
      <c r="MXZ39" s="317"/>
      <c r="MYA39" s="317"/>
      <c r="MYB39" s="317"/>
      <c r="MYC39" s="317"/>
      <c r="MYD39" s="317"/>
      <c r="MYE39" s="317"/>
      <c r="MYF39" s="317"/>
      <c r="MYG39" s="317"/>
      <c r="MYH39" s="317"/>
      <c r="MYI39" s="317"/>
      <c r="MYJ39" s="317"/>
      <c r="MYK39" s="317"/>
      <c r="MYL39" s="317"/>
      <c r="MYM39" s="317"/>
      <c r="MYN39" s="317"/>
      <c r="MYO39" s="317"/>
      <c r="MYP39" s="317"/>
      <c r="MYQ39" s="317"/>
      <c r="MYR39" s="317"/>
      <c r="MYS39" s="317"/>
      <c r="MYT39" s="317"/>
      <c r="MYU39" s="317"/>
      <c r="MYV39" s="317"/>
      <c r="MYW39" s="317"/>
      <c r="MYX39" s="317"/>
      <c r="MYY39" s="317"/>
      <c r="MYZ39" s="317"/>
      <c r="MZA39" s="317"/>
      <c r="MZB39" s="317"/>
      <c r="MZC39" s="317"/>
      <c r="MZD39" s="317"/>
      <c r="MZE39" s="317"/>
      <c r="MZF39" s="317"/>
      <c r="MZG39" s="317"/>
      <c r="MZH39" s="317"/>
      <c r="MZI39" s="317"/>
      <c r="MZJ39" s="317"/>
      <c r="MZK39" s="317"/>
      <c r="MZL39" s="317"/>
      <c r="MZM39" s="317"/>
      <c r="MZN39" s="317"/>
      <c r="MZO39" s="317"/>
      <c r="MZP39" s="317"/>
      <c r="MZQ39" s="317"/>
      <c r="MZR39" s="317"/>
      <c r="MZS39" s="317"/>
      <c r="MZT39" s="317"/>
      <c r="MZU39" s="317"/>
      <c r="MZV39" s="317"/>
      <c r="MZW39" s="317"/>
      <c r="MZX39" s="317"/>
      <c r="MZY39" s="317"/>
      <c r="MZZ39" s="317"/>
      <c r="NAA39" s="317"/>
      <c r="NAB39" s="317"/>
      <c r="NAC39" s="317"/>
      <c r="NAD39" s="317"/>
      <c r="NAE39" s="317"/>
      <c r="NAF39" s="317"/>
      <c r="NAG39" s="317"/>
      <c r="NAH39" s="317"/>
      <c r="NAI39" s="317"/>
      <c r="NAJ39" s="317"/>
      <c r="NAK39" s="317"/>
      <c r="NAL39" s="317"/>
      <c r="NAM39" s="317"/>
      <c r="NAN39" s="317"/>
      <c r="NAO39" s="317"/>
      <c r="NAP39" s="317"/>
      <c r="NAQ39" s="317"/>
      <c r="NAR39" s="317"/>
      <c r="NAS39" s="317"/>
      <c r="NAT39" s="317"/>
      <c r="NAU39" s="317"/>
      <c r="NAV39" s="317"/>
      <c r="NAW39" s="317"/>
      <c r="NAX39" s="317"/>
      <c r="NAY39" s="317"/>
      <c r="NAZ39" s="317"/>
      <c r="NBA39" s="317"/>
      <c r="NBB39" s="317"/>
      <c r="NBC39" s="317"/>
      <c r="NBD39" s="317"/>
      <c r="NBE39" s="317"/>
      <c r="NBF39" s="317"/>
      <c r="NBG39" s="317"/>
      <c r="NBH39" s="317"/>
      <c r="NBI39" s="317"/>
      <c r="NBJ39" s="317"/>
      <c r="NBK39" s="317"/>
      <c r="NBL39" s="317"/>
      <c r="NBM39" s="317"/>
      <c r="NBN39" s="317"/>
      <c r="NBO39" s="317"/>
      <c r="NBP39" s="317"/>
      <c r="NBQ39" s="317"/>
      <c r="NBR39" s="317"/>
      <c r="NBS39" s="317"/>
      <c r="NBT39" s="317"/>
      <c r="NBU39" s="317"/>
      <c r="NBV39" s="317"/>
      <c r="NBW39" s="317"/>
      <c r="NBX39" s="317"/>
      <c r="NBY39" s="317"/>
      <c r="NBZ39" s="317"/>
      <c r="NCA39" s="317"/>
      <c r="NCB39" s="317"/>
      <c r="NCC39" s="317"/>
      <c r="NCD39" s="317"/>
      <c r="NCE39" s="317"/>
      <c r="NCF39" s="317"/>
      <c r="NCG39" s="317"/>
      <c r="NCH39" s="317"/>
      <c r="NCI39" s="317"/>
      <c r="NCJ39" s="317"/>
      <c r="NCK39" s="317"/>
      <c r="NCL39" s="317"/>
      <c r="NCM39" s="317"/>
      <c r="NCN39" s="317"/>
      <c r="NCO39" s="317"/>
      <c r="NCP39" s="317"/>
      <c r="NCQ39" s="317"/>
      <c r="NCR39" s="317"/>
      <c r="NCS39" s="317"/>
      <c r="NCT39" s="317"/>
      <c r="NCU39" s="317"/>
      <c r="NCV39" s="317"/>
      <c r="NCW39" s="317"/>
      <c r="NCX39" s="317"/>
      <c r="NCY39" s="317"/>
      <c r="NCZ39" s="317"/>
      <c r="NDA39" s="317"/>
      <c r="NDB39" s="317"/>
      <c r="NDC39" s="317"/>
      <c r="NDD39" s="317"/>
      <c r="NDE39" s="317"/>
      <c r="NDF39" s="317"/>
      <c r="NDG39" s="317"/>
      <c r="NDH39" s="317"/>
      <c r="NDI39" s="317"/>
      <c r="NDJ39" s="317"/>
      <c r="NDK39" s="317"/>
      <c r="NDL39" s="317"/>
      <c r="NDM39" s="317"/>
      <c r="NDN39" s="317"/>
      <c r="NDO39" s="317"/>
      <c r="NDP39" s="317"/>
      <c r="NDQ39" s="317"/>
      <c r="NDR39" s="317"/>
      <c r="NDS39" s="317"/>
      <c r="NDT39" s="317"/>
      <c r="NDU39" s="317"/>
      <c r="NDV39" s="317"/>
      <c r="NDW39" s="317"/>
      <c r="NDX39" s="317"/>
      <c r="NDY39" s="317"/>
      <c r="NDZ39" s="317"/>
      <c r="NEA39" s="317"/>
      <c r="NEB39" s="317"/>
      <c r="NEC39" s="317"/>
      <c r="NED39" s="317"/>
      <c r="NEE39" s="317"/>
      <c r="NEF39" s="317"/>
      <c r="NEG39" s="317"/>
      <c r="NEH39" s="317"/>
      <c r="NEI39" s="317"/>
      <c r="NEJ39" s="317"/>
      <c r="NEK39" s="317"/>
      <c r="NEL39" s="317"/>
      <c r="NEM39" s="317"/>
      <c r="NEN39" s="317"/>
      <c r="NEO39" s="317"/>
      <c r="NEP39" s="317"/>
      <c r="NEQ39" s="317"/>
      <c r="NER39" s="317"/>
      <c r="NES39" s="317"/>
      <c r="NET39" s="317"/>
      <c r="NEU39" s="317"/>
      <c r="NEV39" s="317"/>
      <c r="NEW39" s="317"/>
      <c r="NEX39" s="317"/>
      <c r="NEY39" s="317"/>
      <c r="NEZ39" s="317"/>
      <c r="NFA39" s="317"/>
      <c r="NFB39" s="317"/>
      <c r="NFC39" s="317"/>
      <c r="NFD39" s="317"/>
      <c r="NFE39" s="317"/>
      <c r="NFF39" s="317"/>
      <c r="NFG39" s="317"/>
      <c r="NFH39" s="317"/>
      <c r="NFI39" s="317"/>
      <c r="NFJ39" s="317"/>
      <c r="NFK39" s="317"/>
      <c r="NFL39" s="317"/>
      <c r="NFM39" s="317"/>
      <c r="NFN39" s="317"/>
      <c r="NFO39" s="317"/>
      <c r="NFP39" s="317"/>
      <c r="NFQ39" s="317"/>
      <c r="NFR39" s="317"/>
      <c r="NFS39" s="317"/>
      <c r="NFT39" s="317"/>
      <c r="NFU39" s="317"/>
      <c r="NFV39" s="317"/>
      <c r="NFW39" s="317"/>
      <c r="NFX39" s="317"/>
      <c r="NFY39" s="317"/>
      <c r="NFZ39" s="317"/>
      <c r="NGA39" s="317"/>
      <c r="NGB39" s="317"/>
      <c r="NGC39" s="317"/>
      <c r="NGD39" s="317"/>
      <c r="NGE39" s="317"/>
      <c r="NGF39" s="317"/>
      <c r="NGG39" s="317"/>
      <c r="NGH39" s="317"/>
      <c r="NGI39" s="317"/>
      <c r="NGJ39" s="317"/>
      <c r="NGK39" s="317"/>
      <c r="NGL39" s="317"/>
      <c r="NGM39" s="317"/>
      <c r="NGN39" s="317"/>
      <c r="NGO39" s="317"/>
      <c r="NGP39" s="317"/>
      <c r="NGQ39" s="317"/>
      <c r="NGR39" s="317"/>
      <c r="NGS39" s="317"/>
      <c r="NGT39" s="317"/>
      <c r="NGU39" s="317"/>
      <c r="NGV39" s="317"/>
      <c r="NGW39" s="317"/>
      <c r="NGX39" s="317"/>
      <c r="NGY39" s="317"/>
      <c r="NGZ39" s="317"/>
      <c r="NHA39" s="317"/>
      <c r="NHB39" s="317"/>
      <c r="NHC39" s="317"/>
      <c r="NHD39" s="317"/>
      <c r="NHE39" s="317"/>
      <c r="NHF39" s="317"/>
      <c r="NHG39" s="317"/>
      <c r="NHH39" s="317"/>
      <c r="NHI39" s="317"/>
      <c r="NHJ39" s="317"/>
      <c r="NHK39" s="317"/>
      <c r="NHL39" s="317"/>
      <c r="NHM39" s="317"/>
      <c r="NHN39" s="317"/>
      <c r="NHO39" s="317"/>
      <c r="NHP39" s="317"/>
      <c r="NHQ39" s="317"/>
      <c r="NHR39" s="317"/>
      <c r="NHS39" s="317"/>
      <c r="NHT39" s="317"/>
      <c r="NHU39" s="317"/>
      <c r="NHV39" s="317"/>
      <c r="NHW39" s="317"/>
      <c r="NHX39" s="317"/>
      <c r="NHY39" s="317"/>
      <c r="NHZ39" s="317"/>
      <c r="NIA39" s="317"/>
      <c r="NIB39" s="317"/>
      <c r="NIC39" s="317"/>
      <c r="NID39" s="317"/>
      <c r="NIE39" s="317"/>
      <c r="NIF39" s="317"/>
      <c r="NIG39" s="317"/>
      <c r="NIH39" s="317"/>
      <c r="NII39" s="317"/>
      <c r="NIJ39" s="317"/>
      <c r="NIK39" s="317"/>
      <c r="NIL39" s="317"/>
      <c r="NIM39" s="317"/>
      <c r="NIN39" s="317"/>
      <c r="NIO39" s="317"/>
      <c r="NIP39" s="317"/>
      <c r="NIQ39" s="317"/>
      <c r="NIR39" s="317"/>
      <c r="NIS39" s="317"/>
      <c r="NIT39" s="317"/>
      <c r="NIU39" s="317"/>
      <c r="NIV39" s="317"/>
      <c r="NIW39" s="317"/>
      <c r="NIX39" s="317"/>
      <c r="NIY39" s="317"/>
      <c r="NIZ39" s="317"/>
      <c r="NJA39" s="317"/>
      <c r="NJB39" s="317"/>
      <c r="NJC39" s="317"/>
      <c r="NJD39" s="317"/>
      <c r="NJE39" s="317"/>
      <c r="NJF39" s="317"/>
      <c r="NJG39" s="317"/>
      <c r="NJH39" s="317"/>
      <c r="NJI39" s="317"/>
      <c r="NJJ39" s="317"/>
      <c r="NJK39" s="317"/>
      <c r="NJL39" s="317"/>
      <c r="NJM39" s="317"/>
      <c r="NJN39" s="317"/>
      <c r="NJO39" s="317"/>
      <c r="NJP39" s="317"/>
      <c r="NJQ39" s="317"/>
      <c r="NJR39" s="317"/>
      <c r="NJS39" s="317"/>
      <c r="NJT39" s="317"/>
      <c r="NJU39" s="317"/>
      <c r="NJV39" s="317"/>
      <c r="NJW39" s="317"/>
      <c r="NJX39" s="317"/>
      <c r="NJY39" s="317"/>
      <c r="NJZ39" s="317"/>
      <c r="NKA39" s="317"/>
      <c r="NKB39" s="317"/>
      <c r="NKC39" s="317"/>
      <c r="NKD39" s="317"/>
      <c r="NKE39" s="317"/>
      <c r="NKF39" s="317"/>
      <c r="NKG39" s="317"/>
      <c r="NKH39" s="317"/>
      <c r="NKI39" s="317"/>
      <c r="NKJ39" s="317"/>
      <c r="NKK39" s="317"/>
      <c r="NKL39" s="317"/>
      <c r="NKM39" s="317"/>
      <c r="NKN39" s="317"/>
      <c r="NKO39" s="317"/>
      <c r="NKP39" s="317"/>
      <c r="NKQ39" s="317"/>
      <c r="NKR39" s="317"/>
      <c r="NKS39" s="317"/>
      <c r="NKT39" s="317"/>
      <c r="NKU39" s="317"/>
      <c r="NKV39" s="317"/>
      <c r="NKW39" s="317"/>
      <c r="NKX39" s="317"/>
      <c r="NKY39" s="317"/>
      <c r="NKZ39" s="317"/>
      <c r="NLA39" s="317"/>
      <c r="NLB39" s="317"/>
      <c r="NLC39" s="317"/>
      <c r="NLD39" s="317"/>
      <c r="NLE39" s="317"/>
      <c r="NLF39" s="317"/>
      <c r="NLG39" s="317"/>
      <c r="NLH39" s="317"/>
      <c r="NLI39" s="317"/>
      <c r="NLJ39" s="317"/>
      <c r="NLK39" s="317"/>
      <c r="NLL39" s="317"/>
      <c r="NLM39" s="317"/>
      <c r="NLN39" s="317"/>
      <c r="NLO39" s="317"/>
      <c r="NLP39" s="317"/>
      <c r="NLQ39" s="317"/>
      <c r="NLR39" s="317"/>
      <c r="NLS39" s="317"/>
      <c r="NLT39" s="317"/>
      <c r="NLU39" s="317"/>
      <c r="NLV39" s="317"/>
      <c r="NLW39" s="317"/>
      <c r="NLX39" s="317"/>
      <c r="NLY39" s="317"/>
      <c r="NLZ39" s="317"/>
      <c r="NMA39" s="317"/>
      <c r="NMB39" s="317"/>
      <c r="NMC39" s="317"/>
      <c r="NMD39" s="317"/>
      <c r="NME39" s="317"/>
      <c r="NMF39" s="317"/>
      <c r="NMG39" s="317"/>
      <c r="NMH39" s="317"/>
      <c r="NMI39" s="317"/>
      <c r="NMJ39" s="317"/>
      <c r="NMK39" s="317"/>
      <c r="NML39" s="317"/>
      <c r="NMM39" s="317"/>
      <c r="NMN39" s="317"/>
      <c r="NMO39" s="317"/>
      <c r="NMP39" s="317"/>
      <c r="NMQ39" s="317"/>
      <c r="NMR39" s="317"/>
      <c r="NMS39" s="317"/>
      <c r="NMT39" s="317"/>
      <c r="NMU39" s="317"/>
      <c r="NMV39" s="317"/>
      <c r="NMW39" s="317"/>
      <c r="NMX39" s="317"/>
      <c r="NMY39" s="317"/>
      <c r="NMZ39" s="317"/>
      <c r="NNA39" s="317"/>
      <c r="NNB39" s="317"/>
      <c r="NNC39" s="317"/>
      <c r="NND39" s="317"/>
      <c r="NNE39" s="317"/>
      <c r="NNF39" s="317"/>
      <c r="NNG39" s="317"/>
      <c r="NNH39" s="317"/>
      <c r="NNI39" s="317"/>
      <c r="NNJ39" s="317"/>
      <c r="NNK39" s="317"/>
      <c r="NNL39" s="317"/>
      <c r="NNM39" s="317"/>
      <c r="NNN39" s="317"/>
      <c r="NNO39" s="317"/>
      <c r="NNP39" s="317"/>
      <c r="NNQ39" s="317"/>
      <c r="NNR39" s="317"/>
      <c r="NNS39" s="317"/>
      <c r="NNT39" s="317"/>
      <c r="NNU39" s="317"/>
      <c r="NNV39" s="317"/>
      <c r="NNW39" s="317"/>
      <c r="NNX39" s="317"/>
      <c r="NNY39" s="317"/>
      <c r="NNZ39" s="317"/>
      <c r="NOA39" s="317"/>
      <c r="NOB39" s="317"/>
      <c r="NOC39" s="317"/>
      <c r="NOD39" s="317"/>
      <c r="NOE39" s="317"/>
      <c r="NOF39" s="317"/>
      <c r="NOG39" s="317"/>
      <c r="NOH39" s="317"/>
      <c r="NOI39" s="317"/>
      <c r="NOJ39" s="317"/>
      <c r="NOK39" s="317"/>
      <c r="NOL39" s="317"/>
      <c r="NOM39" s="317"/>
      <c r="NON39" s="317"/>
      <c r="NOO39" s="317"/>
      <c r="NOP39" s="317"/>
      <c r="NOQ39" s="317"/>
      <c r="NOR39" s="317"/>
      <c r="NOS39" s="317"/>
      <c r="NOT39" s="317"/>
      <c r="NOU39" s="317"/>
      <c r="NOV39" s="317"/>
      <c r="NOW39" s="317"/>
      <c r="NOX39" s="317"/>
      <c r="NOY39" s="317"/>
      <c r="NOZ39" s="317"/>
      <c r="NPA39" s="317"/>
      <c r="NPB39" s="317"/>
      <c r="NPC39" s="317"/>
      <c r="NPD39" s="317"/>
      <c r="NPE39" s="317"/>
      <c r="NPF39" s="317"/>
      <c r="NPG39" s="317"/>
      <c r="NPH39" s="317"/>
      <c r="NPI39" s="317"/>
      <c r="NPJ39" s="317"/>
      <c r="NPK39" s="317"/>
      <c r="NPL39" s="317"/>
      <c r="NPM39" s="317"/>
      <c r="NPN39" s="317"/>
      <c r="NPO39" s="317"/>
      <c r="NPP39" s="317"/>
      <c r="NPQ39" s="317"/>
      <c r="NPR39" s="317"/>
      <c r="NPS39" s="317"/>
      <c r="NPT39" s="317"/>
      <c r="NPU39" s="317"/>
      <c r="NPV39" s="317"/>
      <c r="NPW39" s="317"/>
      <c r="NPX39" s="317"/>
      <c r="NPY39" s="317"/>
      <c r="NPZ39" s="317"/>
      <c r="NQA39" s="317"/>
      <c r="NQB39" s="317"/>
      <c r="NQC39" s="317"/>
      <c r="NQD39" s="317"/>
      <c r="NQE39" s="317"/>
      <c r="NQF39" s="317"/>
      <c r="NQG39" s="317"/>
      <c r="NQH39" s="317"/>
      <c r="NQI39" s="317"/>
      <c r="NQJ39" s="317"/>
      <c r="NQK39" s="317"/>
      <c r="NQL39" s="317"/>
      <c r="NQM39" s="317"/>
      <c r="NQN39" s="317"/>
      <c r="NQO39" s="317"/>
      <c r="NQP39" s="317"/>
      <c r="NQQ39" s="317"/>
      <c r="NQR39" s="317"/>
      <c r="NQS39" s="317"/>
      <c r="NQT39" s="317"/>
      <c r="NQU39" s="317"/>
      <c r="NQV39" s="317"/>
      <c r="NQW39" s="317"/>
      <c r="NQX39" s="317"/>
      <c r="NQY39" s="317"/>
      <c r="NQZ39" s="317"/>
      <c r="NRA39" s="317"/>
      <c r="NRB39" s="317"/>
      <c r="NRC39" s="317"/>
      <c r="NRD39" s="317"/>
      <c r="NRE39" s="317"/>
      <c r="NRF39" s="317"/>
      <c r="NRG39" s="317"/>
      <c r="NRH39" s="317"/>
      <c r="NRI39" s="317"/>
      <c r="NRJ39" s="317"/>
      <c r="NRK39" s="317"/>
      <c r="NRL39" s="317"/>
      <c r="NRM39" s="317"/>
      <c r="NRN39" s="317"/>
      <c r="NRO39" s="317"/>
      <c r="NRP39" s="317"/>
      <c r="NRQ39" s="317"/>
      <c r="NRR39" s="317"/>
      <c r="NRS39" s="317"/>
      <c r="NRT39" s="317"/>
      <c r="NRU39" s="317"/>
      <c r="NRV39" s="317"/>
      <c r="NRW39" s="317"/>
      <c r="NRX39" s="317"/>
      <c r="NRY39" s="317"/>
      <c r="NRZ39" s="317"/>
      <c r="NSA39" s="317"/>
      <c r="NSB39" s="317"/>
      <c r="NSC39" s="317"/>
      <c r="NSD39" s="317"/>
      <c r="NSE39" s="317"/>
      <c r="NSF39" s="317"/>
      <c r="NSG39" s="317"/>
      <c r="NSH39" s="317"/>
      <c r="NSI39" s="317"/>
      <c r="NSJ39" s="317"/>
      <c r="NSK39" s="317"/>
      <c r="NSL39" s="317"/>
      <c r="NSM39" s="317"/>
      <c r="NSN39" s="317"/>
      <c r="NSO39" s="317"/>
      <c r="NSP39" s="317"/>
      <c r="NSQ39" s="317"/>
      <c r="NSR39" s="317"/>
      <c r="NSS39" s="317"/>
      <c r="NST39" s="317"/>
      <c r="NSU39" s="317"/>
      <c r="NSV39" s="317"/>
      <c r="NSW39" s="317"/>
      <c r="NSX39" s="317"/>
      <c r="NSY39" s="317"/>
      <c r="NSZ39" s="317"/>
      <c r="NTA39" s="317"/>
      <c r="NTB39" s="317"/>
      <c r="NTC39" s="317"/>
      <c r="NTD39" s="317"/>
      <c r="NTE39" s="317"/>
      <c r="NTF39" s="317"/>
      <c r="NTG39" s="317"/>
      <c r="NTH39" s="317"/>
      <c r="NTI39" s="317"/>
      <c r="NTJ39" s="317"/>
      <c r="NTK39" s="317"/>
      <c r="NTL39" s="317"/>
      <c r="NTM39" s="317"/>
      <c r="NTN39" s="317"/>
      <c r="NTO39" s="317"/>
      <c r="NTP39" s="317"/>
      <c r="NTQ39" s="317"/>
      <c r="NTR39" s="317"/>
      <c r="NTS39" s="317"/>
      <c r="NTT39" s="317"/>
      <c r="NTU39" s="317"/>
      <c r="NTV39" s="317"/>
      <c r="NTW39" s="317"/>
      <c r="NTX39" s="317"/>
      <c r="NTY39" s="317"/>
      <c r="NTZ39" s="317"/>
      <c r="NUA39" s="317"/>
      <c r="NUB39" s="317"/>
      <c r="NUC39" s="317"/>
      <c r="NUD39" s="317"/>
      <c r="NUE39" s="317"/>
      <c r="NUF39" s="317"/>
      <c r="NUG39" s="317"/>
      <c r="NUH39" s="317"/>
      <c r="NUI39" s="317"/>
      <c r="NUJ39" s="317"/>
      <c r="NUK39" s="317"/>
      <c r="NUL39" s="317"/>
      <c r="NUM39" s="317"/>
      <c r="NUN39" s="317"/>
      <c r="NUO39" s="317"/>
      <c r="NUP39" s="317"/>
      <c r="NUQ39" s="317"/>
      <c r="NUR39" s="317"/>
      <c r="NUS39" s="317"/>
      <c r="NUT39" s="317"/>
      <c r="NUU39" s="317"/>
      <c r="NUV39" s="317"/>
      <c r="NUW39" s="317"/>
      <c r="NUX39" s="317"/>
      <c r="NUY39" s="317"/>
      <c r="NUZ39" s="317"/>
      <c r="NVA39" s="317"/>
      <c r="NVB39" s="317"/>
      <c r="NVC39" s="317"/>
      <c r="NVD39" s="317"/>
      <c r="NVE39" s="317"/>
      <c r="NVF39" s="317"/>
      <c r="NVG39" s="317"/>
      <c r="NVH39" s="317"/>
      <c r="NVI39" s="317"/>
      <c r="NVJ39" s="317"/>
      <c r="NVK39" s="317"/>
      <c r="NVL39" s="317"/>
      <c r="NVM39" s="317"/>
      <c r="NVN39" s="317"/>
      <c r="NVO39" s="317"/>
      <c r="NVP39" s="317"/>
      <c r="NVQ39" s="317"/>
      <c r="NVR39" s="317"/>
      <c r="NVS39" s="317"/>
      <c r="NVT39" s="317"/>
      <c r="NVU39" s="317"/>
      <c r="NVV39" s="317"/>
      <c r="NVW39" s="317"/>
      <c r="NVX39" s="317"/>
      <c r="NVY39" s="317"/>
      <c r="NVZ39" s="317"/>
      <c r="NWA39" s="317"/>
      <c r="NWB39" s="317"/>
      <c r="NWC39" s="317"/>
      <c r="NWD39" s="317"/>
      <c r="NWE39" s="317"/>
      <c r="NWF39" s="317"/>
      <c r="NWG39" s="317"/>
      <c r="NWH39" s="317"/>
      <c r="NWI39" s="317"/>
      <c r="NWJ39" s="317"/>
      <c r="NWK39" s="317"/>
      <c r="NWL39" s="317"/>
      <c r="NWM39" s="317"/>
      <c r="NWN39" s="317"/>
      <c r="NWO39" s="317"/>
      <c r="NWP39" s="317"/>
      <c r="NWQ39" s="317"/>
      <c r="NWR39" s="317"/>
      <c r="NWS39" s="317"/>
      <c r="NWT39" s="317"/>
      <c r="NWU39" s="317"/>
      <c r="NWV39" s="317"/>
      <c r="NWW39" s="317"/>
      <c r="NWX39" s="317"/>
      <c r="NWY39" s="317"/>
      <c r="NWZ39" s="317"/>
      <c r="NXA39" s="317"/>
      <c r="NXB39" s="317"/>
      <c r="NXC39" s="317"/>
      <c r="NXD39" s="317"/>
      <c r="NXE39" s="317"/>
      <c r="NXF39" s="317"/>
      <c r="NXG39" s="317"/>
      <c r="NXH39" s="317"/>
      <c r="NXI39" s="317"/>
      <c r="NXJ39" s="317"/>
      <c r="NXK39" s="317"/>
      <c r="NXL39" s="317"/>
      <c r="NXM39" s="317"/>
      <c r="NXN39" s="317"/>
      <c r="NXO39" s="317"/>
      <c r="NXP39" s="317"/>
      <c r="NXQ39" s="317"/>
      <c r="NXR39" s="317"/>
      <c r="NXS39" s="317"/>
      <c r="NXT39" s="317"/>
      <c r="NXU39" s="317"/>
      <c r="NXV39" s="317"/>
      <c r="NXW39" s="317"/>
      <c r="NXX39" s="317"/>
      <c r="NXY39" s="317"/>
      <c r="NXZ39" s="317"/>
      <c r="NYA39" s="317"/>
      <c r="NYB39" s="317"/>
      <c r="NYC39" s="317"/>
      <c r="NYD39" s="317"/>
      <c r="NYE39" s="317"/>
      <c r="NYF39" s="317"/>
      <c r="NYG39" s="317"/>
      <c r="NYH39" s="317"/>
      <c r="NYI39" s="317"/>
      <c r="NYJ39" s="317"/>
      <c r="NYK39" s="317"/>
      <c r="NYL39" s="317"/>
      <c r="NYM39" s="317"/>
      <c r="NYN39" s="317"/>
      <c r="NYO39" s="317"/>
      <c r="NYP39" s="317"/>
      <c r="NYQ39" s="317"/>
      <c r="NYR39" s="317"/>
      <c r="NYS39" s="317"/>
      <c r="NYT39" s="317"/>
      <c r="NYU39" s="317"/>
      <c r="NYV39" s="317"/>
      <c r="NYW39" s="317"/>
      <c r="NYX39" s="317"/>
      <c r="NYY39" s="317"/>
      <c r="NYZ39" s="317"/>
      <c r="NZA39" s="317"/>
      <c r="NZB39" s="317"/>
      <c r="NZC39" s="317"/>
      <c r="NZD39" s="317"/>
      <c r="NZE39" s="317"/>
      <c r="NZF39" s="317"/>
      <c r="NZG39" s="317"/>
      <c r="NZH39" s="317"/>
      <c r="NZI39" s="317"/>
      <c r="NZJ39" s="317"/>
      <c r="NZK39" s="317"/>
      <c r="NZL39" s="317"/>
      <c r="NZM39" s="317"/>
      <c r="NZN39" s="317"/>
      <c r="NZO39" s="317"/>
      <c r="NZP39" s="317"/>
      <c r="NZQ39" s="317"/>
      <c r="NZR39" s="317"/>
      <c r="NZS39" s="317"/>
      <c r="NZT39" s="317"/>
      <c r="NZU39" s="317"/>
      <c r="NZV39" s="317"/>
      <c r="NZW39" s="317"/>
      <c r="NZX39" s="317"/>
      <c r="NZY39" s="317"/>
      <c r="NZZ39" s="317"/>
      <c r="OAA39" s="317"/>
      <c r="OAB39" s="317"/>
      <c r="OAC39" s="317"/>
      <c r="OAD39" s="317"/>
      <c r="OAE39" s="317"/>
      <c r="OAF39" s="317"/>
      <c r="OAG39" s="317"/>
      <c r="OAH39" s="317"/>
      <c r="OAI39" s="317"/>
      <c r="OAJ39" s="317"/>
      <c r="OAK39" s="317"/>
      <c r="OAL39" s="317"/>
      <c r="OAM39" s="317"/>
      <c r="OAN39" s="317"/>
      <c r="OAO39" s="317"/>
      <c r="OAP39" s="317"/>
      <c r="OAQ39" s="317"/>
      <c r="OAR39" s="317"/>
      <c r="OAS39" s="317"/>
      <c r="OAT39" s="317"/>
      <c r="OAU39" s="317"/>
      <c r="OAV39" s="317"/>
      <c r="OAW39" s="317"/>
      <c r="OAX39" s="317"/>
      <c r="OAY39" s="317"/>
      <c r="OAZ39" s="317"/>
      <c r="OBA39" s="317"/>
      <c r="OBB39" s="317"/>
      <c r="OBC39" s="317"/>
      <c r="OBD39" s="317"/>
      <c r="OBE39" s="317"/>
      <c r="OBF39" s="317"/>
      <c r="OBG39" s="317"/>
      <c r="OBH39" s="317"/>
      <c r="OBI39" s="317"/>
      <c r="OBJ39" s="317"/>
      <c r="OBK39" s="317"/>
      <c r="OBL39" s="317"/>
      <c r="OBM39" s="317"/>
      <c r="OBN39" s="317"/>
      <c r="OBO39" s="317"/>
      <c r="OBP39" s="317"/>
      <c r="OBQ39" s="317"/>
      <c r="OBR39" s="317"/>
      <c r="OBS39" s="317"/>
      <c r="OBT39" s="317"/>
      <c r="OBU39" s="317"/>
      <c r="OBV39" s="317"/>
      <c r="OBW39" s="317"/>
      <c r="OBX39" s="317"/>
      <c r="OBY39" s="317"/>
      <c r="OBZ39" s="317"/>
      <c r="OCA39" s="317"/>
      <c r="OCB39" s="317"/>
      <c r="OCC39" s="317"/>
      <c r="OCD39" s="317"/>
      <c r="OCE39" s="317"/>
      <c r="OCF39" s="317"/>
      <c r="OCG39" s="317"/>
      <c r="OCH39" s="317"/>
      <c r="OCI39" s="317"/>
      <c r="OCJ39" s="317"/>
      <c r="OCK39" s="317"/>
      <c r="OCL39" s="317"/>
      <c r="OCM39" s="317"/>
      <c r="OCN39" s="317"/>
      <c r="OCO39" s="317"/>
      <c r="OCP39" s="317"/>
      <c r="OCQ39" s="317"/>
      <c r="OCR39" s="317"/>
      <c r="OCS39" s="317"/>
      <c r="OCT39" s="317"/>
      <c r="OCU39" s="317"/>
      <c r="OCV39" s="317"/>
      <c r="OCW39" s="317"/>
      <c r="OCX39" s="317"/>
      <c r="OCY39" s="317"/>
      <c r="OCZ39" s="317"/>
      <c r="ODA39" s="317"/>
      <c r="ODB39" s="317"/>
      <c r="ODC39" s="317"/>
      <c r="ODD39" s="317"/>
      <c r="ODE39" s="317"/>
      <c r="ODF39" s="317"/>
      <c r="ODG39" s="317"/>
      <c r="ODH39" s="317"/>
      <c r="ODI39" s="317"/>
      <c r="ODJ39" s="317"/>
      <c r="ODK39" s="317"/>
      <c r="ODL39" s="317"/>
      <c r="ODM39" s="317"/>
      <c r="ODN39" s="317"/>
      <c r="ODO39" s="317"/>
      <c r="ODP39" s="317"/>
      <c r="ODQ39" s="317"/>
      <c r="ODR39" s="317"/>
      <c r="ODS39" s="317"/>
      <c r="ODT39" s="317"/>
      <c r="ODU39" s="317"/>
      <c r="ODV39" s="317"/>
      <c r="ODW39" s="317"/>
      <c r="ODX39" s="317"/>
      <c r="ODY39" s="317"/>
      <c r="ODZ39" s="317"/>
      <c r="OEA39" s="317"/>
      <c r="OEB39" s="317"/>
      <c r="OEC39" s="317"/>
      <c r="OED39" s="317"/>
      <c r="OEE39" s="317"/>
      <c r="OEF39" s="317"/>
      <c r="OEG39" s="317"/>
      <c r="OEH39" s="317"/>
      <c r="OEI39" s="317"/>
      <c r="OEJ39" s="317"/>
      <c r="OEK39" s="317"/>
      <c r="OEL39" s="317"/>
      <c r="OEM39" s="317"/>
      <c r="OEN39" s="317"/>
      <c r="OEO39" s="317"/>
      <c r="OEP39" s="317"/>
      <c r="OEQ39" s="317"/>
      <c r="OER39" s="317"/>
      <c r="OES39" s="317"/>
      <c r="OET39" s="317"/>
      <c r="OEU39" s="317"/>
      <c r="OEV39" s="317"/>
      <c r="OEW39" s="317"/>
      <c r="OEX39" s="317"/>
      <c r="OEY39" s="317"/>
      <c r="OEZ39" s="317"/>
      <c r="OFA39" s="317"/>
      <c r="OFB39" s="317"/>
      <c r="OFC39" s="317"/>
      <c r="OFD39" s="317"/>
      <c r="OFE39" s="317"/>
      <c r="OFF39" s="317"/>
      <c r="OFG39" s="317"/>
      <c r="OFH39" s="317"/>
      <c r="OFI39" s="317"/>
      <c r="OFJ39" s="317"/>
      <c r="OFK39" s="317"/>
      <c r="OFL39" s="317"/>
      <c r="OFM39" s="317"/>
      <c r="OFN39" s="317"/>
      <c r="OFO39" s="317"/>
      <c r="OFP39" s="317"/>
      <c r="OFQ39" s="317"/>
      <c r="OFR39" s="317"/>
      <c r="OFS39" s="317"/>
      <c r="OFT39" s="317"/>
      <c r="OFU39" s="317"/>
      <c r="OFV39" s="317"/>
      <c r="OFW39" s="317"/>
      <c r="OFX39" s="317"/>
      <c r="OFY39" s="317"/>
      <c r="OFZ39" s="317"/>
      <c r="OGA39" s="317"/>
      <c r="OGB39" s="317"/>
      <c r="OGC39" s="317"/>
      <c r="OGD39" s="317"/>
      <c r="OGE39" s="317"/>
      <c r="OGF39" s="317"/>
      <c r="OGG39" s="317"/>
      <c r="OGH39" s="317"/>
      <c r="OGI39" s="317"/>
      <c r="OGJ39" s="317"/>
      <c r="OGK39" s="317"/>
      <c r="OGL39" s="317"/>
      <c r="OGM39" s="317"/>
      <c r="OGN39" s="317"/>
      <c r="OGO39" s="317"/>
      <c r="OGP39" s="317"/>
      <c r="OGQ39" s="317"/>
      <c r="OGR39" s="317"/>
      <c r="OGS39" s="317"/>
      <c r="OGT39" s="317"/>
      <c r="OGU39" s="317"/>
      <c r="OGV39" s="317"/>
      <c r="OGW39" s="317"/>
      <c r="OGX39" s="317"/>
      <c r="OGY39" s="317"/>
      <c r="OGZ39" s="317"/>
      <c r="OHA39" s="317"/>
      <c r="OHB39" s="317"/>
      <c r="OHC39" s="317"/>
      <c r="OHD39" s="317"/>
      <c r="OHE39" s="317"/>
      <c r="OHF39" s="317"/>
      <c r="OHG39" s="317"/>
      <c r="OHH39" s="317"/>
      <c r="OHI39" s="317"/>
      <c r="OHJ39" s="317"/>
      <c r="OHK39" s="317"/>
      <c r="OHL39" s="317"/>
      <c r="OHM39" s="317"/>
      <c r="OHN39" s="317"/>
      <c r="OHO39" s="317"/>
      <c r="OHP39" s="317"/>
      <c r="OHQ39" s="317"/>
      <c r="OHR39" s="317"/>
      <c r="OHS39" s="317"/>
      <c r="OHT39" s="317"/>
      <c r="OHU39" s="317"/>
      <c r="OHV39" s="317"/>
      <c r="OHW39" s="317"/>
      <c r="OHX39" s="317"/>
      <c r="OHY39" s="317"/>
      <c r="OHZ39" s="317"/>
      <c r="OIA39" s="317"/>
      <c r="OIB39" s="317"/>
      <c r="OIC39" s="317"/>
      <c r="OID39" s="317"/>
      <c r="OIE39" s="317"/>
      <c r="OIF39" s="317"/>
      <c r="OIG39" s="317"/>
      <c r="OIH39" s="317"/>
      <c r="OII39" s="317"/>
      <c r="OIJ39" s="317"/>
      <c r="OIK39" s="317"/>
      <c r="OIL39" s="317"/>
      <c r="OIM39" s="317"/>
      <c r="OIN39" s="317"/>
      <c r="OIO39" s="317"/>
      <c r="OIP39" s="317"/>
      <c r="OIQ39" s="317"/>
      <c r="OIR39" s="317"/>
      <c r="OIS39" s="317"/>
      <c r="OIT39" s="317"/>
      <c r="OIU39" s="317"/>
      <c r="OIV39" s="317"/>
      <c r="OIW39" s="317"/>
      <c r="OIX39" s="317"/>
      <c r="OIY39" s="317"/>
      <c r="OIZ39" s="317"/>
      <c r="OJA39" s="317"/>
      <c r="OJB39" s="317"/>
      <c r="OJC39" s="317"/>
      <c r="OJD39" s="317"/>
      <c r="OJE39" s="317"/>
      <c r="OJF39" s="317"/>
      <c r="OJG39" s="317"/>
      <c r="OJH39" s="317"/>
      <c r="OJI39" s="317"/>
      <c r="OJJ39" s="317"/>
      <c r="OJK39" s="317"/>
      <c r="OJL39" s="317"/>
      <c r="OJM39" s="317"/>
      <c r="OJN39" s="317"/>
      <c r="OJO39" s="317"/>
      <c r="OJP39" s="317"/>
      <c r="OJQ39" s="317"/>
      <c r="OJR39" s="317"/>
      <c r="OJS39" s="317"/>
      <c r="OJT39" s="317"/>
      <c r="OJU39" s="317"/>
      <c r="OJV39" s="317"/>
      <c r="OJW39" s="317"/>
      <c r="OJX39" s="317"/>
      <c r="OJY39" s="317"/>
      <c r="OJZ39" s="317"/>
      <c r="OKA39" s="317"/>
      <c r="OKB39" s="317"/>
      <c r="OKC39" s="317"/>
      <c r="OKD39" s="317"/>
      <c r="OKE39" s="317"/>
      <c r="OKF39" s="317"/>
      <c r="OKG39" s="317"/>
      <c r="OKH39" s="317"/>
      <c r="OKI39" s="317"/>
      <c r="OKJ39" s="317"/>
      <c r="OKK39" s="317"/>
      <c r="OKL39" s="317"/>
      <c r="OKM39" s="317"/>
      <c r="OKN39" s="317"/>
      <c r="OKO39" s="317"/>
      <c r="OKP39" s="317"/>
      <c r="OKQ39" s="317"/>
      <c r="OKR39" s="317"/>
      <c r="OKS39" s="317"/>
      <c r="OKT39" s="317"/>
      <c r="OKU39" s="317"/>
      <c r="OKV39" s="317"/>
      <c r="OKW39" s="317"/>
      <c r="OKX39" s="317"/>
      <c r="OKY39" s="317"/>
      <c r="OKZ39" s="317"/>
      <c r="OLA39" s="317"/>
      <c r="OLB39" s="317"/>
      <c r="OLC39" s="317"/>
      <c r="OLD39" s="317"/>
      <c r="OLE39" s="317"/>
      <c r="OLF39" s="317"/>
      <c r="OLG39" s="317"/>
      <c r="OLH39" s="317"/>
      <c r="OLI39" s="317"/>
      <c r="OLJ39" s="317"/>
      <c r="OLK39" s="317"/>
      <c r="OLL39" s="317"/>
      <c r="OLM39" s="317"/>
      <c r="OLN39" s="317"/>
      <c r="OLO39" s="317"/>
      <c r="OLP39" s="317"/>
      <c r="OLQ39" s="317"/>
      <c r="OLR39" s="317"/>
      <c r="OLS39" s="317"/>
      <c r="OLT39" s="317"/>
      <c r="OLU39" s="317"/>
      <c r="OLV39" s="317"/>
      <c r="OLW39" s="317"/>
      <c r="OLX39" s="317"/>
      <c r="OLY39" s="317"/>
      <c r="OLZ39" s="317"/>
      <c r="OMA39" s="317"/>
      <c r="OMB39" s="317"/>
      <c r="OMC39" s="317"/>
      <c r="OMD39" s="317"/>
      <c r="OME39" s="317"/>
      <c r="OMF39" s="317"/>
      <c r="OMG39" s="317"/>
      <c r="OMH39" s="317"/>
      <c r="OMI39" s="317"/>
      <c r="OMJ39" s="317"/>
      <c r="OMK39" s="317"/>
      <c r="OML39" s="317"/>
      <c r="OMM39" s="317"/>
      <c r="OMN39" s="317"/>
      <c r="OMO39" s="317"/>
      <c r="OMP39" s="317"/>
      <c r="OMQ39" s="317"/>
      <c r="OMR39" s="317"/>
      <c r="OMS39" s="317"/>
      <c r="OMT39" s="317"/>
      <c r="OMU39" s="317"/>
      <c r="OMV39" s="317"/>
      <c r="OMW39" s="317"/>
      <c r="OMX39" s="317"/>
      <c r="OMY39" s="317"/>
      <c r="OMZ39" s="317"/>
      <c r="ONA39" s="317"/>
      <c r="ONB39" s="317"/>
      <c r="ONC39" s="317"/>
      <c r="OND39" s="317"/>
      <c r="ONE39" s="317"/>
      <c r="ONF39" s="317"/>
      <c r="ONG39" s="317"/>
      <c r="ONH39" s="317"/>
      <c r="ONI39" s="317"/>
      <c r="ONJ39" s="317"/>
      <c r="ONK39" s="317"/>
      <c r="ONL39" s="317"/>
      <c r="ONM39" s="317"/>
      <c r="ONN39" s="317"/>
      <c r="ONO39" s="317"/>
      <c r="ONP39" s="317"/>
      <c r="ONQ39" s="317"/>
      <c r="ONR39" s="317"/>
      <c r="ONS39" s="317"/>
      <c r="ONT39" s="317"/>
      <c r="ONU39" s="317"/>
      <c r="ONV39" s="317"/>
      <c r="ONW39" s="317"/>
      <c r="ONX39" s="317"/>
      <c r="ONY39" s="317"/>
      <c r="ONZ39" s="317"/>
      <c r="OOA39" s="317"/>
      <c r="OOB39" s="317"/>
      <c r="OOC39" s="317"/>
      <c r="OOD39" s="317"/>
      <c r="OOE39" s="317"/>
      <c r="OOF39" s="317"/>
      <c r="OOG39" s="317"/>
      <c r="OOH39" s="317"/>
      <c r="OOI39" s="317"/>
      <c r="OOJ39" s="317"/>
      <c r="OOK39" s="317"/>
      <c r="OOL39" s="317"/>
      <c r="OOM39" s="317"/>
      <c r="OON39" s="317"/>
      <c r="OOO39" s="317"/>
      <c r="OOP39" s="317"/>
      <c r="OOQ39" s="317"/>
      <c r="OOR39" s="317"/>
      <c r="OOS39" s="317"/>
      <c r="OOT39" s="317"/>
      <c r="OOU39" s="317"/>
      <c r="OOV39" s="317"/>
      <c r="OOW39" s="317"/>
      <c r="OOX39" s="317"/>
      <c r="OOY39" s="317"/>
      <c r="OOZ39" s="317"/>
      <c r="OPA39" s="317"/>
      <c r="OPB39" s="317"/>
      <c r="OPC39" s="317"/>
      <c r="OPD39" s="317"/>
      <c r="OPE39" s="317"/>
      <c r="OPF39" s="317"/>
      <c r="OPG39" s="317"/>
      <c r="OPH39" s="317"/>
      <c r="OPI39" s="317"/>
      <c r="OPJ39" s="317"/>
      <c r="OPK39" s="317"/>
      <c r="OPL39" s="317"/>
      <c r="OPM39" s="317"/>
      <c r="OPN39" s="317"/>
      <c r="OPO39" s="317"/>
      <c r="OPP39" s="317"/>
      <c r="OPQ39" s="317"/>
      <c r="OPR39" s="317"/>
      <c r="OPS39" s="317"/>
      <c r="OPT39" s="317"/>
      <c r="OPU39" s="317"/>
      <c r="OPV39" s="317"/>
      <c r="OPW39" s="317"/>
      <c r="OPX39" s="317"/>
      <c r="OPY39" s="317"/>
      <c r="OPZ39" s="317"/>
      <c r="OQA39" s="317"/>
      <c r="OQB39" s="317"/>
      <c r="OQC39" s="317"/>
      <c r="OQD39" s="317"/>
      <c r="OQE39" s="317"/>
      <c r="OQF39" s="317"/>
      <c r="OQG39" s="317"/>
      <c r="OQH39" s="317"/>
      <c r="OQI39" s="317"/>
      <c r="OQJ39" s="317"/>
      <c r="OQK39" s="317"/>
      <c r="OQL39" s="317"/>
      <c r="OQM39" s="317"/>
      <c r="OQN39" s="317"/>
      <c r="OQO39" s="317"/>
      <c r="OQP39" s="317"/>
      <c r="OQQ39" s="317"/>
      <c r="OQR39" s="317"/>
      <c r="OQS39" s="317"/>
      <c r="OQT39" s="317"/>
      <c r="OQU39" s="317"/>
      <c r="OQV39" s="317"/>
      <c r="OQW39" s="317"/>
      <c r="OQX39" s="317"/>
      <c r="OQY39" s="317"/>
      <c r="OQZ39" s="317"/>
      <c r="ORA39" s="317"/>
      <c r="ORB39" s="317"/>
      <c r="ORC39" s="317"/>
      <c r="ORD39" s="317"/>
      <c r="ORE39" s="317"/>
      <c r="ORF39" s="317"/>
      <c r="ORG39" s="317"/>
      <c r="ORH39" s="317"/>
      <c r="ORI39" s="317"/>
      <c r="ORJ39" s="317"/>
      <c r="ORK39" s="317"/>
      <c r="ORL39" s="317"/>
      <c r="ORM39" s="317"/>
      <c r="ORN39" s="317"/>
      <c r="ORO39" s="317"/>
      <c r="ORP39" s="317"/>
      <c r="ORQ39" s="317"/>
      <c r="ORR39" s="317"/>
      <c r="ORS39" s="317"/>
      <c r="ORT39" s="317"/>
      <c r="ORU39" s="317"/>
      <c r="ORV39" s="317"/>
      <c r="ORW39" s="317"/>
      <c r="ORX39" s="317"/>
      <c r="ORY39" s="317"/>
      <c r="ORZ39" s="317"/>
      <c r="OSA39" s="317"/>
      <c r="OSB39" s="317"/>
      <c r="OSC39" s="317"/>
      <c r="OSD39" s="317"/>
      <c r="OSE39" s="317"/>
      <c r="OSF39" s="317"/>
      <c r="OSG39" s="317"/>
      <c r="OSH39" s="317"/>
      <c r="OSI39" s="317"/>
      <c r="OSJ39" s="317"/>
      <c r="OSK39" s="317"/>
      <c r="OSL39" s="317"/>
      <c r="OSM39" s="317"/>
      <c r="OSN39" s="317"/>
      <c r="OSO39" s="317"/>
      <c r="OSP39" s="317"/>
      <c r="OSQ39" s="317"/>
      <c r="OSR39" s="317"/>
      <c r="OSS39" s="317"/>
      <c r="OST39" s="317"/>
      <c r="OSU39" s="317"/>
      <c r="OSV39" s="317"/>
      <c r="OSW39" s="317"/>
      <c r="OSX39" s="317"/>
      <c r="OSY39" s="317"/>
      <c r="OSZ39" s="317"/>
      <c r="OTA39" s="317"/>
      <c r="OTB39" s="317"/>
      <c r="OTC39" s="317"/>
      <c r="OTD39" s="317"/>
      <c r="OTE39" s="317"/>
      <c r="OTF39" s="317"/>
      <c r="OTG39" s="317"/>
      <c r="OTH39" s="317"/>
      <c r="OTI39" s="317"/>
      <c r="OTJ39" s="317"/>
      <c r="OTK39" s="317"/>
      <c r="OTL39" s="317"/>
      <c r="OTM39" s="317"/>
      <c r="OTN39" s="317"/>
      <c r="OTO39" s="317"/>
      <c r="OTP39" s="317"/>
      <c r="OTQ39" s="317"/>
      <c r="OTR39" s="317"/>
      <c r="OTS39" s="317"/>
      <c r="OTT39" s="317"/>
      <c r="OTU39" s="317"/>
      <c r="OTV39" s="317"/>
      <c r="OTW39" s="317"/>
      <c r="OTX39" s="317"/>
      <c r="OTY39" s="317"/>
      <c r="OTZ39" s="317"/>
      <c r="OUA39" s="317"/>
      <c r="OUB39" s="317"/>
      <c r="OUC39" s="317"/>
      <c r="OUD39" s="317"/>
      <c r="OUE39" s="317"/>
      <c r="OUF39" s="317"/>
      <c r="OUG39" s="317"/>
      <c r="OUH39" s="317"/>
      <c r="OUI39" s="317"/>
      <c r="OUJ39" s="317"/>
      <c r="OUK39" s="317"/>
      <c r="OUL39" s="317"/>
      <c r="OUM39" s="317"/>
      <c r="OUN39" s="317"/>
      <c r="OUO39" s="317"/>
      <c r="OUP39" s="317"/>
      <c r="OUQ39" s="317"/>
      <c r="OUR39" s="317"/>
      <c r="OUS39" s="317"/>
      <c r="OUT39" s="317"/>
      <c r="OUU39" s="317"/>
      <c r="OUV39" s="317"/>
      <c r="OUW39" s="317"/>
      <c r="OUX39" s="317"/>
      <c r="OUY39" s="317"/>
      <c r="OUZ39" s="317"/>
      <c r="OVA39" s="317"/>
      <c r="OVB39" s="317"/>
      <c r="OVC39" s="317"/>
      <c r="OVD39" s="317"/>
      <c r="OVE39" s="317"/>
      <c r="OVF39" s="317"/>
      <c r="OVG39" s="317"/>
      <c r="OVH39" s="317"/>
      <c r="OVI39" s="317"/>
      <c r="OVJ39" s="317"/>
      <c r="OVK39" s="317"/>
      <c r="OVL39" s="317"/>
      <c r="OVM39" s="317"/>
      <c r="OVN39" s="317"/>
      <c r="OVO39" s="317"/>
      <c r="OVP39" s="317"/>
      <c r="OVQ39" s="317"/>
      <c r="OVR39" s="317"/>
      <c r="OVS39" s="317"/>
      <c r="OVT39" s="317"/>
      <c r="OVU39" s="317"/>
      <c r="OVV39" s="317"/>
      <c r="OVW39" s="317"/>
      <c r="OVX39" s="317"/>
      <c r="OVY39" s="317"/>
      <c r="OVZ39" s="317"/>
      <c r="OWA39" s="317"/>
      <c r="OWB39" s="317"/>
      <c r="OWC39" s="317"/>
      <c r="OWD39" s="317"/>
      <c r="OWE39" s="317"/>
      <c r="OWF39" s="317"/>
      <c r="OWG39" s="317"/>
      <c r="OWH39" s="317"/>
      <c r="OWI39" s="317"/>
      <c r="OWJ39" s="317"/>
      <c r="OWK39" s="317"/>
      <c r="OWL39" s="317"/>
      <c r="OWM39" s="317"/>
      <c r="OWN39" s="317"/>
      <c r="OWO39" s="317"/>
      <c r="OWP39" s="317"/>
      <c r="OWQ39" s="317"/>
      <c r="OWR39" s="317"/>
      <c r="OWS39" s="317"/>
      <c r="OWT39" s="317"/>
      <c r="OWU39" s="317"/>
      <c r="OWV39" s="317"/>
      <c r="OWW39" s="317"/>
      <c r="OWX39" s="317"/>
      <c r="OWY39" s="317"/>
      <c r="OWZ39" s="317"/>
      <c r="OXA39" s="317"/>
      <c r="OXB39" s="317"/>
      <c r="OXC39" s="317"/>
      <c r="OXD39" s="317"/>
      <c r="OXE39" s="317"/>
      <c r="OXF39" s="317"/>
      <c r="OXG39" s="317"/>
      <c r="OXH39" s="317"/>
      <c r="OXI39" s="317"/>
      <c r="OXJ39" s="317"/>
      <c r="OXK39" s="317"/>
      <c r="OXL39" s="317"/>
      <c r="OXM39" s="317"/>
      <c r="OXN39" s="317"/>
      <c r="OXO39" s="317"/>
      <c r="OXP39" s="317"/>
      <c r="OXQ39" s="317"/>
      <c r="OXR39" s="317"/>
      <c r="OXS39" s="317"/>
      <c r="OXT39" s="317"/>
      <c r="OXU39" s="317"/>
      <c r="OXV39" s="317"/>
      <c r="OXW39" s="317"/>
      <c r="OXX39" s="317"/>
      <c r="OXY39" s="317"/>
      <c r="OXZ39" s="317"/>
      <c r="OYA39" s="317"/>
      <c r="OYB39" s="317"/>
      <c r="OYC39" s="317"/>
      <c r="OYD39" s="317"/>
      <c r="OYE39" s="317"/>
      <c r="OYF39" s="317"/>
      <c r="OYG39" s="317"/>
      <c r="OYH39" s="317"/>
      <c r="OYI39" s="317"/>
      <c r="OYJ39" s="317"/>
      <c r="OYK39" s="317"/>
      <c r="OYL39" s="317"/>
      <c r="OYM39" s="317"/>
      <c r="OYN39" s="317"/>
      <c r="OYO39" s="317"/>
      <c r="OYP39" s="317"/>
      <c r="OYQ39" s="317"/>
      <c r="OYR39" s="317"/>
      <c r="OYS39" s="317"/>
      <c r="OYT39" s="317"/>
      <c r="OYU39" s="317"/>
      <c r="OYV39" s="317"/>
      <c r="OYW39" s="317"/>
      <c r="OYX39" s="317"/>
      <c r="OYY39" s="317"/>
      <c r="OYZ39" s="317"/>
      <c r="OZA39" s="317"/>
      <c r="OZB39" s="317"/>
      <c r="OZC39" s="317"/>
      <c r="OZD39" s="317"/>
      <c r="OZE39" s="317"/>
      <c r="OZF39" s="317"/>
      <c r="OZG39" s="317"/>
      <c r="OZH39" s="317"/>
      <c r="OZI39" s="317"/>
      <c r="OZJ39" s="317"/>
      <c r="OZK39" s="317"/>
      <c r="OZL39" s="317"/>
      <c r="OZM39" s="317"/>
      <c r="OZN39" s="317"/>
      <c r="OZO39" s="317"/>
      <c r="OZP39" s="317"/>
      <c r="OZQ39" s="317"/>
      <c r="OZR39" s="317"/>
      <c r="OZS39" s="317"/>
      <c r="OZT39" s="317"/>
      <c r="OZU39" s="317"/>
      <c r="OZV39" s="317"/>
      <c r="OZW39" s="317"/>
      <c r="OZX39" s="317"/>
      <c r="OZY39" s="317"/>
      <c r="OZZ39" s="317"/>
      <c r="PAA39" s="317"/>
      <c r="PAB39" s="317"/>
      <c r="PAC39" s="317"/>
      <c r="PAD39" s="317"/>
      <c r="PAE39" s="317"/>
      <c r="PAF39" s="317"/>
      <c r="PAG39" s="317"/>
      <c r="PAH39" s="317"/>
      <c r="PAI39" s="317"/>
      <c r="PAJ39" s="317"/>
      <c r="PAK39" s="317"/>
      <c r="PAL39" s="317"/>
      <c r="PAM39" s="317"/>
      <c r="PAN39" s="317"/>
      <c r="PAO39" s="317"/>
      <c r="PAP39" s="317"/>
      <c r="PAQ39" s="317"/>
      <c r="PAR39" s="317"/>
      <c r="PAS39" s="317"/>
      <c r="PAT39" s="317"/>
      <c r="PAU39" s="317"/>
      <c r="PAV39" s="317"/>
      <c r="PAW39" s="317"/>
      <c r="PAX39" s="317"/>
      <c r="PAY39" s="317"/>
      <c r="PAZ39" s="317"/>
      <c r="PBA39" s="317"/>
      <c r="PBB39" s="317"/>
      <c r="PBC39" s="317"/>
      <c r="PBD39" s="317"/>
      <c r="PBE39" s="317"/>
      <c r="PBF39" s="317"/>
      <c r="PBG39" s="317"/>
      <c r="PBH39" s="317"/>
      <c r="PBI39" s="317"/>
      <c r="PBJ39" s="317"/>
      <c r="PBK39" s="317"/>
      <c r="PBL39" s="317"/>
      <c r="PBM39" s="317"/>
      <c r="PBN39" s="317"/>
      <c r="PBO39" s="317"/>
      <c r="PBP39" s="317"/>
      <c r="PBQ39" s="317"/>
      <c r="PBR39" s="317"/>
      <c r="PBS39" s="317"/>
      <c r="PBT39" s="317"/>
      <c r="PBU39" s="317"/>
      <c r="PBV39" s="317"/>
      <c r="PBW39" s="317"/>
      <c r="PBX39" s="317"/>
      <c r="PBY39" s="317"/>
      <c r="PBZ39" s="317"/>
      <c r="PCA39" s="317"/>
      <c r="PCB39" s="317"/>
      <c r="PCC39" s="317"/>
      <c r="PCD39" s="317"/>
      <c r="PCE39" s="317"/>
      <c r="PCF39" s="317"/>
      <c r="PCG39" s="317"/>
      <c r="PCH39" s="317"/>
      <c r="PCI39" s="317"/>
      <c r="PCJ39" s="317"/>
      <c r="PCK39" s="317"/>
      <c r="PCL39" s="317"/>
      <c r="PCM39" s="317"/>
      <c r="PCN39" s="317"/>
      <c r="PCO39" s="317"/>
      <c r="PCP39" s="317"/>
      <c r="PCQ39" s="317"/>
      <c r="PCR39" s="317"/>
      <c r="PCS39" s="317"/>
      <c r="PCT39" s="317"/>
      <c r="PCU39" s="317"/>
      <c r="PCV39" s="317"/>
      <c r="PCW39" s="317"/>
      <c r="PCX39" s="317"/>
      <c r="PCY39" s="317"/>
      <c r="PCZ39" s="317"/>
      <c r="PDA39" s="317"/>
      <c r="PDB39" s="317"/>
      <c r="PDC39" s="317"/>
      <c r="PDD39" s="317"/>
      <c r="PDE39" s="317"/>
      <c r="PDF39" s="317"/>
      <c r="PDG39" s="317"/>
      <c r="PDH39" s="317"/>
      <c r="PDI39" s="317"/>
      <c r="PDJ39" s="317"/>
      <c r="PDK39" s="317"/>
      <c r="PDL39" s="317"/>
      <c r="PDM39" s="317"/>
      <c r="PDN39" s="317"/>
      <c r="PDO39" s="317"/>
      <c r="PDP39" s="317"/>
      <c r="PDQ39" s="317"/>
      <c r="PDR39" s="317"/>
      <c r="PDS39" s="317"/>
      <c r="PDT39" s="317"/>
      <c r="PDU39" s="317"/>
      <c r="PDV39" s="317"/>
      <c r="PDW39" s="317"/>
      <c r="PDX39" s="317"/>
      <c r="PDY39" s="317"/>
      <c r="PDZ39" s="317"/>
      <c r="PEA39" s="317"/>
      <c r="PEB39" s="317"/>
      <c r="PEC39" s="317"/>
      <c r="PED39" s="317"/>
      <c r="PEE39" s="317"/>
      <c r="PEF39" s="317"/>
      <c r="PEG39" s="317"/>
      <c r="PEH39" s="317"/>
      <c r="PEI39" s="317"/>
      <c r="PEJ39" s="317"/>
      <c r="PEK39" s="317"/>
      <c r="PEL39" s="317"/>
      <c r="PEM39" s="317"/>
      <c r="PEN39" s="317"/>
      <c r="PEO39" s="317"/>
      <c r="PEP39" s="317"/>
      <c r="PEQ39" s="317"/>
      <c r="PER39" s="317"/>
      <c r="PES39" s="317"/>
      <c r="PET39" s="317"/>
      <c r="PEU39" s="317"/>
      <c r="PEV39" s="317"/>
      <c r="PEW39" s="317"/>
      <c r="PEX39" s="317"/>
      <c r="PEY39" s="317"/>
      <c r="PEZ39" s="317"/>
      <c r="PFA39" s="317"/>
      <c r="PFB39" s="317"/>
      <c r="PFC39" s="317"/>
      <c r="PFD39" s="317"/>
      <c r="PFE39" s="317"/>
      <c r="PFF39" s="317"/>
      <c r="PFG39" s="317"/>
      <c r="PFH39" s="317"/>
      <c r="PFI39" s="317"/>
      <c r="PFJ39" s="317"/>
      <c r="PFK39" s="317"/>
      <c r="PFL39" s="317"/>
      <c r="PFM39" s="317"/>
      <c r="PFN39" s="317"/>
      <c r="PFO39" s="317"/>
      <c r="PFP39" s="317"/>
      <c r="PFQ39" s="317"/>
      <c r="PFR39" s="317"/>
      <c r="PFS39" s="317"/>
      <c r="PFT39" s="317"/>
      <c r="PFU39" s="317"/>
      <c r="PFV39" s="317"/>
      <c r="PFW39" s="317"/>
      <c r="PFX39" s="317"/>
      <c r="PFY39" s="317"/>
      <c r="PFZ39" s="317"/>
      <c r="PGA39" s="317"/>
      <c r="PGB39" s="317"/>
      <c r="PGC39" s="317"/>
      <c r="PGD39" s="317"/>
      <c r="PGE39" s="317"/>
      <c r="PGF39" s="317"/>
      <c r="PGG39" s="317"/>
      <c r="PGH39" s="317"/>
      <c r="PGI39" s="317"/>
      <c r="PGJ39" s="317"/>
      <c r="PGK39" s="317"/>
      <c r="PGL39" s="317"/>
      <c r="PGM39" s="317"/>
      <c r="PGN39" s="317"/>
      <c r="PGO39" s="317"/>
      <c r="PGP39" s="317"/>
      <c r="PGQ39" s="317"/>
      <c r="PGR39" s="317"/>
      <c r="PGS39" s="317"/>
      <c r="PGT39" s="317"/>
      <c r="PGU39" s="317"/>
      <c r="PGV39" s="317"/>
      <c r="PGW39" s="317"/>
      <c r="PGX39" s="317"/>
      <c r="PGY39" s="317"/>
      <c r="PGZ39" s="317"/>
      <c r="PHA39" s="317"/>
      <c r="PHB39" s="317"/>
      <c r="PHC39" s="317"/>
      <c r="PHD39" s="317"/>
      <c r="PHE39" s="317"/>
      <c r="PHF39" s="317"/>
      <c r="PHG39" s="317"/>
      <c r="PHH39" s="317"/>
      <c r="PHI39" s="317"/>
      <c r="PHJ39" s="317"/>
      <c r="PHK39" s="317"/>
      <c r="PHL39" s="317"/>
      <c r="PHM39" s="317"/>
      <c r="PHN39" s="317"/>
      <c r="PHO39" s="317"/>
      <c r="PHP39" s="317"/>
      <c r="PHQ39" s="317"/>
      <c r="PHR39" s="317"/>
      <c r="PHS39" s="317"/>
      <c r="PHT39" s="317"/>
      <c r="PHU39" s="317"/>
      <c r="PHV39" s="317"/>
      <c r="PHW39" s="317"/>
      <c r="PHX39" s="317"/>
      <c r="PHY39" s="317"/>
      <c r="PHZ39" s="317"/>
      <c r="PIA39" s="317"/>
      <c r="PIB39" s="317"/>
      <c r="PIC39" s="317"/>
      <c r="PID39" s="317"/>
      <c r="PIE39" s="317"/>
      <c r="PIF39" s="317"/>
      <c r="PIG39" s="317"/>
      <c r="PIH39" s="317"/>
      <c r="PII39" s="317"/>
      <c r="PIJ39" s="317"/>
      <c r="PIK39" s="317"/>
      <c r="PIL39" s="317"/>
      <c r="PIM39" s="317"/>
      <c r="PIN39" s="317"/>
      <c r="PIO39" s="317"/>
      <c r="PIP39" s="317"/>
      <c r="PIQ39" s="317"/>
      <c r="PIR39" s="317"/>
      <c r="PIS39" s="317"/>
      <c r="PIT39" s="317"/>
      <c r="PIU39" s="317"/>
      <c r="PIV39" s="317"/>
      <c r="PIW39" s="317"/>
      <c r="PIX39" s="317"/>
      <c r="PIY39" s="317"/>
      <c r="PIZ39" s="317"/>
      <c r="PJA39" s="317"/>
      <c r="PJB39" s="317"/>
      <c r="PJC39" s="317"/>
      <c r="PJD39" s="317"/>
      <c r="PJE39" s="317"/>
      <c r="PJF39" s="317"/>
      <c r="PJG39" s="317"/>
      <c r="PJH39" s="317"/>
      <c r="PJI39" s="317"/>
      <c r="PJJ39" s="317"/>
      <c r="PJK39" s="317"/>
      <c r="PJL39" s="317"/>
      <c r="PJM39" s="317"/>
      <c r="PJN39" s="317"/>
      <c r="PJO39" s="317"/>
      <c r="PJP39" s="317"/>
      <c r="PJQ39" s="317"/>
      <c r="PJR39" s="317"/>
      <c r="PJS39" s="317"/>
      <c r="PJT39" s="317"/>
      <c r="PJU39" s="317"/>
      <c r="PJV39" s="317"/>
      <c r="PJW39" s="317"/>
      <c r="PJX39" s="317"/>
      <c r="PJY39" s="317"/>
      <c r="PJZ39" s="317"/>
      <c r="PKA39" s="317"/>
      <c r="PKB39" s="317"/>
      <c r="PKC39" s="317"/>
      <c r="PKD39" s="317"/>
      <c r="PKE39" s="317"/>
      <c r="PKF39" s="317"/>
      <c r="PKG39" s="317"/>
      <c r="PKH39" s="317"/>
      <c r="PKI39" s="317"/>
      <c r="PKJ39" s="317"/>
      <c r="PKK39" s="317"/>
      <c r="PKL39" s="317"/>
      <c r="PKM39" s="317"/>
      <c r="PKN39" s="317"/>
      <c r="PKO39" s="317"/>
      <c r="PKP39" s="317"/>
      <c r="PKQ39" s="317"/>
      <c r="PKR39" s="317"/>
      <c r="PKS39" s="317"/>
      <c r="PKT39" s="317"/>
      <c r="PKU39" s="317"/>
      <c r="PKV39" s="317"/>
      <c r="PKW39" s="317"/>
      <c r="PKX39" s="317"/>
      <c r="PKY39" s="317"/>
      <c r="PKZ39" s="317"/>
      <c r="PLA39" s="317"/>
      <c r="PLB39" s="317"/>
      <c r="PLC39" s="317"/>
      <c r="PLD39" s="317"/>
      <c r="PLE39" s="317"/>
      <c r="PLF39" s="317"/>
      <c r="PLG39" s="317"/>
      <c r="PLH39" s="317"/>
      <c r="PLI39" s="317"/>
      <c r="PLJ39" s="317"/>
      <c r="PLK39" s="317"/>
      <c r="PLL39" s="317"/>
      <c r="PLM39" s="317"/>
      <c r="PLN39" s="317"/>
      <c r="PLO39" s="317"/>
      <c r="PLP39" s="317"/>
      <c r="PLQ39" s="317"/>
      <c r="PLR39" s="317"/>
      <c r="PLS39" s="317"/>
      <c r="PLT39" s="317"/>
      <c r="PLU39" s="317"/>
      <c r="PLV39" s="317"/>
      <c r="PLW39" s="317"/>
      <c r="PLX39" s="317"/>
      <c r="PLY39" s="317"/>
      <c r="PLZ39" s="317"/>
      <c r="PMA39" s="317"/>
      <c r="PMB39" s="317"/>
      <c r="PMC39" s="317"/>
      <c r="PMD39" s="317"/>
      <c r="PME39" s="317"/>
      <c r="PMF39" s="317"/>
      <c r="PMG39" s="317"/>
      <c r="PMH39" s="317"/>
      <c r="PMI39" s="317"/>
      <c r="PMJ39" s="317"/>
      <c r="PMK39" s="317"/>
      <c r="PML39" s="317"/>
      <c r="PMM39" s="317"/>
      <c r="PMN39" s="317"/>
      <c r="PMO39" s="317"/>
      <c r="PMP39" s="317"/>
      <c r="PMQ39" s="317"/>
      <c r="PMR39" s="317"/>
      <c r="PMS39" s="317"/>
      <c r="PMT39" s="317"/>
      <c r="PMU39" s="317"/>
      <c r="PMV39" s="317"/>
      <c r="PMW39" s="317"/>
      <c r="PMX39" s="317"/>
      <c r="PMY39" s="317"/>
      <c r="PMZ39" s="317"/>
      <c r="PNA39" s="317"/>
      <c r="PNB39" s="317"/>
      <c r="PNC39" s="317"/>
      <c r="PND39" s="317"/>
      <c r="PNE39" s="317"/>
      <c r="PNF39" s="317"/>
      <c r="PNG39" s="317"/>
      <c r="PNH39" s="317"/>
      <c r="PNI39" s="317"/>
      <c r="PNJ39" s="317"/>
      <c r="PNK39" s="317"/>
      <c r="PNL39" s="317"/>
      <c r="PNM39" s="317"/>
      <c r="PNN39" s="317"/>
      <c r="PNO39" s="317"/>
      <c r="PNP39" s="317"/>
      <c r="PNQ39" s="317"/>
      <c r="PNR39" s="317"/>
      <c r="PNS39" s="317"/>
      <c r="PNT39" s="317"/>
      <c r="PNU39" s="317"/>
      <c r="PNV39" s="317"/>
      <c r="PNW39" s="317"/>
      <c r="PNX39" s="317"/>
      <c r="PNY39" s="317"/>
      <c r="PNZ39" s="317"/>
      <c r="POA39" s="317"/>
      <c r="POB39" s="317"/>
      <c r="POC39" s="317"/>
      <c r="POD39" s="317"/>
      <c r="POE39" s="317"/>
      <c r="POF39" s="317"/>
      <c r="POG39" s="317"/>
      <c r="POH39" s="317"/>
      <c r="POI39" s="317"/>
      <c r="POJ39" s="317"/>
      <c r="POK39" s="317"/>
      <c r="POL39" s="317"/>
      <c r="POM39" s="317"/>
      <c r="PON39" s="317"/>
      <c r="POO39" s="317"/>
      <c r="POP39" s="317"/>
      <c r="POQ39" s="317"/>
      <c r="POR39" s="317"/>
      <c r="POS39" s="317"/>
      <c r="POT39" s="317"/>
      <c r="POU39" s="317"/>
      <c r="POV39" s="317"/>
      <c r="POW39" s="317"/>
      <c r="POX39" s="317"/>
      <c r="POY39" s="317"/>
      <c r="POZ39" s="317"/>
      <c r="PPA39" s="317"/>
      <c r="PPB39" s="317"/>
      <c r="PPC39" s="317"/>
      <c r="PPD39" s="317"/>
      <c r="PPE39" s="317"/>
      <c r="PPF39" s="317"/>
      <c r="PPG39" s="317"/>
      <c r="PPH39" s="317"/>
      <c r="PPI39" s="317"/>
      <c r="PPJ39" s="317"/>
      <c r="PPK39" s="317"/>
      <c r="PPL39" s="317"/>
      <c r="PPM39" s="317"/>
      <c r="PPN39" s="317"/>
      <c r="PPO39" s="317"/>
      <c r="PPP39" s="317"/>
      <c r="PPQ39" s="317"/>
      <c r="PPR39" s="317"/>
      <c r="PPS39" s="317"/>
      <c r="PPT39" s="317"/>
      <c r="PPU39" s="317"/>
      <c r="PPV39" s="317"/>
      <c r="PPW39" s="317"/>
      <c r="PPX39" s="317"/>
      <c r="PPY39" s="317"/>
      <c r="PPZ39" s="317"/>
      <c r="PQA39" s="317"/>
      <c r="PQB39" s="317"/>
      <c r="PQC39" s="317"/>
      <c r="PQD39" s="317"/>
      <c r="PQE39" s="317"/>
      <c r="PQF39" s="317"/>
      <c r="PQG39" s="317"/>
      <c r="PQH39" s="317"/>
      <c r="PQI39" s="317"/>
      <c r="PQJ39" s="317"/>
      <c r="PQK39" s="317"/>
      <c r="PQL39" s="317"/>
      <c r="PQM39" s="317"/>
      <c r="PQN39" s="317"/>
      <c r="PQO39" s="317"/>
      <c r="PQP39" s="317"/>
      <c r="PQQ39" s="317"/>
      <c r="PQR39" s="317"/>
      <c r="PQS39" s="317"/>
      <c r="PQT39" s="317"/>
      <c r="PQU39" s="317"/>
      <c r="PQV39" s="317"/>
      <c r="PQW39" s="317"/>
      <c r="PQX39" s="317"/>
      <c r="PQY39" s="317"/>
      <c r="PQZ39" s="317"/>
      <c r="PRA39" s="317"/>
      <c r="PRB39" s="317"/>
      <c r="PRC39" s="317"/>
      <c r="PRD39" s="317"/>
      <c r="PRE39" s="317"/>
      <c r="PRF39" s="317"/>
      <c r="PRG39" s="317"/>
      <c r="PRH39" s="317"/>
      <c r="PRI39" s="317"/>
      <c r="PRJ39" s="317"/>
      <c r="PRK39" s="317"/>
      <c r="PRL39" s="317"/>
      <c r="PRM39" s="317"/>
      <c r="PRN39" s="317"/>
      <c r="PRO39" s="317"/>
      <c r="PRP39" s="317"/>
      <c r="PRQ39" s="317"/>
      <c r="PRR39" s="317"/>
      <c r="PRS39" s="317"/>
      <c r="PRT39" s="317"/>
      <c r="PRU39" s="317"/>
      <c r="PRV39" s="317"/>
      <c r="PRW39" s="317"/>
      <c r="PRX39" s="317"/>
      <c r="PRY39" s="317"/>
      <c r="PRZ39" s="317"/>
      <c r="PSA39" s="317"/>
      <c r="PSB39" s="317"/>
      <c r="PSC39" s="317"/>
      <c r="PSD39" s="317"/>
      <c r="PSE39" s="317"/>
      <c r="PSF39" s="317"/>
      <c r="PSG39" s="317"/>
      <c r="PSH39" s="317"/>
      <c r="PSI39" s="317"/>
      <c r="PSJ39" s="317"/>
      <c r="PSK39" s="317"/>
      <c r="PSL39" s="317"/>
      <c r="PSM39" s="317"/>
      <c r="PSN39" s="317"/>
      <c r="PSO39" s="317"/>
      <c r="PSP39" s="317"/>
      <c r="PSQ39" s="317"/>
      <c r="PSR39" s="317"/>
      <c r="PSS39" s="317"/>
      <c r="PST39" s="317"/>
      <c r="PSU39" s="317"/>
      <c r="PSV39" s="317"/>
      <c r="PSW39" s="317"/>
      <c r="PSX39" s="317"/>
      <c r="PSY39" s="317"/>
      <c r="PSZ39" s="317"/>
      <c r="PTA39" s="317"/>
      <c r="PTB39" s="317"/>
      <c r="PTC39" s="317"/>
      <c r="PTD39" s="317"/>
      <c r="PTE39" s="317"/>
      <c r="PTF39" s="317"/>
      <c r="PTG39" s="317"/>
      <c r="PTH39" s="317"/>
      <c r="PTI39" s="317"/>
      <c r="PTJ39" s="317"/>
      <c r="PTK39" s="317"/>
      <c r="PTL39" s="317"/>
      <c r="PTM39" s="317"/>
      <c r="PTN39" s="317"/>
      <c r="PTO39" s="317"/>
      <c r="PTP39" s="317"/>
      <c r="PTQ39" s="317"/>
      <c r="PTR39" s="317"/>
      <c r="PTS39" s="317"/>
      <c r="PTT39" s="317"/>
      <c r="PTU39" s="317"/>
      <c r="PTV39" s="317"/>
      <c r="PTW39" s="317"/>
      <c r="PTX39" s="317"/>
      <c r="PTY39" s="317"/>
      <c r="PTZ39" s="317"/>
      <c r="PUA39" s="317"/>
      <c r="PUB39" s="317"/>
      <c r="PUC39" s="317"/>
      <c r="PUD39" s="317"/>
      <c r="PUE39" s="317"/>
      <c r="PUF39" s="317"/>
      <c r="PUG39" s="317"/>
      <c r="PUH39" s="317"/>
      <c r="PUI39" s="317"/>
      <c r="PUJ39" s="317"/>
      <c r="PUK39" s="317"/>
      <c r="PUL39" s="317"/>
      <c r="PUM39" s="317"/>
      <c r="PUN39" s="317"/>
      <c r="PUO39" s="317"/>
      <c r="PUP39" s="317"/>
      <c r="PUQ39" s="317"/>
      <c r="PUR39" s="317"/>
      <c r="PUS39" s="317"/>
      <c r="PUT39" s="317"/>
      <c r="PUU39" s="317"/>
      <c r="PUV39" s="317"/>
      <c r="PUW39" s="317"/>
      <c r="PUX39" s="317"/>
      <c r="PUY39" s="317"/>
      <c r="PUZ39" s="317"/>
      <c r="PVA39" s="317"/>
      <c r="PVB39" s="317"/>
      <c r="PVC39" s="317"/>
      <c r="PVD39" s="317"/>
      <c r="PVE39" s="317"/>
      <c r="PVF39" s="317"/>
      <c r="PVG39" s="317"/>
      <c r="PVH39" s="317"/>
      <c r="PVI39" s="317"/>
      <c r="PVJ39" s="317"/>
      <c r="PVK39" s="317"/>
      <c r="PVL39" s="317"/>
      <c r="PVM39" s="317"/>
      <c r="PVN39" s="317"/>
      <c r="PVO39" s="317"/>
      <c r="PVP39" s="317"/>
      <c r="PVQ39" s="317"/>
      <c r="PVR39" s="317"/>
      <c r="PVS39" s="317"/>
      <c r="PVT39" s="317"/>
      <c r="PVU39" s="317"/>
      <c r="PVV39" s="317"/>
      <c r="PVW39" s="317"/>
      <c r="PVX39" s="317"/>
      <c r="PVY39" s="317"/>
      <c r="PVZ39" s="317"/>
      <c r="PWA39" s="317"/>
      <c r="PWB39" s="317"/>
      <c r="PWC39" s="317"/>
      <c r="PWD39" s="317"/>
      <c r="PWE39" s="317"/>
      <c r="PWF39" s="317"/>
      <c r="PWG39" s="317"/>
      <c r="PWH39" s="317"/>
      <c r="PWI39" s="317"/>
      <c r="PWJ39" s="317"/>
      <c r="PWK39" s="317"/>
      <c r="PWL39" s="317"/>
      <c r="PWM39" s="317"/>
      <c r="PWN39" s="317"/>
      <c r="PWO39" s="317"/>
      <c r="PWP39" s="317"/>
      <c r="PWQ39" s="317"/>
      <c r="PWR39" s="317"/>
      <c r="PWS39" s="317"/>
      <c r="PWT39" s="317"/>
      <c r="PWU39" s="317"/>
      <c r="PWV39" s="317"/>
      <c r="PWW39" s="317"/>
      <c r="PWX39" s="317"/>
      <c r="PWY39" s="317"/>
      <c r="PWZ39" s="317"/>
      <c r="PXA39" s="317"/>
      <c r="PXB39" s="317"/>
      <c r="PXC39" s="317"/>
      <c r="PXD39" s="317"/>
      <c r="PXE39" s="317"/>
      <c r="PXF39" s="317"/>
      <c r="PXG39" s="317"/>
      <c r="PXH39" s="317"/>
      <c r="PXI39" s="317"/>
      <c r="PXJ39" s="317"/>
      <c r="PXK39" s="317"/>
      <c r="PXL39" s="317"/>
      <c r="PXM39" s="317"/>
      <c r="PXN39" s="317"/>
      <c r="PXO39" s="317"/>
      <c r="PXP39" s="317"/>
      <c r="PXQ39" s="317"/>
      <c r="PXR39" s="317"/>
      <c r="PXS39" s="317"/>
      <c r="PXT39" s="317"/>
      <c r="PXU39" s="317"/>
      <c r="PXV39" s="317"/>
      <c r="PXW39" s="317"/>
      <c r="PXX39" s="317"/>
      <c r="PXY39" s="317"/>
      <c r="PXZ39" s="317"/>
      <c r="PYA39" s="317"/>
      <c r="PYB39" s="317"/>
      <c r="PYC39" s="317"/>
      <c r="PYD39" s="317"/>
      <c r="PYE39" s="317"/>
      <c r="PYF39" s="317"/>
      <c r="PYG39" s="317"/>
      <c r="PYH39" s="317"/>
      <c r="PYI39" s="317"/>
      <c r="PYJ39" s="317"/>
      <c r="PYK39" s="317"/>
      <c r="PYL39" s="317"/>
      <c r="PYM39" s="317"/>
      <c r="PYN39" s="317"/>
      <c r="PYO39" s="317"/>
      <c r="PYP39" s="317"/>
      <c r="PYQ39" s="317"/>
      <c r="PYR39" s="317"/>
      <c r="PYS39" s="317"/>
      <c r="PYT39" s="317"/>
      <c r="PYU39" s="317"/>
      <c r="PYV39" s="317"/>
      <c r="PYW39" s="317"/>
      <c r="PYX39" s="317"/>
      <c r="PYY39" s="317"/>
      <c r="PYZ39" s="317"/>
      <c r="PZA39" s="317"/>
      <c r="PZB39" s="317"/>
      <c r="PZC39" s="317"/>
      <c r="PZD39" s="317"/>
      <c r="PZE39" s="317"/>
      <c r="PZF39" s="317"/>
      <c r="PZG39" s="317"/>
      <c r="PZH39" s="317"/>
      <c r="PZI39" s="317"/>
      <c r="PZJ39" s="317"/>
      <c r="PZK39" s="317"/>
      <c r="PZL39" s="317"/>
      <c r="PZM39" s="317"/>
      <c r="PZN39" s="317"/>
      <c r="PZO39" s="317"/>
      <c r="PZP39" s="317"/>
      <c r="PZQ39" s="317"/>
      <c r="PZR39" s="317"/>
      <c r="PZS39" s="317"/>
      <c r="PZT39" s="317"/>
      <c r="PZU39" s="317"/>
      <c r="PZV39" s="317"/>
      <c r="PZW39" s="317"/>
      <c r="PZX39" s="317"/>
      <c r="PZY39" s="317"/>
      <c r="PZZ39" s="317"/>
      <c r="QAA39" s="317"/>
      <c r="QAB39" s="317"/>
      <c r="QAC39" s="317"/>
      <c r="QAD39" s="317"/>
      <c r="QAE39" s="317"/>
      <c r="QAF39" s="317"/>
      <c r="QAG39" s="317"/>
      <c r="QAH39" s="317"/>
      <c r="QAI39" s="317"/>
      <c r="QAJ39" s="317"/>
      <c r="QAK39" s="317"/>
      <c r="QAL39" s="317"/>
      <c r="QAM39" s="317"/>
      <c r="QAN39" s="317"/>
      <c r="QAO39" s="317"/>
      <c r="QAP39" s="317"/>
      <c r="QAQ39" s="317"/>
      <c r="QAR39" s="317"/>
      <c r="QAS39" s="317"/>
      <c r="QAT39" s="317"/>
      <c r="QAU39" s="317"/>
      <c r="QAV39" s="317"/>
      <c r="QAW39" s="317"/>
      <c r="QAX39" s="317"/>
      <c r="QAY39" s="317"/>
      <c r="QAZ39" s="317"/>
      <c r="QBA39" s="317"/>
      <c r="QBB39" s="317"/>
      <c r="QBC39" s="317"/>
      <c r="QBD39" s="317"/>
      <c r="QBE39" s="317"/>
      <c r="QBF39" s="317"/>
      <c r="QBG39" s="317"/>
      <c r="QBH39" s="317"/>
      <c r="QBI39" s="317"/>
      <c r="QBJ39" s="317"/>
      <c r="QBK39" s="317"/>
      <c r="QBL39" s="317"/>
      <c r="QBM39" s="317"/>
      <c r="QBN39" s="317"/>
      <c r="QBO39" s="317"/>
      <c r="QBP39" s="317"/>
      <c r="QBQ39" s="317"/>
      <c r="QBR39" s="317"/>
      <c r="QBS39" s="317"/>
      <c r="QBT39" s="317"/>
      <c r="QBU39" s="317"/>
      <c r="QBV39" s="317"/>
      <c r="QBW39" s="317"/>
      <c r="QBX39" s="317"/>
      <c r="QBY39" s="317"/>
      <c r="QBZ39" s="317"/>
      <c r="QCA39" s="317"/>
      <c r="QCB39" s="317"/>
      <c r="QCC39" s="317"/>
      <c r="QCD39" s="317"/>
      <c r="QCE39" s="317"/>
      <c r="QCF39" s="317"/>
      <c r="QCG39" s="317"/>
      <c r="QCH39" s="317"/>
      <c r="QCI39" s="317"/>
      <c r="QCJ39" s="317"/>
      <c r="QCK39" s="317"/>
      <c r="QCL39" s="317"/>
      <c r="QCM39" s="317"/>
      <c r="QCN39" s="317"/>
      <c r="QCO39" s="317"/>
      <c r="QCP39" s="317"/>
      <c r="QCQ39" s="317"/>
      <c r="QCR39" s="317"/>
      <c r="QCS39" s="317"/>
      <c r="QCT39" s="317"/>
      <c r="QCU39" s="317"/>
      <c r="QCV39" s="317"/>
      <c r="QCW39" s="317"/>
      <c r="QCX39" s="317"/>
      <c r="QCY39" s="317"/>
      <c r="QCZ39" s="317"/>
      <c r="QDA39" s="317"/>
      <c r="QDB39" s="317"/>
      <c r="QDC39" s="317"/>
      <c r="QDD39" s="317"/>
      <c r="QDE39" s="317"/>
      <c r="QDF39" s="317"/>
      <c r="QDG39" s="317"/>
      <c r="QDH39" s="317"/>
      <c r="QDI39" s="317"/>
      <c r="QDJ39" s="317"/>
      <c r="QDK39" s="317"/>
      <c r="QDL39" s="317"/>
      <c r="QDM39" s="317"/>
      <c r="QDN39" s="317"/>
      <c r="QDO39" s="317"/>
      <c r="QDP39" s="317"/>
      <c r="QDQ39" s="317"/>
      <c r="QDR39" s="317"/>
      <c r="QDS39" s="317"/>
      <c r="QDT39" s="317"/>
      <c r="QDU39" s="317"/>
      <c r="QDV39" s="317"/>
      <c r="QDW39" s="317"/>
      <c r="QDX39" s="317"/>
      <c r="QDY39" s="317"/>
      <c r="QDZ39" s="317"/>
      <c r="QEA39" s="317"/>
      <c r="QEB39" s="317"/>
      <c r="QEC39" s="317"/>
      <c r="QED39" s="317"/>
      <c r="QEE39" s="317"/>
      <c r="QEF39" s="317"/>
      <c r="QEG39" s="317"/>
      <c r="QEH39" s="317"/>
      <c r="QEI39" s="317"/>
      <c r="QEJ39" s="317"/>
      <c r="QEK39" s="317"/>
      <c r="QEL39" s="317"/>
      <c r="QEM39" s="317"/>
      <c r="QEN39" s="317"/>
      <c r="QEO39" s="317"/>
      <c r="QEP39" s="317"/>
      <c r="QEQ39" s="317"/>
      <c r="QER39" s="317"/>
      <c r="QES39" s="317"/>
      <c r="QET39" s="317"/>
      <c r="QEU39" s="317"/>
      <c r="QEV39" s="317"/>
      <c r="QEW39" s="317"/>
      <c r="QEX39" s="317"/>
      <c r="QEY39" s="317"/>
      <c r="QEZ39" s="317"/>
      <c r="QFA39" s="317"/>
      <c r="QFB39" s="317"/>
      <c r="QFC39" s="317"/>
      <c r="QFD39" s="317"/>
      <c r="QFE39" s="317"/>
      <c r="QFF39" s="317"/>
      <c r="QFG39" s="317"/>
      <c r="QFH39" s="317"/>
      <c r="QFI39" s="317"/>
      <c r="QFJ39" s="317"/>
      <c r="QFK39" s="317"/>
      <c r="QFL39" s="317"/>
      <c r="QFM39" s="317"/>
      <c r="QFN39" s="317"/>
      <c r="QFO39" s="317"/>
      <c r="QFP39" s="317"/>
      <c r="QFQ39" s="317"/>
      <c r="QFR39" s="317"/>
      <c r="QFS39" s="317"/>
      <c r="QFT39" s="317"/>
      <c r="QFU39" s="317"/>
      <c r="QFV39" s="317"/>
      <c r="QFW39" s="317"/>
      <c r="QFX39" s="317"/>
      <c r="QFY39" s="317"/>
      <c r="QFZ39" s="317"/>
      <c r="QGA39" s="317"/>
      <c r="QGB39" s="317"/>
      <c r="QGC39" s="317"/>
      <c r="QGD39" s="317"/>
      <c r="QGE39" s="317"/>
      <c r="QGF39" s="317"/>
      <c r="QGG39" s="317"/>
      <c r="QGH39" s="317"/>
      <c r="QGI39" s="317"/>
      <c r="QGJ39" s="317"/>
      <c r="QGK39" s="317"/>
      <c r="QGL39" s="317"/>
      <c r="QGM39" s="317"/>
      <c r="QGN39" s="317"/>
      <c r="QGO39" s="317"/>
      <c r="QGP39" s="317"/>
      <c r="QGQ39" s="317"/>
      <c r="QGR39" s="317"/>
      <c r="QGS39" s="317"/>
      <c r="QGT39" s="317"/>
      <c r="QGU39" s="317"/>
      <c r="QGV39" s="317"/>
      <c r="QGW39" s="317"/>
      <c r="QGX39" s="317"/>
      <c r="QGY39" s="317"/>
      <c r="QGZ39" s="317"/>
      <c r="QHA39" s="317"/>
      <c r="QHB39" s="317"/>
      <c r="QHC39" s="317"/>
      <c r="QHD39" s="317"/>
      <c r="QHE39" s="317"/>
      <c r="QHF39" s="317"/>
      <c r="QHG39" s="317"/>
      <c r="QHH39" s="317"/>
      <c r="QHI39" s="317"/>
      <c r="QHJ39" s="317"/>
      <c r="QHK39" s="317"/>
      <c r="QHL39" s="317"/>
      <c r="QHM39" s="317"/>
      <c r="QHN39" s="317"/>
      <c r="QHO39" s="317"/>
      <c r="QHP39" s="317"/>
      <c r="QHQ39" s="317"/>
      <c r="QHR39" s="317"/>
      <c r="QHS39" s="317"/>
      <c r="QHT39" s="317"/>
      <c r="QHU39" s="317"/>
      <c r="QHV39" s="317"/>
      <c r="QHW39" s="317"/>
      <c r="QHX39" s="317"/>
      <c r="QHY39" s="317"/>
      <c r="QHZ39" s="317"/>
      <c r="QIA39" s="317"/>
      <c r="QIB39" s="317"/>
      <c r="QIC39" s="317"/>
      <c r="QID39" s="317"/>
      <c r="QIE39" s="317"/>
      <c r="QIF39" s="317"/>
      <c r="QIG39" s="317"/>
      <c r="QIH39" s="317"/>
      <c r="QII39" s="317"/>
      <c r="QIJ39" s="317"/>
      <c r="QIK39" s="317"/>
      <c r="QIL39" s="317"/>
      <c r="QIM39" s="317"/>
      <c r="QIN39" s="317"/>
      <c r="QIO39" s="317"/>
      <c r="QIP39" s="317"/>
      <c r="QIQ39" s="317"/>
      <c r="QIR39" s="317"/>
      <c r="QIS39" s="317"/>
      <c r="QIT39" s="317"/>
      <c r="QIU39" s="317"/>
      <c r="QIV39" s="317"/>
      <c r="QIW39" s="317"/>
      <c r="QIX39" s="317"/>
      <c r="QIY39" s="317"/>
      <c r="QIZ39" s="317"/>
      <c r="QJA39" s="317"/>
      <c r="QJB39" s="317"/>
      <c r="QJC39" s="317"/>
      <c r="QJD39" s="317"/>
      <c r="QJE39" s="317"/>
      <c r="QJF39" s="317"/>
      <c r="QJG39" s="317"/>
      <c r="QJH39" s="317"/>
      <c r="QJI39" s="317"/>
      <c r="QJJ39" s="317"/>
      <c r="QJK39" s="317"/>
      <c r="QJL39" s="317"/>
      <c r="QJM39" s="317"/>
      <c r="QJN39" s="317"/>
      <c r="QJO39" s="317"/>
      <c r="QJP39" s="317"/>
      <c r="QJQ39" s="317"/>
      <c r="QJR39" s="317"/>
      <c r="QJS39" s="317"/>
      <c r="QJT39" s="317"/>
      <c r="QJU39" s="317"/>
      <c r="QJV39" s="317"/>
      <c r="QJW39" s="317"/>
      <c r="QJX39" s="317"/>
      <c r="QJY39" s="317"/>
      <c r="QJZ39" s="317"/>
      <c r="QKA39" s="317"/>
      <c r="QKB39" s="317"/>
      <c r="QKC39" s="317"/>
      <c r="QKD39" s="317"/>
      <c r="QKE39" s="317"/>
      <c r="QKF39" s="317"/>
      <c r="QKG39" s="317"/>
      <c r="QKH39" s="317"/>
      <c r="QKI39" s="317"/>
      <c r="QKJ39" s="317"/>
      <c r="QKK39" s="317"/>
      <c r="QKL39" s="317"/>
      <c r="QKM39" s="317"/>
      <c r="QKN39" s="317"/>
      <c r="QKO39" s="317"/>
      <c r="QKP39" s="317"/>
      <c r="QKQ39" s="317"/>
      <c r="QKR39" s="317"/>
      <c r="QKS39" s="317"/>
      <c r="QKT39" s="317"/>
      <c r="QKU39" s="317"/>
      <c r="QKV39" s="317"/>
      <c r="QKW39" s="317"/>
      <c r="QKX39" s="317"/>
      <c r="QKY39" s="317"/>
      <c r="QKZ39" s="317"/>
      <c r="QLA39" s="317"/>
      <c r="QLB39" s="317"/>
      <c r="QLC39" s="317"/>
      <c r="QLD39" s="317"/>
      <c r="QLE39" s="317"/>
      <c r="QLF39" s="317"/>
      <c r="QLG39" s="317"/>
      <c r="QLH39" s="317"/>
      <c r="QLI39" s="317"/>
      <c r="QLJ39" s="317"/>
      <c r="QLK39" s="317"/>
      <c r="QLL39" s="317"/>
      <c r="QLM39" s="317"/>
      <c r="QLN39" s="317"/>
      <c r="QLO39" s="317"/>
      <c r="QLP39" s="317"/>
      <c r="QLQ39" s="317"/>
      <c r="QLR39" s="317"/>
      <c r="QLS39" s="317"/>
      <c r="QLT39" s="317"/>
      <c r="QLU39" s="317"/>
      <c r="QLV39" s="317"/>
      <c r="QLW39" s="317"/>
      <c r="QLX39" s="317"/>
      <c r="QLY39" s="317"/>
      <c r="QLZ39" s="317"/>
      <c r="QMA39" s="317"/>
      <c r="QMB39" s="317"/>
      <c r="QMC39" s="317"/>
      <c r="QMD39" s="317"/>
      <c r="QME39" s="317"/>
      <c r="QMF39" s="317"/>
      <c r="QMG39" s="317"/>
      <c r="QMH39" s="317"/>
      <c r="QMI39" s="317"/>
      <c r="QMJ39" s="317"/>
      <c r="QMK39" s="317"/>
      <c r="QML39" s="317"/>
      <c r="QMM39" s="317"/>
      <c r="QMN39" s="317"/>
      <c r="QMO39" s="317"/>
      <c r="QMP39" s="317"/>
      <c r="QMQ39" s="317"/>
      <c r="QMR39" s="317"/>
      <c r="QMS39" s="317"/>
      <c r="QMT39" s="317"/>
      <c r="QMU39" s="317"/>
      <c r="QMV39" s="317"/>
      <c r="QMW39" s="317"/>
      <c r="QMX39" s="317"/>
      <c r="QMY39" s="317"/>
      <c r="QMZ39" s="317"/>
      <c r="QNA39" s="317"/>
      <c r="QNB39" s="317"/>
      <c r="QNC39" s="317"/>
      <c r="QND39" s="317"/>
      <c r="QNE39" s="317"/>
      <c r="QNF39" s="317"/>
      <c r="QNG39" s="317"/>
      <c r="QNH39" s="317"/>
      <c r="QNI39" s="317"/>
      <c r="QNJ39" s="317"/>
      <c r="QNK39" s="317"/>
      <c r="QNL39" s="317"/>
      <c r="QNM39" s="317"/>
      <c r="QNN39" s="317"/>
      <c r="QNO39" s="317"/>
      <c r="QNP39" s="317"/>
      <c r="QNQ39" s="317"/>
      <c r="QNR39" s="317"/>
      <c r="QNS39" s="317"/>
      <c r="QNT39" s="317"/>
      <c r="QNU39" s="317"/>
      <c r="QNV39" s="317"/>
      <c r="QNW39" s="317"/>
      <c r="QNX39" s="317"/>
      <c r="QNY39" s="317"/>
      <c r="QNZ39" s="317"/>
      <c r="QOA39" s="317"/>
      <c r="QOB39" s="317"/>
      <c r="QOC39" s="317"/>
      <c r="QOD39" s="317"/>
      <c r="QOE39" s="317"/>
      <c r="QOF39" s="317"/>
      <c r="QOG39" s="317"/>
      <c r="QOH39" s="317"/>
      <c r="QOI39" s="317"/>
      <c r="QOJ39" s="317"/>
      <c r="QOK39" s="317"/>
      <c r="QOL39" s="317"/>
      <c r="QOM39" s="317"/>
      <c r="QON39" s="317"/>
      <c r="QOO39" s="317"/>
      <c r="QOP39" s="317"/>
      <c r="QOQ39" s="317"/>
      <c r="QOR39" s="317"/>
      <c r="QOS39" s="317"/>
      <c r="QOT39" s="317"/>
      <c r="QOU39" s="317"/>
      <c r="QOV39" s="317"/>
      <c r="QOW39" s="317"/>
      <c r="QOX39" s="317"/>
      <c r="QOY39" s="317"/>
      <c r="QOZ39" s="317"/>
      <c r="QPA39" s="317"/>
      <c r="QPB39" s="317"/>
      <c r="QPC39" s="317"/>
      <c r="QPD39" s="317"/>
      <c r="QPE39" s="317"/>
      <c r="QPF39" s="317"/>
      <c r="QPG39" s="317"/>
      <c r="QPH39" s="317"/>
      <c r="QPI39" s="317"/>
      <c r="QPJ39" s="317"/>
      <c r="QPK39" s="317"/>
      <c r="QPL39" s="317"/>
      <c r="QPM39" s="317"/>
      <c r="QPN39" s="317"/>
      <c r="QPO39" s="317"/>
      <c r="QPP39" s="317"/>
      <c r="QPQ39" s="317"/>
      <c r="QPR39" s="317"/>
      <c r="QPS39" s="317"/>
      <c r="QPT39" s="317"/>
      <c r="QPU39" s="317"/>
      <c r="QPV39" s="317"/>
      <c r="QPW39" s="317"/>
      <c r="QPX39" s="317"/>
      <c r="QPY39" s="317"/>
      <c r="QPZ39" s="317"/>
      <c r="QQA39" s="317"/>
      <c r="QQB39" s="317"/>
      <c r="QQC39" s="317"/>
      <c r="QQD39" s="317"/>
      <c r="QQE39" s="317"/>
      <c r="QQF39" s="317"/>
      <c r="QQG39" s="317"/>
      <c r="QQH39" s="317"/>
      <c r="QQI39" s="317"/>
      <c r="QQJ39" s="317"/>
      <c r="QQK39" s="317"/>
      <c r="QQL39" s="317"/>
      <c r="QQM39" s="317"/>
      <c r="QQN39" s="317"/>
      <c r="QQO39" s="317"/>
      <c r="QQP39" s="317"/>
      <c r="QQQ39" s="317"/>
      <c r="QQR39" s="317"/>
      <c r="QQS39" s="317"/>
      <c r="QQT39" s="317"/>
      <c r="QQU39" s="317"/>
      <c r="QQV39" s="317"/>
      <c r="QQW39" s="317"/>
      <c r="QQX39" s="317"/>
      <c r="QQY39" s="317"/>
      <c r="QQZ39" s="317"/>
      <c r="QRA39" s="317"/>
      <c r="QRB39" s="317"/>
      <c r="QRC39" s="317"/>
      <c r="QRD39" s="317"/>
      <c r="QRE39" s="317"/>
      <c r="QRF39" s="317"/>
      <c r="QRG39" s="317"/>
      <c r="QRH39" s="317"/>
      <c r="QRI39" s="317"/>
      <c r="QRJ39" s="317"/>
      <c r="QRK39" s="317"/>
      <c r="QRL39" s="317"/>
      <c r="QRM39" s="317"/>
      <c r="QRN39" s="317"/>
      <c r="QRO39" s="317"/>
      <c r="QRP39" s="317"/>
      <c r="QRQ39" s="317"/>
      <c r="QRR39" s="317"/>
      <c r="QRS39" s="317"/>
      <c r="QRT39" s="317"/>
      <c r="QRU39" s="317"/>
      <c r="QRV39" s="317"/>
      <c r="QRW39" s="317"/>
      <c r="QRX39" s="317"/>
      <c r="QRY39" s="317"/>
      <c r="QRZ39" s="317"/>
      <c r="QSA39" s="317"/>
      <c r="QSB39" s="317"/>
      <c r="QSC39" s="317"/>
      <c r="QSD39" s="317"/>
      <c r="QSE39" s="317"/>
      <c r="QSF39" s="317"/>
      <c r="QSG39" s="317"/>
      <c r="QSH39" s="317"/>
      <c r="QSI39" s="317"/>
      <c r="QSJ39" s="317"/>
      <c r="QSK39" s="317"/>
      <c r="QSL39" s="317"/>
      <c r="QSM39" s="317"/>
      <c r="QSN39" s="317"/>
      <c r="QSO39" s="317"/>
      <c r="QSP39" s="317"/>
      <c r="QSQ39" s="317"/>
      <c r="QSR39" s="317"/>
      <c r="QSS39" s="317"/>
      <c r="QST39" s="317"/>
      <c r="QSU39" s="317"/>
      <c r="QSV39" s="317"/>
      <c r="QSW39" s="317"/>
      <c r="QSX39" s="317"/>
      <c r="QSY39" s="317"/>
      <c r="QSZ39" s="317"/>
      <c r="QTA39" s="317"/>
      <c r="QTB39" s="317"/>
      <c r="QTC39" s="317"/>
      <c r="QTD39" s="317"/>
      <c r="QTE39" s="317"/>
      <c r="QTF39" s="317"/>
      <c r="QTG39" s="317"/>
      <c r="QTH39" s="317"/>
      <c r="QTI39" s="317"/>
      <c r="QTJ39" s="317"/>
      <c r="QTK39" s="317"/>
      <c r="QTL39" s="317"/>
      <c r="QTM39" s="317"/>
      <c r="QTN39" s="317"/>
      <c r="QTO39" s="317"/>
      <c r="QTP39" s="317"/>
      <c r="QTQ39" s="317"/>
      <c r="QTR39" s="317"/>
      <c r="QTS39" s="317"/>
      <c r="QTT39" s="317"/>
      <c r="QTU39" s="317"/>
      <c r="QTV39" s="317"/>
      <c r="QTW39" s="317"/>
      <c r="QTX39" s="317"/>
      <c r="QTY39" s="317"/>
      <c r="QTZ39" s="317"/>
      <c r="QUA39" s="317"/>
      <c r="QUB39" s="317"/>
      <c r="QUC39" s="317"/>
      <c r="QUD39" s="317"/>
      <c r="QUE39" s="317"/>
      <c r="QUF39" s="317"/>
      <c r="QUG39" s="317"/>
      <c r="QUH39" s="317"/>
      <c r="QUI39" s="317"/>
      <c r="QUJ39" s="317"/>
      <c r="QUK39" s="317"/>
      <c r="QUL39" s="317"/>
      <c r="QUM39" s="317"/>
      <c r="QUN39" s="317"/>
      <c r="QUO39" s="317"/>
      <c r="QUP39" s="317"/>
      <c r="QUQ39" s="317"/>
      <c r="QUR39" s="317"/>
      <c r="QUS39" s="317"/>
      <c r="QUT39" s="317"/>
      <c r="QUU39" s="317"/>
      <c r="QUV39" s="317"/>
      <c r="QUW39" s="317"/>
      <c r="QUX39" s="317"/>
      <c r="QUY39" s="317"/>
      <c r="QUZ39" s="317"/>
      <c r="QVA39" s="317"/>
      <c r="QVB39" s="317"/>
      <c r="QVC39" s="317"/>
      <c r="QVD39" s="317"/>
      <c r="QVE39" s="317"/>
      <c r="QVF39" s="317"/>
      <c r="QVG39" s="317"/>
      <c r="QVH39" s="317"/>
      <c r="QVI39" s="317"/>
      <c r="QVJ39" s="317"/>
      <c r="QVK39" s="317"/>
      <c r="QVL39" s="317"/>
      <c r="QVM39" s="317"/>
      <c r="QVN39" s="317"/>
      <c r="QVO39" s="317"/>
      <c r="QVP39" s="317"/>
      <c r="QVQ39" s="317"/>
      <c r="QVR39" s="317"/>
      <c r="QVS39" s="317"/>
      <c r="QVT39" s="317"/>
      <c r="QVU39" s="317"/>
      <c r="QVV39" s="317"/>
      <c r="QVW39" s="317"/>
      <c r="QVX39" s="317"/>
      <c r="QVY39" s="317"/>
      <c r="QVZ39" s="317"/>
      <c r="QWA39" s="317"/>
      <c r="QWB39" s="317"/>
      <c r="QWC39" s="317"/>
      <c r="QWD39" s="317"/>
      <c r="QWE39" s="317"/>
      <c r="QWF39" s="317"/>
      <c r="QWG39" s="317"/>
      <c r="QWH39" s="317"/>
      <c r="QWI39" s="317"/>
      <c r="QWJ39" s="317"/>
      <c r="QWK39" s="317"/>
      <c r="QWL39" s="317"/>
      <c r="QWM39" s="317"/>
      <c r="QWN39" s="317"/>
      <c r="QWO39" s="317"/>
      <c r="QWP39" s="317"/>
      <c r="QWQ39" s="317"/>
      <c r="QWR39" s="317"/>
      <c r="QWS39" s="317"/>
      <c r="QWT39" s="317"/>
      <c r="QWU39" s="317"/>
      <c r="QWV39" s="317"/>
      <c r="QWW39" s="317"/>
      <c r="QWX39" s="317"/>
      <c r="QWY39" s="317"/>
      <c r="QWZ39" s="317"/>
      <c r="QXA39" s="317"/>
      <c r="QXB39" s="317"/>
      <c r="QXC39" s="317"/>
      <c r="QXD39" s="317"/>
      <c r="QXE39" s="317"/>
      <c r="QXF39" s="317"/>
      <c r="QXG39" s="317"/>
      <c r="QXH39" s="317"/>
      <c r="QXI39" s="317"/>
      <c r="QXJ39" s="317"/>
      <c r="QXK39" s="317"/>
      <c r="QXL39" s="317"/>
      <c r="QXM39" s="317"/>
      <c r="QXN39" s="317"/>
      <c r="QXO39" s="317"/>
      <c r="QXP39" s="317"/>
      <c r="QXQ39" s="317"/>
      <c r="QXR39" s="317"/>
      <c r="QXS39" s="317"/>
      <c r="QXT39" s="317"/>
      <c r="QXU39" s="317"/>
      <c r="QXV39" s="317"/>
      <c r="QXW39" s="317"/>
      <c r="QXX39" s="317"/>
      <c r="QXY39" s="317"/>
      <c r="QXZ39" s="317"/>
      <c r="QYA39" s="317"/>
      <c r="QYB39" s="317"/>
      <c r="QYC39" s="317"/>
      <c r="QYD39" s="317"/>
      <c r="QYE39" s="317"/>
      <c r="QYF39" s="317"/>
      <c r="QYG39" s="317"/>
      <c r="QYH39" s="317"/>
      <c r="QYI39" s="317"/>
      <c r="QYJ39" s="317"/>
      <c r="QYK39" s="317"/>
      <c r="QYL39" s="317"/>
      <c r="QYM39" s="317"/>
      <c r="QYN39" s="317"/>
      <c r="QYO39" s="317"/>
      <c r="QYP39" s="317"/>
      <c r="QYQ39" s="317"/>
      <c r="QYR39" s="317"/>
      <c r="QYS39" s="317"/>
      <c r="QYT39" s="317"/>
      <c r="QYU39" s="317"/>
      <c r="QYV39" s="317"/>
      <c r="QYW39" s="317"/>
      <c r="QYX39" s="317"/>
      <c r="QYY39" s="317"/>
      <c r="QYZ39" s="317"/>
      <c r="QZA39" s="317"/>
      <c r="QZB39" s="317"/>
      <c r="QZC39" s="317"/>
      <c r="QZD39" s="317"/>
      <c r="QZE39" s="317"/>
      <c r="QZF39" s="317"/>
      <c r="QZG39" s="317"/>
      <c r="QZH39" s="317"/>
      <c r="QZI39" s="317"/>
      <c r="QZJ39" s="317"/>
      <c r="QZK39" s="317"/>
      <c r="QZL39" s="317"/>
      <c r="QZM39" s="317"/>
      <c r="QZN39" s="317"/>
      <c r="QZO39" s="317"/>
      <c r="QZP39" s="317"/>
      <c r="QZQ39" s="317"/>
      <c r="QZR39" s="317"/>
      <c r="QZS39" s="317"/>
      <c r="QZT39" s="317"/>
      <c r="QZU39" s="317"/>
      <c r="QZV39" s="317"/>
      <c r="QZW39" s="317"/>
      <c r="QZX39" s="317"/>
      <c r="QZY39" s="317"/>
      <c r="QZZ39" s="317"/>
      <c r="RAA39" s="317"/>
      <c r="RAB39" s="317"/>
      <c r="RAC39" s="317"/>
      <c r="RAD39" s="317"/>
      <c r="RAE39" s="317"/>
      <c r="RAF39" s="317"/>
      <c r="RAG39" s="317"/>
      <c r="RAH39" s="317"/>
      <c r="RAI39" s="317"/>
      <c r="RAJ39" s="317"/>
      <c r="RAK39" s="317"/>
      <c r="RAL39" s="317"/>
      <c r="RAM39" s="317"/>
      <c r="RAN39" s="317"/>
      <c r="RAO39" s="317"/>
      <c r="RAP39" s="317"/>
      <c r="RAQ39" s="317"/>
      <c r="RAR39" s="317"/>
      <c r="RAS39" s="317"/>
      <c r="RAT39" s="317"/>
      <c r="RAU39" s="317"/>
      <c r="RAV39" s="317"/>
      <c r="RAW39" s="317"/>
      <c r="RAX39" s="317"/>
      <c r="RAY39" s="317"/>
      <c r="RAZ39" s="317"/>
      <c r="RBA39" s="317"/>
      <c r="RBB39" s="317"/>
      <c r="RBC39" s="317"/>
      <c r="RBD39" s="317"/>
      <c r="RBE39" s="317"/>
      <c r="RBF39" s="317"/>
      <c r="RBG39" s="317"/>
      <c r="RBH39" s="317"/>
      <c r="RBI39" s="317"/>
      <c r="RBJ39" s="317"/>
      <c r="RBK39" s="317"/>
      <c r="RBL39" s="317"/>
      <c r="RBM39" s="317"/>
      <c r="RBN39" s="317"/>
      <c r="RBO39" s="317"/>
      <c r="RBP39" s="317"/>
      <c r="RBQ39" s="317"/>
      <c r="RBR39" s="317"/>
      <c r="RBS39" s="317"/>
      <c r="RBT39" s="317"/>
      <c r="RBU39" s="317"/>
      <c r="RBV39" s="317"/>
      <c r="RBW39" s="317"/>
      <c r="RBX39" s="317"/>
      <c r="RBY39" s="317"/>
      <c r="RBZ39" s="317"/>
      <c r="RCA39" s="317"/>
      <c r="RCB39" s="317"/>
      <c r="RCC39" s="317"/>
      <c r="RCD39" s="317"/>
      <c r="RCE39" s="317"/>
      <c r="RCF39" s="317"/>
      <c r="RCG39" s="317"/>
      <c r="RCH39" s="317"/>
      <c r="RCI39" s="317"/>
      <c r="RCJ39" s="317"/>
      <c r="RCK39" s="317"/>
      <c r="RCL39" s="317"/>
      <c r="RCM39" s="317"/>
      <c r="RCN39" s="317"/>
      <c r="RCO39" s="317"/>
      <c r="RCP39" s="317"/>
      <c r="RCQ39" s="317"/>
      <c r="RCR39" s="317"/>
      <c r="RCS39" s="317"/>
      <c r="RCT39" s="317"/>
      <c r="RCU39" s="317"/>
      <c r="RCV39" s="317"/>
      <c r="RCW39" s="317"/>
      <c r="RCX39" s="317"/>
      <c r="RCY39" s="317"/>
      <c r="RCZ39" s="317"/>
      <c r="RDA39" s="317"/>
      <c r="RDB39" s="317"/>
      <c r="RDC39" s="317"/>
      <c r="RDD39" s="317"/>
      <c r="RDE39" s="317"/>
      <c r="RDF39" s="317"/>
      <c r="RDG39" s="317"/>
      <c r="RDH39" s="317"/>
      <c r="RDI39" s="317"/>
      <c r="RDJ39" s="317"/>
      <c r="RDK39" s="317"/>
      <c r="RDL39" s="317"/>
      <c r="RDM39" s="317"/>
      <c r="RDN39" s="317"/>
      <c r="RDO39" s="317"/>
      <c r="RDP39" s="317"/>
      <c r="RDQ39" s="317"/>
      <c r="RDR39" s="317"/>
      <c r="RDS39" s="317"/>
      <c r="RDT39" s="317"/>
      <c r="RDU39" s="317"/>
      <c r="RDV39" s="317"/>
      <c r="RDW39" s="317"/>
      <c r="RDX39" s="317"/>
      <c r="RDY39" s="317"/>
      <c r="RDZ39" s="317"/>
      <c r="REA39" s="317"/>
      <c r="REB39" s="317"/>
      <c r="REC39" s="317"/>
      <c r="RED39" s="317"/>
      <c r="REE39" s="317"/>
      <c r="REF39" s="317"/>
      <c r="REG39" s="317"/>
      <c r="REH39" s="317"/>
      <c r="REI39" s="317"/>
      <c r="REJ39" s="317"/>
      <c r="REK39" s="317"/>
      <c r="REL39" s="317"/>
      <c r="REM39" s="317"/>
      <c r="REN39" s="317"/>
      <c r="REO39" s="317"/>
      <c r="REP39" s="317"/>
      <c r="REQ39" s="317"/>
      <c r="RER39" s="317"/>
      <c r="RES39" s="317"/>
      <c r="RET39" s="317"/>
      <c r="REU39" s="317"/>
      <c r="REV39" s="317"/>
      <c r="REW39" s="317"/>
      <c r="REX39" s="317"/>
      <c r="REY39" s="317"/>
      <c r="REZ39" s="317"/>
      <c r="RFA39" s="317"/>
      <c r="RFB39" s="317"/>
      <c r="RFC39" s="317"/>
      <c r="RFD39" s="317"/>
      <c r="RFE39" s="317"/>
      <c r="RFF39" s="317"/>
      <c r="RFG39" s="317"/>
      <c r="RFH39" s="317"/>
      <c r="RFI39" s="317"/>
      <c r="RFJ39" s="317"/>
      <c r="RFK39" s="317"/>
      <c r="RFL39" s="317"/>
      <c r="RFM39" s="317"/>
      <c r="RFN39" s="317"/>
      <c r="RFO39" s="317"/>
      <c r="RFP39" s="317"/>
      <c r="RFQ39" s="317"/>
      <c r="RFR39" s="317"/>
      <c r="RFS39" s="317"/>
      <c r="RFT39" s="317"/>
      <c r="RFU39" s="317"/>
      <c r="RFV39" s="317"/>
      <c r="RFW39" s="317"/>
      <c r="RFX39" s="317"/>
      <c r="RFY39" s="317"/>
      <c r="RFZ39" s="317"/>
      <c r="RGA39" s="317"/>
      <c r="RGB39" s="317"/>
      <c r="RGC39" s="317"/>
      <c r="RGD39" s="317"/>
      <c r="RGE39" s="317"/>
      <c r="RGF39" s="317"/>
      <c r="RGG39" s="317"/>
      <c r="RGH39" s="317"/>
      <c r="RGI39" s="317"/>
      <c r="RGJ39" s="317"/>
      <c r="RGK39" s="317"/>
      <c r="RGL39" s="317"/>
      <c r="RGM39" s="317"/>
      <c r="RGN39" s="317"/>
      <c r="RGO39" s="317"/>
      <c r="RGP39" s="317"/>
      <c r="RGQ39" s="317"/>
      <c r="RGR39" s="317"/>
      <c r="RGS39" s="317"/>
      <c r="RGT39" s="317"/>
      <c r="RGU39" s="317"/>
      <c r="RGV39" s="317"/>
      <c r="RGW39" s="317"/>
      <c r="RGX39" s="317"/>
      <c r="RGY39" s="317"/>
      <c r="RGZ39" s="317"/>
      <c r="RHA39" s="317"/>
      <c r="RHB39" s="317"/>
      <c r="RHC39" s="317"/>
      <c r="RHD39" s="317"/>
      <c r="RHE39" s="317"/>
      <c r="RHF39" s="317"/>
      <c r="RHG39" s="317"/>
      <c r="RHH39" s="317"/>
      <c r="RHI39" s="317"/>
      <c r="RHJ39" s="317"/>
      <c r="RHK39" s="317"/>
      <c r="RHL39" s="317"/>
      <c r="RHM39" s="317"/>
      <c r="RHN39" s="317"/>
      <c r="RHO39" s="317"/>
      <c r="RHP39" s="317"/>
      <c r="RHQ39" s="317"/>
      <c r="RHR39" s="317"/>
      <c r="RHS39" s="317"/>
      <c r="RHT39" s="317"/>
      <c r="RHU39" s="317"/>
      <c r="RHV39" s="317"/>
      <c r="RHW39" s="317"/>
      <c r="RHX39" s="317"/>
      <c r="RHY39" s="317"/>
      <c r="RHZ39" s="317"/>
      <c r="RIA39" s="317"/>
      <c r="RIB39" s="317"/>
      <c r="RIC39" s="317"/>
      <c r="RID39" s="317"/>
      <c r="RIE39" s="317"/>
      <c r="RIF39" s="317"/>
      <c r="RIG39" s="317"/>
      <c r="RIH39" s="317"/>
      <c r="RII39" s="317"/>
      <c r="RIJ39" s="317"/>
      <c r="RIK39" s="317"/>
      <c r="RIL39" s="317"/>
      <c r="RIM39" s="317"/>
      <c r="RIN39" s="317"/>
      <c r="RIO39" s="317"/>
      <c r="RIP39" s="317"/>
      <c r="RIQ39" s="317"/>
      <c r="RIR39" s="317"/>
      <c r="RIS39" s="317"/>
      <c r="RIT39" s="317"/>
      <c r="RIU39" s="317"/>
      <c r="RIV39" s="317"/>
      <c r="RIW39" s="317"/>
      <c r="RIX39" s="317"/>
      <c r="RIY39" s="317"/>
      <c r="RIZ39" s="317"/>
      <c r="RJA39" s="317"/>
      <c r="RJB39" s="317"/>
      <c r="RJC39" s="317"/>
      <c r="RJD39" s="317"/>
      <c r="RJE39" s="317"/>
      <c r="RJF39" s="317"/>
      <c r="RJG39" s="317"/>
      <c r="RJH39" s="317"/>
      <c r="RJI39" s="317"/>
      <c r="RJJ39" s="317"/>
      <c r="RJK39" s="317"/>
      <c r="RJL39" s="317"/>
      <c r="RJM39" s="317"/>
      <c r="RJN39" s="317"/>
      <c r="RJO39" s="317"/>
      <c r="RJP39" s="317"/>
      <c r="RJQ39" s="317"/>
      <c r="RJR39" s="317"/>
      <c r="RJS39" s="317"/>
      <c r="RJT39" s="317"/>
      <c r="RJU39" s="317"/>
      <c r="RJV39" s="317"/>
      <c r="RJW39" s="317"/>
      <c r="RJX39" s="317"/>
      <c r="RJY39" s="317"/>
      <c r="RJZ39" s="317"/>
      <c r="RKA39" s="317"/>
      <c r="RKB39" s="317"/>
      <c r="RKC39" s="317"/>
      <c r="RKD39" s="317"/>
      <c r="RKE39" s="317"/>
      <c r="RKF39" s="317"/>
      <c r="RKG39" s="317"/>
      <c r="RKH39" s="317"/>
      <c r="RKI39" s="317"/>
      <c r="RKJ39" s="317"/>
      <c r="RKK39" s="317"/>
      <c r="RKL39" s="317"/>
      <c r="RKM39" s="317"/>
      <c r="RKN39" s="317"/>
      <c r="RKO39" s="317"/>
      <c r="RKP39" s="317"/>
      <c r="RKQ39" s="317"/>
      <c r="RKR39" s="317"/>
      <c r="RKS39" s="317"/>
      <c r="RKT39" s="317"/>
      <c r="RKU39" s="317"/>
      <c r="RKV39" s="317"/>
      <c r="RKW39" s="317"/>
      <c r="RKX39" s="317"/>
      <c r="RKY39" s="317"/>
      <c r="RKZ39" s="317"/>
      <c r="RLA39" s="317"/>
      <c r="RLB39" s="317"/>
      <c r="RLC39" s="317"/>
      <c r="RLD39" s="317"/>
      <c r="RLE39" s="317"/>
      <c r="RLF39" s="317"/>
      <c r="RLG39" s="317"/>
      <c r="RLH39" s="317"/>
      <c r="RLI39" s="317"/>
      <c r="RLJ39" s="317"/>
      <c r="RLK39" s="317"/>
      <c r="RLL39" s="317"/>
      <c r="RLM39" s="317"/>
      <c r="RLN39" s="317"/>
      <c r="RLO39" s="317"/>
      <c r="RLP39" s="317"/>
      <c r="RLQ39" s="317"/>
      <c r="RLR39" s="317"/>
      <c r="RLS39" s="317"/>
      <c r="RLT39" s="317"/>
      <c r="RLU39" s="317"/>
      <c r="RLV39" s="317"/>
      <c r="RLW39" s="317"/>
      <c r="RLX39" s="317"/>
      <c r="RLY39" s="317"/>
      <c r="RLZ39" s="317"/>
      <c r="RMA39" s="317"/>
      <c r="RMB39" s="317"/>
      <c r="RMC39" s="317"/>
      <c r="RMD39" s="317"/>
      <c r="RME39" s="317"/>
      <c r="RMF39" s="317"/>
      <c r="RMG39" s="317"/>
      <c r="RMH39" s="317"/>
      <c r="RMI39" s="317"/>
      <c r="RMJ39" s="317"/>
      <c r="RMK39" s="317"/>
      <c r="RML39" s="317"/>
      <c r="RMM39" s="317"/>
      <c r="RMN39" s="317"/>
      <c r="RMO39" s="317"/>
      <c r="RMP39" s="317"/>
      <c r="RMQ39" s="317"/>
      <c r="RMR39" s="317"/>
      <c r="RMS39" s="317"/>
      <c r="RMT39" s="317"/>
      <c r="RMU39" s="317"/>
      <c r="RMV39" s="317"/>
      <c r="RMW39" s="317"/>
      <c r="RMX39" s="317"/>
      <c r="RMY39" s="317"/>
      <c r="RMZ39" s="317"/>
      <c r="RNA39" s="317"/>
      <c r="RNB39" s="317"/>
      <c r="RNC39" s="317"/>
      <c r="RND39" s="317"/>
      <c r="RNE39" s="317"/>
      <c r="RNF39" s="317"/>
      <c r="RNG39" s="317"/>
      <c r="RNH39" s="317"/>
      <c r="RNI39" s="317"/>
      <c r="RNJ39" s="317"/>
      <c r="RNK39" s="317"/>
      <c r="RNL39" s="317"/>
      <c r="RNM39" s="317"/>
      <c r="RNN39" s="317"/>
      <c r="RNO39" s="317"/>
      <c r="RNP39" s="317"/>
      <c r="RNQ39" s="317"/>
      <c r="RNR39" s="317"/>
      <c r="RNS39" s="317"/>
      <c r="RNT39" s="317"/>
      <c r="RNU39" s="317"/>
      <c r="RNV39" s="317"/>
      <c r="RNW39" s="317"/>
      <c r="RNX39" s="317"/>
      <c r="RNY39" s="317"/>
      <c r="RNZ39" s="317"/>
      <c r="ROA39" s="317"/>
      <c r="ROB39" s="317"/>
      <c r="ROC39" s="317"/>
      <c r="ROD39" s="317"/>
      <c r="ROE39" s="317"/>
      <c r="ROF39" s="317"/>
      <c r="ROG39" s="317"/>
      <c r="ROH39" s="317"/>
      <c r="ROI39" s="317"/>
      <c r="ROJ39" s="317"/>
      <c r="ROK39" s="317"/>
      <c r="ROL39" s="317"/>
      <c r="ROM39" s="317"/>
      <c r="RON39" s="317"/>
      <c r="ROO39" s="317"/>
      <c r="ROP39" s="317"/>
      <c r="ROQ39" s="317"/>
      <c r="ROR39" s="317"/>
      <c r="ROS39" s="317"/>
      <c r="ROT39" s="317"/>
      <c r="ROU39" s="317"/>
      <c r="ROV39" s="317"/>
      <c r="ROW39" s="317"/>
      <c r="ROX39" s="317"/>
      <c r="ROY39" s="317"/>
      <c r="ROZ39" s="317"/>
      <c r="RPA39" s="317"/>
      <c r="RPB39" s="317"/>
      <c r="RPC39" s="317"/>
      <c r="RPD39" s="317"/>
      <c r="RPE39" s="317"/>
      <c r="RPF39" s="317"/>
      <c r="RPG39" s="317"/>
      <c r="RPH39" s="317"/>
      <c r="RPI39" s="317"/>
      <c r="RPJ39" s="317"/>
      <c r="RPK39" s="317"/>
      <c r="RPL39" s="317"/>
      <c r="RPM39" s="317"/>
      <c r="RPN39" s="317"/>
      <c r="RPO39" s="317"/>
      <c r="RPP39" s="317"/>
      <c r="RPQ39" s="317"/>
      <c r="RPR39" s="317"/>
      <c r="RPS39" s="317"/>
      <c r="RPT39" s="317"/>
      <c r="RPU39" s="317"/>
      <c r="RPV39" s="317"/>
      <c r="RPW39" s="317"/>
      <c r="RPX39" s="317"/>
      <c r="RPY39" s="317"/>
      <c r="RPZ39" s="317"/>
      <c r="RQA39" s="317"/>
      <c r="RQB39" s="317"/>
      <c r="RQC39" s="317"/>
      <c r="RQD39" s="317"/>
      <c r="RQE39" s="317"/>
      <c r="RQF39" s="317"/>
      <c r="RQG39" s="317"/>
      <c r="RQH39" s="317"/>
      <c r="RQI39" s="317"/>
      <c r="RQJ39" s="317"/>
      <c r="RQK39" s="317"/>
      <c r="RQL39" s="317"/>
      <c r="RQM39" s="317"/>
      <c r="RQN39" s="317"/>
      <c r="RQO39" s="317"/>
      <c r="RQP39" s="317"/>
      <c r="RQQ39" s="317"/>
      <c r="RQR39" s="317"/>
      <c r="RQS39" s="317"/>
      <c r="RQT39" s="317"/>
      <c r="RQU39" s="317"/>
      <c r="RQV39" s="317"/>
      <c r="RQW39" s="317"/>
      <c r="RQX39" s="317"/>
      <c r="RQY39" s="317"/>
      <c r="RQZ39" s="317"/>
      <c r="RRA39" s="317"/>
      <c r="RRB39" s="317"/>
      <c r="RRC39" s="317"/>
      <c r="RRD39" s="317"/>
      <c r="RRE39" s="317"/>
      <c r="RRF39" s="317"/>
      <c r="RRG39" s="317"/>
      <c r="RRH39" s="317"/>
      <c r="RRI39" s="317"/>
      <c r="RRJ39" s="317"/>
      <c r="RRK39" s="317"/>
      <c r="RRL39" s="317"/>
      <c r="RRM39" s="317"/>
      <c r="RRN39" s="317"/>
      <c r="RRO39" s="317"/>
      <c r="RRP39" s="317"/>
      <c r="RRQ39" s="317"/>
      <c r="RRR39" s="317"/>
      <c r="RRS39" s="317"/>
      <c r="RRT39" s="317"/>
      <c r="RRU39" s="317"/>
      <c r="RRV39" s="317"/>
      <c r="RRW39" s="317"/>
      <c r="RRX39" s="317"/>
      <c r="RRY39" s="317"/>
      <c r="RRZ39" s="317"/>
      <c r="RSA39" s="317"/>
      <c r="RSB39" s="317"/>
      <c r="RSC39" s="317"/>
      <c r="RSD39" s="317"/>
      <c r="RSE39" s="317"/>
      <c r="RSF39" s="317"/>
      <c r="RSG39" s="317"/>
      <c r="RSH39" s="317"/>
      <c r="RSI39" s="317"/>
      <c r="RSJ39" s="317"/>
      <c r="RSK39" s="317"/>
      <c r="RSL39" s="317"/>
      <c r="RSM39" s="317"/>
      <c r="RSN39" s="317"/>
      <c r="RSO39" s="317"/>
      <c r="RSP39" s="317"/>
      <c r="RSQ39" s="317"/>
      <c r="RSR39" s="317"/>
      <c r="RSS39" s="317"/>
      <c r="RST39" s="317"/>
      <c r="RSU39" s="317"/>
      <c r="RSV39" s="317"/>
      <c r="RSW39" s="317"/>
      <c r="RSX39" s="317"/>
      <c r="RSY39" s="317"/>
      <c r="RSZ39" s="317"/>
      <c r="RTA39" s="317"/>
      <c r="RTB39" s="317"/>
      <c r="RTC39" s="317"/>
      <c r="RTD39" s="317"/>
      <c r="RTE39" s="317"/>
      <c r="RTF39" s="317"/>
      <c r="RTG39" s="317"/>
      <c r="RTH39" s="317"/>
      <c r="RTI39" s="317"/>
      <c r="RTJ39" s="317"/>
      <c r="RTK39" s="317"/>
      <c r="RTL39" s="317"/>
      <c r="RTM39" s="317"/>
      <c r="RTN39" s="317"/>
      <c r="RTO39" s="317"/>
      <c r="RTP39" s="317"/>
      <c r="RTQ39" s="317"/>
      <c r="RTR39" s="317"/>
      <c r="RTS39" s="317"/>
      <c r="RTT39" s="317"/>
      <c r="RTU39" s="317"/>
      <c r="RTV39" s="317"/>
      <c r="RTW39" s="317"/>
      <c r="RTX39" s="317"/>
      <c r="RTY39" s="317"/>
      <c r="RTZ39" s="317"/>
      <c r="RUA39" s="317"/>
      <c r="RUB39" s="317"/>
      <c r="RUC39" s="317"/>
      <c r="RUD39" s="317"/>
      <c r="RUE39" s="317"/>
      <c r="RUF39" s="317"/>
      <c r="RUG39" s="317"/>
      <c r="RUH39" s="317"/>
      <c r="RUI39" s="317"/>
      <c r="RUJ39" s="317"/>
      <c r="RUK39" s="317"/>
      <c r="RUL39" s="317"/>
      <c r="RUM39" s="317"/>
      <c r="RUN39" s="317"/>
      <c r="RUO39" s="317"/>
      <c r="RUP39" s="317"/>
      <c r="RUQ39" s="317"/>
      <c r="RUR39" s="317"/>
      <c r="RUS39" s="317"/>
      <c r="RUT39" s="317"/>
      <c r="RUU39" s="317"/>
      <c r="RUV39" s="317"/>
      <c r="RUW39" s="317"/>
      <c r="RUX39" s="317"/>
      <c r="RUY39" s="317"/>
      <c r="RUZ39" s="317"/>
      <c r="RVA39" s="317"/>
      <c r="RVB39" s="317"/>
      <c r="RVC39" s="317"/>
      <c r="RVD39" s="317"/>
      <c r="RVE39" s="317"/>
      <c r="RVF39" s="317"/>
      <c r="RVG39" s="317"/>
      <c r="RVH39" s="317"/>
      <c r="RVI39" s="317"/>
      <c r="RVJ39" s="317"/>
      <c r="RVK39" s="317"/>
      <c r="RVL39" s="317"/>
      <c r="RVM39" s="317"/>
      <c r="RVN39" s="317"/>
      <c r="RVO39" s="317"/>
      <c r="RVP39" s="317"/>
      <c r="RVQ39" s="317"/>
      <c r="RVR39" s="317"/>
      <c r="RVS39" s="317"/>
      <c r="RVT39" s="317"/>
      <c r="RVU39" s="317"/>
      <c r="RVV39" s="317"/>
      <c r="RVW39" s="317"/>
      <c r="RVX39" s="317"/>
      <c r="RVY39" s="317"/>
      <c r="RVZ39" s="317"/>
      <c r="RWA39" s="317"/>
      <c r="RWB39" s="317"/>
      <c r="RWC39" s="317"/>
      <c r="RWD39" s="317"/>
      <c r="RWE39" s="317"/>
      <c r="RWF39" s="317"/>
      <c r="RWG39" s="317"/>
      <c r="RWH39" s="317"/>
      <c r="RWI39" s="317"/>
      <c r="RWJ39" s="317"/>
      <c r="RWK39" s="317"/>
      <c r="RWL39" s="317"/>
      <c r="RWM39" s="317"/>
      <c r="RWN39" s="317"/>
      <c r="RWO39" s="317"/>
      <c r="RWP39" s="317"/>
      <c r="RWQ39" s="317"/>
      <c r="RWR39" s="317"/>
      <c r="RWS39" s="317"/>
      <c r="RWT39" s="317"/>
      <c r="RWU39" s="317"/>
      <c r="RWV39" s="317"/>
      <c r="RWW39" s="317"/>
      <c r="RWX39" s="317"/>
      <c r="RWY39" s="317"/>
      <c r="RWZ39" s="317"/>
      <c r="RXA39" s="317"/>
      <c r="RXB39" s="317"/>
      <c r="RXC39" s="317"/>
      <c r="RXD39" s="317"/>
      <c r="RXE39" s="317"/>
      <c r="RXF39" s="317"/>
      <c r="RXG39" s="317"/>
      <c r="RXH39" s="317"/>
      <c r="RXI39" s="317"/>
      <c r="RXJ39" s="317"/>
      <c r="RXK39" s="317"/>
      <c r="RXL39" s="317"/>
      <c r="RXM39" s="317"/>
      <c r="RXN39" s="317"/>
      <c r="RXO39" s="317"/>
      <c r="RXP39" s="317"/>
      <c r="RXQ39" s="317"/>
      <c r="RXR39" s="317"/>
      <c r="RXS39" s="317"/>
      <c r="RXT39" s="317"/>
      <c r="RXU39" s="317"/>
      <c r="RXV39" s="317"/>
      <c r="RXW39" s="317"/>
      <c r="RXX39" s="317"/>
      <c r="RXY39" s="317"/>
      <c r="RXZ39" s="317"/>
      <c r="RYA39" s="317"/>
      <c r="RYB39" s="317"/>
      <c r="RYC39" s="317"/>
      <c r="RYD39" s="317"/>
      <c r="RYE39" s="317"/>
      <c r="RYF39" s="317"/>
      <c r="RYG39" s="317"/>
      <c r="RYH39" s="317"/>
      <c r="RYI39" s="317"/>
      <c r="RYJ39" s="317"/>
      <c r="RYK39" s="317"/>
      <c r="RYL39" s="317"/>
      <c r="RYM39" s="317"/>
      <c r="RYN39" s="317"/>
      <c r="RYO39" s="317"/>
      <c r="RYP39" s="317"/>
      <c r="RYQ39" s="317"/>
      <c r="RYR39" s="317"/>
      <c r="RYS39" s="317"/>
      <c r="RYT39" s="317"/>
      <c r="RYU39" s="317"/>
      <c r="RYV39" s="317"/>
      <c r="RYW39" s="317"/>
      <c r="RYX39" s="317"/>
      <c r="RYY39" s="317"/>
      <c r="RYZ39" s="317"/>
      <c r="RZA39" s="317"/>
      <c r="RZB39" s="317"/>
      <c r="RZC39" s="317"/>
      <c r="RZD39" s="317"/>
      <c r="RZE39" s="317"/>
      <c r="RZF39" s="317"/>
      <c r="RZG39" s="317"/>
      <c r="RZH39" s="317"/>
      <c r="RZI39" s="317"/>
      <c r="RZJ39" s="317"/>
      <c r="RZK39" s="317"/>
      <c r="RZL39" s="317"/>
      <c r="RZM39" s="317"/>
      <c r="RZN39" s="317"/>
      <c r="RZO39" s="317"/>
      <c r="RZP39" s="317"/>
      <c r="RZQ39" s="317"/>
      <c r="RZR39" s="317"/>
      <c r="RZS39" s="317"/>
      <c r="RZT39" s="317"/>
      <c r="RZU39" s="317"/>
      <c r="RZV39" s="317"/>
      <c r="RZW39" s="317"/>
      <c r="RZX39" s="317"/>
      <c r="RZY39" s="317"/>
      <c r="RZZ39" s="317"/>
      <c r="SAA39" s="317"/>
      <c r="SAB39" s="317"/>
      <c r="SAC39" s="317"/>
      <c r="SAD39" s="317"/>
      <c r="SAE39" s="317"/>
      <c r="SAF39" s="317"/>
      <c r="SAG39" s="317"/>
      <c r="SAH39" s="317"/>
      <c r="SAI39" s="317"/>
      <c r="SAJ39" s="317"/>
      <c r="SAK39" s="317"/>
      <c r="SAL39" s="317"/>
      <c r="SAM39" s="317"/>
      <c r="SAN39" s="317"/>
      <c r="SAO39" s="317"/>
      <c r="SAP39" s="317"/>
      <c r="SAQ39" s="317"/>
      <c r="SAR39" s="317"/>
      <c r="SAS39" s="317"/>
      <c r="SAT39" s="317"/>
      <c r="SAU39" s="317"/>
      <c r="SAV39" s="317"/>
      <c r="SAW39" s="317"/>
      <c r="SAX39" s="317"/>
      <c r="SAY39" s="317"/>
      <c r="SAZ39" s="317"/>
      <c r="SBA39" s="317"/>
      <c r="SBB39" s="317"/>
      <c r="SBC39" s="317"/>
      <c r="SBD39" s="317"/>
      <c r="SBE39" s="317"/>
      <c r="SBF39" s="317"/>
      <c r="SBG39" s="317"/>
      <c r="SBH39" s="317"/>
      <c r="SBI39" s="317"/>
      <c r="SBJ39" s="317"/>
      <c r="SBK39" s="317"/>
      <c r="SBL39" s="317"/>
      <c r="SBM39" s="317"/>
      <c r="SBN39" s="317"/>
      <c r="SBO39" s="317"/>
      <c r="SBP39" s="317"/>
      <c r="SBQ39" s="317"/>
      <c r="SBR39" s="317"/>
      <c r="SBS39" s="317"/>
      <c r="SBT39" s="317"/>
      <c r="SBU39" s="317"/>
      <c r="SBV39" s="317"/>
      <c r="SBW39" s="317"/>
      <c r="SBX39" s="317"/>
      <c r="SBY39" s="317"/>
      <c r="SBZ39" s="317"/>
      <c r="SCA39" s="317"/>
      <c r="SCB39" s="317"/>
      <c r="SCC39" s="317"/>
      <c r="SCD39" s="317"/>
      <c r="SCE39" s="317"/>
      <c r="SCF39" s="317"/>
      <c r="SCG39" s="317"/>
      <c r="SCH39" s="317"/>
      <c r="SCI39" s="317"/>
      <c r="SCJ39" s="317"/>
      <c r="SCK39" s="317"/>
      <c r="SCL39" s="317"/>
      <c r="SCM39" s="317"/>
      <c r="SCN39" s="317"/>
      <c r="SCO39" s="317"/>
      <c r="SCP39" s="317"/>
      <c r="SCQ39" s="317"/>
      <c r="SCR39" s="317"/>
      <c r="SCS39" s="317"/>
      <c r="SCT39" s="317"/>
      <c r="SCU39" s="317"/>
      <c r="SCV39" s="317"/>
      <c r="SCW39" s="317"/>
      <c r="SCX39" s="317"/>
      <c r="SCY39" s="317"/>
      <c r="SCZ39" s="317"/>
      <c r="SDA39" s="317"/>
      <c r="SDB39" s="317"/>
      <c r="SDC39" s="317"/>
      <c r="SDD39" s="317"/>
      <c r="SDE39" s="317"/>
      <c r="SDF39" s="317"/>
      <c r="SDG39" s="317"/>
      <c r="SDH39" s="317"/>
      <c r="SDI39" s="317"/>
      <c r="SDJ39" s="317"/>
      <c r="SDK39" s="317"/>
      <c r="SDL39" s="317"/>
      <c r="SDM39" s="317"/>
      <c r="SDN39" s="317"/>
      <c r="SDO39" s="317"/>
      <c r="SDP39" s="317"/>
      <c r="SDQ39" s="317"/>
      <c r="SDR39" s="317"/>
      <c r="SDS39" s="317"/>
      <c r="SDT39" s="317"/>
      <c r="SDU39" s="317"/>
      <c r="SDV39" s="317"/>
      <c r="SDW39" s="317"/>
      <c r="SDX39" s="317"/>
      <c r="SDY39" s="317"/>
      <c r="SDZ39" s="317"/>
      <c r="SEA39" s="317"/>
      <c r="SEB39" s="317"/>
      <c r="SEC39" s="317"/>
      <c r="SED39" s="317"/>
      <c r="SEE39" s="317"/>
      <c r="SEF39" s="317"/>
      <c r="SEG39" s="317"/>
      <c r="SEH39" s="317"/>
      <c r="SEI39" s="317"/>
      <c r="SEJ39" s="317"/>
      <c r="SEK39" s="317"/>
      <c r="SEL39" s="317"/>
      <c r="SEM39" s="317"/>
      <c r="SEN39" s="317"/>
      <c r="SEO39" s="317"/>
      <c r="SEP39" s="317"/>
      <c r="SEQ39" s="317"/>
      <c r="SER39" s="317"/>
      <c r="SES39" s="317"/>
      <c r="SET39" s="317"/>
      <c r="SEU39" s="317"/>
      <c r="SEV39" s="317"/>
      <c r="SEW39" s="317"/>
      <c r="SEX39" s="317"/>
      <c r="SEY39" s="317"/>
      <c r="SEZ39" s="317"/>
      <c r="SFA39" s="317"/>
      <c r="SFB39" s="317"/>
      <c r="SFC39" s="317"/>
      <c r="SFD39" s="317"/>
      <c r="SFE39" s="317"/>
      <c r="SFF39" s="317"/>
      <c r="SFG39" s="317"/>
      <c r="SFH39" s="317"/>
      <c r="SFI39" s="317"/>
      <c r="SFJ39" s="317"/>
      <c r="SFK39" s="317"/>
      <c r="SFL39" s="317"/>
      <c r="SFM39" s="317"/>
      <c r="SFN39" s="317"/>
      <c r="SFO39" s="317"/>
      <c r="SFP39" s="317"/>
      <c r="SFQ39" s="317"/>
      <c r="SFR39" s="317"/>
      <c r="SFS39" s="317"/>
      <c r="SFT39" s="317"/>
      <c r="SFU39" s="317"/>
      <c r="SFV39" s="317"/>
      <c r="SFW39" s="317"/>
      <c r="SFX39" s="317"/>
      <c r="SFY39" s="317"/>
      <c r="SFZ39" s="317"/>
      <c r="SGA39" s="317"/>
      <c r="SGB39" s="317"/>
      <c r="SGC39" s="317"/>
      <c r="SGD39" s="317"/>
      <c r="SGE39" s="317"/>
      <c r="SGF39" s="317"/>
      <c r="SGG39" s="317"/>
      <c r="SGH39" s="317"/>
      <c r="SGI39" s="317"/>
      <c r="SGJ39" s="317"/>
      <c r="SGK39" s="317"/>
      <c r="SGL39" s="317"/>
      <c r="SGM39" s="317"/>
      <c r="SGN39" s="317"/>
      <c r="SGO39" s="317"/>
      <c r="SGP39" s="317"/>
      <c r="SGQ39" s="317"/>
      <c r="SGR39" s="317"/>
      <c r="SGS39" s="317"/>
      <c r="SGT39" s="317"/>
      <c r="SGU39" s="317"/>
      <c r="SGV39" s="317"/>
      <c r="SGW39" s="317"/>
      <c r="SGX39" s="317"/>
      <c r="SGY39" s="317"/>
      <c r="SGZ39" s="317"/>
      <c r="SHA39" s="317"/>
      <c r="SHB39" s="317"/>
      <c r="SHC39" s="317"/>
      <c r="SHD39" s="317"/>
      <c r="SHE39" s="317"/>
      <c r="SHF39" s="317"/>
      <c r="SHG39" s="317"/>
      <c r="SHH39" s="317"/>
      <c r="SHI39" s="317"/>
      <c r="SHJ39" s="317"/>
      <c r="SHK39" s="317"/>
      <c r="SHL39" s="317"/>
      <c r="SHM39" s="317"/>
      <c r="SHN39" s="317"/>
      <c r="SHO39" s="317"/>
      <c r="SHP39" s="317"/>
      <c r="SHQ39" s="317"/>
      <c r="SHR39" s="317"/>
      <c r="SHS39" s="317"/>
      <c r="SHT39" s="317"/>
      <c r="SHU39" s="317"/>
      <c r="SHV39" s="317"/>
      <c r="SHW39" s="317"/>
      <c r="SHX39" s="317"/>
      <c r="SHY39" s="317"/>
      <c r="SHZ39" s="317"/>
      <c r="SIA39" s="317"/>
      <c r="SIB39" s="317"/>
      <c r="SIC39" s="317"/>
      <c r="SID39" s="317"/>
      <c r="SIE39" s="317"/>
      <c r="SIF39" s="317"/>
      <c r="SIG39" s="317"/>
      <c r="SIH39" s="317"/>
      <c r="SII39" s="317"/>
      <c r="SIJ39" s="317"/>
      <c r="SIK39" s="317"/>
      <c r="SIL39" s="317"/>
      <c r="SIM39" s="317"/>
      <c r="SIN39" s="317"/>
      <c r="SIO39" s="317"/>
      <c r="SIP39" s="317"/>
      <c r="SIQ39" s="317"/>
      <c r="SIR39" s="317"/>
      <c r="SIS39" s="317"/>
      <c r="SIT39" s="317"/>
      <c r="SIU39" s="317"/>
      <c r="SIV39" s="317"/>
      <c r="SIW39" s="317"/>
      <c r="SIX39" s="317"/>
      <c r="SIY39" s="317"/>
      <c r="SIZ39" s="317"/>
      <c r="SJA39" s="317"/>
      <c r="SJB39" s="317"/>
      <c r="SJC39" s="317"/>
      <c r="SJD39" s="317"/>
      <c r="SJE39" s="317"/>
      <c r="SJF39" s="317"/>
      <c r="SJG39" s="317"/>
      <c r="SJH39" s="317"/>
      <c r="SJI39" s="317"/>
      <c r="SJJ39" s="317"/>
      <c r="SJK39" s="317"/>
      <c r="SJL39" s="317"/>
      <c r="SJM39" s="317"/>
      <c r="SJN39" s="317"/>
      <c r="SJO39" s="317"/>
      <c r="SJP39" s="317"/>
      <c r="SJQ39" s="317"/>
      <c r="SJR39" s="317"/>
      <c r="SJS39" s="317"/>
      <c r="SJT39" s="317"/>
      <c r="SJU39" s="317"/>
      <c r="SJV39" s="317"/>
      <c r="SJW39" s="317"/>
      <c r="SJX39" s="317"/>
      <c r="SJY39" s="317"/>
      <c r="SJZ39" s="317"/>
      <c r="SKA39" s="317"/>
      <c r="SKB39" s="317"/>
      <c r="SKC39" s="317"/>
      <c r="SKD39" s="317"/>
      <c r="SKE39" s="317"/>
      <c r="SKF39" s="317"/>
      <c r="SKG39" s="317"/>
      <c r="SKH39" s="317"/>
      <c r="SKI39" s="317"/>
      <c r="SKJ39" s="317"/>
      <c r="SKK39" s="317"/>
      <c r="SKL39" s="317"/>
      <c r="SKM39" s="317"/>
      <c r="SKN39" s="317"/>
      <c r="SKO39" s="317"/>
      <c r="SKP39" s="317"/>
      <c r="SKQ39" s="317"/>
      <c r="SKR39" s="317"/>
      <c r="SKS39" s="317"/>
      <c r="SKT39" s="317"/>
      <c r="SKU39" s="317"/>
      <c r="SKV39" s="317"/>
      <c r="SKW39" s="317"/>
      <c r="SKX39" s="317"/>
      <c r="SKY39" s="317"/>
      <c r="SKZ39" s="317"/>
      <c r="SLA39" s="317"/>
      <c r="SLB39" s="317"/>
      <c r="SLC39" s="317"/>
      <c r="SLD39" s="317"/>
      <c r="SLE39" s="317"/>
      <c r="SLF39" s="317"/>
      <c r="SLG39" s="317"/>
      <c r="SLH39" s="317"/>
      <c r="SLI39" s="317"/>
      <c r="SLJ39" s="317"/>
      <c r="SLK39" s="317"/>
      <c r="SLL39" s="317"/>
      <c r="SLM39" s="317"/>
      <c r="SLN39" s="317"/>
      <c r="SLO39" s="317"/>
      <c r="SLP39" s="317"/>
      <c r="SLQ39" s="317"/>
      <c r="SLR39" s="317"/>
      <c r="SLS39" s="317"/>
      <c r="SLT39" s="317"/>
      <c r="SLU39" s="317"/>
      <c r="SLV39" s="317"/>
      <c r="SLW39" s="317"/>
      <c r="SLX39" s="317"/>
      <c r="SLY39" s="317"/>
      <c r="SLZ39" s="317"/>
      <c r="SMA39" s="317"/>
      <c r="SMB39" s="317"/>
      <c r="SMC39" s="317"/>
      <c r="SMD39" s="317"/>
      <c r="SME39" s="317"/>
      <c r="SMF39" s="317"/>
      <c r="SMG39" s="317"/>
      <c r="SMH39" s="317"/>
      <c r="SMI39" s="317"/>
      <c r="SMJ39" s="317"/>
      <c r="SMK39" s="317"/>
      <c r="SML39" s="317"/>
      <c r="SMM39" s="317"/>
      <c r="SMN39" s="317"/>
      <c r="SMO39" s="317"/>
      <c r="SMP39" s="317"/>
      <c r="SMQ39" s="317"/>
      <c r="SMR39" s="317"/>
      <c r="SMS39" s="317"/>
      <c r="SMT39" s="317"/>
      <c r="SMU39" s="317"/>
      <c r="SMV39" s="317"/>
      <c r="SMW39" s="317"/>
      <c r="SMX39" s="317"/>
      <c r="SMY39" s="317"/>
      <c r="SMZ39" s="317"/>
      <c r="SNA39" s="317"/>
      <c r="SNB39" s="317"/>
      <c r="SNC39" s="317"/>
      <c r="SND39" s="317"/>
      <c r="SNE39" s="317"/>
      <c r="SNF39" s="317"/>
      <c r="SNG39" s="317"/>
      <c r="SNH39" s="317"/>
      <c r="SNI39" s="317"/>
      <c r="SNJ39" s="317"/>
      <c r="SNK39" s="317"/>
      <c r="SNL39" s="317"/>
      <c r="SNM39" s="317"/>
      <c r="SNN39" s="317"/>
      <c r="SNO39" s="317"/>
      <c r="SNP39" s="317"/>
      <c r="SNQ39" s="317"/>
      <c r="SNR39" s="317"/>
      <c r="SNS39" s="317"/>
      <c r="SNT39" s="317"/>
      <c r="SNU39" s="317"/>
      <c r="SNV39" s="317"/>
      <c r="SNW39" s="317"/>
      <c r="SNX39" s="317"/>
      <c r="SNY39" s="317"/>
      <c r="SNZ39" s="317"/>
      <c r="SOA39" s="317"/>
      <c r="SOB39" s="317"/>
      <c r="SOC39" s="317"/>
      <c r="SOD39" s="317"/>
      <c r="SOE39" s="317"/>
      <c r="SOF39" s="317"/>
      <c r="SOG39" s="317"/>
      <c r="SOH39" s="317"/>
      <c r="SOI39" s="317"/>
      <c r="SOJ39" s="317"/>
      <c r="SOK39" s="317"/>
      <c r="SOL39" s="317"/>
      <c r="SOM39" s="317"/>
      <c r="SON39" s="317"/>
      <c r="SOO39" s="317"/>
      <c r="SOP39" s="317"/>
      <c r="SOQ39" s="317"/>
      <c r="SOR39" s="317"/>
      <c r="SOS39" s="317"/>
      <c r="SOT39" s="317"/>
      <c r="SOU39" s="317"/>
      <c r="SOV39" s="317"/>
      <c r="SOW39" s="317"/>
      <c r="SOX39" s="317"/>
      <c r="SOY39" s="317"/>
      <c r="SOZ39" s="317"/>
      <c r="SPA39" s="317"/>
      <c r="SPB39" s="317"/>
      <c r="SPC39" s="317"/>
      <c r="SPD39" s="317"/>
      <c r="SPE39" s="317"/>
      <c r="SPF39" s="317"/>
      <c r="SPG39" s="317"/>
      <c r="SPH39" s="317"/>
      <c r="SPI39" s="317"/>
      <c r="SPJ39" s="317"/>
      <c r="SPK39" s="317"/>
      <c r="SPL39" s="317"/>
      <c r="SPM39" s="317"/>
      <c r="SPN39" s="317"/>
      <c r="SPO39" s="317"/>
      <c r="SPP39" s="317"/>
      <c r="SPQ39" s="317"/>
      <c r="SPR39" s="317"/>
      <c r="SPS39" s="317"/>
      <c r="SPT39" s="317"/>
      <c r="SPU39" s="317"/>
      <c r="SPV39" s="317"/>
      <c r="SPW39" s="317"/>
      <c r="SPX39" s="317"/>
      <c r="SPY39" s="317"/>
      <c r="SPZ39" s="317"/>
      <c r="SQA39" s="317"/>
      <c r="SQB39" s="317"/>
      <c r="SQC39" s="317"/>
      <c r="SQD39" s="317"/>
      <c r="SQE39" s="317"/>
      <c r="SQF39" s="317"/>
      <c r="SQG39" s="317"/>
      <c r="SQH39" s="317"/>
      <c r="SQI39" s="317"/>
      <c r="SQJ39" s="317"/>
      <c r="SQK39" s="317"/>
      <c r="SQL39" s="317"/>
      <c r="SQM39" s="317"/>
      <c r="SQN39" s="317"/>
      <c r="SQO39" s="317"/>
      <c r="SQP39" s="317"/>
      <c r="SQQ39" s="317"/>
      <c r="SQR39" s="317"/>
      <c r="SQS39" s="317"/>
      <c r="SQT39" s="317"/>
      <c r="SQU39" s="317"/>
      <c r="SQV39" s="317"/>
      <c r="SQW39" s="317"/>
      <c r="SQX39" s="317"/>
      <c r="SQY39" s="317"/>
      <c r="SQZ39" s="317"/>
      <c r="SRA39" s="317"/>
      <c r="SRB39" s="317"/>
      <c r="SRC39" s="317"/>
      <c r="SRD39" s="317"/>
      <c r="SRE39" s="317"/>
      <c r="SRF39" s="317"/>
      <c r="SRG39" s="317"/>
      <c r="SRH39" s="317"/>
      <c r="SRI39" s="317"/>
      <c r="SRJ39" s="317"/>
      <c r="SRK39" s="317"/>
      <c r="SRL39" s="317"/>
      <c r="SRM39" s="317"/>
      <c r="SRN39" s="317"/>
      <c r="SRO39" s="317"/>
      <c r="SRP39" s="317"/>
      <c r="SRQ39" s="317"/>
      <c r="SRR39" s="317"/>
      <c r="SRS39" s="317"/>
      <c r="SRT39" s="317"/>
      <c r="SRU39" s="317"/>
      <c r="SRV39" s="317"/>
      <c r="SRW39" s="317"/>
      <c r="SRX39" s="317"/>
      <c r="SRY39" s="317"/>
      <c r="SRZ39" s="317"/>
      <c r="SSA39" s="317"/>
      <c r="SSB39" s="317"/>
      <c r="SSC39" s="317"/>
      <c r="SSD39" s="317"/>
      <c r="SSE39" s="317"/>
      <c r="SSF39" s="317"/>
      <c r="SSG39" s="317"/>
      <c r="SSH39" s="317"/>
      <c r="SSI39" s="317"/>
      <c r="SSJ39" s="317"/>
      <c r="SSK39" s="317"/>
      <c r="SSL39" s="317"/>
      <c r="SSM39" s="317"/>
      <c r="SSN39" s="317"/>
      <c r="SSO39" s="317"/>
      <c r="SSP39" s="317"/>
      <c r="SSQ39" s="317"/>
      <c r="SSR39" s="317"/>
      <c r="SSS39" s="317"/>
      <c r="SST39" s="317"/>
      <c r="SSU39" s="317"/>
      <c r="SSV39" s="317"/>
      <c r="SSW39" s="317"/>
      <c r="SSX39" s="317"/>
      <c r="SSY39" s="317"/>
      <c r="SSZ39" s="317"/>
      <c r="STA39" s="317"/>
      <c r="STB39" s="317"/>
      <c r="STC39" s="317"/>
      <c r="STD39" s="317"/>
      <c r="STE39" s="317"/>
      <c r="STF39" s="317"/>
      <c r="STG39" s="317"/>
      <c r="STH39" s="317"/>
      <c r="STI39" s="317"/>
      <c r="STJ39" s="317"/>
      <c r="STK39" s="317"/>
      <c r="STL39" s="317"/>
      <c r="STM39" s="317"/>
      <c r="STN39" s="317"/>
      <c r="STO39" s="317"/>
      <c r="STP39" s="317"/>
      <c r="STQ39" s="317"/>
      <c r="STR39" s="317"/>
      <c r="STS39" s="317"/>
      <c r="STT39" s="317"/>
      <c r="STU39" s="317"/>
      <c r="STV39" s="317"/>
      <c r="STW39" s="317"/>
      <c r="STX39" s="317"/>
      <c r="STY39" s="317"/>
      <c r="STZ39" s="317"/>
      <c r="SUA39" s="317"/>
      <c r="SUB39" s="317"/>
      <c r="SUC39" s="317"/>
      <c r="SUD39" s="317"/>
      <c r="SUE39" s="317"/>
      <c r="SUF39" s="317"/>
      <c r="SUG39" s="317"/>
      <c r="SUH39" s="317"/>
      <c r="SUI39" s="317"/>
      <c r="SUJ39" s="317"/>
      <c r="SUK39" s="317"/>
      <c r="SUL39" s="317"/>
      <c r="SUM39" s="317"/>
      <c r="SUN39" s="317"/>
      <c r="SUO39" s="317"/>
      <c r="SUP39" s="317"/>
      <c r="SUQ39" s="317"/>
      <c r="SUR39" s="317"/>
      <c r="SUS39" s="317"/>
      <c r="SUT39" s="317"/>
      <c r="SUU39" s="317"/>
      <c r="SUV39" s="317"/>
      <c r="SUW39" s="317"/>
      <c r="SUX39" s="317"/>
      <c r="SUY39" s="317"/>
      <c r="SUZ39" s="317"/>
      <c r="SVA39" s="317"/>
      <c r="SVB39" s="317"/>
      <c r="SVC39" s="317"/>
      <c r="SVD39" s="317"/>
      <c r="SVE39" s="317"/>
      <c r="SVF39" s="317"/>
      <c r="SVG39" s="317"/>
      <c r="SVH39" s="317"/>
      <c r="SVI39" s="317"/>
      <c r="SVJ39" s="317"/>
      <c r="SVK39" s="317"/>
      <c r="SVL39" s="317"/>
      <c r="SVM39" s="317"/>
      <c r="SVN39" s="317"/>
      <c r="SVO39" s="317"/>
      <c r="SVP39" s="317"/>
      <c r="SVQ39" s="317"/>
      <c r="SVR39" s="317"/>
      <c r="SVS39" s="317"/>
      <c r="SVT39" s="317"/>
      <c r="SVU39" s="317"/>
      <c r="SVV39" s="317"/>
      <c r="SVW39" s="317"/>
      <c r="SVX39" s="317"/>
      <c r="SVY39" s="317"/>
      <c r="SVZ39" s="317"/>
      <c r="SWA39" s="317"/>
      <c r="SWB39" s="317"/>
      <c r="SWC39" s="317"/>
      <c r="SWD39" s="317"/>
      <c r="SWE39" s="317"/>
      <c r="SWF39" s="317"/>
      <c r="SWG39" s="317"/>
      <c r="SWH39" s="317"/>
      <c r="SWI39" s="317"/>
      <c r="SWJ39" s="317"/>
      <c r="SWK39" s="317"/>
      <c r="SWL39" s="317"/>
      <c r="SWM39" s="317"/>
      <c r="SWN39" s="317"/>
      <c r="SWO39" s="317"/>
      <c r="SWP39" s="317"/>
      <c r="SWQ39" s="317"/>
      <c r="SWR39" s="317"/>
      <c r="SWS39" s="317"/>
      <c r="SWT39" s="317"/>
      <c r="SWU39" s="317"/>
      <c r="SWV39" s="317"/>
      <c r="SWW39" s="317"/>
      <c r="SWX39" s="317"/>
      <c r="SWY39" s="317"/>
      <c r="SWZ39" s="317"/>
      <c r="SXA39" s="317"/>
      <c r="SXB39" s="317"/>
      <c r="SXC39" s="317"/>
      <c r="SXD39" s="317"/>
      <c r="SXE39" s="317"/>
      <c r="SXF39" s="317"/>
      <c r="SXG39" s="317"/>
      <c r="SXH39" s="317"/>
      <c r="SXI39" s="317"/>
      <c r="SXJ39" s="317"/>
      <c r="SXK39" s="317"/>
      <c r="SXL39" s="317"/>
      <c r="SXM39" s="317"/>
      <c r="SXN39" s="317"/>
      <c r="SXO39" s="317"/>
      <c r="SXP39" s="317"/>
      <c r="SXQ39" s="317"/>
      <c r="SXR39" s="317"/>
      <c r="SXS39" s="317"/>
      <c r="SXT39" s="317"/>
      <c r="SXU39" s="317"/>
      <c r="SXV39" s="317"/>
      <c r="SXW39" s="317"/>
      <c r="SXX39" s="317"/>
      <c r="SXY39" s="317"/>
      <c r="SXZ39" s="317"/>
      <c r="SYA39" s="317"/>
      <c r="SYB39" s="317"/>
      <c r="SYC39" s="317"/>
      <c r="SYD39" s="317"/>
      <c r="SYE39" s="317"/>
      <c r="SYF39" s="317"/>
      <c r="SYG39" s="317"/>
      <c r="SYH39" s="317"/>
      <c r="SYI39" s="317"/>
      <c r="SYJ39" s="317"/>
      <c r="SYK39" s="317"/>
      <c r="SYL39" s="317"/>
      <c r="SYM39" s="317"/>
      <c r="SYN39" s="317"/>
      <c r="SYO39" s="317"/>
      <c r="SYP39" s="317"/>
      <c r="SYQ39" s="317"/>
      <c r="SYR39" s="317"/>
      <c r="SYS39" s="317"/>
      <c r="SYT39" s="317"/>
      <c r="SYU39" s="317"/>
      <c r="SYV39" s="317"/>
      <c r="SYW39" s="317"/>
      <c r="SYX39" s="317"/>
      <c r="SYY39" s="317"/>
      <c r="SYZ39" s="317"/>
      <c r="SZA39" s="317"/>
      <c r="SZB39" s="317"/>
      <c r="SZC39" s="317"/>
      <c r="SZD39" s="317"/>
      <c r="SZE39" s="317"/>
      <c r="SZF39" s="317"/>
      <c r="SZG39" s="317"/>
      <c r="SZH39" s="317"/>
      <c r="SZI39" s="317"/>
      <c r="SZJ39" s="317"/>
      <c r="SZK39" s="317"/>
      <c r="SZL39" s="317"/>
      <c r="SZM39" s="317"/>
      <c r="SZN39" s="317"/>
      <c r="SZO39" s="317"/>
      <c r="SZP39" s="317"/>
      <c r="SZQ39" s="317"/>
      <c r="SZR39" s="317"/>
      <c r="SZS39" s="317"/>
      <c r="SZT39" s="317"/>
      <c r="SZU39" s="317"/>
      <c r="SZV39" s="317"/>
      <c r="SZW39" s="317"/>
      <c r="SZX39" s="317"/>
      <c r="SZY39" s="317"/>
      <c r="SZZ39" s="317"/>
      <c r="TAA39" s="317"/>
      <c r="TAB39" s="317"/>
      <c r="TAC39" s="317"/>
      <c r="TAD39" s="317"/>
      <c r="TAE39" s="317"/>
      <c r="TAF39" s="317"/>
      <c r="TAG39" s="317"/>
      <c r="TAH39" s="317"/>
      <c r="TAI39" s="317"/>
      <c r="TAJ39" s="317"/>
      <c r="TAK39" s="317"/>
      <c r="TAL39" s="317"/>
      <c r="TAM39" s="317"/>
      <c r="TAN39" s="317"/>
      <c r="TAO39" s="317"/>
      <c r="TAP39" s="317"/>
      <c r="TAQ39" s="317"/>
      <c r="TAR39" s="317"/>
      <c r="TAS39" s="317"/>
      <c r="TAT39" s="317"/>
      <c r="TAU39" s="317"/>
      <c r="TAV39" s="317"/>
      <c r="TAW39" s="317"/>
      <c r="TAX39" s="317"/>
      <c r="TAY39" s="317"/>
      <c r="TAZ39" s="317"/>
      <c r="TBA39" s="317"/>
      <c r="TBB39" s="317"/>
      <c r="TBC39" s="317"/>
      <c r="TBD39" s="317"/>
      <c r="TBE39" s="317"/>
      <c r="TBF39" s="317"/>
      <c r="TBG39" s="317"/>
      <c r="TBH39" s="317"/>
      <c r="TBI39" s="317"/>
      <c r="TBJ39" s="317"/>
      <c r="TBK39" s="317"/>
      <c r="TBL39" s="317"/>
      <c r="TBM39" s="317"/>
      <c r="TBN39" s="317"/>
      <c r="TBO39" s="317"/>
      <c r="TBP39" s="317"/>
      <c r="TBQ39" s="317"/>
      <c r="TBR39" s="317"/>
      <c r="TBS39" s="317"/>
      <c r="TBT39" s="317"/>
      <c r="TBU39" s="317"/>
      <c r="TBV39" s="317"/>
      <c r="TBW39" s="317"/>
      <c r="TBX39" s="317"/>
      <c r="TBY39" s="317"/>
      <c r="TBZ39" s="317"/>
      <c r="TCA39" s="317"/>
      <c r="TCB39" s="317"/>
      <c r="TCC39" s="317"/>
      <c r="TCD39" s="317"/>
      <c r="TCE39" s="317"/>
      <c r="TCF39" s="317"/>
      <c r="TCG39" s="317"/>
      <c r="TCH39" s="317"/>
      <c r="TCI39" s="317"/>
      <c r="TCJ39" s="317"/>
      <c r="TCK39" s="317"/>
      <c r="TCL39" s="317"/>
      <c r="TCM39" s="317"/>
      <c r="TCN39" s="317"/>
      <c r="TCO39" s="317"/>
      <c r="TCP39" s="317"/>
      <c r="TCQ39" s="317"/>
      <c r="TCR39" s="317"/>
      <c r="TCS39" s="317"/>
      <c r="TCT39" s="317"/>
      <c r="TCU39" s="317"/>
      <c r="TCV39" s="317"/>
      <c r="TCW39" s="317"/>
      <c r="TCX39" s="317"/>
      <c r="TCY39" s="317"/>
      <c r="TCZ39" s="317"/>
      <c r="TDA39" s="317"/>
      <c r="TDB39" s="317"/>
      <c r="TDC39" s="317"/>
      <c r="TDD39" s="317"/>
      <c r="TDE39" s="317"/>
      <c r="TDF39" s="317"/>
      <c r="TDG39" s="317"/>
      <c r="TDH39" s="317"/>
      <c r="TDI39" s="317"/>
      <c r="TDJ39" s="317"/>
      <c r="TDK39" s="317"/>
      <c r="TDL39" s="317"/>
      <c r="TDM39" s="317"/>
      <c r="TDN39" s="317"/>
      <c r="TDO39" s="317"/>
      <c r="TDP39" s="317"/>
      <c r="TDQ39" s="317"/>
      <c r="TDR39" s="317"/>
      <c r="TDS39" s="317"/>
      <c r="TDT39" s="317"/>
      <c r="TDU39" s="317"/>
      <c r="TDV39" s="317"/>
      <c r="TDW39" s="317"/>
      <c r="TDX39" s="317"/>
      <c r="TDY39" s="317"/>
      <c r="TDZ39" s="317"/>
      <c r="TEA39" s="317"/>
      <c r="TEB39" s="317"/>
      <c r="TEC39" s="317"/>
      <c r="TED39" s="317"/>
      <c r="TEE39" s="317"/>
      <c r="TEF39" s="317"/>
      <c r="TEG39" s="317"/>
      <c r="TEH39" s="317"/>
      <c r="TEI39" s="317"/>
      <c r="TEJ39" s="317"/>
      <c r="TEK39" s="317"/>
      <c r="TEL39" s="317"/>
      <c r="TEM39" s="317"/>
      <c r="TEN39" s="317"/>
      <c r="TEO39" s="317"/>
      <c r="TEP39" s="317"/>
      <c r="TEQ39" s="317"/>
      <c r="TER39" s="317"/>
      <c r="TES39" s="317"/>
      <c r="TET39" s="317"/>
      <c r="TEU39" s="317"/>
      <c r="TEV39" s="317"/>
      <c r="TEW39" s="317"/>
      <c r="TEX39" s="317"/>
      <c r="TEY39" s="317"/>
      <c r="TEZ39" s="317"/>
      <c r="TFA39" s="317"/>
      <c r="TFB39" s="317"/>
      <c r="TFC39" s="317"/>
      <c r="TFD39" s="317"/>
      <c r="TFE39" s="317"/>
      <c r="TFF39" s="317"/>
      <c r="TFG39" s="317"/>
      <c r="TFH39" s="317"/>
      <c r="TFI39" s="317"/>
      <c r="TFJ39" s="317"/>
      <c r="TFK39" s="317"/>
      <c r="TFL39" s="317"/>
      <c r="TFM39" s="317"/>
      <c r="TFN39" s="317"/>
      <c r="TFO39" s="317"/>
      <c r="TFP39" s="317"/>
      <c r="TFQ39" s="317"/>
      <c r="TFR39" s="317"/>
      <c r="TFS39" s="317"/>
      <c r="TFT39" s="317"/>
      <c r="TFU39" s="317"/>
      <c r="TFV39" s="317"/>
      <c r="TFW39" s="317"/>
      <c r="TFX39" s="317"/>
      <c r="TFY39" s="317"/>
      <c r="TFZ39" s="317"/>
      <c r="TGA39" s="317"/>
      <c r="TGB39" s="317"/>
      <c r="TGC39" s="317"/>
      <c r="TGD39" s="317"/>
      <c r="TGE39" s="317"/>
      <c r="TGF39" s="317"/>
      <c r="TGG39" s="317"/>
      <c r="TGH39" s="317"/>
      <c r="TGI39" s="317"/>
      <c r="TGJ39" s="317"/>
      <c r="TGK39" s="317"/>
      <c r="TGL39" s="317"/>
      <c r="TGM39" s="317"/>
      <c r="TGN39" s="317"/>
      <c r="TGO39" s="317"/>
      <c r="TGP39" s="317"/>
      <c r="TGQ39" s="317"/>
      <c r="TGR39" s="317"/>
      <c r="TGS39" s="317"/>
      <c r="TGT39" s="317"/>
      <c r="TGU39" s="317"/>
      <c r="TGV39" s="317"/>
      <c r="TGW39" s="317"/>
      <c r="TGX39" s="317"/>
      <c r="TGY39" s="317"/>
      <c r="TGZ39" s="317"/>
      <c r="THA39" s="317"/>
      <c r="THB39" s="317"/>
      <c r="THC39" s="317"/>
      <c r="THD39" s="317"/>
      <c r="THE39" s="317"/>
      <c r="THF39" s="317"/>
      <c r="THG39" s="317"/>
      <c r="THH39" s="317"/>
      <c r="THI39" s="317"/>
      <c r="THJ39" s="317"/>
      <c r="THK39" s="317"/>
      <c r="THL39" s="317"/>
      <c r="THM39" s="317"/>
      <c r="THN39" s="317"/>
      <c r="THO39" s="317"/>
      <c r="THP39" s="317"/>
      <c r="THQ39" s="317"/>
      <c r="THR39" s="317"/>
      <c r="THS39" s="317"/>
      <c r="THT39" s="317"/>
      <c r="THU39" s="317"/>
      <c r="THV39" s="317"/>
      <c r="THW39" s="317"/>
      <c r="THX39" s="317"/>
      <c r="THY39" s="317"/>
      <c r="THZ39" s="317"/>
      <c r="TIA39" s="317"/>
      <c r="TIB39" s="317"/>
      <c r="TIC39" s="317"/>
      <c r="TID39" s="317"/>
      <c r="TIE39" s="317"/>
      <c r="TIF39" s="317"/>
      <c r="TIG39" s="317"/>
      <c r="TIH39" s="317"/>
      <c r="TII39" s="317"/>
      <c r="TIJ39" s="317"/>
      <c r="TIK39" s="317"/>
      <c r="TIL39" s="317"/>
      <c r="TIM39" s="317"/>
      <c r="TIN39" s="317"/>
      <c r="TIO39" s="317"/>
      <c r="TIP39" s="317"/>
      <c r="TIQ39" s="317"/>
      <c r="TIR39" s="317"/>
      <c r="TIS39" s="317"/>
      <c r="TIT39" s="317"/>
      <c r="TIU39" s="317"/>
      <c r="TIV39" s="317"/>
      <c r="TIW39" s="317"/>
      <c r="TIX39" s="317"/>
      <c r="TIY39" s="317"/>
      <c r="TIZ39" s="317"/>
      <c r="TJA39" s="317"/>
      <c r="TJB39" s="317"/>
      <c r="TJC39" s="317"/>
      <c r="TJD39" s="317"/>
      <c r="TJE39" s="317"/>
      <c r="TJF39" s="317"/>
      <c r="TJG39" s="317"/>
      <c r="TJH39" s="317"/>
      <c r="TJI39" s="317"/>
      <c r="TJJ39" s="317"/>
      <c r="TJK39" s="317"/>
      <c r="TJL39" s="317"/>
      <c r="TJM39" s="317"/>
      <c r="TJN39" s="317"/>
      <c r="TJO39" s="317"/>
      <c r="TJP39" s="317"/>
      <c r="TJQ39" s="317"/>
      <c r="TJR39" s="317"/>
      <c r="TJS39" s="317"/>
      <c r="TJT39" s="317"/>
      <c r="TJU39" s="317"/>
      <c r="TJV39" s="317"/>
      <c r="TJW39" s="317"/>
      <c r="TJX39" s="317"/>
      <c r="TJY39" s="317"/>
      <c r="TJZ39" s="317"/>
      <c r="TKA39" s="317"/>
      <c r="TKB39" s="317"/>
      <c r="TKC39" s="317"/>
      <c r="TKD39" s="317"/>
      <c r="TKE39" s="317"/>
      <c r="TKF39" s="317"/>
      <c r="TKG39" s="317"/>
      <c r="TKH39" s="317"/>
      <c r="TKI39" s="317"/>
      <c r="TKJ39" s="317"/>
      <c r="TKK39" s="317"/>
      <c r="TKL39" s="317"/>
      <c r="TKM39" s="317"/>
      <c r="TKN39" s="317"/>
      <c r="TKO39" s="317"/>
      <c r="TKP39" s="317"/>
      <c r="TKQ39" s="317"/>
      <c r="TKR39" s="317"/>
      <c r="TKS39" s="317"/>
      <c r="TKT39" s="317"/>
      <c r="TKU39" s="317"/>
      <c r="TKV39" s="317"/>
      <c r="TKW39" s="317"/>
      <c r="TKX39" s="317"/>
      <c r="TKY39" s="317"/>
      <c r="TKZ39" s="317"/>
      <c r="TLA39" s="317"/>
      <c r="TLB39" s="317"/>
      <c r="TLC39" s="317"/>
      <c r="TLD39" s="317"/>
      <c r="TLE39" s="317"/>
      <c r="TLF39" s="317"/>
      <c r="TLG39" s="317"/>
      <c r="TLH39" s="317"/>
      <c r="TLI39" s="317"/>
      <c r="TLJ39" s="317"/>
      <c r="TLK39" s="317"/>
      <c r="TLL39" s="317"/>
      <c r="TLM39" s="317"/>
      <c r="TLN39" s="317"/>
      <c r="TLO39" s="317"/>
      <c r="TLP39" s="317"/>
      <c r="TLQ39" s="317"/>
      <c r="TLR39" s="317"/>
      <c r="TLS39" s="317"/>
      <c r="TLT39" s="317"/>
      <c r="TLU39" s="317"/>
      <c r="TLV39" s="317"/>
      <c r="TLW39" s="317"/>
      <c r="TLX39" s="317"/>
      <c r="TLY39" s="317"/>
      <c r="TLZ39" s="317"/>
      <c r="TMA39" s="317"/>
      <c r="TMB39" s="317"/>
      <c r="TMC39" s="317"/>
      <c r="TMD39" s="317"/>
      <c r="TME39" s="317"/>
      <c r="TMF39" s="317"/>
      <c r="TMG39" s="317"/>
      <c r="TMH39" s="317"/>
      <c r="TMI39" s="317"/>
      <c r="TMJ39" s="317"/>
      <c r="TMK39" s="317"/>
      <c r="TML39" s="317"/>
      <c r="TMM39" s="317"/>
      <c r="TMN39" s="317"/>
      <c r="TMO39" s="317"/>
      <c r="TMP39" s="317"/>
      <c r="TMQ39" s="317"/>
      <c r="TMR39" s="317"/>
      <c r="TMS39" s="317"/>
      <c r="TMT39" s="317"/>
      <c r="TMU39" s="317"/>
      <c r="TMV39" s="317"/>
      <c r="TMW39" s="317"/>
      <c r="TMX39" s="317"/>
      <c r="TMY39" s="317"/>
      <c r="TMZ39" s="317"/>
      <c r="TNA39" s="317"/>
      <c r="TNB39" s="317"/>
      <c r="TNC39" s="317"/>
      <c r="TND39" s="317"/>
      <c r="TNE39" s="317"/>
      <c r="TNF39" s="317"/>
      <c r="TNG39" s="317"/>
      <c r="TNH39" s="317"/>
      <c r="TNI39" s="317"/>
      <c r="TNJ39" s="317"/>
      <c r="TNK39" s="317"/>
      <c r="TNL39" s="317"/>
      <c r="TNM39" s="317"/>
      <c r="TNN39" s="317"/>
      <c r="TNO39" s="317"/>
      <c r="TNP39" s="317"/>
      <c r="TNQ39" s="317"/>
      <c r="TNR39" s="317"/>
      <c r="TNS39" s="317"/>
      <c r="TNT39" s="317"/>
      <c r="TNU39" s="317"/>
      <c r="TNV39" s="317"/>
      <c r="TNW39" s="317"/>
      <c r="TNX39" s="317"/>
      <c r="TNY39" s="317"/>
      <c r="TNZ39" s="317"/>
      <c r="TOA39" s="317"/>
      <c r="TOB39" s="317"/>
      <c r="TOC39" s="317"/>
      <c r="TOD39" s="317"/>
      <c r="TOE39" s="317"/>
      <c r="TOF39" s="317"/>
      <c r="TOG39" s="317"/>
      <c r="TOH39" s="317"/>
      <c r="TOI39" s="317"/>
      <c r="TOJ39" s="317"/>
      <c r="TOK39" s="317"/>
      <c r="TOL39" s="317"/>
      <c r="TOM39" s="317"/>
      <c r="TON39" s="317"/>
      <c r="TOO39" s="317"/>
      <c r="TOP39" s="317"/>
      <c r="TOQ39" s="317"/>
      <c r="TOR39" s="317"/>
      <c r="TOS39" s="317"/>
      <c r="TOT39" s="317"/>
      <c r="TOU39" s="317"/>
      <c r="TOV39" s="317"/>
      <c r="TOW39" s="317"/>
      <c r="TOX39" s="317"/>
      <c r="TOY39" s="317"/>
      <c r="TOZ39" s="317"/>
      <c r="TPA39" s="317"/>
      <c r="TPB39" s="317"/>
      <c r="TPC39" s="317"/>
      <c r="TPD39" s="317"/>
      <c r="TPE39" s="317"/>
      <c r="TPF39" s="317"/>
      <c r="TPG39" s="317"/>
      <c r="TPH39" s="317"/>
      <c r="TPI39" s="317"/>
      <c r="TPJ39" s="317"/>
      <c r="TPK39" s="317"/>
      <c r="TPL39" s="317"/>
      <c r="TPM39" s="317"/>
      <c r="TPN39" s="317"/>
      <c r="TPO39" s="317"/>
      <c r="TPP39" s="317"/>
      <c r="TPQ39" s="317"/>
      <c r="TPR39" s="317"/>
      <c r="TPS39" s="317"/>
      <c r="TPT39" s="317"/>
      <c r="TPU39" s="317"/>
      <c r="TPV39" s="317"/>
      <c r="TPW39" s="317"/>
      <c r="TPX39" s="317"/>
      <c r="TPY39" s="317"/>
      <c r="TPZ39" s="317"/>
      <c r="TQA39" s="317"/>
      <c r="TQB39" s="317"/>
      <c r="TQC39" s="317"/>
      <c r="TQD39" s="317"/>
      <c r="TQE39" s="317"/>
      <c r="TQF39" s="317"/>
      <c r="TQG39" s="317"/>
      <c r="TQH39" s="317"/>
      <c r="TQI39" s="317"/>
      <c r="TQJ39" s="317"/>
      <c r="TQK39" s="317"/>
      <c r="TQL39" s="317"/>
      <c r="TQM39" s="317"/>
      <c r="TQN39" s="317"/>
      <c r="TQO39" s="317"/>
      <c r="TQP39" s="317"/>
      <c r="TQQ39" s="317"/>
      <c r="TQR39" s="317"/>
      <c r="TQS39" s="317"/>
      <c r="TQT39" s="317"/>
      <c r="TQU39" s="317"/>
      <c r="TQV39" s="317"/>
      <c r="TQW39" s="317"/>
      <c r="TQX39" s="317"/>
      <c r="TQY39" s="317"/>
      <c r="TQZ39" s="317"/>
      <c r="TRA39" s="317"/>
      <c r="TRB39" s="317"/>
      <c r="TRC39" s="317"/>
      <c r="TRD39" s="317"/>
      <c r="TRE39" s="317"/>
      <c r="TRF39" s="317"/>
      <c r="TRG39" s="317"/>
      <c r="TRH39" s="317"/>
      <c r="TRI39" s="317"/>
      <c r="TRJ39" s="317"/>
      <c r="TRK39" s="317"/>
      <c r="TRL39" s="317"/>
      <c r="TRM39" s="317"/>
      <c r="TRN39" s="317"/>
      <c r="TRO39" s="317"/>
      <c r="TRP39" s="317"/>
      <c r="TRQ39" s="317"/>
      <c r="TRR39" s="317"/>
      <c r="TRS39" s="317"/>
      <c r="TRT39" s="317"/>
      <c r="TRU39" s="317"/>
      <c r="TRV39" s="317"/>
      <c r="TRW39" s="317"/>
      <c r="TRX39" s="317"/>
      <c r="TRY39" s="317"/>
      <c r="TRZ39" s="317"/>
      <c r="TSA39" s="317"/>
      <c r="TSB39" s="317"/>
      <c r="TSC39" s="317"/>
      <c r="TSD39" s="317"/>
      <c r="TSE39" s="317"/>
      <c r="TSF39" s="317"/>
      <c r="TSG39" s="317"/>
      <c r="TSH39" s="317"/>
      <c r="TSI39" s="317"/>
      <c r="TSJ39" s="317"/>
      <c r="TSK39" s="317"/>
      <c r="TSL39" s="317"/>
      <c r="TSM39" s="317"/>
      <c r="TSN39" s="317"/>
      <c r="TSO39" s="317"/>
      <c r="TSP39" s="317"/>
      <c r="TSQ39" s="317"/>
      <c r="TSR39" s="317"/>
      <c r="TSS39" s="317"/>
      <c r="TST39" s="317"/>
      <c r="TSU39" s="317"/>
      <c r="TSV39" s="317"/>
      <c r="TSW39" s="317"/>
      <c r="TSX39" s="317"/>
      <c r="TSY39" s="317"/>
      <c r="TSZ39" s="317"/>
      <c r="TTA39" s="317"/>
      <c r="TTB39" s="317"/>
      <c r="TTC39" s="317"/>
      <c r="TTD39" s="317"/>
      <c r="TTE39" s="317"/>
      <c r="TTF39" s="317"/>
      <c r="TTG39" s="317"/>
      <c r="TTH39" s="317"/>
      <c r="TTI39" s="317"/>
      <c r="TTJ39" s="317"/>
      <c r="TTK39" s="317"/>
      <c r="TTL39" s="317"/>
      <c r="TTM39" s="317"/>
      <c r="TTN39" s="317"/>
      <c r="TTO39" s="317"/>
      <c r="TTP39" s="317"/>
      <c r="TTQ39" s="317"/>
      <c r="TTR39" s="317"/>
      <c r="TTS39" s="317"/>
      <c r="TTT39" s="317"/>
      <c r="TTU39" s="317"/>
      <c r="TTV39" s="317"/>
      <c r="TTW39" s="317"/>
      <c r="TTX39" s="317"/>
      <c r="TTY39" s="317"/>
      <c r="TTZ39" s="317"/>
      <c r="TUA39" s="317"/>
      <c r="TUB39" s="317"/>
      <c r="TUC39" s="317"/>
      <c r="TUD39" s="317"/>
      <c r="TUE39" s="317"/>
      <c r="TUF39" s="317"/>
      <c r="TUG39" s="317"/>
      <c r="TUH39" s="317"/>
      <c r="TUI39" s="317"/>
      <c r="TUJ39" s="317"/>
      <c r="TUK39" s="317"/>
      <c r="TUL39" s="317"/>
      <c r="TUM39" s="317"/>
      <c r="TUN39" s="317"/>
      <c r="TUO39" s="317"/>
      <c r="TUP39" s="317"/>
      <c r="TUQ39" s="317"/>
      <c r="TUR39" s="317"/>
      <c r="TUS39" s="317"/>
      <c r="TUT39" s="317"/>
      <c r="TUU39" s="317"/>
      <c r="TUV39" s="317"/>
      <c r="TUW39" s="317"/>
      <c r="TUX39" s="317"/>
      <c r="TUY39" s="317"/>
      <c r="TUZ39" s="317"/>
      <c r="TVA39" s="317"/>
      <c r="TVB39" s="317"/>
      <c r="TVC39" s="317"/>
      <c r="TVD39" s="317"/>
      <c r="TVE39" s="317"/>
      <c r="TVF39" s="317"/>
      <c r="TVG39" s="317"/>
      <c r="TVH39" s="317"/>
      <c r="TVI39" s="317"/>
      <c r="TVJ39" s="317"/>
      <c r="TVK39" s="317"/>
      <c r="TVL39" s="317"/>
      <c r="TVM39" s="317"/>
      <c r="TVN39" s="317"/>
      <c r="TVO39" s="317"/>
      <c r="TVP39" s="317"/>
      <c r="TVQ39" s="317"/>
      <c r="TVR39" s="317"/>
      <c r="TVS39" s="317"/>
      <c r="TVT39" s="317"/>
      <c r="TVU39" s="317"/>
      <c r="TVV39" s="317"/>
      <c r="TVW39" s="317"/>
      <c r="TVX39" s="317"/>
      <c r="TVY39" s="317"/>
      <c r="TVZ39" s="317"/>
      <c r="TWA39" s="317"/>
      <c r="TWB39" s="317"/>
      <c r="TWC39" s="317"/>
      <c r="TWD39" s="317"/>
      <c r="TWE39" s="317"/>
      <c r="TWF39" s="317"/>
      <c r="TWG39" s="317"/>
      <c r="TWH39" s="317"/>
      <c r="TWI39" s="317"/>
      <c r="TWJ39" s="317"/>
      <c r="TWK39" s="317"/>
      <c r="TWL39" s="317"/>
      <c r="TWM39" s="317"/>
      <c r="TWN39" s="317"/>
      <c r="TWO39" s="317"/>
      <c r="TWP39" s="317"/>
      <c r="TWQ39" s="317"/>
      <c r="TWR39" s="317"/>
      <c r="TWS39" s="317"/>
      <c r="TWT39" s="317"/>
      <c r="TWU39" s="317"/>
      <c r="TWV39" s="317"/>
      <c r="TWW39" s="317"/>
      <c r="TWX39" s="317"/>
      <c r="TWY39" s="317"/>
      <c r="TWZ39" s="317"/>
      <c r="TXA39" s="317"/>
      <c r="TXB39" s="317"/>
      <c r="TXC39" s="317"/>
      <c r="TXD39" s="317"/>
      <c r="TXE39" s="317"/>
      <c r="TXF39" s="317"/>
      <c r="TXG39" s="317"/>
      <c r="TXH39" s="317"/>
      <c r="TXI39" s="317"/>
      <c r="TXJ39" s="317"/>
      <c r="TXK39" s="317"/>
      <c r="TXL39" s="317"/>
      <c r="TXM39" s="317"/>
      <c r="TXN39" s="317"/>
      <c r="TXO39" s="317"/>
      <c r="TXP39" s="317"/>
      <c r="TXQ39" s="317"/>
      <c r="TXR39" s="317"/>
      <c r="TXS39" s="317"/>
      <c r="TXT39" s="317"/>
      <c r="TXU39" s="317"/>
      <c r="TXV39" s="317"/>
      <c r="TXW39" s="317"/>
      <c r="TXX39" s="317"/>
      <c r="TXY39" s="317"/>
      <c r="TXZ39" s="317"/>
      <c r="TYA39" s="317"/>
      <c r="TYB39" s="317"/>
      <c r="TYC39" s="317"/>
      <c r="TYD39" s="317"/>
      <c r="TYE39" s="317"/>
      <c r="TYF39" s="317"/>
      <c r="TYG39" s="317"/>
      <c r="TYH39" s="317"/>
      <c r="TYI39" s="317"/>
      <c r="TYJ39" s="317"/>
      <c r="TYK39" s="317"/>
      <c r="TYL39" s="317"/>
      <c r="TYM39" s="317"/>
      <c r="TYN39" s="317"/>
      <c r="TYO39" s="317"/>
      <c r="TYP39" s="317"/>
      <c r="TYQ39" s="317"/>
      <c r="TYR39" s="317"/>
      <c r="TYS39" s="317"/>
      <c r="TYT39" s="317"/>
      <c r="TYU39" s="317"/>
      <c r="TYV39" s="317"/>
      <c r="TYW39" s="317"/>
      <c r="TYX39" s="317"/>
      <c r="TYY39" s="317"/>
      <c r="TYZ39" s="317"/>
      <c r="TZA39" s="317"/>
      <c r="TZB39" s="317"/>
      <c r="TZC39" s="317"/>
      <c r="TZD39" s="317"/>
      <c r="TZE39" s="317"/>
      <c r="TZF39" s="317"/>
      <c r="TZG39" s="317"/>
      <c r="TZH39" s="317"/>
      <c r="TZI39" s="317"/>
      <c r="TZJ39" s="317"/>
      <c r="TZK39" s="317"/>
      <c r="TZL39" s="317"/>
      <c r="TZM39" s="317"/>
      <c r="TZN39" s="317"/>
      <c r="TZO39" s="317"/>
      <c r="TZP39" s="317"/>
      <c r="TZQ39" s="317"/>
      <c r="TZR39" s="317"/>
      <c r="TZS39" s="317"/>
      <c r="TZT39" s="317"/>
      <c r="TZU39" s="317"/>
      <c r="TZV39" s="317"/>
      <c r="TZW39" s="317"/>
      <c r="TZX39" s="317"/>
      <c r="TZY39" s="317"/>
      <c r="TZZ39" s="317"/>
      <c r="UAA39" s="317"/>
      <c r="UAB39" s="317"/>
      <c r="UAC39" s="317"/>
      <c r="UAD39" s="317"/>
      <c r="UAE39" s="317"/>
      <c r="UAF39" s="317"/>
      <c r="UAG39" s="317"/>
      <c r="UAH39" s="317"/>
      <c r="UAI39" s="317"/>
      <c r="UAJ39" s="317"/>
      <c r="UAK39" s="317"/>
      <c r="UAL39" s="317"/>
      <c r="UAM39" s="317"/>
      <c r="UAN39" s="317"/>
      <c r="UAO39" s="317"/>
      <c r="UAP39" s="317"/>
      <c r="UAQ39" s="317"/>
      <c r="UAR39" s="317"/>
      <c r="UAS39" s="317"/>
      <c r="UAT39" s="317"/>
      <c r="UAU39" s="317"/>
      <c r="UAV39" s="317"/>
      <c r="UAW39" s="317"/>
      <c r="UAX39" s="317"/>
      <c r="UAY39" s="317"/>
      <c r="UAZ39" s="317"/>
      <c r="UBA39" s="317"/>
      <c r="UBB39" s="317"/>
      <c r="UBC39" s="317"/>
      <c r="UBD39" s="317"/>
      <c r="UBE39" s="317"/>
      <c r="UBF39" s="317"/>
      <c r="UBG39" s="317"/>
      <c r="UBH39" s="317"/>
      <c r="UBI39" s="317"/>
      <c r="UBJ39" s="317"/>
      <c r="UBK39" s="317"/>
      <c r="UBL39" s="317"/>
      <c r="UBM39" s="317"/>
      <c r="UBN39" s="317"/>
      <c r="UBO39" s="317"/>
      <c r="UBP39" s="317"/>
      <c r="UBQ39" s="317"/>
      <c r="UBR39" s="317"/>
      <c r="UBS39" s="317"/>
      <c r="UBT39" s="317"/>
      <c r="UBU39" s="317"/>
      <c r="UBV39" s="317"/>
      <c r="UBW39" s="317"/>
      <c r="UBX39" s="317"/>
      <c r="UBY39" s="317"/>
      <c r="UBZ39" s="317"/>
      <c r="UCA39" s="317"/>
      <c r="UCB39" s="317"/>
      <c r="UCC39" s="317"/>
      <c r="UCD39" s="317"/>
      <c r="UCE39" s="317"/>
      <c r="UCF39" s="317"/>
      <c r="UCG39" s="317"/>
      <c r="UCH39" s="317"/>
      <c r="UCI39" s="317"/>
      <c r="UCJ39" s="317"/>
      <c r="UCK39" s="317"/>
      <c r="UCL39" s="317"/>
      <c r="UCM39" s="317"/>
      <c r="UCN39" s="317"/>
      <c r="UCO39" s="317"/>
      <c r="UCP39" s="317"/>
      <c r="UCQ39" s="317"/>
      <c r="UCR39" s="317"/>
      <c r="UCS39" s="317"/>
      <c r="UCT39" s="317"/>
      <c r="UCU39" s="317"/>
      <c r="UCV39" s="317"/>
      <c r="UCW39" s="317"/>
      <c r="UCX39" s="317"/>
      <c r="UCY39" s="317"/>
      <c r="UCZ39" s="317"/>
      <c r="UDA39" s="317"/>
      <c r="UDB39" s="317"/>
      <c r="UDC39" s="317"/>
      <c r="UDD39" s="317"/>
      <c r="UDE39" s="317"/>
      <c r="UDF39" s="317"/>
      <c r="UDG39" s="317"/>
      <c r="UDH39" s="317"/>
      <c r="UDI39" s="317"/>
      <c r="UDJ39" s="317"/>
      <c r="UDK39" s="317"/>
      <c r="UDL39" s="317"/>
      <c r="UDM39" s="317"/>
      <c r="UDN39" s="317"/>
      <c r="UDO39" s="317"/>
      <c r="UDP39" s="317"/>
      <c r="UDQ39" s="317"/>
      <c r="UDR39" s="317"/>
      <c r="UDS39" s="317"/>
      <c r="UDT39" s="317"/>
      <c r="UDU39" s="317"/>
      <c r="UDV39" s="317"/>
      <c r="UDW39" s="317"/>
      <c r="UDX39" s="317"/>
      <c r="UDY39" s="317"/>
      <c r="UDZ39" s="317"/>
      <c r="UEA39" s="317"/>
      <c r="UEB39" s="317"/>
      <c r="UEC39" s="317"/>
      <c r="UED39" s="317"/>
      <c r="UEE39" s="317"/>
      <c r="UEF39" s="317"/>
      <c r="UEG39" s="317"/>
      <c r="UEH39" s="317"/>
      <c r="UEI39" s="317"/>
      <c r="UEJ39" s="317"/>
      <c r="UEK39" s="317"/>
      <c r="UEL39" s="317"/>
      <c r="UEM39" s="317"/>
      <c r="UEN39" s="317"/>
      <c r="UEO39" s="317"/>
      <c r="UEP39" s="317"/>
      <c r="UEQ39" s="317"/>
      <c r="UER39" s="317"/>
      <c r="UES39" s="317"/>
      <c r="UET39" s="317"/>
      <c r="UEU39" s="317"/>
      <c r="UEV39" s="317"/>
      <c r="UEW39" s="317"/>
      <c r="UEX39" s="317"/>
      <c r="UEY39" s="317"/>
      <c r="UEZ39" s="317"/>
      <c r="UFA39" s="317"/>
      <c r="UFB39" s="317"/>
      <c r="UFC39" s="317"/>
      <c r="UFD39" s="317"/>
      <c r="UFE39" s="317"/>
      <c r="UFF39" s="317"/>
      <c r="UFG39" s="317"/>
      <c r="UFH39" s="317"/>
      <c r="UFI39" s="317"/>
      <c r="UFJ39" s="317"/>
      <c r="UFK39" s="317"/>
      <c r="UFL39" s="317"/>
      <c r="UFM39" s="317"/>
      <c r="UFN39" s="317"/>
      <c r="UFO39" s="317"/>
      <c r="UFP39" s="317"/>
      <c r="UFQ39" s="317"/>
      <c r="UFR39" s="317"/>
      <c r="UFS39" s="317"/>
      <c r="UFT39" s="317"/>
      <c r="UFU39" s="317"/>
      <c r="UFV39" s="317"/>
      <c r="UFW39" s="317"/>
      <c r="UFX39" s="317"/>
      <c r="UFY39" s="317"/>
      <c r="UFZ39" s="317"/>
      <c r="UGA39" s="317"/>
      <c r="UGB39" s="317"/>
      <c r="UGC39" s="317"/>
      <c r="UGD39" s="317"/>
      <c r="UGE39" s="317"/>
      <c r="UGF39" s="317"/>
      <c r="UGG39" s="317"/>
      <c r="UGH39" s="317"/>
      <c r="UGI39" s="317"/>
      <c r="UGJ39" s="317"/>
      <c r="UGK39" s="317"/>
      <c r="UGL39" s="317"/>
      <c r="UGM39" s="317"/>
      <c r="UGN39" s="317"/>
      <c r="UGO39" s="317"/>
      <c r="UGP39" s="317"/>
      <c r="UGQ39" s="317"/>
      <c r="UGR39" s="317"/>
      <c r="UGS39" s="317"/>
      <c r="UGT39" s="317"/>
      <c r="UGU39" s="317"/>
      <c r="UGV39" s="317"/>
      <c r="UGW39" s="317"/>
      <c r="UGX39" s="317"/>
      <c r="UGY39" s="317"/>
      <c r="UGZ39" s="317"/>
      <c r="UHA39" s="317"/>
      <c r="UHB39" s="317"/>
      <c r="UHC39" s="317"/>
      <c r="UHD39" s="317"/>
      <c r="UHE39" s="317"/>
      <c r="UHF39" s="317"/>
      <c r="UHG39" s="317"/>
      <c r="UHH39" s="317"/>
      <c r="UHI39" s="317"/>
      <c r="UHJ39" s="317"/>
      <c r="UHK39" s="317"/>
      <c r="UHL39" s="317"/>
      <c r="UHM39" s="317"/>
      <c r="UHN39" s="317"/>
      <c r="UHO39" s="317"/>
      <c r="UHP39" s="317"/>
      <c r="UHQ39" s="317"/>
      <c r="UHR39" s="317"/>
      <c r="UHS39" s="317"/>
      <c r="UHT39" s="317"/>
      <c r="UHU39" s="317"/>
      <c r="UHV39" s="317"/>
      <c r="UHW39" s="317"/>
      <c r="UHX39" s="317"/>
      <c r="UHY39" s="317"/>
      <c r="UHZ39" s="317"/>
      <c r="UIA39" s="317"/>
      <c r="UIB39" s="317"/>
      <c r="UIC39" s="317"/>
      <c r="UID39" s="317"/>
      <c r="UIE39" s="317"/>
      <c r="UIF39" s="317"/>
      <c r="UIG39" s="317"/>
      <c r="UIH39" s="317"/>
      <c r="UII39" s="317"/>
      <c r="UIJ39" s="317"/>
      <c r="UIK39" s="317"/>
      <c r="UIL39" s="317"/>
      <c r="UIM39" s="317"/>
      <c r="UIN39" s="317"/>
      <c r="UIO39" s="317"/>
      <c r="UIP39" s="317"/>
      <c r="UIQ39" s="317"/>
      <c r="UIR39" s="317"/>
      <c r="UIS39" s="317"/>
      <c r="UIT39" s="317"/>
      <c r="UIU39" s="317"/>
      <c r="UIV39" s="317"/>
      <c r="UIW39" s="317"/>
      <c r="UIX39" s="317"/>
      <c r="UIY39" s="317"/>
      <c r="UIZ39" s="317"/>
      <c r="UJA39" s="317"/>
      <c r="UJB39" s="317"/>
      <c r="UJC39" s="317"/>
      <c r="UJD39" s="317"/>
      <c r="UJE39" s="317"/>
      <c r="UJF39" s="317"/>
      <c r="UJG39" s="317"/>
      <c r="UJH39" s="317"/>
      <c r="UJI39" s="317"/>
      <c r="UJJ39" s="317"/>
      <c r="UJK39" s="317"/>
      <c r="UJL39" s="317"/>
      <c r="UJM39" s="317"/>
      <c r="UJN39" s="317"/>
      <c r="UJO39" s="317"/>
      <c r="UJP39" s="317"/>
      <c r="UJQ39" s="317"/>
      <c r="UJR39" s="317"/>
      <c r="UJS39" s="317"/>
      <c r="UJT39" s="317"/>
      <c r="UJU39" s="317"/>
      <c r="UJV39" s="317"/>
      <c r="UJW39" s="317"/>
      <c r="UJX39" s="317"/>
      <c r="UJY39" s="317"/>
      <c r="UJZ39" s="317"/>
      <c r="UKA39" s="317"/>
      <c r="UKB39" s="317"/>
      <c r="UKC39" s="317"/>
      <c r="UKD39" s="317"/>
      <c r="UKE39" s="317"/>
      <c r="UKF39" s="317"/>
      <c r="UKG39" s="317"/>
      <c r="UKH39" s="317"/>
      <c r="UKI39" s="317"/>
      <c r="UKJ39" s="317"/>
      <c r="UKK39" s="317"/>
      <c r="UKL39" s="317"/>
      <c r="UKM39" s="317"/>
      <c r="UKN39" s="317"/>
      <c r="UKO39" s="317"/>
      <c r="UKP39" s="317"/>
      <c r="UKQ39" s="317"/>
      <c r="UKR39" s="317"/>
      <c r="UKS39" s="317"/>
      <c r="UKT39" s="317"/>
      <c r="UKU39" s="317"/>
      <c r="UKV39" s="317"/>
      <c r="UKW39" s="317"/>
      <c r="UKX39" s="317"/>
      <c r="UKY39" s="317"/>
      <c r="UKZ39" s="317"/>
      <c r="ULA39" s="317"/>
      <c r="ULB39" s="317"/>
      <c r="ULC39" s="317"/>
      <c r="ULD39" s="317"/>
      <c r="ULE39" s="317"/>
      <c r="ULF39" s="317"/>
      <c r="ULG39" s="317"/>
      <c r="ULH39" s="317"/>
      <c r="ULI39" s="317"/>
      <c r="ULJ39" s="317"/>
      <c r="ULK39" s="317"/>
      <c r="ULL39" s="317"/>
      <c r="ULM39" s="317"/>
      <c r="ULN39" s="317"/>
      <c r="ULO39" s="317"/>
      <c r="ULP39" s="317"/>
      <c r="ULQ39" s="317"/>
      <c r="ULR39" s="317"/>
      <c r="ULS39" s="317"/>
      <c r="ULT39" s="317"/>
      <c r="ULU39" s="317"/>
      <c r="ULV39" s="317"/>
      <c r="ULW39" s="317"/>
      <c r="ULX39" s="317"/>
      <c r="ULY39" s="317"/>
      <c r="ULZ39" s="317"/>
      <c r="UMA39" s="317"/>
      <c r="UMB39" s="317"/>
      <c r="UMC39" s="317"/>
      <c r="UMD39" s="317"/>
      <c r="UME39" s="317"/>
      <c r="UMF39" s="317"/>
      <c r="UMG39" s="317"/>
      <c r="UMH39" s="317"/>
      <c r="UMI39" s="317"/>
      <c r="UMJ39" s="317"/>
      <c r="UMK39" s="317"/>
      <c r="UML39" s="317"/>
      <c r="UMM39" s="317"/>
      <c r="UMN39" s="317"/>
      <c r="UMO39" s="317"/>
      <c r="UMP39" s="317"/>
      <c r="UMQ39" s="317"/>
      <c r="UMR39" s="317"/>
      <c r="UMS39" s="317"/>
      <c r="UMT39" s="317"/>
      <c r="UMU39" s="317"/>
      <c r="UMV39" s="317"/>
      <c r="UMW39" s="317"/>
      <c r="UMX39" s="317"/>
      <c r="UMY39" s="317"/>
      <c r="UMZ39" s="317"/>
      <c r="UNA39" s="317"/>
      <c r="UNB39" s="317"/>
      <c r="UNC39" s="317"/>
      <c r="UND39" s="317"/>
      <c r="UNE39" s="317"/>
      <c r="UNF39" s="317"/>
      <c r="UNG39" s="317"/>
      <c r="UNH39" s="317"/>
      <c r="UNI39" s="317"/>
      <c r="UNJ39" s="317"/>
      <c r="UNK39" s="317"/>
      <c r="UNL39" s="317"/>
      <c r="UNM39" s="317"/>
      <c r="UNN39" s="317"/>
      <c r="UNO39" s="317"/>
      <c r="UNP39" s="317"/>
      <c r="UNQ39" s="317"/>
      <c r="UNR39" s="317"/>
      <c r="UNS39" s="317"/>
      <c r="UNT39" s="317"/>
      <c r="UNU39" s="317"/>
      <c r="UNV39" s="317"/>
      <c r="UNW39" s="317"/>
      <c r="UNX39" s="317"/>
      <c r="UNY39" s="317"/>
      <c r="UNZ39" s="317"/>
      <c r="UOA39" s="317"/>
      <c r="UOB39" s="317"/>
      <c r="UOC39" s="317"/>
      <c r="UOD39" s="317"/>
      <c r="UOE39" s="317"/>
      <c r="UOF39" s="317"/>
      <c r="UOG39" s="317"/>
      <c r="UOH39" s="317"/>
      <c r="UOI39" s="317"/>
      <c r="UOJ39" s="317"/>
      <c r="UOK39" s="317"/>
      <c r="UOL39" s="317"/>
      <c r="UOM39" s="317"/>
      <c r="UON39" s="317"/>
      <c r="UOO39" s="317"/>
      <c r="UOP39" s="317"/>
      <c r="UOQ39" s="317"/>
      <c r="UOR39" s="317"/>
      <c r="UOS39" s="317"/>
      <c r="UOT39" s="317"/>
      <c r="UOU39" s="317"/>
      <c r="UOV39" s="317"/>
      <c r="UOW39" s="317"/>
      <c r="UOX39" s="317"/>
      <c r="UOY39" s="317"/>
      <c r="UOZ39" s="317"/>
      <c r="UPA39" s="317"/>
      <c r="UPB39" s="317"/>
      <c r="UPC39" s="317"/>
      <c r="UPD39" s="317"/>
      <c r="UPE39" s="317"/>
      <c r="UPF39" s="317"/>
      <c r="UPG39" s="317"/>
      <c r="UPH39" s="317"/>
      <c r="UPI39" s="317"/>
      <c r="UPJ39" s="317"/>
      <c r="UPK39" s="317"/>
      <c r="UPL39" s="317"/>
      <c r="UPM39" s="317"/>
      <c r="UPN39" s="317"/>
      <c r="UPO39" s="317"/>
      <c r="UPP39" s="317"/>
      <c r="UPQ39" s="317"/>
      <c r="UPR39" s="317"/>
      <c r="UPS39" s="317"/>
      <c r="UPT39" s="317"/>
      <c r="UPU39" s="317"/>
      <c r="UPV39" s="317"/>
      <c r="UPW39" s="317"/>
      <c r="UPX39" s="317"/>
      <c r="UPY39" s="317"/>
      <c r="UPZ39" s="317"/>
      <c r="UQA39" s="317"/>
      <c r="UQB39" s="317"/>
      <c r="UQC39" s="317"/>
      <c r="UQD39" s="317"/>
      <c r="UQE39" s="317"/>
      <c r="UQF39" s="317"/>
      <c r="UQG39" s="317"/>
      <c r="UQH39" s="317"/>
      <c r="UQI39" s="317"/>
      <c r="UQJ39" s="317"/>
      <c r="UQK39" s="317"/>
      <c r="UQL39" s="317"/>
      <c r="UQM39" s="317"/>
      <c r="UQN39" s="317"/>
      <c r="UQO39" s="317"/>
      <c r="UQP39" s="317"/>
      <c r="UQQ39" s="317"/>
      <c r="UQR39" s="317"/>
      <c r="UQS39" s="317"/>
      <c r="UQT39" s="317"/>
      <c r="UQU39" s="317"/>
      <c r="UQV39" s="317"/>
      <c r="UQW39" s="317"/>
      <c r="UQX39" s="317"/>
      <c r="UQY39" s="317"/>
      <c r="UQZ39" s="317"/>
      <c r="URA39" s="317"/>
      <c r="URB39" s="317"/>
      <c r="URC39" s="317"/>
      <c r="URD39" s="317"/>
      <c r="URE39" s="317"/>
      <c r="URF39" s="317"/>
      <c r="URG39" s="317"/>
      <c r="URH39" s="317"/>
      <c r="URI39" s="317"/>
      <c r="URJ39" s="317"/>
      <c r="URK39" s="317"/>
      <c r="URL39" s="317"/>
      <c r="URM39" s="317"/>
      <c r="URN39" s="317"/>
      <c r="URO39" s="317"/>
      <c r="URP39" s="317"/>
      <c r="URQ39" s="317"/>
      <c r="URR39" s="317"/>
      <c r="URS39" s="317"/>
      <c r="URT39" s="317"/>
      <c r="URU39" s="317"/>
      <c r="URV39" s="317"/>
      <c r="URW39" s="317"/>
      <c r="URX39" s="317"/>
      <c r="URY39" s="317"/>
      <c r="URZ39" s="317"/>
      <c r="USA39" s="317"/>
      <c r="USB39" s="317"/>
      <c r="USC39" s="317"/>
      <c r="USD39" s="317"/>
      <c r="USE39" s="317"/>
      <c r="USF39" s="317"/>
      <c r="USG39" s="317"/>
      <c r="USH39" s="317"/>
      <c r="USI39" s="317"/>
      <c r="USJ39" s="317"/>
      <c r="USK39" s="317"/>
      <c r="USL39" s="317"/>
      <c r="USM39" s="317"/>
      <c r="USN39" s="317"/>
      <c r="USO39" s="317"/>
      <c r="USP39" s="317"/>
      <c r="USQ39" s="317"/>
      <c r="USR39" s="317"/>
      <c r="USS39" s="317"/>
      <c r="UST39" s="317"/>
      <c r="USU39" s="317"/>
      <c r="USV39" s="317"/>
      <c r="USW39" s="317"/>
      <c r="USX39" s="317"/>
      <c r="USY39" s="317"/>
      <c r="USZ39" s="317"/>
      <c r="UTA39" s="317"/>
      <c r="UTB39" s="317"/>
      <c r="UTC39" s="317"/>
      <c r="UTD39" s="317"/>
      <c r="UTE39" s="317"/>
      <c r="UTF39" s="317"/>
      <c r="UTG39" s="317"/>
      <c r="UTH39" s="317"/>
      <c r="UTI39" s="317"/>
      <c r="UTJ39" s="317"/>
      <c r="UTK39" s="317"/>
      <c r="UTL39" s="317"/>
      <c r="UTM39" s="317"/>
      <c r="UTN39" s="317"/>
      <c r="UTO39" s="317"/>
      <c r="UTP39" s="317"/>
      <c r="UTQ39" s="317"/>
      <c r="UTR39" s="317"/>
      <c r="UTS39" s="317"/>
      <c r="UTT39" s="317"/>
      <c r="UTU39" s="317"/>
      <c r="UTV39" s="317"/>
      <c r="UTW39" s="317"/>
      <c r="UTX39" s="317"/>
      <c r="UTY39" s="317"/>
      <c r="UTZ39" s="317"/>
      <c r="UUA39" s="317"/>
      <c r="UUB39" s="317"/>
      <c r="UUC39" s="317"/>
      <c r="UUD39" s="317"/>
      <c r="UUE39" s="317"/>
      <c r="UUF39" s="317"/>
      <c r="UUG39" s="317"/>
      <c r="UUH39" s="317"/>
      <c r="UUI39" s="317"/>
      <c r="UUJ39" s="317"/>
      <c r="UUK39" s="317"/>
      <c r="UUL39" s="317"/>
      <c r="UUM39" s="317"/>
      <c r="UUN39" s="317"/>
      <c r="UUO39" s="317"/>
      <c r="UUP39" s="317"/>
      <c r="UUQ39" s="317"/>
      <c r="UUR39" s="317"/>
      <c r="UUS39" s="317"/>
      <c r="UUT39" s="317"/>
      <c r="UUU39" s="317"/>
      <c r="UUV39" s="317"/>
      <c r="UUW39" s="317"/>
      <c r="UUX39" s="317"/>
      <c r="UUY39" s="317"/>
      <c r="UUZ39" s="317"/>
      <c r="UVA39" s="317"/>
      <c r="UVB39" s="317"/>
      <c r="UVC39" s="317"/>
      <c r="UVD39" s="317"/>
      <c r="UVE39" s="317"/>
      <c r="UVF39" s="317"/>
      <c r="UVG39" s="317"/>
      <c r="UVH39" s="317"/>
      <c r="UVI39" s="317"/>
      <c r="UVJ39" s="317"/>
      <c r="UVK39" s="317"/>
      <c r="UVL39" s="317"/>
      <c r="UVM39" s="317"/>
      <c r="UVN39" s="317"/>
      <c r="UVO39" s="317"/>
      <c r="UVP39" s="317"/>
      <c r="UVQ39" s="317"/>
      <c r="UVR39" s="317"/>
      <c r="UVS39" s="317"/>
      <c r="UVT39" s="317"/>
      <c r="UVU39" s="317"/>
      <c r="UVV39" s="317"/>
      <c r="UVW39" s="317"/>
      <c r="UVX39" s="317"/>
      <c r="UVY39" s="317"/>
      <c r="UVZ39" s="317"/>
      <c r="UWA39" s="317"/>
      <c r="UWB39" s="317"/>
      <c r="UWC39" s="317"/>
      <c r="UWD39" s="317"/>
      <c r="UWE39" s="317"/>
      <c r="UWF39" s="317"/>
      <c r="UWG39" s="317"/>
      <c r="UWH39" s="317"/>
      <c r="UWI39" s="317"/>
      <c r="UWJ39" s="317"/>
      <c r="UWK39" s="317"/>
      <c r="UWL39" s="317"/>
      <c r="UWM39" s="317"/>
      <c r="UWN39" s="317"/>
      <c r="UWO39" s="317"/>
      <c r="UWP39" s="317"/>
      <c r="UWQ39" s="317"/>
      <c r="UWR39" s="317"/>
      <c r="UWS39" s="317"/>
      <c r="UWT39" s="317"/>
      <c r="UWU39" s="317"/>
      <c r="UWV39" s="317"/>
      <c r="UWW39" s="317"/>
      <c r="UWX39" s="317"/>
      <c r="UWY39" s="317"/>
      <c r="UWZ39" s="317"/>
      <c r="UXA39" s="317"/>
      <c r="UXB39" s="317"/>
      <c r="UXC39" s="317"/>
      <c r="UXD39" s="317"/>
      <c r="UXE39" s="317"/>
      <c r="UXF39" s="317"/>
      <c r="UXG39" s="317"/>
      <c r="UXH39" s="317"/>
      <c r="UXI39" s="317"/>
      <c r="UXJ39" s="317"/>
      <c r="UXK39" s="317"/>
      <c r="UXL39" s="317"/>
      <c r="UXM39" s="317"/>
      <c r="UXN39" s="317"/>
      <c r="UXO39" s="317"/>
      <c r="UXP39" s="317"/>
      <c r="UXQ39" s="317"/>
      <c r="UXR39" s="317"/>
      <c r="UXS39" s="317"/>
      <c r="UXT39" s="317"/>
      <c r="UXU39" s="317"/>
      <c r="UXV39" s="317"/>
      <c r="UXW39" s="317"/>
      <c r="UXX39" s="317"/>
      <c r="UXY39" s="317"/>
      <c r="UXZ39" s="317"/>
      <c r="UYA39" s="317"/>
      <c r="UYB39" s="317"/>
      <c r="UYC39" s="317"/>
      <c r="UYD39" s="317"/>
      <c r="UYE39" s="317"/>
      <c r="UYF39" s="317"/>
      <c r="UYG39" s="317"/>
      <c r="UYH39" s="317"/>
      <c r="UYI39" s="317"/>
      <c r="UYJ39" s="317"/>
      <c r="UYK39" s="317"/>
      <c r="UYL39" s="317"/>
      <c r="UYM39" s="317"/>
      <c r="UYN39" s="317"/>
      <c r="UYO39" s="317"/>
      <c r="UYP39" s="317"/>
      <c r="UYQ39" s="317"/>
      <c r="UYR39" s="317"/>
      <c r="UYS39" s="317"/>
      <c r="UYT39" s="317"/>
      <c r="UYU39" s="317"/>
      <c r="UYV39" s="317"/>
      <c r="UYW39" s="317"/>
      <c r="UYX39" s="317"/>
      <c r="UYY39" s="317"/>
      <c r="UYZ39" s="317"/>
      <c r="UZA39" s="317"/>
      <c r="UZB39" s="317"/>
      <c r="UZC39" s="317"/>
      <c r="UZD39" s="317"/>
      <c r="UZE39" s="317"/>
      <c r="UZF39" s="317"/>
      <c r="UZG39" s="317"/>
      <c r="UZH39" s="317"/>
      <c r="UZI39" s="317"/>
      <c r="UZJ39" s="317"/>
      <c r="UZK39" s="317"/>
      <c r="UZL39" s="317"/>
      <c r="UZM39" s="317"/>
      <c r="UZN39" s="317"/>
      <c r="UZO39" s="317"/>
      <c r="UZP39" s="317"/>
      <c r="UZQ39" s="317"/>
      <c r="UZR39" s="317"/>
      <c r="UZS39" s="317"/>
      <c r="UZT39" s="317"/>
      <c r="UZU39" s="317"/>
      <c r="UZV39" s="317"/>
      <c r="UZW39" s="317"/>
      <c r="UZX39" s="317"/>
      <c r="UZY39" s="317"/>
      <c r="UZZ39" s="317"/>
      <c r="VAA39" s="317"/>
      <c r="VAB39" s="317"/>
      <c r="VAC39" s="317"/>
      <c r="VAD39" s="317"/>
      <c r="VAE39" s="317"/>
      <c r="VAF39" s="317"/>
      <c r="VAG39" s="317"/>
      <c r="VAH39" s="317"/>
      <c r="VAI39" s="317"/>
      <c r="VAJ39" s="317"/>
      <c r="VAK39" s="317"/>
      <c r="VAL39" s="317"/>
      <c r="VAM39" s="317"/>
      <c r="VAN39" s="317"/>
      <c r="VAO39" s="317"/>
      <c r="VAP39" s="317"/>
      <c r="VAQ39" s="317"/>
      <c r="VAR39" s="317"/>
      <c r="VAS39" s="317"/>
      <c r="VAT39" s="317"/>
      <c r="VAU39" s="317"/>
      <c r="VAV39" s="317"/>
      <c r="VAW39" s="317"/>
      <c r="VAX39" s="317"/>
      <c r="VAY39" s="317"/>
      <c r="VAZ39" s="317"/>
      <c r="VBA39" s="317"/>
      <c r="VBB39" s="317"/>
      <c r="VBC39" s="317"/>
      <c r="VBD39" s="317"/>
      <c r="VBE39" s="317"/>
      <c r="VBF39" s="317"/>
      <c r="VBG39" s="317"/>
      <c r="VBH39" s="317"/>
      <c r="VBI39" s="317"/>
      <c r="VBJ39" s="317"/>
      <c r="VBK39" s="317"/>
      <c r="VBL39" s="317"/>
      <c r="VBM39" s="317"/>
      <c r="VBN39" s="317"/>
      <c r="VBO39" s="317"/>
      <c r="VBP39" s="317"/>
      <c r="VBQ39" s="317"/>
      <c r="VBR39" s="317"/>
      <c r="VBS39" s="317"/>
      <c r="VBT39" s="317"/>
      <c r="VBU39" s="317"/>
      <c r="VBV39" s="317"/>
      <c r="VBW39" s="317"/>
      <c r="VBX39" s="317"/>
      <c r="VBY39" s="317"/>
      <c r="VBZ39" s="317"/>
      <c r="VCA39" s="317"/>
      <c r="VCB39" s="317"/>
      <c r="VCC39" s="317"/>
      <c r="VCD39" s="317"/>
      <c r="VCE39" s="317"/>
      <c r="VCF39" s="317"/>
      <c r="VCG39" s="317"/>
      <c r="VCH39" s="317"/>
      <c r="VCI39" s="317"/>
      <c r="VCJ39" s="317"/>
      <c r="VCK39" s="317"/>
      <c r="VCL39" s="317"/>
      <c r="VCM39" s="317"/>
      <c r="VCN39" s="317"/>
      <c r="VCO39" s="317"/>
      <c r="VCP39" s="317"/>
      <c r="VCQ39" s="317"/>
      <c r="VCR39" s="317"/>
      <c r="VCS39" s="317"/>
      <c r="VCT39" s="317"/>
      <c r="VCU39" s="317"/>
      <c r="VCV39" s="317"/>
      <c r="VCW39" s="317"/>
      <c r="VCX39" s="317"/>
      <c r="VCY39" s="317"/>
      <c r="VCZ39" s="317"/>
      <c r="VDA39" s="317"/>
      <c r="VDB39" s="317"/>
      <c r="VDC39" s="317"/>
      <c r="VDD39" s="317"/>
      <c r="VDE39" s="317"/>
      <c r="VDF39" s="317"/>
      <c r="VDG39" s="317"/>
      <c r="VDH39" s="317"/>
      <c r="VDI39" s="317"/>
      <c r="VDJ39" s="317"/>
      <c r="VDK39" s="317"/>
      <c r="VDL39" s="317"/>
      <c r="VDM39" s="317"/>
      <c r="VDN39" s="317"/>
      <c r="VDO39" s="317"/>
      <c r="VDP39" s="317"/>
      <c r="VDQ39" s="317"/>
      <c r="VDR39" s="317"/>
      <c r="VDS39" s="317"/>
      <c r="VDT39" s="317"/>
      <c r="VDU39" s="317"/>
      <c r="VDV39" s="317"/>
      <c r="VDW39" s="317"/>
      <c r="VDX39" s="317"/>
      <c r="VDY39" s="317"/>
      <c r="VDZ39" s="317"/>
      <c r="VEA39" s="317"/>
      <c r="VEB39" s="317"/>
      <c r="VEC39" s="317"/>
      <c r="VED39" s="317"/>
      <c r="VEE39" s="317"/>
      <c r="VEF39" s="317"/>
      <c r="VEG39" s="317"/>
      <c r="VEH39" s="317"/>
      <c r="VEI39" s="317"/>
      <c r="VEJ39" s="317"/>
      <c r="VEK39" s="317"/>
      <c r="VEL39" s="317"/>
      <c r="VEM39" s="317"/>
      <c r="VEN39" s="317"/>
      <c r="VEO39" s="317"/>
      <c r="VEP39" s="317"/>
      <c r="VEQ39" s="317"/>
      <c r="VER39" s="317"/>
      <c r="VES39" s="317"/>
      <c r="VET39" s="317"/>
      <c r="VEU39" s="317"/>
      <c r="VEV39" s="317"/>
      <c r="VEW39" s="317"/>
      <c r="VEX39" s="317"/>
      <c r="VEY39" s="317"/>
      <c r="VEZ39" s="317"/>
      <c r="VFA39" s="317"/>
      <c r="VFB39" s="317"/>
      <c r="VFC39" s="317"/>
      <c r="VFD39" s="317"/>
      <c r="VFE39" s="317"/>
      <c r="VFF39" s="317"/>
      <c r="VFG39" s="317"/>
      <c r="VFH39" s="317"/>
      <c r="VFI39" s="317"/>
      <c r="VFJ39" s="317"/>
      <c r="VFK39" s="317"/>
      <c r="VFL39" s="317"/>
      <c r="VFM39" s="317"/>
      <c r="VFN39" s="317"/>
      <c r="VFO39" s="317"/>
      <c r="VFP39" s="317"/>
      <c r="VFQ39" s="317"/>
      <c r="VFR39" s="317"/>
      <c r="VFS39" s="317"/>
      <c r="VFT39" s="317"/>
      <c r="VFU39" s="317"/>
      <c r="VFV39" s="317"/>
      <c r="VFW39" s="317"/>
      <c r="VFX39" s="317"/>
      <c r="VFY39" s="317"/>
      <c r="VFZ39" s="317"/>
      <c r="VGA39" s="317"/>
      <c r="VGB39" s="317"/>
      <c r="VGC39" s="317"/>
      <c r="VGD39" s="317"/>
      <c r="VGE39" s="317"/>
      <c r="VGF39" s="317"/>
      <c r="VGG39" s="317"/>
      <c r="VGH39" s="317"/>
      <c r="VGI39" s="317"/>
      <c r="VGJ39" s="317"/>
      <c r="VGK39" s="317"/>
      <c r="VGL39" s="317"/>
      <c r="VGM39" s="317"/>
      <c r="VGN39" s="317"/>
      <c r="VGO39" s="317"/>
      <c r="VGP39" s="317"/>
      <c r="VGQ39" s="317"/>
      <c r="VGR39" s="317"/>
      <c r="VGS39" s="317"/>
      <c r="VGT39" s="317"/>
      <c r="VGU39" s="317"/>
      <c r="VGV39" s="317"/>
      <c r="VGW39" s="317"/>
      <c r="VGX39" s="317"/>
      <c r="VGY39" s="317"/>
      <c r="VGZ39" s="317"/>
      <c r="VHA39" s="317"/>
      <c r="VHB39" s="317"/>
      <c r="VHC39" s="317"/>
      <c r="VHD39" s="317"/>
      <c r="VHE39" s="317"/>
      <c r="VHF39" s="317"/>
      <c r="VHG39" s="317"/>
      <c r="VHH39" s="317"/>
      <c r="VHI39" s="317"/>
      <c r="VHJ39" s="317"/>
      <c r="VHK39" s="317"/>
      <c r="VHL39" s="317"/>
      <c r="VHM39" s="317"/>
      <c r="VHN39" s="317"/>
      <c r="VHO39" s="317"/>
      <c r="VHP39" s="317"/>
      <c r="VHQ39" s="317"/>
      <c r="VHR39" s="317"/>
      <c r="VHS39" s="317"/>
      <c r="VHT39" s="317"/>
      <c r="VHU39" s="317"/>
      <c r="VHV39" s="317"/>
      <c r="VHW39" s="317"/>
      <c r="VHX39" s="317"/>
      <c r="VHY39" s="317"/>
      <c r="VHZ39" s="317"/>
      <c r="VIA39" s="317"/>
      <c r="VIB39" s="317"/>
      <c r="VIC39" s="317"/>
      <c r="VID39" s="317"/>
      <c r="VIE39" s="317"/>
      <c r="VIF39" s="317"/>
      <c r="VIG39" s="317"/>
      <c r="VIH39" s="317"/>
      <c r="VII39" s="317"/>
      <c r="VIJ39" s="317"/>
      <c r="VIK39" s="317"/>
      <c r="VIL39" s="317"/>
      <c r="VIM39" s="317"/>
      <c r="VIN39" s="317"/>
      <c r="VIO39" s="317"/>
      <c r="VIP39" s="317"/>
      <c r="VIQ39" s="317"/>
      <c r="VIR39" s="317"/>
      <c r="VIS39" s="317"/>
      <c r="VIT39" s="317"/>
      <c r="VIU39" s="317"/>
      <c r="VIV39" s="317"/>
      <c r="VIW39" s="317"/>
      <c r="VIX39" s="317"/>
      <c r="VIY39" s="317"/>
      <c r="VIZ39" s="317"/>
      <c r="VJA39" s="317"/>
      <c r="VJB39" s="317"/>
      <c r="VJC39" s="317"/>
      <c r="VJD39" s="317"/>
      <c r="VJE39" s="317"/>
      <c r="VJF39" s="317"/>
      <c r="VJG39" s="317"/>
      <c r="VJH39" s="317"/>
      <c r="VJI39" s="317"/>
      <c r="VJJ39" s="317"/>
      <c r="VJK39" s="317"/>
      <c r="VJL39" s="317"/>
      <c r="VJM39" s="317"/>
      <c r="VJN39" s="317"/>
      <c r="VJO39" s="317"/>
      <c r="VJP39" s="317"/>
      <c r="VJQ39" s="317"/>
      <c r="VJR39" s="317"/>
      <c r="VJS39" s="317"/>
      <c r="VJT39" s="317"/>
      <c r="VJU39" s="317"/>
      <c r="VJV39" s="317"/>
      <c r="VJW39" s="317"/>
      <c r="VJX39" s="317"/>
      <c r="VJY39" s="317"/>
      <c r="VJZ39" s="317"/>
      <c r="VKA39" s="317"/>
      <c r="VKB39" s="317"/>
      <c r="VKC39" s="317"/>
      <c r="VKD39" s="317"/>
      <c r="VKE39" s="317"/>
      <c r="VKF39" s="317"/>
      <c r="VKG39" s="317"/>
      <c r="VKH39" s="317"/>
      <c r="VKI39" s="317"/>
      <c r="VKJ39" s="317"/>
      <c r="VKK39" s="317"/>
      <c r="VKL39" s="317"/>
      <c r="VKM39" s="317"/>
      <c r="VKN39" s="317"/>
      <c r="VKO39" s="317"/>
      <c r="VKP39" s="317"/>
      <c r="VKQ39" s="317"/>
      <c r="VKR39" s="317"/>
      <c r="VKS39" s="317"/>
      <c r="VKT39" s="317"/>
      <c r="VKU39" s="317"/>
      <c r="VKV39" s="317"/>
      <c r="VKW39" s="317"/>
      <c r="VKX39" s="317"/>
      <c r="VKY39" s="317"/>
      <c r="VKZ39" s="317"/>
      <c r="VLA39" s="317"/>
      <c r="VLB39" s="317"/>
      <c r="VLC39" s="317"/>
      <c r="VLD39" s="317"/>
      <c r="VLE39" s="317"/>
      <c r="VLF39" s="317"/>
      <c r="VLG39" s="317"/>
      <c r="VLH39" s="317"/>
      <c r="VLI39" s="317"/>
      <c r="VLJ39" s="317"/>
      <c r="VLK39" s="317"/>
      <c r="VLL39" s="317"/>
      <c r="VLM39" s="317"/>
      <c r="VLN39" s="317"/>
      <c r="VLO39" s="317"/>
      <c r="VLP39" s="317"/>
      <c r="VLQ39" s="317"/>
      <c r="VLR39" s="317"/>
      <c r="VLS39" s="317"/>
      <c r="VLT39" s="317"/>
      <c r="VLU39" s="317"/>
      <c r="VLV39" s="317"/>
      <c r="VLW39" s="317"/>
      <c r="VLX39" s="317"/>
      <c r="VLY39" s="317"/>
      <c r="VLZ39" s="317"/>
      <c r="VMA39" s="317"/>
      <c r="VMB39" s="317"/>
      <c r="VMC39" s="317"/>
      <c r="VMD39" s="317"/>
      <c r="VME39" s="317"/>
      <c r="VMF39" s="317"/>
      <c r="VMG39" s="317"/>
      <c r="VMH39" s="317"/>
      <c r="VMI39" s="317"/>
      <c r="VMJ39" s="317"/>
      <c r="VMK39" s="317"/>
      <c r="VML39" s="317"/>
      <c r="VMM39" s="317"/>
      <c r="VMN39" s="317"/>
      <c r="VMO39" s="317"/>
      <c r="VMP39" s="317"/>
      <c r="VMQ39" s="317"/>
      <c r="VMR39" s="317"/>
      <c r="VMS39" s="317"/>
      <c r="VMT39" s="317"/>
      <c r="VMU39" s="317"/>
      <c r="VMV39" s="317"/>
      <c r="VMW39" s="317"/>
      <c r="VMX39" s="317"/>
      <c r="VMY39" s="317"/>
      <c r="VMZ39" s="317"/>
      <c r="VNA39" s="317"/>
      <c r="VNB39" s="317"/>
      <c r="VNC39" s="317"/>
      <c r="VND39" s="317"/>
      <c r="VNE39" s="317"/>
      <c r="VNF39" s="317"/>
      <c r="VNG39" s="317"/>
      <c r="VNH39" s="317"/>
      <c r="VNI39" s="317"/>
      <c r="VNJ39" s="317"/>
      <c r="VNK39" s="317"/>
      <c r="VNL39" s="317"/>
      <c r="VNM39" s="317"/>
      <c r="VNN39" s="317"/>
      <c r="VNO39" s="317"/>
      <c r="VNP39" s="317"/>
      <c r="VNQ39" s="317"/>
      <c r="VNR39" s="317"/>
      <c r="VNS39" s="317"/>
      <c r="VNT39" s="317"/>
      <c r="VNU39" s="317"/>
      <c r="VNV39" s="317"/>
      <c r="VNW39" s="317"/>
      <c r="VNX39" s="317"/>
      <c r="VNY39" s="317"/>
      <c r="VNZ39" s="317"/>
      <c r="VOA39" s="317"/>
      <c r="VOB39" s="317"/>
      <c r="VOC39" s="317"/>
      <c r="VOD39" s="317"/>
      <c r="VOE39" s="317"/>
      <c r="VOF39" s="317"/>
      <c r="VOG39" s="317"/>
      <c r="VOH39" s="317"/>
      <c r="VOI39" s="317"/>
      <c r="VOJ39" s="317"/>
      <c r="VOK39" s="317"/>
      <c r="VOL39" s="317"/>
      <c r="VOM39" s="317"/>
      <c r="VON39" s="317"/>
      <c r="VOO39" s="317"/>
      <c r="VOP39" s="317"/>
      <c r="VOQ39" s="317"/>
      <c r="VOR39" s="317"/>
      <c r="VOS39" s="317"/>
      <c r="VOT39" s="317"/>
      <c r="VOU39" s="317"/>
      <c r="VOV39" s="317"/>
      <c r="VOW39" s="317"/>
      <c r="VOX39" s="317"/>
      <c r="VOY39" s="317"/>
      <c r="VOZ39" s="317"/>
      <c r="VPA39" s="317"/>
      <c r="VPB39" s="317"/>
      <c r="VPC39" s="317"/>
      <c r="VPD39" s="317"/>
      <c r="VPE39" s="317"/>
      <c r="VPF39" s="317"/>
      <c r="VPG39" s="317"/>
      <c r="VPH39" s="317"/>
      <c r="VPI39" s="317"/>
      <c r="VPJ39" s="317"/>
      <c r="VPK39" s="317"/>
      <c r="VPL39" s="317"/>
      <c r="VPM39" s="317"/>
      <c r="VPN39" s="317"/>
      <c r="VPO39" s="317"/>
      <c r="VPP39" s="317"/>
      <c r="VPQ39" s="317"/>
      <c r="VPR39" s="317"/>
      <c r="VPS39" s="317"/>
      <c r="VPT39" s="317"/>
      <c r="VPU39" s="317"/>
      <c r="VPV39" s="317"/>
      <c r="VPW39" s="317"/>
      <c r="VPX39" s="317"/>
      <c r="VPY39" s="317"/>
      <c r="VPZ39" s="317"/>
      <c r="VQA39" s="317"/>
      <c r="VQB39" s="317"/>
      <c r="VQC39" s="317"/>
      <c r="VQD39" s="317"/>
      <c r="VQE39" s="317"/>
      <c r="VQF39" s="317"/>
      <c r="VQG39" s="317"/>
      <c r="VQH39" s="317"/>
      <c r="VQI39" s="317"/>
      <c r="VQJ39" s="317"/>
      <c r="VQK39" s="317"/>
      <c r="VQL39" s="317"/>
      <c r="VQM39" s="317"/>
      <c r="VQN39" s="317"/>
      <c r="VQO39" s="317"/>
      <c r="VQP39" s="317"/>
      <c r="VQQ39" s="317"/>
      <c r="VQR39" s="317"/>
      <c r="VQS39" s="317"/>
      <c r="VQT39" s="317"/>
      <c r="VQU39" s="317"/>
      <c r="VQV39" s="317"/>
      <c r="VQW39" s="317"/>
      <c r="VQX39" s="317"/>
      <c r="VQY39" s="317"/>
      <c r="VQZ39" s="317"/>
      <c r="VRA39" s="317"/>
      <c r="VRB39" s="317"/>
      <c r="VRC39" s="317"/>
      <c r="VRD39" s="317"/>
      <c r="VRE39" s="317"/>
      <c r="VRF39" s="317"/>
      <c r="VRG39" s="317"/>
      <c r="VRH39" s="317"/>
      <c r="VRI39" s="317"/>
      <c r="VRJ39" s="317"/>
      <c r="VRK39" s="317"/>
      <c r="VRL39" s="317"/>
      <c r="VRM39" s="317"/>
      <c r="VRN39" s="317"/>
      <c r="VRO39" s="317"/>
      <c r="VRP39" s="317"/>
      <c r="VRQ39" s="317"/>
      <c r="VRR39" s="317"/>
      <c r="VRS39" s="317"/>
      <c r="VRT39" s="317"/>
      <c r="VRU39" s="317"/>
      <c r="VRV39" s="317"/>
      <c r="VRW39" s="317"/>
      <c r="VRX39" s="317"/>
      <c r="VRY39" s="317"/>
      <c r="VRZ39" s="317"/>
      <c r="VSA39" s="317"/>
      <c r="VSB39" s="317"/>
      <c r="VSC39" s="317"/>
      <c r="VSD39" s="317"/>
      <c r="VSE39" s="317"/>
      <c r="VSF39" s="317"/>
      <c r="VSG39" s="317"/>
      <c r="VSH39" s="317"/>
      <c r="VSI39" s="317"/>
      <c r="VSJ39" s="317"/>
      <c r="VSK39" s="317"/>
      <c r="VSL39" s="317"/>
      <c r="VSM39" s="317"/>
      <c r="VSN39" s="317"/>
      <c r="VSO39" s="317"/>
      <c r="VSP39" s="317"/>
      <c r="VSQ39" s="317"/>
      <c r="VSR39" s="317"/>
      <c r="VSS39" s="317"/>
      <c r="VST39" s="317"/>
      <c r="VSU39" s="317"/>
      <c r="VSV39" s="317"/>
      <c r="VSW39" s="317"/>
      <c r="VSX39" s="317"/>
      <c r="VSY39" s="317"/>
      <c r="VSZ39" s="317"/>
      <c r="VTA39" s="317"/>
      <c r="VTB39" s="317"/>
      <c r="VTC39" s="317"/>
      <c r="VTD39" s="317"/>
      <c r="VTE39" s="317"/>
      <c r="VTF39" s="317"/>
      <c r="VTG39" s="317"/>
      <c r="VTH39" s="317"/>
      <c r="VTI39" s="317"/>
      <c r="VTJ39" s="317"/>
      <c r="VTK39" s="317"/>
      <c r="VTL39" s="317"/>
      <c r="VTM39" s="317"/>
      <c r="VTN39" s="317"/>
      <c r="VTO39" s="317"/>
      <c r="VTP39" s="317"/>
      <c r="VTQ39" s="317"/>
      <c r="VTR39" s="317"/>
      <c r="VTS39" s="317"/>
      <c r="VTT39" s="317"/>
      <c r="VTU39" s="317"/>
      <c r="VTV39" s="317"/>
      <c r="VTW39" s="317"/>
      <c r="VTX39" s="317"/>
      <c r="VTY39" s="317"/>
      <c r="VTZ39" s="317"/>
      <c r="VUA39" s="317"/>
      <c r="VUB39" s="317"/>
      <c r="VUC39" s="317"/>
      <c r="VUD39" s="317"/>
      <c r="VUE39" s="317"/>
      <c r="VUF39" s="317"/>
      <c r="VUG39" s="317"/>
      <c r="VUH39" s="317"/>
      <c r="VUI39" s="317"/>
      <c r="VUJ39" s="317"/>
      <c r="VUK39" s="317"/>
      <c r="VUL39" s="317"/>
      <c r="VUM39" s="317"/>
      <c r="VUN39" s="317"/>
      <c r="VUO39" s="317"/>
      <c r="VUP39" s="317"/>
      <c r="VUQ39" s="317"/>
      <c r="VUR39" s="317"/>
      <c r="VUS39" s="317"/>
      <c r="VUT39" s="317"/>
      <c r="VUU39" s="317"/>
      <c r="VUV39" s="317"/>
      <c r="VUW39" s="317"/>
      <c r="VUX39" s="317"/>
      <c r="VUY39" s="317"/>
      <c r="VUZ39" s="317"/>
      <c r="VVA39" s="317"/>
      <c r="VVB39" s="317"/>
      <c r="VVC39" s="317"/>
      <c r="VVD39" s="317"/>
      <c r="VVE39" s="317"/>
      <c r="VVF39" s="317"/>
      <c r="VVG39" s="317"/>
      <c r="VVH39" s="317"/>
      <c r="VVI39" s="317"/>
      <c r="VVJ39" s="317"/>
      <c r="VVK39" s="317"/>
      <c r="VVL39" s="317"/>
      <c r="VVM39" s="317"/>
      <c r="VVN39" s="317"/>
      <c r="VVO39" s="317"/>
      <c r="VVP39" s="317"/>
      <c r="VVQ39" s="317"/>
      <c r="VVR39" s="317"/>
      <c r="VVS39" s="317"/>
      <c r="VVT39" s="317"/>
      <c r="VVU39" s="317"/>
      <c r="VVV39" s="317"/>
      <c r="VVW39" s="317"/>
      <c r="VVX39" s="317"/>
      <c r="VVY39" s="317"/>
      <c r="VVZ39" s="317"/>
      <c r="VWA39" s="317"/>
      <c r="VWB39" s="317"/>
      <c r="VWC39" s="317"/>
      <c r="VWD39" s="317"/>
      <c r="VWE39" s="317"/>
      <c r="VWF39" s="317"/>
      <c r="VWG39" s="317"/>
      <c r="VWH39" s="317"/>
      <c r="VWI39" s="317"/>
      <c r="VWJ39" s="317"/>
      <c r="VWK39" s="317"/>
      <c r="VWL39" s="317"/>
      <c r="VWM39" s="317"/>
      <c r="VWN39" s="317"/>
      <c r="VWO39" s="317"/>
      <c r="VWP39" s="317"/>
      <c r="VWQ39" s="317"/>
      <c r="VWR39" s="317"/>
      <c r="VWS39" s="317"/>
      <c r="VWT39" s="317"/>
      <c r="VWU39" s="317"/>
      <c r="VWV39" s="317"/>
      <c r="VWW39" s="317"/>
      <c r="VWX39" s="317"/>
      <c r="VWY39" s="317"/>
      <c r="VWZ39" s="317"/>
      <c r="VXA39" s="317"/>
      <c r="VXB39" s="317"/>
      <c r="VXC39" s="317"/>
      <c r="VXD39" s="317"/>
      <c r="VXE39" s="317"/>
      <c r="VXF39" s="317"/>
      <c r="VXG39" s="317"/>
      <c r="VXH39" s="317"/>
      <c r="VXI39" s="317"/>
      <c r="VXJ39" s="317"/>
      <c r="VXK39" s="317"/>
      <c r="VXL39" s="317"/>
      <c r="VXM39" s="317"/>
      <c r="VXN39" s="317"/>
      <c r="VXO39" s="317"/>
      <c r="VXP39" s="317"/>
      <c r="VXQ39" s="317"/>
      <c r="VXR39" s="317"/>
      <c r="VXS39" s="317"/>
      <c r="VXT39" s="317"/>
      <c r="VXU39" s="317"/>
      <c r="VXV39" s="317"/>
      <c r="VXW39" s="317"/>
      <c r="VXX39" s="317"/>
      <c r="VXY39" s="317"/>
      <c r="VXZ39" s="317"/>
      <c r="VYA39" s="317"/>
      <c r="VYB39" s="317"/>
      <c r="VYC39" s="317"/>
      <c r="VYD39" s="317"/>
      <c r="VYE39" s="317"/>
      <c r="VYF39" s="317"/>
      <c r="VYG39" s="317"/>
      <c r="VYH39" s="317"/>
      <c r="VYI39" s="317"/>
      <c r="VYJ39" s="317"/>
      <c r="VYK39" s="317"/>
      <c r="VYL39" s="317"/>
      <c r="VYM39" s="317"/>
      <c r="VYN39" s="317"/>
      <c r="VYO39" s="317"/>
      <c r="VYP39" s="317"/>
      <c r="VYQ39" s="317"/>
      <c r="VYR39" s="317"/>
      <c r="VYS39" s="317"/>
      <c r="VYT39" s="317"/>
      <c r="VYU39" s="317"/>
      <c r="VYV39" s="317"/>
      <c r="VYW39" s="317"/>
      <c r="VYX39" s="317"/>
      <c r="VYY39" s="317"/>
      <c r="VYZ39" s="317"/>
      <c r="VZA39" s="317"/>
      <c r="VZB39" s="317"/>
      <c r="VZC39" s="317"/>
      <c r="VZD39" s="317"/>
      <c r="VZE39" s="317"/>
      <c r="VZF39" s="317"/>
      <c r="VZG39" s="317"/>
      <c r="VZH39" s="317"/>
      <c r="VZI39" s="317"/>
      <c r="VZJ39" s="317"/>
      <c r="VZK39" s="317"/>
      <c r="VZL39" s="317"/>
      <c r="VZM39" s="317"/>
      <c r="VZN39" s="317"/>
      <c r="VZO39" s="317"/>
      <c r="VZP39" s="317"/>
      <c r="VZQ39" s="317"/>
      <c r="VZR39" s="317"/>
      <c r="VZS39" s="317"/>
      <c r="VZT39" s="317"/>
      <c r="VZU39" s="317"/>
      <c r="VZV39" s="317"/>
      <c r="VZW39" s="317"/>
      <c r="VZX39" s="317"/>
      <c r="VZY39" s="317"/>
      <c r="VZZ39" s="317"/>
      <c r="WAA39" s="317"/>
      <c r="WAB39" s="317"/>
      <c r="WAC39" s="317"/>
      <c r="WAD39" s="317"/>
      <c r="WAE39" s="317"/>
      <c r="WAF39" s="317"/>
      <c r="WAG39" s="317"/>
      <c r="WAH39" s="317"/>
      <c r="WAI39" s="317"/>
      <c r="WAJ39" s="317"/>
      <c r="WAK39" s="317"/>
      <c r="WAL39" s="317"/>
      <c r="WAM39" s="317"/>
      <c r="WAN39" s="317"/>
      <c r="WAO39" s="317"/>
      <c r="WAP39" s="317"/>
      <c r="WAQ39" s="317"/>
      <c r="WAR39" s="317"/>
      <c r="WAS39" s="317"/>
      <c r="WAT39" s="317"/>
      <c r="WAU39" s="317"/>
      <c r="WAV39" s="317"/>
      <c r="WAW39" s="317"/>
      <c r="WAX39" s="317"/>
      <c r="WAY39" s="317"/>
      <c r="WAZ39" s="317"/>
      <c r="WBA39" s="317"/>
      <c r="WBB39" s="317"/>
      <c r="WBC39" s="317"/>
      <c r="WBD39" s="317"/>
      <c r="WBE39" s="317"/>
      <c r="WBF39" s="317"/>
      <c r="WBG39" s="317"/>
      <c r="WBH39" s="317"/>
      <c r="WBI39" s="317"/>
      <c r="WBJ39" s="317"/>
      <c r="WBK39" s="317"/>
      <c r="WBL39" s="317"/>
      <c r="WBM39" s="317"/>
      <c r="WBN39" s="317"/>
      <c r="WBO39" s="317"/>
      <c r="WBP39" s="317"/>
      <c r="WBQ39" s="317"/>
      <c r="WBR39" s="317"/>
      <c r="WBS39" s="317"/>
      <c r="WBT39" s="317"/>
      <c r="WBU39" s="317"/>
      <c r="WBV39" s="317"/>
      <c r="WBW39" s="317"/>
      <c r="WBX39" s="317"/>
      <c r="WBY39" s="317"/>
      <c r="WBZ39" s="317"/>
      <c r="WCA39" s="317"/>
      <c r="WCB39" s="317"/>
      <c r="WCC39" s="317"/>
      <c r="WCD39" s="317"/>
      <c r="WCE39" s="317"/>
      <c r="WCF39" s="317"/>
      <c r="WCG39" s="317"/>
      <c r="WCH39" s="317"/>
      <c r="WCI39" s="317"/>
      <c r="WCJ39" s="317"/>
      <c r="WCK39" s="317"/>
      <c r="WCL39" s="317"/>
      <c r="WCM39" s="317"/>
      <c r="WCN39" s="317"/>
      <c r="WCO39" s="317"/>
      <c r="WCP39" s="317"/>
      <c r="WCQ39" s="317"/>
      <c r="WCR39" s="317"/>
      <c r="WCS39" s="317"/>
      <c r="WCT39" s="317"/>
      <c r="WCU39" s="317"/>
      <c r="WCV39" s="317"/>
      <c r="WCW39" s="317"/>
      <c r="WCX39" s="317"/>
      <c r="WCY39" s="317"/>
      <c r="WCZ39" s="317"/>
      <c r="WDA39" s="317"/>
      <c r="WDB39" s="317"/>
      <c r="WDC39" s="317"/>
      <c r="WDD39" s="317"/>
      <c r="WDE39" s="317"/>
      <c r="WDF39" s="317"/>
      <c r="WDG39" s="317"/>
      <c r="WDH39" s="317"/>
      <c r="WDI39" s="317"/>
      <c r="WDJ39" s="317"/>
      <c r="WDK39" s="317"/>
      <c r="WDL39" s="317"/>
      <c r="WDM39" s="317"/>
      <c r="WDN39" s="317"/>
      <c r="WDO39" s="317"/>
      <c r="WDP39" s="317"/>
      <c r="WDQ39" s="317"/>
      <c r="WDR39" s="317"/>
      <c r="WDS39" s="317"/>
      <c r="WDT39" s="317"/>
      <c r="WDU39" s="317"/>
      <c r="WDV39" s="317"/>
      <c r="WDW39" s="317"/>
      <c r="WDX39" s="317"/>
      <c r="WDY39" s="317"/>
      <c r="WDZ39" s="317"/>
      <c r="WEA39" s="317"/>
      <c r="WEB39" s="317"/>
      <c r="WEC39" s="317"/>
      <c r="WED39" s="317"/>
      <c r="WEE39" s="317"/>
      <c r="WEF39" s="317"/>
      <c r="WEG39" s="317"/>
      <c r="WEH39" s="317"/>
      <c r="WEI39" s="317"/>
      <c r="WEJ39" s="317"/>
      <c r="WEK39" s="317"/>
      <c r="WEL39" s="317"/>
      <c r="WEM39" s="317"/>
      <c r="WEN39" s="317"/>
      <c r="WEO39" s="317"/>
      <c r="WEP39" s="317"/>
      <c r="WEQ39" s="317"/>
      <c r="WER39" s="317"/>
      <c r="WES39" s="317"/>
      <c r="WET39" s="317"/>
      <c r="WEU39" s="317"/>
      <c r="WEV39" s="317"/>
      <c r="WEW39" s="317"/>
      <c r="WEX39" s="317"/>
      <c r="WEY39" s="317"/>
      <c r="WEZ39" s="317"/>
      <c r="WFA39" s="317"/>
      <c r="WFB39" s="317"/>
      <c r="WFC39" s="317"/>
      <c r="WFD39" s="317"/>
      <c r="WFE39" s="317"/>
      <c r="WFF39" s="317"/>
      <c r="WFG39" s="317"/>
      <c r="WFH39" s="317"/>
      <c r="WFI39" s="317"/>
      <c r="WFJ39" s="317"/>
      <c r="WFK39" s="317"/>
      <c r="WFL39" s="317"/>
      <c r="WFM39" s="317"/>
      <c r="WFN39" s="317"/>
      <c r="WFO39" s="317"/>
      <c r="WFP39" s="317"/>
      <c r="WFQ39" s="317"/>
      <c r="WFR39" s="317"/>
      <c r="WFS39" s="317"/>
      <c r="WFT39" s="317"/>
      <c r="WFU39" s="317"/>
      <c r="WFV39" s="317"/>
      <c r="WFW39" s="317"/>
      <c r="WFX39" s="317"/>
      <c r="WFY39" s="317"/>
      <c r="WFZ39" s="317"/>
      <c r="WGA39" s="317"/>
      <c r="WGB39" s="317"/>
      <c r="WGC39" s="317"/>
      <c r="WGD39" s="317"/>
      <c r="WGE39" s="317"/>
      <c r="WGF39" s="317"/>
      <c r="WGG39" s="317"/>
      <c r="WGH39" s="317"/>
      <c r="WGI39" s="317"/>
      <c r="WGJ39" s="317"/>
      <c r="WGK39" s="317"/>
      <c r="WGL39" s="317"/>
      <c r="WGM39" s="317"/>
      <c r="WGN39" s="317"/>
      <c r="WGO39" s="317"/>
      <c r="WGP39" s="317"/>
      <c r="WGQ39" s="317"/>
      <c r="WGR39" s="317"/>
      <c r="WGS39" s="317"/>
      <c r="WGT39" s="317"/>
      <c r="WGU39" s="317"/>
      <c r="WGV39" s="317"/>
      <c r="WGW39" s="317"/>
      <c r="WGX39" s="317"/>
      <c r="WGY39" s="317"/>
      <c r="WGZ39" s="317"/>
      <c r="WHA39" s="317"/>
      <c r="WHB39" s="317"/>
      <c r="WHC39" s="317"/>
      <c r="WHD39" s="317"/>
      <c r="WHE39" s="317"/>
      <c r="WHF39" s="317"/>
      <c r="WHG39" s="317"/>
      <c r="WHH39" s="317"/>
      <c r="WHI39" s="317"/>
      <c r="WHJ39" s="317"/>
      <c r="WHK39" s="317"/>
      <c r="WHL39" s="317"/>
      <c r="WHM39" s="317"/>
      <c r="WHN39" s="317"/>
      <c r="WHO39" s="317"/>
      <c r="WHP39" s="317"/>
      <c r="WHQ39" s="317"/>
      <c r="WHR39" s="317"/>
      <c r="WHS39" s="317"/>
      <c r="WHT39" s="317"/>
      <c r="WHU39" s="317"/>
      <c r="WHV39" s="317"/>
      <c r="WHW39" s="317"/>
      <c r="WHX39" s="317"/>
      <c r="WHY39" s="317"/>
      <c r="WHZ39" s="317"/>
      <c r="WIA39" s="317"/>
      <c r="WIB39" s="317"/>
      <c r="WIC39" s="317"/>
      <c r="WID39" s="317"/>
      <c r="WIE39" s="317"/>
      <c r="WIF39" s="317"/>
      <c r="WIG39" s="317"/>
      <c r="WIH39" s="317"/>
      <c r="WII39" s="317"/>
      <c r="WIJ39" s="317"/>
      <c r="WIK39" s="317"/>
      <c r="WIL39" s="317"/>
      <c r="WIM39" s="317"/>
      <c r="WIN39" s="317"/>
      <c r="WIO39" s="317"/>
      <c r="WIP39" s="317"/>
      <c r="WIQ39" s="317"/>
      <c r="WIR39" s="317"/>
      <c r="WIS39" s="317"/>
      <c r="WIT39" s="317"/>
      <c r="WIU39" s="317"/>
      <c r="WIV39" s="317"/>
      <c r="WIW39" s="317"/>
      <c r="WIX39" s="317"/>
      <c r="WIY39" s="317"/>
      <c r="WIZ39" s="317"/>
      <c r="WJA39" s="317"/>
      <c r="WJB39" s="317"/>
      <c r="WJC39" s="317"/>
      <c r="WJD39" s="317"/>
      <c r="WJE39" s="317"/>
      <c r="WJF39" s="317"/>
      <c r="WJG39" s="317"/>
      <c r="WJH39" s="317"/>
      <c r="WJI39" s="317"/>
      <c r="WJJ39" s="317"/>
      <c r="WJK39" s="317"/>
      <c r="WJL39" s="317"/>
      <c r="WJM39" s="317"/>
      <c r="WJN39" s="317"/>
      <c r="WJO39" s="317"/>
      <c r="WJP39" s="317"/>
      <c r="WJQ39" s="317"/>
      <c r="WJR39" s="317"/>
      <c r="WJS39" s="317"/>
      <c r="WJT39" s="317"/>
      <c r="WJU39" s="317"/>
      <c r="WJV39" s="317"/>
      <c r="WJW39" s="317"/>
      <c r="WJX39" s="317"/>
      <c r="WJY39" s="317"/>
      <c r="WJZ39" s="317"/>
      <c r="WKA39" s="317"/>
      <c r="WKB39" s="317"/>
      <c r="WKC39" s="317"/>
      <c r="WKD39" s="317"/>
      <c r="WKE39" s="317"/>
      <c r="WKF39" s="317"/>
      <c r="WKG39" s="317"/>
      <c r="WKH39" s="317"/>
      <c r="WKI39" s="317"/>
      <c r="WKJ39" s="317"/>
      <c r="WKK39" s="317"/>
      <c r="WKL39" s="317"/>
      <c r="WKM39" s="317"/>
      <c r="WKN39" s="317"/>
      <c r="WKO39" s="317"/>
      <c r="WKP39" s="317"/>
      <c r="WKQ39" s="317"/>
      <c r="WKR39" s="317"/>
      <c r="WKS39" s="317"/>
      <c r="WKT39" s="317"/>
      <c r="WKU39" s="317"/>
      <c r="WKV39" s="317"/>
      <c r="WKW39" s="317"/>
      <c r="WKX39" s="317"/>
      <c r="WKY39" s="317"/>
      <c r="WKZ39" s="317"/>
      <c r="WLA39" s="317"/>
      <c r="WLB39" s="317"/>
      <c r="WLC39" s="317"/>
      <c r="WLD39" s="317"/>
      <c r="WLE39" s="317"/>
      <c r="WLF39" s="317"/>
      <c r="WLG39" s="317"/>
      <c r="WLH39" s="317"/>
      <c r="WLI39" s="317"/>
      <c r="WLJ39" s="317"/>
      <c r="WLK39" s="317"/>
      <c r="WLL39" s="317"/>
      <c r="WLM39" s="317"/>
      <c r="WLN39" s="317"/>
      <c r="WLO39" s="317"/>
      <c r="WLP39" s="317"/>
      <c r="WLQ39" s="317"/>
      <c r="WLR39" s="317"/>
      <c r="WLS39" s="317"/>
      <c r="WLT39" s="317"/>
      <c r="WLU39" s="317"/>
      <c r="WLV39" s="317"/>
      <c r="WLW39" s="317"/>
      <c r="WLX39" s="317"/>
      <c r="WLY39" s="317"/>
      <c r="WLZ39" s="317"/>
      <c r="WMA39" s="317"/>
      <c r="WMB39" s="317"/>
      <c r="WMC39" s="317"/>
      <c r="WMD39" s="317"/>
      <c r="WME39" s="317"/>
      <c r="WMF39" s="317"/>
      <c r="WMG39" s="317"/>
      <c r="WMH39" s="317"/>
      <c r="WMI39" s="317"/>
      <c r="WMJ39" s="317"/>
      <c r="WMK39" s="317"/>
      <c r="WML39" s="317"/>
      <c r="WMM39" s="317"/>
      <c r="WMN39" s="317"/>
      <c r="WMO39" s="317"/>
      <c r="WMP39" s="317"/>
      <c r="WMQ39" s="317"/>
      <c r="WMR39" s="317"/>
      <c r="WMS39" s="317"/>
      <c r="WMT39" s="317"/>
      <c r="WMU39" s="317"/>
      <c r="WMV39" s="317"/>
      <c r="WMW39" s="317"/>
      <c r="WMX39" s="317"/>
      <c r="WMY39" s="317"/>
      <c r="WMZ39" s="317"/>
      <c r="WNA39" s="317"/>
      <c r="WNB39" s="317"/>
      <c r="WNC39" s="317"/>
      <c r="WND39" s="317"/>
      <c r="WNE39" s="317"/>
      <c r="WNF39" s="317"/>
      <c r="WNG39" s="317"/>
      <c r="WNH39" s="317"/>
      <c r="WNI39" s="317"/>
      <c r="WNJ39" s="317"/>
      <c r="WNK39" s="317"/>
      <c r="WNL39" s="317"/>
      <c r="WNM39" s="317"/>
      <c r="WNN39" s="317"/>
      <c r="WNO39" s="317"/>
      <c r="WNP39" s="317"/>
      <c r="WNQ39" s="317"/>
      <c r="WNR39" s="317"/>
      <c r="WNS39" s="317"/>
      <c r="WNT39" s="317"/>
      <c r="WNU39" s="317"/>
      <c r="WNV39" s="317"/>
      <c r="WNW39" s="317"/>
      <c r="WNX39" s="317"/>
      <c r="WNY39" s="317"/>
      <c r="WNZ39" s="317"/>
      <c r="WOA39" s="317"/>
      <c r="WOB39" s="317"/>
      <c r="WOC39" s="317"/>
      <c r="WOD39" s="317"/>
      <c r="WOE39" s="317"/>
      <c r="WOF39" s="317"/>
      <c r="WOG39" s="317"/>
      <c r="WOH39" s="317"/>
      <c r="WOI39" s="317"/>
      <c r="WOJ39" s="317"/>
      <c r="WOK39" s="317"/>
      <c r="WOL39" s="317"/>
      <c r="WOM39" s="317"/>
      <c r="WON39" s="317"/>
      <c r="WOO39" s="317"/>
      <c r="WOP39" s="317"/>
      <c r="WOQ39" s="317"/>
      <c r="WOR39" s="317"/>
      <c r="WOS39" s="317"/>
      <c r="WOT39" s="317"/>
      <c r="WOU39" s="317"/>
      <c r="WOV39" s="317"/>
      <c r="WOW39" s="317"/>
      <c r="WOX39" s="317"/>
      <c r="WOY39" s="317"/>
      <c r="WOZ39" s="317"/>
      <c r="WPA39" s="317"/>
      <c r="WPB39" s="317"/>
      <c r="WPC39" s="317"/>
      <c r="WPD39" s="317"/>
      <c r="WPE39" s="317"/>
      <c r="WPF39" s="317"/>
      <c r="WPG39" s="317"/>
      <c r="WPH39" s="317"/>
      <c r="WPI39" s="317"/>
      <c r="WPJ39" s="317"/>
      <c r="WPK39" s="317"/>
      <c r="WPL39" s="317"/>
      <c r="WPM39" s="317"/>
      <c r="WPN39" s="317"/>
      <c r="WPO39" s="317"/>
      <c r="WPP39" s="317"/>
      <c r="WPQ39" s="317"/>
      <c r="WPR39" s="317"/>
      <c r="WPS39" s="317"/>
      <c r="WPT39" s="317"/>
      <c r="WPU39" s="317"/>
      <c r="WPV39" s="317"/>
      <c r="WPW39" s="317"/>
      <c r="WPX39" s="317"/>
      <c r="WPY39" s="317"/>
      <c r="WPZ39" s="317"/>
      <c r="WQA39" s="317"/>
      <c r="WQB39" s="317"/>
      <c r="WQC39" s="317"/>
      <c r="WQD39" s="317"/>
      <c r="WQE39" s="317"/>
      <c r="WQF39" s="317"/>
      <c r="WQG39" s="317"/>
      <c r="WQH39" s="317"/>
      <c r="WQI39" s="317"/>
      <c r="WQJ39" s="317"/>
      <c r="WQK39" s="317"/>
      <c r="WQL39" s="317"/>
      <c r="WQM39" s="317"/>
      <c r="WQN39" s="317"/>
      <c r="WQO39" s="317"/>
      <c r="WQP39" s="317"/>
      <c r="WQQ39" s="317"/>
      <c r="WQR39" s="317"/>
      <c r="WQS39" s="317"/>
      <c r="WQT39" s="317"/>
      <c r="WQU39" s="317"/>
      <c r="WQV39" s="317"/>
      <c r="WQW39" s="317"/>
      <c r="WQX39" s="317"/>
      <c r="WQY39" s="317"/>
      <c r="WQZ39" s="317"/>
      <c r="WRA39" s="317"/>
      <c r="WRB39" s="317"/>
      <c r="WRC39" s="317"/>
      <c r="WRD39" s="317"/>
      <c r="WRE39" s="317"/>
      <c r="WRF39" s="317"/>
      <c r="WRG39" s="317"/>
      <c r="WRH39" s="317"/>
      <c r="WRI39" s="317"/>
      <c r="WRJ39" s="317"/>
      <c r="WRK39" s="317"/>
      <c r="WRL39" s="317"/>
      <c r="WRM39" s="317"/>
      <c r="WRN39" s="317"/>
      <c r="WRO39" s="317"/>
      <c r="WRP39" s="317"/>
      <c r="WRQ39" s="317"/>
      <c r="WRR39" s="317"/>
      <c r="WRS39" s="317"/>
      <c r="WRT39" s="317"/>
      <c r="WRU39" s="317"/>
      <c r="WRV39" s="317"/>
      <c r="WRW39" s="317"/>
      <c r="WRX39" s="317"/>
      <c r="WRY39" s="317"/>
      <c r="WRZ39" s="317"/>
      <c r="WSA39" s="317"/>
      <c r="WSB39" s="317"/>
      <c r="WSC39" s="317"/>
      <c r="WSD39" s="317"/>
      <c r="WSE39" s="317"/>
      <c r="WSF39" s="317"/>
      <c r="WSG39" s="317"/>
      <c r="WSH39" s="317"/>
      <c r="WSI39" s="317"/>
      <c r="WSJ39" s="317"/>
      <c r="WSK39" s="317"/>
      <c r="WSL39" s="317"/>
      <c r="WSM39" s="317"/>
      <c r="WSN39" s="317"/>
      <c r="WSO39" s="317"/>
      <c r="WSP39" s="317"/>
      <c r="WSQ39" s="317"/>
      <c r="WSR39" s="317"/>
      <c r="WSS39" s="317"/>
      <c r="WST39" s="317"/>
      <c r="WSU39" s="317"/>
      <c r="WSV39" s="317"/>
      <c r="WSW39" s="317"/>
      <c r="WSX39" s="317"/>
      <c r="WSY39" s="317"/>
      <c r="WSZ39" s="317"/>
      <c r="WTA39" s="317"/>
      <c r="WTB39" s="317"/>
      <c r="WTC39" s="317"/>
      <c r="WTD39" s="317"/>
      <c r="WTE39" s="317"/>
      <c r="WTF39" s="317"/>
      <c r="WTG39" s="317"/>
      <c r="WTH39" s="317"/>
      <c r="WTI39" s="317"/>
      <c r="WTJ39" s="317"/>
      <c r="WTK39" s="317"/>
      <c r="WTL39" s="317"/>
      <c r="WTM39" s="317"/>
      <c r="WTN39" s="317"/>
      <c r="WTO39" s="317"/>
      <c r="WTP39" s="317"/>
      <c r="WTQ39" s="317"/>
      <c r="WTR39" s="317"/>
      <c r="WTS39" s="317"/>
      <c r="WTT39" s="317"/>
      <c r="WTU39" s="317"/>
      <c r="WTV39" s="317"/>
      <c r="WTW39" s="317"/>
      <c r="WTX39" s="317"/>
      <c r="WTY39" s="317"/>
      <c r="WTZ39" s="317"/>
      <c r="WUA39" s="317"/>
      <c r="WUB39" s="317"/>
      <c r="WUC39" s="317"/>
      <c r="WUD39" s="317"/>
      <c r="WUE39" s="317"/>
      <c r="WUF39" s="317"/>
      <c r="WUG39" s="317"/>
      <c r="WUH39" s="317"/>
      <c r="WUI39" s="317"/>
      <c r="WUJ39" s="317"/>
      <c r="WUK39" s="317"/>
      <c r="WUL39" s="317"/>
      <c r="WUM39" s="317"/>
      <c r="WUN39" s="317"/>
      <c r="WUO39" s="317"/>
      <c r="WUP39" s="317"/>
      <c r="WUQ39" s="317"/>
      <c r="WUR39" s="317"/>
      <c r="WUS39" s="317"/>
      <c r="WUT39" s="317"/>
      <c r="WUU39" s="317"/>
      <c r="WUV39" s="317"/>
      <c r="WUW39" s="317"/>
      <c r="WUX39" s="317"/>
      <c r="WUY39" s="317"/>
      <c r="WUZ39" s="317"/>
      <c r="WVA39" s="317"/>
      <c r="WVB39" s="317"/>
      <c r="WVC39" s="317"/>
      <c r="WVD39" s="317"/>
      <c r="WVE39" s="317"/>
      <c r="WVF39" s="317"/>
      <c r="WVG39" s="317"/>
      <c r="WVH39" s="317"/>
      <c r="WVI39" s="317"/>
      <c r="WVJ39" s="317"/>
      <c r="WVK39" s="317"/>
      <c r="WVL39" s="317"/>
      <c r="WVM39" s="317"/>
      <c r="WVN39" s="317"/>
      <c r="WVO39" s="317"/>
      <c r="WVP39" s="317"/>
      <c r="WVQ39" s="317"/>
      <c r="WVR39" s="317"/>
      <c r="WVS39" s="317"/>
      <c r="WVT39" s="317"/>
      <c r="WVU39" s="317"/>
      <c r="WVV39" s="317"/>
      <c r="WVW39" s="317"/>
      <c r="WVX39" s="317"/>
      <c r="WVY39" s="317"/>
      <c r="WVZ39" s="317"/>
      <c r="WWA39" s="317"/>
      <c r="WWB39" s="317"/>
      <c r="WWC39" s="317"/>
      <c r="WWD39" s="317"/>
      <c r="WWE39" s="317"/>
      <c r="WWF39" s="317"/>
      <c r="WWG39" s="317"/>
      <c r="WWH39" s="317"/>
      <c r="WWI39" s="317"/>
      <c r="WWJ39" s="317"/>
      <c r="WWK39" s="317"/>
      <c r="WWL39" s="317"/>
      <c r="WWM39" s="317"/>
      <c r="WWN39" s="317"/>
      <c r="WWO39" s="317"/>
      <c r="WWP39" s="317"/>
      <c r="WWQ39" s="317"/>
      <c r="WWR39" s="317"/>
      <c r="WWS39" s="317"/>
      <c r="WWT39" s="317"/>
      <c r="WWU39" s="317"/>
      <c r="WWV39" s="317"/>
      <c r="WWW39" s="317"/>
      <c r="WWX39" s="317"/>
      <c r="WWY39" s="317"/>
      <c r="WWZ39" s="317"/>
      <c r="WXA39" s="317"/>
      <c r="WXB39" s="317"/>
      <c r="WXC39" s="317"/>
      <c r="WXD39" s="317"/>
      <c r="WXE39" s="317"/>
      <c r="WXF39" s="317"/>
      <c r="WXG39" s="317"/>
      <c r="WXH39" s="317"/>
      <c r="WXI39" s="317"/>
      <c r="WXJ39" s="317"/>
      <c r="WXK39" s="317"/>
      <c r="WXL39" s="317"/>
      <c r="WXM39" s="317"/>
      <c r="WXN39" s="317"/>
      <c r="WXO39" s="317"/>
      <c r="WXP39" s="317"/>
      <c r="WXQ39" s="317"/>
      <c r="WXR39" s="317"/>
      <c r="WXS39" s="317"/>
      <c r="WXT39" s="317"/>
      <c r="WXU39" s="317"/>
      <c r="WXV39" s="317"/>
      <c r="WXW39" s="317"/>
      <c r="WXX39" s="317"/>
      <c r="WXY39" s="317"/>
      <c r="WXZ39" s="317"/>
      <c r="WYA39" s="317"/>
      <c r="WYB39" s="317"/>
      <c r="WYC39" s="317"/>
      <c r="WYD39" s="317"/>
      <c r="WYE39" s="317"/>
      <c r="WYF39" s="317"/>
      <c r="WYG39" s="317"/>
      <c r="WYH39" s="317"/>
      <c r="WYI39" s="317"/>
      <c r="WYJ39" s="317"/>
      <c r="WYK39" s="317"/>
      <c r="WYL39" s="317"/>
      <c r="WYM39" s="317"/>
      <c r="WYN39" s="317"/>
      <c r="WYO39" s="317"/>
      <c r="WYP39" s="317"/>
      <c r="WYQ39" s="317"/>
      <c r="WYR39" s="317"/>
      <c r="WYS39" s="317"/>
      <c r="WYT39" s="317"/>
      <c r="WYU39" s="317"/>
      <c r="WYV39" s="317"/>
      <c r="WYW39" s="317"/>
      <c r="WYX39" s="317"/>
      <c r="WYY39" s="317"/>
      <c r="WYZ39" s="317"/>
      <c r="WZA39" s="317"/>
      <c r="WZB39" s="317"/>
      <c r="WZC39" s="317"/>
      <c r="WZD39" s="317"/>
      <c r="WZE39" s="317"/>
      <c r="WZF39" s="317"/>
      <c r="WZG39" s="317"/>
      <c r="WZH39" s="317"/>
      <c r="WZI39" s="317"/>
      <c r="WZJ39" s="317"/>
      <c r="WZK39" s="317"/>
      <c r="WZL39" s="317"/>
      <c r="WZM39" s="317"/>
      <c r="WZN39" s="317"/>
      <c r="WZO39" s="317"/>
      <c r="WZP39" s="317"/>
      <c r="WZQ39" s="317"/>
      <c r="WZR39" s="317"/>
      <c r="WZS39" s="317"/>
      <c r="WZT39" s="317"/>
      <c r="WZU39" s="317"/>
      <c r="WZV39" s="317"/>
      <c r="WZW39" s="317"/>
      <c r="WZX39" s="317"/>
      <c r="WZY39" s="317"/>
      <c r="WZZ39" s="317"/>
      <c r="XAA39" s="317"/>
      <c r="XAB39" s="317"/>
      <c r="XAC39" s="317"/>
      <c r="XAD39" s="317"/>
      <c r="XAE39" s="317"/>
      <c r="XAF39" s="317"/>
      <c r="XAG39" s="317"/>
      <c r="XAH39" s="317"/>
      <c r="XAI39" s="317"/>
      <c r="XAJ39" s="317"/>
      <c r="XAK39" s="317"/>
      <c r="XAL39" s="317"/>
      <c r="XAM39" s="317"/>
      <c r="XAN39" s="317"/>
      <c r="XAO39" s="317"/>
      <c r="XAP39" s="317"/>
      <c r="XAQ39" s="317"/>
      <c r="XAR39" s="317"/>
      <c r="XAS39" s="317"/>
      <c r="XAT39" s="317"/>
      <c r="XAU39" s="317"/>
      <c r="XAV39" s="317"/>
      <c r="XAW39" s="317"/>
      <c r="XAX39" s="317"/>
      <c r="XAY39" s="317"/>
      <c r="XAZ39" s="317"/>
      <c r="XBA39" s="317"/>
      <c r="XBB39" s="317"/>
      <c r="XBC39" s="317"/>
      <c r="XBD39" s="317"/>
      <c r="XBE39" s="317"/>
      <c r="XBF39" s="317"/>
      <c r="XBG39" s="317"/>
      <c r="XBH39" s="317"/>
      <c r="XBI39" s="317"/>
      <c r="XBJ39" s="317"/>
      <c r="XBK39" s="317"/>
      <c r="XBL39" s="317"/>
      <c r="XBM39" s="317"/>
      <c r="XBN39" s="317"/>
      <c r="XBO39" s="317"/>
      <c r="XBP39" s="317"/>
      <c r="XBQ39" s="317"/>
      <c r="XBR39" s="317"/>
      <c r="XBS39" s="317"/>
      <c r="XBT39" s="317"/>
      <c r="XBU39" s="317"/>
      <c r="XBV39" s="317"/>
      <c r="XBW39" s="317"/>
      <c r="XBX39" s="317"/>
      <c r="XBY39" s="317"/>
      <c r="XBZ39" s="317"/>
      <c r="XCA39" s="317"/>
      <c r="XCB39" s="317"/>
      <c r="XCC39" s="317"/>
      <c r="XCD39" s="317"/>
      <c r="XCE39" s="317"/>
      <c r="XCF39" s="317"/>
      <c r="XCG39" s="317"/>
      <c r="XCH39" s="317"/>
      <c r="XCI39" s="317"/>
      <c r="XCJ39" s="317"/>
      <c r="XCK39" s="317"/>
      <c r="XCL39" s="317"/>
      <c r="XCM39" s="317"/>
      <c r="XCN39" s="317"/>
      <c r="XCO39" s="317"/>
      <c r="XCP39" s="317"/>
      <c r="XCQ39" s="317"/>
      <c r="XCR39" s="317"/>
      <c r="XCS39" s="317"/>
      <c r="XCT39" s="317"/>
      <c r="XCU39" s="317"/>
      <c r="XCV39" s="317"/>
      <c r="XCW39" s="317"/>
      <c r="XCX39" s="317"/>
      <c r="XCY39" s="317"/>
      <c r="XCZ39" s="317"/>
      <c r="XDA39" s="317"/>
      <c r="XDB39" s="317"/>
      <c r="XDC39" s="317"/>
      <c r="XDD39" s="317"/>
      <c r="XDE39" s="317"/>
      <c r="XDF39" s="317"/>
      <c r="XDG39" s="317"/>
      <c r="XDH39" s="317"/>
      <c r="XDI39" s="317"/>
      <c r="XDJ39" s="317"/>
      <c r="XDK39" s="317"/>
      <c r="XDL39" s="317"/>
      <c r="XDM39" s="317"/>
      <c r="XDN39" s="317"/>
      <c r="XDO39" s="317"/>
      <c r="XDP39" s="317"/>
      <c r="XDQ39" s="317"/>
      <c r="XDR39" s="317"/>
      <c r="XDS39" s="317"/>
      <c r="XDT39" s="317"/>
      <c r="XDU39" s="317"/>
      <c r="XDV39" s="317"/>
      <c r="XDW39" s="317"/>
      <c r="XDX39" s="317"/>
      <c r="XDY39" s="317"/>
      <c r="XDZ39" s="317"/>
      <c r="XEA39" s="317"/>
      <c r="XEB39" s="317"/>
      <c r="XEC39" s="317"/>
      <c r="XED39" s="317"/>
      <c r="XEE39" s="317"/>
      <c r="XEF39" s="317"/>
      <c r="XEG39" s="317"/>
      <c r="XEH39" s="317"/>
      <c r="XEI39" s="317"/>
      <c r="XEJ39" s="317"/>
      <c r="XEK39" s="317"/>
      <c r="XEL39" s="317"/>
      <c r="XEM39" s="317"/>
      <c r="XEN39" s="317"/>
      <c r="XEO39" s="317"/>
      <c r="XEP39" s="317"/>
    </row>
    <row r="40" ht="22.5" customHeight="1" spans="1:17">
      <c r="A40" s="326">
        <v>38</v>
      </c>
      <c r="B40" s="326" t="s">
        <v>51</v>
      </c>
      <c r="C40" s="327">
        <f>SUM('Individual BD'!C40:N40)-'Individual BD'!K40-'Individual BD'!M40-'Individual BD'!N40</f>
        <v>0</v>
      </c>
      <c r="D40" s="327">
        <f>IF('CGS BD CAL'!M40&lt;20,0,'CGS BD CAL'!M40)</f>
        <v>0</v>
      </c>
      <c r="E40" s="327">
        <f>SUM('Individual BD'!K40+'Individual BD'!M40+'Individual BD'!N40)</f>
        <v>0</v>
      </c>
      <c r="F40" s="328">
        <v>0</v>
      </c>
      <c r="G40" s="329">
        <v>0</v>
      </c>
      <c r="H40" s="327">
        <v>0</v>
      </c>
      <c r="I40" s="334">
        <f>'SCADA Grid'!D41</f>
        <v>-323.5</v>
      </c>
      <c r="J40" s="335">
        <f>'SCADA Grid'!C41</f>
        <v>50.09</v>
      </c>
      <c r="K40" s="336">
        <f>IEX!G48</f>
        <v>1618.23</v>
      </c>
      <c r="L40" s="337">
        <v>6.82825</v>
      </c>
      <c r="M40" s="338">
        <f>RTM!G49</f>
        <v>91.79</v>
      </c>
      <c r="N40" s="337">
        <v>6.9998</v>
      </c>
      <c r="O40" s="339">
        <f t="shared" si="3"/>
        <v>0</v>
      </c>
      <c r="P40" s="339">
        <f t="shared" si="4"/>
        <v>0</v>
      </c>
      <c r="Q40" s="339">
        <f t="shared" si="5"/>
        <v>0</v>
      </c>
    </row>
    <row r="41" ht="22.5" customHeight="1" spans="1:17">
      <c r="A41" s="326">
        <v>39</v>
      </c>
      <c r="B41" s="326" t="s">
        <v>52</v>
      </c>
      <c r="C41" s="327">
        <f>SUM('Individual BD'!C41:N41)-'Individual BD'!K41-'Individual BD'!M41-'Individual BD'!N41</f>
        <v>78.6</v>
      </c>
      <c r="D41" s="327">
        <f>IF('CGS BD CAL'!M41&lt;20,0,'CGS BD CAL'!M41)</f>
        <v>0</v>
      </c>
      <c r="E41" s="327">
        <f>SUM('Individual BD'!K41+'Individual BD'!M41+'Individual BD'!N41)</f>
        <v>0</v>
      </c>
      <c r="F41" s="328">
        <v>0</v>
      </c>
      <c r="G41" s="329">
        <v>0</v>
      </c>
      <c r="H41" s="327">
        <v>0</v>
      </c>
      <c r="I41" s="334">
        <f>'SCADA Grid'!D42</f>
        <v>-647.5</v>
      </c>
      <c r="J41" s="335">
        <f>'SCADA Grid'!C42</f>
        <v>50.08</v>
      </c>
      <c r="K41" s="336">
        <f>IEX!G49</f>
        <v>1427.85</v>
      </c>
      <c r="L41" s="337">
        <v>6.70005</v>
      </c>
      <c r="M41" s="338">
        <f>RTM!G50</f>
        <v>190.38</v>
      </c>
      <c r="N41" s="337">
        <v>6.4993</v>
      </c>
      <c r="O41" s="339">
        <f t="shared" si="3"/>
        <v>1</v>
      </c>
      <c r="P41" s="339">
        <f t="shared" si="4"/>
        <v>0</v>
      </c>
      <c r="Q41" s="339">
        <f t="shared" si="5"/>
        <v>0</v>
      </c>
    </row>
    <row r="42" ht="22.5" customHeight="1" spans="1:17">
      <c r="A42" s="326">
        <v>40</v>
      </c>
      <c r="B42" s="326" t="s">
        <v>53</v>
      </c>
      <c r="C42" s="327">
        <f>SUM('Individual BD'!C42:N42)-'Individual BD'!K42-'Individual BD'!M42-'Individual BD'!N42</f>
        <v>256.07</v>
      </c>
      <c r="D42" s="327">
        <f>IF('CGS BD CAL'!M42&lt;20,0,'CGS BD CAL'!M42)</f>
        <v>0</v>
      </c>
      <c r="E42" s="327">
        <f>SUM('Individual BD'!K42+'Individual BD'!M42+'Individual BD'!N42)</f>
        <v>0</v>
      </c>
      <c r="F42" s="328">
        <v>0</v>
      </c>
      <c r="G42" s="329">
        <v>0</v>
      </c>
      <c r="H42" s="327">
        <v>0</v>
      </c>
      <c r="I42" s="334">
        <f>'SCADA Grid'!D43</f>
        <v>-499.9</v>
      </c>
      <c r="J42" s="335">
        <f>'SCADA Grid'!C43</f>
        <v>50.03</v>
      </c>
      <c r="K42" s="336">
        <f>IEX!G50</f>
        <v>1237.47</v>
      </c>
      <c r="L42" s="337">
        <v>6.7001</v>
      </c>
      <c r="M42" s="338">
        <f>RTM!G51</f>
        <v>95.18</v>
      </c>
      <c r="N42" s="337">
        <v>5.09935</v>
      </c>
      <c r="O42" s="339">
        <f t="shared" si="3"/>
        <v>1</v>
      </c>
      <c r="P42" s="339">
        <f t="shared" si="4"/>
        <v>0</v>
      </c>
      <c r="Q42" s="339">
        <f t="shared" si="5"/>
        <v>0</v>
      </c>
    </row>
    <row r="43" ht="22.5" customHeight="1" spans="1:17">
      <c r="A43" s="326">
        <v>41</v>
      </c>
      <c r="B43" s="326" t="s">
        <v>54</v>
      </c>
      <c r="C43" s="327">
        <f>SUM('Individual BD'!C43:N43)-'Individual BD'!K43-'Individual BD'!M43-'Individual BD'!N43</f>
        <v>405.47</v>
      </c>
      <c r="D43" s="327">
        <f>IF('CGS BD CAL'!M43&lt;20,0,'CGS BD CAL'!M43)</f>
        <v>0</v>
      </c>
      <c r="E43" s="327">
        <f>SUM('Individual BD'!K43+'Individual BD'!M43+'Individual BD'!N43)</f>
        <v>0</v>
      </c>
      <c r="F43" s="328">
        <v>0</v>
      </c>
      <c r="G43" s="329">
        <v>0</v>
      </c>
      <c r="H43" s="327">
        <v>0</v>
      </c>
      <c r="I43" s="334">
        <f>'SCADA Grid'!D44</f>
        <v>-408.66</v>
      </c>
      <c r="J43" s="335">
        <f>'SCADA Grid'!C44</f>
        <v>49.93</v>
      </c>
      <c r="K43" s="336">
        <f>IEX!G51</f>
        <v>856.71</v>
      </c>
      <c r="L43" s="337">
        <v>5.50082</v>
      </c>
      <c r="M43" s="338">
        <f>RTM!G52</f>
        <v>0</v>
      </c>
      <c r="N43" s="337">
        <v>4.50033</v>
      </c>
      <c r="O43" s="339">
        <f t="shared" si="3"/>
        <v>1</v>
      </c>
      <c r="P43" s="339">
        <f t="shared" si="4"/>
        <v>0</v>
      </c>
      <c r="Q43" s="339">
        <f t="shared" si="5"/>
        <v>0</v>
      </c>
    </row>
    <row r="44" ht="22.5" customHeight="1" spans="1:17">
      <c r="A44" s="326">
        <v>42</v>
      </c>
      <c r="B44" s="326" t="s">
        <v>55</v>
      </c>
      <c r="C44" s="327">
        <f>SUM('Individual BD'!C44:N44)-'Individual BD'!K44-'Individual BD'!M44-'Individual BD'!N44</f>
        <v>504.09</v>
      </c>
      <c r="D44" s="327">
        <f>IF('CGS BD CAL'!M44&lt;20,0,'CGS BD CAL'!M44)</f>
        <v>0</v>
      </c>
      <c r="E44" s="327">
        <f>SUM('Individual BD'!K44+'Individual BD'!M44+'Individual BD'!N44)</f>
        <v>0</v>
      </c>
      <c r="F44" s="328">
        <v>0</v>
      </c>
      <c r="G44" s="329">
        <v>0</v>
      </c>
      <c r="H44" s="327">
        <v>0</v>
      </c>
      <c r="I44" s="334">
        <f>'SCADA Grid'!D45</f>
        <v>-499.63</v>
      </c>
      <c r="J44" s="335">
        <f>'SCADA Grid'!C45</f>
        <v>49.83</v>
      </c>
      <c r="K44" s="336">
        <f>IEX!G52</f>
        <v>666.33</v>
      </c>
      <c r="L44" s="337">
        <v>5.4708</v>
      </c>
      <c r="M44" s="338">
        <f>RTM!G53</f>
        <v>0</v>
      </c>
      <c r="N44" s="337">
        <v>4.45008</v>
      </c>
      <c r="O44" s="339">
        <f t="shared" si="3"/>
        <v>1</v>
      </c>
      <c r="P44" s="339">
        <f t="shared" si="4"/>
        <v>0</v>
      </c>
      <c r="Q44" s="339">
        <f t="shared" si="5"/>
        <v>0</v>
      </c>
    </row>
    <row r="45" ht="22.5" customHeight="1" spans="1:17">
      <c r="A45" s="326">
        <v>43</v>
      </c>
      <c r="B45" s="326" t="s">
        <v>56</v>
      </c>
      <c r="C45" s="327">
        <f>SUM('Individual BD'!C45:N45)-'Individual BD'!K45-'Individual BD'!M45-'Individual BD'!N45</f>
        <v>535.7</v>
      </c>
      <c r="D45" s="327">
        <f>IF('CGS BD CAL'!M45&lt;20,0,'CGS BD CAL'!M45)</f>
        <v>0</v>
      </c>
      <c r="E45" s="327">
        <f>SUM('Individual BD'!K45+'Individual BD'!M45+'Individual BD'!N45)</f>
        <v>0</v>
      </c>
      <c r="F45" s="328">
        <v>0</v>
      </c>
      <c r="G45" s="329">
        <v>0</v>
      </c>
      <c r="H45" s="327">
        <v>0</v>
      </c>
      <c r="I45" s="334">
        <f>'SCADA Grid'!D46</f>
        <v>-421.34</v>
      </c>
      <c r="J45" s="335">
        <f>'SCADA Grid'!C46</f>
        <v>49.76</v>
      </c>
      <c r="K45" s="336">
        <f>IEX!G53</f>
        <v>190.38</v>
      </c>
      <c r="L45" s="337">
        <v>4.50095</v>
      </c>
      <c r="M45" s="338">
        <f>RTM!G54</f>
        <v>0</v>
      </c>
      <c r="N45" s="337">
        <v>4.1502</v>
      </c>
      <c r="O45" s="339">
        <f t="shared" si="3"/>
        <v>1</v>
      </c>
      <c r="P45" s="339">
        <f t="shared" si="4"/>
        <v>0</v>
      </c>
      <c r="Q45" s="339">
        <f t="shared" si="5"/>
        <v>0</v>
      </c>
    </row>
    <row r="46" ht="22.5" customHeight="1" spans="1:17">
      <c r="A46" s="326">
        <v>44</v>
      </c>
      <c r="B46" s="326" t="s">
        <v>57</v>
      </c>
      <c r="C46" s="327">
        <f>SUM('Individual BD'!C46:N46)-'Individual BD'!K46-'Individual BD'!M46-'Individual BD'!N46</f>
        <v>579.43</v>
      </c>
      <c r="D46" s="327">
        <f>IF('CGS BD CAL'!M46&lt;20,0,'CGS BD CAL'!M46)</f>
        <v>0</v>
      </c>
      <c r="E46" s="327">
        <f>SUM('Individual BD'!K46+'Individual BD'!M46+'Individual BD'!N46)</f>
        <v>0</v>
      </c>
      <c r="F46" s="328">
        <v>0</v>
      </c>
      <c r="G46" s="329">
        <v>0</v>
      </c>
      <c r="H46" s="327">
        <v>0</v>
      </c>
      <c r="I46" s="334">
        <f>'SCADA Grid'!D47</f>
        <v>-421.06</v>
      </c>
      <c r="J46" s="335">
        <f>'SCADA Grid'!C47</f>
        <v>49.95</v>
      </c>
      <c r="K46" s="336">
        <f>IEX!G54</f>
        <v>0</v>
      </c>
      <c r="L46" s="337">
        <v>4.15555</v>
      </c>
      <c r="M46" s="338">
        <f>RTM!G55</f>
        <v>0</v>
      </c>
      <c r="N46" s="337">
        <v>3.85393</v>
      </c>
      <c r="O46" s="339">
        <f t="shared" si="3"/>
        <v>0</v>
      </c>
      <c r="P46" s="339">
        <f t="shared" si="4"/>
        <v>0</v>
      </c>
      <c r="Q46" s="339">
        <f t="shared" si="5"/>
        <v>0</v>
      </c>
    </row>
    <row r="47" ht="22.5" customHeight="1" spans="1:17">
      <c r="A47" s="326">
        <v>45</v>
      </c>
      <c r="B47" s="326" t="s">
        <v>58</v>
      </c>
      <c r="C47" s="327">
        <f>SUM('Individual BD'!C47:N47)-'Individual BD'!K47-'Individual BD'!M47-'Individual BD'!N47</f>
        <v>749.43</v>
      </c>
      <c r="D47" s="327">
        <f>IF('CGS BD CAL'!M47&lt;20,0,'CGS BD CAL'!M47)</f>
        <v>151.223778</v>
      </c>
      <c r="E47" s="327">
        <f>SUM('Individual BD'!K47+'Individual BD'!M47+'Individual BD'!N47)</f>
        <v>0</v>
      </c>
      <c r="F47" s="328">
        <v>0</v>
      </c>
      <c r="G47" s="329">
        <v>0</v>
      </c>
      <c r="H47" s="327">
        <v>0</v>
      </c>
      <c r="I47" s="334">
        <f>'SCADA Grid'!D48</f>
        <v>-238.93</v>
      </c>
      <c r="J47" s="335">
        <f>'SCADA Grid'!C48</f>
        <v>49.99</v>
      </c>
      <c r="K47" s="336">
        <f>IEX!G55</f>
        <v>0</v>
      </c>
      <c r="L47" s="337">
        <v>3.87049</v>
      </c>
      <c r="M47" s="338">
        <f>RTM!G56</f>
        <v>0</v>
      </c>
      <c r="N47" s="337">
        <v>3.612</v>
      </c>
      <c r="O47" s="339">
        <f t="shared" si="3"/>
        <v>0</v>
      </c>
      <c r="P47" s="339">
        <f t="shared" si="4"/>
        <v>0</v>
      </c>
      <c r="Q47" s="339">
        <f t="shared" si="5"/>
        <v>0</v>
      </c>
    </row>
    <row r="48" ht="22.5" customHeight="1" spans="1:17">
      <c r="A48" s="326">
        <v>46</v>
      </c>
      <c r="B48" s="326" t="s">
        <v>59</v>
      </c>
      <c r="C48" s="327">
        <f>SUM('Individual BD'!C48:N48)-'Individual BD'!K48-'Individual BD'!M48-'Individual BD'!N48</f>
        <v>1001.89</v>
      </c>
      <c r="D48" s="327">
        <f>IF('CGS BD CAL'!M48&lt;20,0,'CGS BD CAL'!M48)</f>
        <v>227.403778</v>
      </c>
      <c r="E48" s="327">
        <f>SUM('Individual BD'!K48+'Individual BD'!M48+'Individual BD'!N48)</f>
        <v>0</v>
      </c>
      <c r="F48" s="328">
        <v>0</v>
      </c>
      <c r="G48" s="329">
        <v>0</v>
      </c>
      <c r="H48" s="327">
        <v>0</v>
      </c>
      <c r="I48" s="334">
        <f>'SCADA Grid'!D49</f>
        <v>-52.66</v>
      </c>
      <c r="J48" s="335">
        <f>'SCADA Grid'!C49</f>
        <v>49.97</v>
      </c>
      <c r="K48" s="336">
        <f>IEX!G56</f>
        <v>0</v>
      </c>
      <c r="L48" s="337">
        <v>3.80081</v>
      </c>
      <c r="M48" s="338">
        <f>RTM!G57</f>
        <v>0</v>
      </c>
      <c r="N48" s="337">
        <v>3.50078</v>
      </c>
      <c r="O48" s="339">
        <f t="shared" si="3"/>
        <v>0</v>
      </c>
      <c r="P48" s="339">
        <f t="shared" si="4"/>
        <v>0</v>
      </c>
      <c r="Q48" s="339">
        <f t="shared" si="5"/>
        <v>0</v>
      </c>
    </row>
    <row r="49" ht="22.5" customHeight="1" spans="1:17">
      <c r="A49" s="326">
        <v>47</v>
      </c>
      <c r="B49" s="326" t="s">
        <v>60</v>
      </c>
      <c r="C49" s="327">
        <f>SUM('Individual BD'!C49:N49)-'Individual BD'!K49-'Individual BD'!M49-'Individual BD'!N49</f>
        <v>1124.91</v>
      </c>
      <c r="D49" s="327">
        <f>IF('CGS BD CAL'!M49&lt;20,0,'CGS BD CAL'!M49)</f>
        <v>351.133778</v>
      </c>
      <c r="E49" s="327">
        <f>SUM('Individual BD'!K49+'Individual BD'!M49+'Individual BD'!N49)</f>
        <v>0</v>
      </c>
      <c r="F49" s="328">
        <v>0</v>
      </c>
      <c r="G49" s="329">
        <v>0</v>
      </c>
      <c r="H49" s="327">
        <v>0</v>
      </c>
      <c r="I49" s="334">
        <f>'SCADA Grid'!D50</f>
        <v>221.32</v>
      </c>
      <c r="J49" s="335">
        <f>'SCADA Grid'!C50</f>
        <v>49.99</v>
      </c>
      <c r="K49" s="336">
        <f>IEX!G57</f>
        <v>0</v>
      </c>
      <c r="L49" s="337">
        <v>3.55456</v>
      </c>
      <c r="M49" s="338">
        <f>RTM!G58</f>
        <v>0</v>
      </c>
      <c r="N49" s="337">
        <v>3.40061</v>
      </c>
      <c r="O49" s="339">
        <f t="shared" si="3"/>
        <v>0</v>
      </c>
      <c r="P49" s="339">
        <f t="shared" si="4"/>
        <v>0</v>
      </c>
      <c r="Q49" s="339">
        <f t="shared" si="5"/>
        <v>0</v>
      </c>
    </row>
    <row r="50" ht="22.5" customHeight="1" spans="1:17">
      <c r="A50" s="326">
        <v>48</v>
      </c>
      <c r="B50" s="326" t="s">
        <v>61</v>
      </c>
      <c r="C50" s="327">
        <f>SUM('Individual BD'!C50:N50)-'Individual BD'!K50-'Individual BD'!M50-'Individual BD'!N50</f>
        <v>1211.19</v>
      </c>
      <c r="D50" s="327">
        <f>IF('CGS BD CAL'!M50&lt;20,0,'CGS BD CAL'!M50)</f>
        <v>351.133778</v>
      </c>
      <c r="E50" s="327">
        <f>SUM('Individual BD'!K50+'Individual BD'!M50+'Individual BD'!N50)</f>
        <v>0</v>
      </c>
      <c r="F50" s="328">
        <v>0</v>
      </c>
      <c r="G50" s="329">
        <v>0</v>
      </c>
      <c r="H50" s="327">
        <v>0</v>
      </c>
      <c r="I50" s="334">
        <f>'SCADA Grid'!D51</f>
        <v>374.03</v>
      </c>
      <c r="J50" s="335">
        <f>'SCADA Grid'!C51</f>
        <v>50.03</v>
      </c>
      <c r="K50" s="336">
        <f>IEX!G58</f>
        <v>0</v>
      </c>
      <c r="L50" s="337">
        <v>3.40522</v>
      </c>
      <c r="M50" s="338">
        <f>RTM!G59</f>
        <v>0</v>
      </c>
      <c r="N50" s="337">
        <v>3.32218</v>
      </c>
      <c r="O50" s="339">
        <f t="shared" si="3"/>
        <v>0</v>
      </c>
      <c r="P50" s="339">
        <f t="shared" si="4"/>
        <v>0</v>
      </c>
      <c r="Q50" s="339">
        <f t="shared" si="5"/>
        <v>0</v>
      </c>
    </row>
    <row r="51" ht="22.5" customHeight="1" spans="1:17">
      <c r="A51" s="326">
        <v>49</v>
      </c>
      <c r="B51" s="326" t="s">
        <v>62</v>
      </c>
      <c r="C51" s="327">
        <f>SUM('Individual BD'!C51:N51)-'Individual BD'!K51-'Individual BD'!M51-'Individual BD'!N51</f>
        <v>608.54</v>
      </c>
      <c r="D51" s="327">
        <f>IF('CGS BD CAL'!M51&lt;20,0,'CGS BD CAL'!M51)</f>
        <v>351.133778</v>
      </c>
      <c r="E51" s="327">
        <f>SUM('Individual BD'!K51+'Individual BD'!M51+'Individual BD'!N51)</f>
        <v>0</v>
      </c>
      <c r="F51" s="328">
        <v>0</v>
      </c>
      <c r="G51" s="329">
        <v>0</v>
      </c>
      <c r="H51" s="327">
        <v>0</v>
      </c>
      <c r="I51" s="334">
        <f>'SCADA Grid'!D52</f>
        <v>339.61</v>
      </c>
      <c r="J51" s="335">
        <f>'SCADA Grid'!C52</f>
        <v>50.04</v>
      </c>
      <c r="K51" s="336">
        <f>IEX!G59</f>
        <v>0</v>
      </c>
      <c r="L51" s="337">
        <v>3.40501</v>
      </c>
      <c r="M51" s="338">
        <f>RTM!G60</f>
        <v>0</v>
      </c>
      <c r="N51" s="337">
        <v>2.78199</v>
      </c>
      <c r="O51" s="339">
        <f t="shared" si="3"/>
        <v>0</v>
      </c>
      <c r="P51" s="339">
        <f t="shared" si="4"/>
        <v>0</v>
      </c>
      <c r="Q51" s="339">
        <f t="shared" si="5"/>
        <v>0</v>
      </c>
    </row>
    <row r="52" ht="22.5" customHeight="1" spans="1:17">
      <c r="A52" s="326">
        <v>50</v>
      </c>
      <c r="B52" s="326" t="s">
        <v>63</v>
      </c>
      <c r="C52" s="327">
        <f>SUM('Individual BD'!C52:N52)-'Individual BD'!K52-'Individual BD'!M52-'Individual BD'!N52</f>
        <v>609.71</v>
      </c>
      <c r="D52" s="327">
        <f>IF('CGS BD CAL'!M52&lt;20,0,'CGS BD CAL'!M52)</f>
        <v>351.133778</v>
      </c>
      <c r="E52" s="327">
        <f>SUM('Individual BD'!K52+'Individual BD'!M52+'Individual BD'!N52)</f>
        <v>0</v>
      </c>
      <c r="F52" s="328">
        <v>0</v>
      </c>
      <c r="G52" s="329">
        <v>0</v>
      </c>
      <c r="H52" s="327">
        <v>0</v>
      </c>
      <c r="I52" s="334">
        <f>'SCADA Grid'!D53</f>
        <v>263.84</v>
      </c>
      <c r="J52" s="335">
        <f>'SCADA Grid'!C53</f>
        <v>50.01</v>
      </c>
      <c r="K52" s="336">
        <f>IEX!G60</f>
        <v>0</v>
      </c>
      <c r="L52" s="337">
        <v>3.3402</v>
      </c>
      <c r="M52" s="338">
        <f>RTM!G61</f>
        <v>0</v>
      </c>
      <c r="N52" s="337">
        <v>2.78137</v>
      </c>
      <c r="O52" s="339">
        <f t="shared" si="3"/>
        <v>0</v>
      </c>
      <c r="P52" s="339">
        <f t="shared" si="4"/>
        <v>0</v>
      </c>
      <c r="Q52" s="339">
        <f t="shared" si="5"/>
        <v>0</v>
      </c>
    </row>
    <row r="53" ht="22.5" customHeight="1" spans="1:17">
      <c r="A53" s="326">
        <v>51</v>
      </c>
      <c r="B53" s="326" t="s">
        <v>64</v>
      </c>
      <c r="C53" s="327">
        <f>SUM('Individual BD'!C53:N53)-'Individual BD'!K53-'Individual BD'!M53-'Individual BD'!N53</f>
        <v>614.74</v>
      </c>
      <c r="D53" s="327">
        <f>IF('CGS BD CAL'!M53&lt;20,0,'CGS BD CAL'!M53)</f>
        <v>351.135625</v>
      </c>
      <c r="E53" s="327">
        <f>SUM('Individual BD'!K53+'Individual BD'!M53+'Individual BD'!N53)</f>
        <v>0</v>
      </c>
      <c r="F53" s="328">
        <v>0</v>
      </c>
      <c r="G53" s="329">
        <v>0</v>
      </c>
      <c r="H53" s="327">
        <v>0</v>
      </c>
      <c r="I53" s="334">
        <f>'SCADA Grid'!D54</f>
        <v>151.29</v>
      </c>
      <c r="J53" s="335">
        <f>'SCADA Grid'!C54</f>
        <v>50.01</v>
      </c>
      <c r="K53" s="336">
        <f>IEX!G61</f>
        <v>0</v>
      </c>
      <c r="L53" s="337">
        <v>3.32249</v>
      </c>
      <c r="M53" s="338">
        <f>RTM!G62</f>
        <v>285.56</v>
      </c>
      <c r="N53" s="337">
        <v>3.0001</v>
      </c>
      <c r="O53" s="339">
        <f t="shared" si="3"/>
        <v>1</v>
      </c>
      <c r="P53" s="339">
        <f t="shared" si="4"/>
        <v>1</v>
      </c>
      <c r="Q53" s="339">
        <f t="shared" si="5"/>
        <v>0</v>
      </c>
    </row>
    <row r="54" ht="22.5" customHeight="1" spans="1:17">
      <c r="A54" s="326">
        <v>52</v>
      </c>
      <c r="B54" s="326" t="s">
        <v>65</v>
      </c>
      <c r="C54" s="327">
        <f>SUM('Individual BD'!C54:N54)-'Individual BD'!K54-'Individual BD'!M54-'Individual BD'!N54</f>
        <v>630.71</v>
      </c>
      <c r="D54" s="327">
        <f>IF('CGS BD CAL'!M54&lt;20,0,'CGS BD CAL'!M54)</f>
        <v>707.038121</v>
      </c>
      <c r="E54" s="327">
        <f>SUM('Individual BD'!K54+'Individual BD'!M54+'Individual BD'!N54)</f>
        <v>0</v>
      </c>
      <c r="F54" s="328">
        <v>0</v>
      </c>
      <c r="G54" s="329">
        <v>0</v>
      </c>
      <c r="H54" s="327">
        <v>0</v>
      </c>
      <c r="I54" s="334">
        <f>'SCADA Grid'!D55</f>
        <v>222.52</v>
      </c>
      <c r="J54" s="335">
        <f>'SCADA Grid'!C55</f>
        <v>50.01</v>
      </c>
      <c r="K54" s="336">
        <f>IEX!G62</f>
        <v>0</v>
      </c>
      <c r="L54" s="337">
        <v>3.01073</v>
      </c>
      <c r="M54" s="338">
        <f>RTM!G63</f>
        <v>571.13</v>
      </c>
      <c r="N54" s="337">
        <v>3.00842</v>
      </c>
      <c r="O54" s="339">
        <f t="shared" si="3"/>
        <v>1</v>
      </c>
      <c r="P54" s="339">
        <f t="shared" si="4"/>
        <v>1</v>
      </c>
      <c r="Q54" s="339">
        <f t="shared" si="5"/>
        <v>0</v>
      </c>
    </row>
    <row r="55" ht="22.5" customHeight="1" spans="1:17">
      <c r="A55" s="326">
        <v>53</v>
      </c>
      <c r="B55" s="326" t="s">
        <v>66</v>
      </c>
      <c r="C55" s="327">
        <f>SUM('Individual BD'!C55:N55)-'Individual BD'!K55-'Individual BD'!M55-'Individual BD'!N55</f>
        <v>618.4</v>
      </c>
      <c r="D55" s="327">
        <f>IF('CGS BD CAL'!M55&lt;20,0,'CGS BD CAL'!M55)</f>
        <v>937.678121</v>
      </c>
      <c r="E55" s="327">
        <f>SUM('Individual BD'!K55+'Individual BD'!M55+'Individual BD'!N55)</f>
        <v>0</v>
      </c>
      <c r="F55" s="328">
        <v>0</v>
      </c>
      <c r="G55" s="329">
        <v>0</v>
      </c>
      <c r="H55" s="327">
        <v>0</v>
      </c>
      <c r="I55" s="334">
        <f>'SCADA Grid'!D56</f>
        <v>-152.49</v>
      </c>
      <c r="J55" s="335">
        <f>'SCADA Grid'!C56</f>
        <v>50.08</v>
      </c>
      <c r="K55" s="336">
        <f>IEX!G63</f>
        <v>0</v>
      </c>
      <c r="L55" s="337">
        <v>2.96086</v>
      </c>
      <c r="M55" s="338">
        <f>RTM!G64</f>
        <v>761.5</v>
      </c>
      <c r="N55" s="337">
        <v>2.91274</v>
      </c>
      <c r="O55" s="339">
        <f t="shared" si="3"/>
        <v>1</v>
      </c>
      <c r="P55" s="339">
        <f t="shared" si="4"/>
        <v>1</v>
      </c>
      <c r="Q55" s="339">
        <f t="shared" si="5"/>
        <v>0</v>
      </c>
    </row>
    <row r="56" ht="22.5" customHeight="1" spans="1:17">
      <c r="A56" s="326">
        <v>54</v>
      </c>
      <c r="B56" s="326" t="s">
        <v>67</v>
      </c>
      <c r="C56" s="327">
        <f>SUM('Individual BD'!C56:N56)-'Individual BD'!K56-'Individual BD'!M56-'Individual BD'!N56</f>
        <v>620.18</v>
      </c>
      <c r="D56" s="327">
        <f>IF('CGS BD CAL'!M56&lt;20,0,'CGS BD CAL'!M56)</f>
        <v>1034.058121</v>
      </c>
      <c r="E56" s="327">
        <f>SUM('Individual BD'!K56+'Individual BD'!M56+'Individual BD'!N56)</f>
        <v>0</v>
      </c>
      <c r="F56" s="328">
        <v>0</v>
      </c>
      <c r="G56" s="329">
        <v>0</v>
      </c>
      <c r="H56" s="327">
        <v>0</v>
      </c>
      <c r="I56" s="334">
        <f>'SCADA Grid'!D57</f>
        <v>-244.68</v>
      </c>
      <c r="J56" s="335">
        <f>'SCADA Grid'!C57</f>
        <v>50.02</v>
      </c>
      <c r="K56" s="336">
        <f>IEX!G64</f>
        <v>0</v>
      </c>
      <c r="L56" s="337">
        <v>2.82087</v>
      </c>
      <c r="M56" s="338">
        <f>RTM!G65</f>
        <v>951.89</v>
      </c>
      <c r="N56" s="337">
        <v>2.78157</v>
      </c>
      <c r="O56" s="339">
        <f t="shared" si="3"/>
        <v>1</v>
      </c>
      <c r="P56" s="339">
        <f t="shared" si="4"/>
        <v>1</v>
      </c>
      <c r="Q56" s="339">
        <f t="shared" si="5"/>
        <v>0</v>
      </c>
    </row>
    <row r="57" ht="22.5" customHeight="1" spans="1:17">
      <c r="A57" s="326">
        <v>55</v>
      </c>
      <c r="B57" s="326" t="s">
        <v>68</v>
      </c>
      <c r="C57" s="327">
        <f>SUM('Individual BD'!C57:N57)-'Individual BD'!K57-'Individual BD'!M57-'Individual BD'!N57</f>
        <v>611.45</v>
      </c>
      <c r="D57" s="327">
        <f>IF('CGS BD CAL'!M57&lt;20,0,'CGS BD CAL'!M57)</f>
        <v>922.288121</v>
      </c>
      <c r="E57" s="327">
        <f>SUM('Individual BD'!K57+'Individual BD'!M57+'Individual BD'!N57)</f>
        <v>0</v>
      </c>
      <c r="F57" s="328">
        <v>0</v>
      </c>
      <c r="G57" s="329">
        <v>0</v>
      </c>
      <c r="H57" s="327">
        <v>0</v>
      </c>
      <c r="I57" s="334">
        <f>'SCADA Grid'!D58</f>
        <v>4.6</v>
      </c>
      <c r="J57" s="335">
        <f>'SCADA Grid'!C58</f>
        <v>50.01</v>
      </c>
      <c r="K57" s="336">
        <f>IEX!G65</f>
        <v>0</v>
      </c>
      <c r="L57" s="337">
        <v>3.06531</v>
      </c>
      <c r="M57" s="338">
        <f>RTM!G66</f>
        <v>571.12</v>
      </c>
      <c r="N57" s="337">
        <v>2.85343</v>
      </c>
      <c r="O57" s="339">
        <f t="shared" si="3"/>
        <v>1</v>
      </c>
      <c r="P57" s="339">
        <f t="shared" si="4"/>
        <v>1</v>
      </c>
      <c r="Q57" s="339">
        <f t="shared" si="5"/>
        <v>0</v>
      </c>
    </row>
    <row r="58" ht="22.5" customHeight="1" spans="1:17">
      <c r="A58" s="326">
        <v>56</v>
      </c>
      <c r="B58" s="326" t="s">
        <v>69</v>
      </c>
      <c r="C58" s="327">
        <f>SUM('Individual BD'!C58:N58)-'Individual BD'!K58-'Individual BD'!M58-'Individual BD'!N58</f>
        <v>607.77</v>
      </c>
      <c r="D58" s="327">
        <f>IF('CGS BD CAL'!M58&lt;20,0,'CGS BD CAL'!M58)</f>
        <v>716.448121</v>
      </c>
      <c r="E58" s="327">
        <f>SUM('Individual BD'!K58+'Individual BD'!M58+'Individual BD'!N58)</f>
        <v>0</v>
      </c>
      <c r="F58" s="328">
        <v>0</v>
      </c>
      <c r="G58" s="329">
        <v>0</v>
      </c>
      <c r="H58" s="327">
        <v>0</v>
      </c>
      <c r="I58" s="334">
        <f>'SCADA Grid'!D59</f>
        <v>-99.36</v>
      </c>
      <c r="J58" s="335">
        <f>'SCADA Grid'!C59</f>
        <v>50.04</v>
      </c>
      <c r="K58" s="336">
        <f>IEX!G66</f>
        <v>0</v>
      </c>
      <c r="L58" s="337">
        <v>3.06088</v>
      </c>
      <c r="M58" s="338">
        <f>RTM!G67</f>
        <v>666.31</v>
      </c>
      <c r="N58" s="337">
        <v>2.91078</v>
      </c>
      <c r="O58" s="339">
        <f t="shared" si="3"/>
        <v>1</v>
      </c>
      <c r="P58" s="339">
        <f t="shared" si="4"/>
        <v>1</v>
      </c>
      <c r="Q58" s="339">
        <f t="shared" si="5"/>
        <v>0</v>
      </c>
    </row>
    <row r="59" ht="22.5" customHeight="1" spans="1:17">
      <c r="A59" s="326">
        <v>57</v>
      </c>
      <c r="B59" s="326" t="s">
        <v>70</v>
      </c>
      <c r="C59" s="327">
        <f>SUM('Individual BD'!C59:N59)-'Individual BD'!K59-'Individual BD'!M59-'Individual BD'!N59</f>
        <v>1045.57</v>
      </c>
      <c r="D59" s="327">
        <f>IF('CGS BD CAL'!M59&lt;20,0,'CGS BD CAL'!M59)</f>
        <v>411.85195</v>
      </c>
      <c r="E59" s="327">
        <f>SUM('Individual BD'!K59+'Individual BD'!M59+'Individual BD'!N59)</f>
        <v>0</v>
      </c>
      <c r="F59" s="328">
        <v>0</v>
      </c>
      <c r="G59" s="329">
        <v>0</v>
      </c>
      <c r="H59" s="327">
        <v>0</v>
      </c>
      <c r="I59" s="334">
        <f>'SCADA Grid'!D60</f>
        <v>-13.99</v>
      </c>
      <c r="J59" s="335">
        <f>'SCADA Grid'!C60</f>
        <v>50.09</v>
      </c>
      <c r="K59" s="336">
        <f>IEX!G67</f>
        <v>0</v>
      </c>
      <c r="L59" s="337">
        <v>3.11915</v>
      </c>
      <c r="M59" s="338">
        <f>RTM!G68</f>
        <v>380.74</v>
      </c>
      <c r="N59" s="337">
        <v>2.78181</v>
      </c>
      <c r="O59" s="339">
        <f t="shared" si="3"/>
        <v>1</v>
      </c>
      <c r="P59" s="339">
        <f t="shared" si="4"/>
        <v>1</v>
      </c>
      <c r="Q59" s="339">
        <f t="shared" si="5"/>
        <v>0</v>
      </c>
    </row>
    <row r="60" ht="22.5" customHeight="1" spans="1:17">
      <c r="A60" s="326">
        <v>58</v>
      </c>
      <c r="B60" s="326" t="s">
        <v>71</v>
      </c>
      <c r="C60" s="327">
        <f>SUM('Individual BD'!C60:N60)-'Individual BD'!K60-'Individual BD'!M60-'Individual BD'!N60</f>
        <v>1111.2</v>
      </c>
      <c r="D60" s="327">
        <f>IF('CGS BD CAL'!M60&lt;20,0,'CGS BD CAL'!M60)</f>
        <v>351.14195</v>
      </c>
      <c r="E60" s="327">
        <f>SUM('Individual BD'!K60+'Individual BD'!M60+'Individual BD'!N60)</f>
        <v>0</v>
      </c>
      <c r="F60" s="328">
        <v>0</v>
      </c>
      <c r="G60" s="329">
        <v>0</v>
      </c>
      <c r="H60" s="327">
        <v>0</v>
      </c>
      <c r="I60" s="334">
        <f>'SCADA Grid'!D61</f>
        <v>243.31</v>
      </c>
      <c r="J60" s="335">
        <f>'SCADA Grid'!C61</f>
        <v>50.04</v>
      </c>
      <c r="K60" s="336">
        <f>IEX!G68</f>
        <v>0</v>
      </c>
      <c r="L60" s="337">
        <v>3.07822</v>
      </c>
      <c r="M60" s="338">
        <f>RTM!G69</f>
        <v>475.93</v>
      </c>
      <c r="N60" s="337">
        <v>2.85305</v>
      </c>
      <c r="O60" s="339">
        <f t="shared" si="3"/>
        <v>1</v>
      </c>
      <c r="P60" s="339">
        <f t="shared" si="4"/>
        <v>1</v>
      </c>
      <c r="Q60" s="339">
        <f t="shared" si="5"/>
        <v>0</v>
      </c>
    </row>
    <row r="61" ht="22.5" customHeight="1" spans="1:17">
      <c r="A61" s="326">
        <v>59</v>
      </c>
      <c r="B61" s="326" t="s">
        <v>72</v>
      </c>
      <c r="C61" s="327">
        <f>SUM('Individual BD'!C61:N61)-'Individual BD'!K61-'Individual BD'!M61-'Individual BD'!N61</f>
        <v>394.67</v>
      </c>
      <c r="D61" s="327">
        <f>IF('CGS BD CAL'!M61&lt;20,0,'CGS BD CAL'!M61)</f>
        <v>279.75195</v>
      </c>
      <c r="E61" s="327">
        <f>SUM('Individual BD'!K61+'Individual BD'!M61+'Individual BD'!N61)</f>
        <v>0</v>
      </c>
      <c r="F61" s="328">
        <v>0</v>
      </c>
      <c r="G61" s="329">
        <v>0</v>
      </c>
      <c r="H61" s="327">
        <v>0</v>
      </c>
      <c r="I61" s="334">
        <f>'SCADA Grid'!D62</f>
        <v>413.68</v>
      </c>
      <c r="J61" s="335">
        <f>'SCADA Grid'!C62</f>
        <v>50.01</v>
      </c>
      <c r="K61" s="336">
        <f>IEX!G69</f>
        <v>0</v>
      </c>
      <c r="L61" s="337">
        <v>3.01011</v>
      </c>
      <c r="M61" s="338">
        <f>RTM!G70</f>
        <v>571.13</v>
      </c>
      <c r="N61" s="337">
        <v>3.26532</v>
      </c>
      <c r="O61" s="339">
        <f t="shared" si="3"/>
        <v>1</v>
      </c>
      <c r="P61" s="339">
        <f t="shared" si="4"/>
        <v>1</v>
      </c>
      <c r="Q61" s="339">
        <f t="shared" si="5"/>
        <v>0</v>
      </c>
    </row>
    <row r="62" ht="22.5" customHeight="1" spans="1:17">
      <c r="A62" s="326">
        <v>60</v>
      </c>
      <c r="B62" s="326" t="s">
        <v>73</v>
      </c>
      <c r="C62" s="327">
        <f>SUM('Individual BD'!C62:N62)-'Individual BD'!K62-'Individual BD'!M62-'Individual BD'!N62</f>
        <v>271.56</v>
      </c>
      <c r="D62" s="327">
        <f>IF('CGS BD CAL'!M62&lt;20,0,'CGS BD CAL'!M62)</f>
        <v>0</v>
      </c>
      <c r="E62" s="327">
        <f>SUM('Individual BD'!K62+'Individual BD'!M62+'Individual BD'!N62)</f>
        <v>0</v>
      </c>
      <c r="F62" s="328">
        <v>0</v>
      </c>
      <c r="G62" s="329">
        <v>0</v>
      </c>
      <c r="H62" s="327">
        <v>0</v>
      </c>
      <c r="I62" s="334">
        <f>'SCADA Grid'!D63</f>
        <v>117.32</v>
      </c>
      <c r="J62" s="335">
        <f>'SCADA Grid'!C63</f>
        <v>49.99</v>
      </c>
      <c r="K62" s="336">
        <f>IEX!G70</f>
        <v>0</v>
      </c>
      <c r="L62" s="337">
        <v>2.98396</v>
      </c>
      <c r="M62" s="338">
        <f>RTM!G71</f>
        <v>571.13</v>
      </c>
      <c r="N62" s="337">
        <v>3.32267</v>
      </c>
      <c r="O62" s="339">
        <f t="shared" si="3"/>
        <v>1</v>
      </c>
      <c r="P62" s="339">
        <f t="shared" si="4"/>
        <v>0</v>
      </c>
      <c r="Q62" s="339">
        <f t="shared" si="5"/>
        <v>0</v>
      </c>
    </row>
    <row r="63" ht="22.5" customHeight="1" spans="1:17">
      <c r="A63" s="326">
        <v>61</v>
      </c>
      <c r="B63" s="326" t="s">
        <v>74</v>
      </c>
      <c r="C63" s="327">
        <f>SUM('Individual BD'!C63:N63)-'Individual BD'!K63-'Individual BD'!M63-'Individual BD'!N63</f>
        <v>281.31</v>
      </c>
      <c r="D63" s="327">
        <f>IF('CGS BD CAL'!M63&lt;20,0,'CGS BD CAL'!M63)</f>
        <v>21.3836220000004</v>
      </c>
      <c r="E63" s="327">
        <f>SUM('Individual BD'!K63+'Individual BD'!M63+'Individual BD'!N63)</f>
        <v>0</v>
      </c>
      <c r="F63" s="328">
        <v>0</v>
      </c>
      <c r="G63" s="329">
        <v>0</v>
      </c>
      <c r="H63" s="327">
        <v>0</v>
      </c>
      <c r="I63" s="334">
        <f>'SCADA Grid'!D64</f>
        <v>-43.6</v>
      </c>
      <c r="J63" s="335">
        <f>'SCADA Grid'!C64</f>
        <v>50.04</v>
      </c>
      <c r="K63" s="336">
        <f>IEX!G71</f>
        <v>0</v>
      </c>
      <c r="L63" s="337">
        <v>3.00142</v>
      </c>
      <c r="M63" s="338">
        <f>RTM!G72</f>
        <v>285.55</v>
      </c>
      <c r="N63" s="337">
        <v>3.28021</v>
      </c>
      <c r="O63" s="339">
        <f t="shared" si="3"/>
        <v>1</v>
      </c>
      <c r="P63" s="339">
        <f t="shared" si="4"/>
        <v>1</v>
      </c>
      <c r="Q63" s="339">
        <f t="shared" si="5"/>
        <v>0</v>
      </c>
    </row>
    <row r="64" ht="22.5" customHeight="1" spans="1:17">
      <c r="A64" s="326">
        <v>62</v>
      </c>
      <c r="B64" s="326" t="s">
        <v>75</v>
      </c>
      <c r="C64" s="327">
        <f>SUM('Individual BD'!C64:N64)-'Individual BD'!K64-'Individual BD'!M64-'Individual BD'!N64</f>
        <v>271.28</v>
      </c>
      <c r="D64" s="327">
        <f>IF('CGS BD CAL'!M64&lt;20,0,'CGS BD CAL'!M64)</f>
        <v>99.5336220000003</v>
      </c>
      <c r="E64" s="327">
        <f>SUM('Individual BD'!K64+'Individual BD'!M64+'Individual BD'!N64)</f>
        <v>0</v>
      </c>
      <c r="F64" s="328">
        <v>0</v>
      </c>
      <c r="G64" s="329">
        <v>0</v>
      </c>
      <c r="H64" s="327">
        <v>0</v>
      </c>
      <c r="I64" s="334">
        <f>'SCADA Grid'!D65</f>
        <v>75.01</v>
      </c>
      <c r="J64" s="335">
        <f>'SCADA Grid'!C65</f>
        <v>50</v>
      </c>
      <c r="K64" s="336">
        <f>IEX!G72</f>
        <v>0</v>
      </c>
      <c r="L64" s="337">
        <v>3.14014</v>
      </c>
      <c r="M64" s="338">
        <f>RTM!G73</f>
        <v>380.75</v>
      </c>
      <c r="N64" s="337">
        <v>3.26513</v>
      </c>
      <c r="O64" s="339">
        <f t="shared" si="3"/>
        <v>1</v>
      </c>
      <c r="P64" s="339">
        <f t="shared" si="4"/>
        <v>1</v>
      </c>
      <c r="Q64" s="339">
        <f t="shared" si="5"/>
        <v>0</v>
      </c>
    </row>
    <row r="65" ht="22.5" customHeight="1" spans="1:17">
      <c r="A65" s="326">
        <v>63</v>
      </c>
      <c r="B65" s="326" t="s">
        <v>76</v>
      </c>
      <c r="C65" s="327">
        <f>SUM('Individual BD'!C65:N65)-'Individual BD'!K65-'Individual BD'!M65-'Individual BD'!N65</f>
        <v>269.59</v>
      </c>
      <c r="D65" s="327">
        <f>IF('CGS BD CAL'!M65&lt;20,0,'CGS BD CAL'!M65)</f>
        <v>87.3836220000004</v>
      </c>
      <c r="E65" s="327">
        <f>SUM('Individual BD'!K65+'Individual BD'!M65+'Individual BD'!N65)</f>
        <v>0</v>
      </c>
      <c r="F65" s="328">
        <v>0</v>
      </c>
      <c r="G65" s="329">
        <v>0</v>
      </c>
      <c r="H65" s="327">
        <v>0</v>
      </c>
      <c r="I65" s="334">
        <f>'SCADA Grid'!D66</f>
        <v>-19.65</v>
      </c>
      <c r="J65" s="335">
        <f>'SCADA Grid'!C66</f>
        <v>49.99</v>
      </c>
      <c r="K65" s="336">
        <f>IEX!G73</f>
        <v>190.36</v>
      </c>
      <c r="L65" s="337">
        <v>3.29608</v>
      </c>
      <c r="M65" s="338">
        <f>RTM!G74</f>
        <v>666.32</v>
      </c>
      <c r="N65" s="337">
        <v>3.30024</v>
      </c>
      <c r="O65" s="339">
        <f t="shared" si="3"/>
        <v>1</v>
      </c>
      <c r="P65" s="339">
        <f t="shared" si="4"/>
        <v>1</v>
      </c>
      <c r="Q65" s="339">
        <f t="shared" si="5"/>
        <v>0</v>
      </c>
    </row>
    <row r="66" ht="22.5" customHeight="1" spans="1:17">
      <c r="A66" s="326">
        <v>64</v>
      </c>
      <c r="B66" s="326" t="s">
        <v>77</v>
      </c>
      <c r="C66" s="327">
        <f>SUM('Individual BD'!C66:N66)-'Individual BD'!K66-'Individual BD'!M66-'Individual BD'!N66</f>
        <v>0</v>
      </c>
      <c r="D66" s="327">
        <f>IF('CGS BD CAL'!M66&lt;20,0,'CGS BD CAL'!M66)</f>
        <v>103.383622</v>
      </c>
      <c r="E66" s="327">
        <f>SUM('Individual BD'!K66+'Individual BD'!M66+'Individual BD'!N66)</f>
        <v>0</v>
      </c>
      <c r="F66" s="328">
        <v>0</v>
      </c>
      <c r="G66" s="329">
        <v>0</v>
      </c>
      <c r="H66" s="327">
        <v>0</v>
      </c>
      <c r="I66" s="334">
        <f>'SCADA Grid'!D67</f>
        <v>-32.18</v>
      </c>
      <c r="J66" s="335">
        <f>'SCADA Grid'!C67</f>
        <v>49.99</v>
      </c>
      <c r="K66" s="336">
        <f>IEX!G74</f>
        <v>285.56</v>
      </c>
      <c r="L66" s="337">
        <v>3.46699</v>
      </c>
      <c r="M66" s="338">
        <f>RTM!G75</f>
        <v>761.51</v>
      </c>
      <c r="N66" s="337">
        <v>3.40049</v>
      </c>
      <c r="O66" s="339">
        <f t="shared" si="3"/>
        <v>0</v>
      </c>
      <c r="P66" s="339">
        <f t="shared" si="4"/>
        <v>1</v>
      </c>
      <c r="Q66" s="339">
        <f t="shared" si="5"/>
        <v>0</v>
      </c>
    </row>
    <row r="67" ht="22.5" customHeight="1" spans="1:17">
      <c r="A67" s="326">
        <v>65</v>
      </c>
      <c r="B67" s="326" t="s">
        <v>78</v>
      </c>
      <c r="C67" s="327">
        <f>SUM('Individual BD'!C67:N67)-'Individual BD'!K67-'Individual BD'!M67-'Individual BD'!N67</f>
        <v>0</v>
      </c>
      <c r="D67" s="327">
        <f>IF('CGS BD CAL'!M67&lt;20,0,'CGS BD CAL'!M67)</f>
        <v>85.8136220000002</v>
      </c>
      <c r="E67" s="327">
        <f>SUM('Individual BD'!K67+'Individual BD'!M67+'Individual BD'!N67)</f>
        <v>0</v>
      </c>
      <c r="F67" s="328">
        <v>0</v>
      </c>
      <c r="G67" s="329">
        <v>0</v>
      </c>
      <c r="H67" s="327">
        <v>0</v>
      </c>
      <c r="I67" s="334">
        <f>'SCADA Grid'!D68</f>
        <v>59.55</v>
      </c>
      <c r="J67" s="335">
        <f>'SCADA Grid'!C68</f>
        <v>45.96</v>
      </c>
      <c r="K67" s="336">
        <f>IEX!G75</f>
        <v>285.56</v>
      </c>
      <c r="L67" s="337">
        <v>3.4729</v>
      </c>
      <c r="M67" s="338">
        <f>RTM!G76</f>
        <v>190.35</v>
      </c>
      <c r="N67" s="337">
        <v>2.99964</v>
      </c>
      <c r="O67" s="339">
        <f t="shared" si="3"/>
        <v>0</v>
      </c>
      <c r="P67" s="339">
        <f t="shared" si="4"/>
        <v>1</v>
      </c>
      <c r="Q67" s="339">
        <f t="shared" si="5"/>
        <v>0</v>
      </c>
    </row>
    <row r="68" ht="22.5" customHeight="1" spans="1:17">
      <c r="A68" s="326">
        <v>66</v>
      </c>
      <c r="B68" s="326" t="s">
        <v>79</v>
      </c>
      <c r="C68" s="327">
        <f>SUM('Individual BD'!C68:N68)-'Individual BD'!K68-'Individual BD'!M68-'Individual BD'!N68</f>
        <v>0</v>
      </c>
      <c r="D68" s="327">
        <f>IF('CGS BD CAL'!M68&lt;20,0,'CGS BD CAL'!M68)</f>
        <v>100.533622</v>
      </c>
      <c r="E68" s="327">
        <f>SUM('Individual BD'!K68+'Individual BD'!M68+'Individual BD'!N68)</f>
        <v>0</v>
      </c>
      <c r="F68" s="328">
        <v>0</v>
      </c>
      <c r="G68" s="329">
        <v>0</v>
      </c>
      <c r="H68" s="327">
        <v>0</v>
      </c>
      <c r="I68" s="334">
        <f>'SCADA Grid'!D69</f>
        <v>-63.02</v>
      </c>
      <c r="J68" s="335">
        <f>'SCADA Grid'!C69</f>
        <v>50.07</v>
      </c>
      <c r="K68" s="336">
        <f>IEX!G76</f>
        <v>285.56</v>
      </c>
      <c r="L68" s="337">
        <v>3.83181</v>
      </c>
      <c r="M68" s="338">
        <f>RTM!G77</f>
        <v>380.74</v>
      </c>
      <c r="N68" s="337">
        <v>3.22071</v>
      </c>
      <c r="O68" s="339">
        <f t="shared" ref="O68:O98" si="6">IF(AND(C68&gt;1,OR($K68&gt;100,$M68&gt;100)),1,0)</f>
        <v>0</v>
      </c>
      <c r="P68" s="339">
        <f t="shared" ref="P68:P98" si="7">IF(AND(D68&gt;1,OR($K68&gt;100,$M68&gt;100)),1,0)</f>
        <v>1</v>
      </c>
      <c r="Q68" s="339">
        <f t="shared" ref="Q68:Q98" si="8">IF(AND(E68&gt;1,OR($K68&gt;100,$M68&gt;100)),1,0)</f>
        <v>0</v>
      </c>
    </row>
    <row r="69" ht="22.5" customHeight="1" spans="1:17">
      <c r="A69" s="326">
        <v>67</v>
      </c>
      <c r="B69" s="326" t="s">
        <v>80</v>
      </c>
      <c r="C69" s="327">
        <f>SUM('Individual BD'!C69:N69)-'Individual BD'!K69-'Individual BD'!M69-'Individual BD'!N69</f>
        <v>0</v>
      </c>
      <c r="D69" s="327">
        <f>IF('CGS BD CAL'!M69&lt;20,0,'CGS BD CAL'!M69)</f>
        <v>100.533622</v>
      </c>
      <c r="E69" s="327">
        <f>SUM('Individual BD'!K69+'Individual BD'!M69+'Individual BD'!N69)</f>
        <v>0</v>
      </c>
      <c r="F69" s="328">
        <v>0</v>
      </c>
      <c r="G69" s="329">
        <v>0</v>
      </c>
      <c r="H69" s="327">
        <v>0</v>
      </c>
      <c r="I69" s="334">
        <f>'SCADA Grid'!D70</f>
        <v>-329.7</v>
      </c>
      <c r="J69" s="335">
        <f>'SCADA Grid'!C70</f>
        <v>50.11</v>
      </c>
      <c r="K69" s="336">
        <f>IEX!G77</f>
        <v>285.56</v>
      </c>
      <c r="L69" s="337">
        <v>4.07455</v>
      </c>
      <c r="M69" s="338">
        <f>RTM!G78</f>
        <v>761.5</v>
      </c>
      <c r="N69" s="337">
        <v>3.54758</v>
      </c>
      <c r="O69" s="339">
        <f t="shared" si="6"/>
        <v>0</v>
      </c>
      <c r="P69" s="339">
        <f t="shared" si="7"/>
        <v>1</v>
      </c>
      <c r="Q69" s="339">
        <f t="shared" si="8"/>
        <v>0</v>
      </c>
    </row>
    <row r="70" ht="22.5" customHeight="1" spans="1:17">
      <c r="A70" s="326">
        <v>68</v>
      </c>
      <c r="B70" s="326" t="s">
        <v>81</v>
      </c>
      <c r="C70" s="327">
        <f>SUM('Individual BD'!C70:N70)-'Individual BD'!K70-'Individual BD'!M70-'Individual BD'!N70</f>
        <v>0</v>
      </c>
      <c r="D70" s="327">
        <f>IF('CGS BD CAL'!M70&lt;20,0,'CGS BD CAL'!M70)</f>
        <v>100.533622</v>
      </c>
      <c r="E70" s="327">
        <f>SUM('Individual BD'!K70+'Individual BD'!M70+'Individual BD'!N70)</f>
        <v>0</v>
      </c>
      <c r="F70" s="328">
        <v>0</v>
      </c>
      <c r="G70" s="329">
        <v>0</v>
      </c>
      <c r="H70" s="327">
        <v>0</v>
      </c>
      <c r="I70" s="334">
        <f>'SCADA Grid'!D71</f>
        <v>157.34</v>
      </c>
      <c r="J70" s="335">
        <f>'SCADA Grid'!C71</f>
        <v>50.05</v>
      </c>
      <c r="K70" s="336">
        <f>IEX!G78</f>
        <v>285.56</v>
      </c>
      <c r="L70" s="337">
        <v>4.49061</v>
      </c>
      <c r="M70" s="338">
        <f>RTM!G79</f>
        <v>666.33</v>
      </c>
      <c r="N70" s="337">
        <v>4.50051</v>
      </c>
      <c r="O70" s="339">
        <f t="shared" si="6"/>
        <v>0</v>
      </c>
      <c r="P70" s="339">
        <f t="shared" si="7"/>
        <v>1</v>
      </c>
      <c r="Q70" s="339">
        <f t="shared" si="8"/>
        <v>0</v>
      </c>
    </row>
    <row r="71" ht="22.5" customHeight="1" spans="1:17">
      <c r="A71" s="326">
        <v>69</v>
      </c>
      <c r="B71" s="326" t="s">
        <v>82</v>
      </c>
      <c r="C71" s="327">
        <f>SUM('Individual BD'!C71:N71)-'Individual BD'!K71-'Individual BD'!M71-'Individual BD'!N71</f>
        <v>0</v>
      </c>
      <c r="D71" s="327">
        <f>IF('CGS BD CAL'!M71&lt;20,0,'CGS BD CAL'!M71)</f>
        <v>0</v>
      </c>
      <c r="E71" s="327">
        <f>SUM('Individual BD'!K71+'Individual BD'!M71+'Individual BD'!N71)</f>
        <v>0</v>
      </c>
      <c r="F71" s="328">
        <v>0</v>
      </c>
      <c r="G71" s="329">
        <v>0</v>
      </c>
      <c r="H71" s="327">
        <v>0</v>
      </c>
      <c r="I71" s="334">
        <f>'SCADA Grid'!D72</f>
        <v>-62.61</v>
      </c>
      <c r="J71" s="335">
        <f>'SCADA Grid'!C72</f>
        <v>50.13</v>
      </c>
      <c r="K71" s="336">
        <f>IEX!G79</f>
        <v>0</v>
      </c>
      <c r="L71" s="337">
        <v>4.49078</v>
      </c>
      <c r="M71" s="338">
        <f>RTM!G80</f>
        <v>187.66</v>
      </c>
      <c r="N71" s="337">
        <v>4.99935</v>
      </c>
      <c r="O71" s="339">
        <f t="shared" si="6"/>
        <v>0</v>
      </c>
      <c r="P71" s="339">
        <f t="shared" si="7"/>
        <v>0</v>
      </c>
      <c r="Q71" s="339">
        <f t="shared" si="8"/>
        <v>0</v>
      </c>
    </row>
    <row r="72" ht="22.5" customHeight="1" spans="1:17">
      <c r="A72" s="326">
        <v>70</v>
      </c>
      <c r="B72" s="326" t="s">
        <v>83</v>
      </c>
      <c r="C72" s="327">
        <f>SUM('Individual BD'!C72:N72)-'Individual BD'!K72-'Individual BD'!M72-'Individual BD'!N72</f>
        <v>0</v>
      </c>
      <c r="D72" s="327">
        <f>IF('CGS BD CAL'!M72&lt;20,0,'CGS BD CAL'!M72)</f>
        <v>0</v>
      </c>
      <c r="E72" s="327">
        <f>SUM('Individual BD'!K72+'Individual BD'!M72+'Individual BD'!N72)</f>
        <v>0</v>
      </c>
      <c r="F72" s="328">
        <v>0</v>
      </c>
      <c r="G72" s="329">
        <v>0</v>
      </c>
      <c r="H72" s="327">
        <v>0</v>
      </c>
      <c r="I72" s="334">
        <f>'SCADA Grid'!D73</f>
        <v>-212.17</v>
      </c>
      <c r="J72" s="335">
        <f>'SCADA Grid'!C73</f>
        <v>50.07</v>
      </c>
      <c r="K72" s="336">
        <f>IEX!G80</f>
        <v>0</v>
      </c>
      <c r="L72" s="337">
        <v>8.00041</v>
      </c>
      <c r="M72" s="338">
        <f>RTM!G81</f>
        <v>280.81</v>
      </c>
      <c r="N72" s="337">
        <v>7.999</v>
      </c>
      <c r="O72" s="339">
        <f t="shared" si="6"/>
        <v>0</v>
      </c>
      <c r="P72" s="339">
        <f t="shared" si="7"/>
        <v>0</v>
      </c>
      <c r="Q72" s="339">
        <f t="shared" si="8"/>
        <v>0</v>
      </c>
    </row>
    <row r="73" ht="22.5" customHeight="1" spans="1:17">
      <c r="A73" s="326">
        <v>71</v>
      </c>
      <c r="B73" s="326" t="s">
        <v>84</v>
      </c>
      <c r="C73" s="327">
        <f>SUM('Individual BD'!C73:N73)-'Individual BD'!K73-'Individual BD'!M73-'Individual BD'!N73</f>
        <v>0</v>
      </c>
      <c r="D73" s="327">
        <f>IF('CGS BD CAL'!M73&lt;20,0,'CGS BD CAL'!M73)</f>
        <v>0</v>
      </c>
      <c r="E73" s="327">
        <f>SUM('Individual BD'!K73+'Individual BD'!M73+'Individual BD'!N73)</f>
        <v>0</v>
      </c>
      <c r="F73" s="328">
        <v>0</v>
      </c>
      <c r="G73" s="329">
        <v>0</v>
      </c>
      <c r="H73" s="327">
        <v>0</v>
      </c>
      <c r="I73" s="334">
        <f>'SCADA Grid'!D74</f>
        <v>-279.2</v>
      </c>
      <c r="J73" s="335">
        <f>'SCADA Grid'!C74</f>
        <v>50</v>
      </c>
      <c r="K73" s="336">
        <f>IEX!G81</f>
        <v>0</v>
      </c>
      <c r="L73" s="337">
        <v>10</v>
      </c>
      <c r="M73" s="338">
        <f>RTM!G82</f>
        <v>53.65</v>
      </c>
      <c r="N73" s="337">
        <v>10</v>
      </c>
      <c r="O73" s="339">
        <f t="shared" si="6"/>
        <v>0</v>
      </c>
      <c r="P73" s="339">
        <f t="shared" si="7"/>
        <v>0</v>
      </c>
      <c r="Q73" s="339">
        <f t="shared" si="8"/>
        <v>0</v>
      </c>
    </row>
    <row r="74" ht="22.5" customHeight="1" spans="1:17">
      <c r="A74" s="326">
        <v>72</v>
      </c>
      <c r="B74" s="326" t="s">
        <v>85</v>
      </c>
      <c r="C74" s="327">
        <f>SUM('Individual BD'!C74:N74)-'Individual BD'!K74-'Individual BD'!M74-'Individual BD'!N74</f>
        <v>0</v>
      </c>
      <c r="D74" s="327">
        <f>IF('CGS BD CAL'!M74&lt;20,0,'CGS BD CAL'!M74)</f>
        <v>0</v>
      </c>
      <c r="E74" s="327">
        <f>SUM('Individual BD'!K74+'Individual BD'!M74+'Individual BD'!N74)</f>
        <v>0</v>
      </c>
      <c r="F74" s="328">
        <v>0</v>
      </c>
      <c r="G74" s="329">
        <v>0</v>
      </c>
      <c r="H74" s="327">
        <v>0</v>
      </c>
      <c r="I74" s="334">
        <f>'SCADA Grid'!D75</f>
        <v>-122.23</v>
      </c>
      <c r="J74" s="335">
        <f>'SCADA Grid'!C75</f>
        <v>49.92</v>
      </c>
      <c r="K74" s="336">
        <f>IEX!G82</f>
        <v>0</v>
      </c>
      <c r="L74" s="337">
        <v>10</v>
      </c>
      <c r="M74" s="338">
        <f>RTM!G83</f>
        <v>53.53</v>
      </c>
      <c r="N74" s="337">
        <v>10</v>
      </c>
      <c r="O74" s="339">
        <f t="shared" si="6"/>
        <v>0</v>
      </c>
      <c r="P74" s="339">
        <f t="shared" si="7"/>
        <v>0</v>
      </c>
      <c r="Q74" s="339">
        <f t="shared" si="8"/>
        <v>0</v>
      </c>
    </row>
    <row r="75" ht="22.5" customHeight="1" spans="1:17">
      <c r="A75" s="326">
        <v>73</v>
      </c>
      <c r="B75" s="326" t="s">
        <v>86</v>
      </c>
      <c r="C75" s="327">
        <f>SUM('Individual BD'!C75:N75)-'Individual BD'!K75-'Individual BD'!M75-'Individual BD'!N75</f>
        <v>0</v>
      </c>
      <c r="D75" s="327">
        <f>IF('CGS BD CAL'!M75&lt;20,0,'CGS BD CAL'!M75)</f>
        <v>0</v>
      </c>
      <c r="E75" s="327">
        <f>SUM('Individual BD'!K75+'Individual BD'!M75+'Individual BD'!N75)</f>
        <v>0</v>
      </c>
      <c r="F75" s="328">
        <v>0</v>
      </c>
      <c r="G75" s="329">
        <v>0</v>
      </c>
      <c r="H75" s="327">
        <v>0</v>
      </c>
      <c r="I75" s="334">
        <f>'SCADA Grid'!D76</f>
        <v>-216.33</v>
      </c>
      <c r="J75" s="335">
        <f>'SCADA Grid'!C76</f>
        <v>50.01</v>
      </c>
      <c r="K75" s="336">
        <f>IEX!G83</f>
        <v>0</v>
      </c>
      <c r="L75" s="337">
        <v>10</v>
      </c>
      <c r="M75" s="338">
        <f>RTM!G84</f>
        <v>-200</v>
      </c>
      <c r="N75" s="337">
        <v>10</v>
      </c>
      <c r="O75" s="339">
        <f t="shared" si="6"/>
        <v>0</v>
      </c>
      <c r="P75" s="339">
        <f t="shared" si="7"/>
        <v>0</v>
      </c>
      <c r="Q75" s="339">
        <f t="shared" si="8"/>
        <v>0</v>
      </c>
    </row>
    <row r="76" ht="22.5" customHeight="1" spans="1:17">
      <c r="A76" s="326">
        <v>74</v>
      </c>
      <c r="B76" s="326" t="s">
        <v>87</v>
      </c>
      <c r="C76" s="327">
        <f>SUM('Individual BD'!C76:N76)-'Individual BD'!K76-'Individual BD'!M76-'Individual BD'!N76</f>
        <v>0</v>
      </c>
      <c r="D76" s="327">
        <f>IF('CGS BD CAL'!M76&lt;20,0,'CGS BD CAL'!M76)</f>
        <v>0</v>
      </c>
      <c r="E76" s="327">
        <f>SUM('Individual BD'!K76+'Individual BD'!M76+'Individual BD'!N76)</f>
        <v>0</v>
      </c>
      <c r="F76" s="328">
        <v>0</v>
      </c>
      <c r="G76" s="329">
        <v>0</v>
      </c>
      <c r="H76" s="327">
        <v>0</v>
      </c>
      <c r="I76" s="334">
        <f>'SCADA Grid'!D77</f>
        <v>-190.71</v>
      </c>
      <c r="J76" s="335">
        <f>'SCADA Grid'!C77</f>
        <v>49.96</v>
      </c>
      <c r="K76" s="336">
        <f>IEX!G84</f>
        <v>0</v>
      </c>
      <c r="L76" s="337">
        <v>10</v>
      </c>
      <c r="M76" s="338">
        <f>RTM!G85</f>
        <v>-100</v>
      </c>
      <c r="N76" s="337">
        <v>10</v>
      </c>
      <c r="O76" s="339">
        <f t="shared" si="6"/>
        <v>0</v>
      </c>
      <c r="P76" s="339">
        <f t="shared" si="7"/>
        <v>0</v>
      </c>
      <c r="Q76" s="339">
        <f t="shared" si="8"/>
        <v>0</v>
      </c>
    </row>
    <row r="77" ht="22.5" customHeight="1" spans="1:17">
      <c r="A77" s="326">
        <v>75</v>
      </c>
      <c r="B77" s="326" t="s">
        <v>88</v>
      </c>
      <c r="C77" s="327">
        <f>SUM('Individual BD'!C77:N77)-'Individual BD'!K77-'Individual BD'!M77-'Individual BD'!N77</f>
        <v>0</v>
      </c>
      <c r="D77" s="327">
        <f>IF('CGS BD CAL'!M77&lt;20,0,'CGS BD CAL'!M77)</f>
        <v>0</v>
      </c>
      <c r="E77" s="327">
        <f>SUM('Individual BD'!K77+'Individual BD'!M77+'Individual BD'!N77)</f>
        <v>0</v>
      </c>
      <c r="F77" s="328">
        <v>0</v>
      </c>
      <c r="G77" s="329">
        <v>0</v>
      </c>
      <c r="H77" s="327">
        <v>0</v>
      </c>
      <c r="I77" s="334">
        <f>'SCADA Grid'!D78</f>
        <v>3.69</v>
      </c>
      <c r="J77" s="335">
        <f>'SCADA Grid'!C78</f>
        <v>50.03</v>
      </c>
      <c r="K77" s="336">
        <f>IEX!G85</f>
        <v>0</v>
      </c>
      <c r="L77" s="337">
        <v>10</v>
      </c>
      <c r="M77" s="338">
        <f>RTM!G86</f>
        <v>-200</v>
      </c>
      <c r="N77" s="337">
        <v>10</v>
      </c>
      <c r="O77" s="339">
        <f t="shared" si="6"/>
        <v>0</v>
      </c>
      <c r="P77" s="339">
        <f t="shared" si="7"/>
        <v>0</v>
      </c>
      <c r="Q77" s="339">
        <f t="shared" si="8"/>
        <v>0</v>
      </c>
    </row>
    <row r="78" ht="22.5" customHeight="1" spans="1:17">
      <c r="A78" s="326">
        <v>76</v>
      </c>
      <c r="B78" s="326" t="s">
        <v>89</v>
      </c>
      <c r="C78" s="327">
        <f>SUM('Individual BD'!C78:N78)-'Individual BD'!K78-'Individual BD'!M78-'Individual BD'!N78</f>
        <v>0</v>
      </c>
      <c r="D78" s="327">
        <f>IF('CGS BD CAL'!M78&lt;20,0,'CGS BD CAL'!M78)</f>
        <v>0</v>
      </c>
      <c r="E78" s="327">
        <f>SUM('Individual BD'!K78+'Individual BD'!M78+'Individual BD'!N78)</f>
        <v>0</v>
      </c>
      <c r="F78" s="328">
        <v>0</v>
      </c>
      <c r="G78" s="329">
        <v>0</v>
      </c>
      <c r="H78" s="327">
        <v>0</v>
      </c>
      <c r="I78" s="334">
        <f>'SCADA Grid'!D79</f>
        <v>-14.02</v>
      </c>
      <c r="J78" s="335">
        <f>'SCADA Grid'!C79</f>
        <v>50.02</v>
      </c>
      <c r="K78" s="336">
        <f>IEX!G86</f>
        <v>0</v>
      </c>
      <c r="L78" s="337">
        <v>10</v>
      </c>
      <c r="M78" s="338">
        <f>RTM!G87</f>
        <v>-200</v>
      </c>
      <c r="N78" s="337">
        <v>10</v>
      </c>
      <c r="O78" s="339">
        <f t="shared" si="6"/>
        <v>0</v>
      </c>
      <c r="P78" s="339">
        <f t="shared" si="7"/>
        <v>0</v>
      </c>
      <c r="Q78" s="339">
        <f t="shared" si="8"/>
        <v>0</v>
      </c>
    </row>
    <row r="79" ht="22.5" customHeight="1" spans="1:17">
      <c r="A79" s="326">
        <v>77</v>
      </c>
      <c r="B79" s="326" t="s">
        <v>90</v>
      </c>
      <c r="C79" s="327">
        <f>SUM('Individual BD'!C79:N79)-'Individual BD'!K79-'Individual BD'!M79-'Individual BD'!N79</f>
        <v>0</v>
      </c>
      <c r="D79" s="327">
        <f>IF('CGS BD CAL'!M79&lt;20,0,'CGS BD CAL'!M79)</f>
        <v>0</v>
      </c>
      <c r="E79" s="327">
        <f>SUM('Individual BD'!K79+'Individual BD'!M79+'Individual BD'!N79)</f>
        <v>0</v>
      </c>
      <c r="F79" s="328">
        <v>0</v>
      </c>
      <c r="G79" s="329">
        <v>0</v>
      </c>
      <c r="H79" s="327">
        <v>0</v>
      </c>
      <c r="I79" s="334">
        <f>'SCADA Grid'!D80</f>
        <v>-123.27</v>
      </c>
      <c r="J79" s="335">
        <f>'SCADA Grid'!C80</f>
        <v>50.01</v>
      </c>
      <c r="K79" s="336">
        <f>IEX!G87</f>
        <v>0</v>
      </c>
      <c r="L79" s="337">
        <v>10</v>
      </c>
      <c r="M79" s="338">
        <f>RTM!G88</f>
        <v>-300</v>
      </c>
      <c r="N79" s="337">
        <v>10</v>
      </c>
      <c r="O79" s="339">
        <f t="shared" si="6"/>
        <v>0</v>
      </c>
      <c r="P79" s="339">
        <f t="shared" si="7"/>
        <v>0</v>
      </c>
      <c r="Q79" s="339">
        <f t="shared" si="8"/>
        <v>0</v>
      </c>
    </row>
    <row r="80" ht="22.5" customHeight="1" spans="1:17">
      <c r="A80" s="326">
        <v>78</v>
      </c>
      <c r="B80" s="326" t="s">
        <v>91</v>
      </c>
      <c r="C80" s="327">
        <f>SUM('Individual BD'!C80:N80)-'Individual BD'!K80-'Individual BD'!M80-'Individual BD'!N80</f>
        <v>0</v>
      </c>
      <c r="D80" s="327">
        <f>IF('CGS BD CAL'!M80&lt;20,0,'CGS BD CAL'!M80)</f>
        <v>0</v>
      </c>
      <c r="E80" s="327">
        <f>SUM('Individual BD'!K80+'Individual BD'!M80+'Individual BD'!N80)</f>
        <v>0</v>
      </c>
      <c r="F80" s="328">
        <v>0</v>
      </c>
      <c r="G80" s="329">
        <v>0</v>
      </c>
      <c r="H80" s="327">
        <v>0</v>
      </c>
      <c r="I80" s="334">
        <f>'SCADA Grid'!D81</f>
        <v>-350.88</v>
      </c>
      <c r="J80" s="335">
        <f>'SCADA Grid'!C81</f>
        <v>50.03</v>
      </c>
      <c r="K80" s="336">
        <f>IEX!G88</f>
        <v>0</v>
      </c>
      <c r="L80" s="337">
        <v>10</v>
      </c>
      <c r="M80" s="338">
        <f>RTM!G89</f>
        <v>-300</v>
      </c>
      <c r="N80" s="337">
        <v>10</v>
      </c>
      <c r="O80" s="339">
        <f t="shared" si="6"/>
        <v>0</v>
      </c>
      <c r="P80" s="339">
        <f t="shared" si="7"/>
        <v>0</v>
      </c>
      <c r="Q80" s="339">
        <f t="shared" si="8"/>
        <v>0</v>
      </c>
    </row>
    <row r="81" ht="22.5" customHeight="1" spans="1:17">
      <c r="A81" s="326">
        <v>79</v>
      </c>
      <c r="B81" s="326" t="s">
        <v>92</v>
      </c>
      <c r="C81" s="327">
        <f>SUM('Individual BD'!C81:N81)-'Individual BD'!K81-'Individual BD'!M81-'Individual BD'!N81</f>
        <v>0</v>
      </c>
      <c r="D81" s="327">
        <f>IF('CGS BD CAL'!M81&lt;20,0,'CGS BD CAL'!M81)</f>
        <v>0</v>
      </c>
      <c r="E81" s="327">
        <f>SUM('Individual BD'!K81+'Individual BD'!M81+'Individual BD'!N81)</f>
        <v>0</v>
      </c>
      <c r="F81" s="328">
        <v>0</v>
      </c>
      <c r="G81" s="329">
        <v>0</v>
      </c>
      <c r="H81" s="327">
        <v>0</v>
      </c>
      <c r="I81" s="334">
        <f>'SCADA Grid'!D82</f>
        <v>-181.01</v>
      </c>
      <c r="J81" s="335">
        <f>'SCADA Grid'!C82</f>
        <v>50.05</v>
      </c>
      <c r="K81" s="336">
        <f>IEX!G89</f>
        <v>0</v>
      </c>
      <c r="L81" s="337">
        <v>10</v>
      </c>
      <c r="M81" s="338">
        <f>RTM!G90</f>
        <v>-200</v>
      </c>
      <c r="N81" s="337">
        <v>10</v>
      </c>
      <c r="O81" s="339">
        <f t="shared" si="6"/>
        <v>0</v>
      </c>
      <c r="P81" s="339">
        <f t="shared" si="7"/>
        <v>0</v>
      </c>
      <c r="Q81" s="339">
        <f t="shared" si="8"/>
        <v>0</v>
      </c>
    </row>
    <row r="82" ht="22.5" customHeight="1" spans="1:17">
      <c r="A82" s="326">
        <v>80</v>
      </c>
      <c r="B82" s="326" t="s">
        <v>93</v>
      </c>
      <c r="C82" s="327">
        <f>SUM('Individual BD'!C82:N82)-'Individual BD'!K82-'Individual BD'!M82-'Individual BD'!N82</f>
        <v>0</v>
      </c>
      <c r="D82" s="327">
        <f>IF('CGS BD CAL'!M82&lt;20,0,'CGS BD CAL'!M82)</f>
        <v>0</v>
      </c>
      <c r="E82" s="327">
        <f>SUM('Individual BD'!K82+'Individual BD'!M82+'Individual BD'!N82)</f>
        <v>0</v>
      </c>
      <c r="F82" s="328">
        <v>0</v>
      </c>
      <c r="G82" s="329">
        <v>0</v>
      </c>
      <c r="H82" s="327">
        <v>0</v>
      </c>
      <c r="I82" s="334">
        <f>'SCADA Grid'!D83</f>
        <v>-87.33</v>
      </c>
      <c r="J82" s="335">
        <f>'SCADA Grid'!C83</f>
        <v>50.07</v>
      </c>
      <c r="K82" s="336">
        <f>IEX!G90</f>
        <v>0</v>
      </c>
      <c r="L82" s="337">
        <v>9.94936</v>
      </c>
      <c r="M82" s="338">
        <f>RTM!G91</f>
        <v>-300</v>
      </c>
      <c r="N82" s="337">
        <v>9.99961</v>
      </c>
      <c r="O82" s="339">
        <f t="shared" si="6"/>
        <v>0</v>
      </c>
      <c r="P82" s="339">
        <f t="shared" si="7"/>
        <v>0</v>
      </c>
      <c r="Q82" s="339">
        <f t="shared" si="8"/>
        <v>0</v>
      </c>
    </row>
    <row r="83" ht="22.5" customHeight="1" spans="1:17">
      <c r="A83" s="326">
        <v>81</v>
      </c>
      <c r="B83" s="326" t="s">
        <v>94</v>
      </c>
      <c r="C83" s="327">
        <f>SUM('Individual BD'!C83:N83)-'Individual BD'!K83-'Individual BD'!M83-'Individual BD'!N83</f>
        <v>0</v>
      </c>
      <c r="D83" s="327">
        <f>IF('CGS BD CAL'!M83&lt;20,0,'CGS BD CAL'!M83)</f>
        <v>0</v>
      </c>
      <c r="E83" s="327">
        <f>SUM('Individual BD'!K83+'Individual BD'!M83+'Individual BD'!N83)</f>
        <v>0</v>
      </c>
      <c r="F83" s="328">
        <v>0</v>
      </c>
      <c r="G83" s="329">
        <v>0</v>
      </c>
      <c r="H83" s="327">
        <v>0</v>
      </c>
      <c r="I83" s="334">
        <f>'SCADA Grid'!D84</f>
        <v>-186.96</v>
      </c>
      <c r="J83" s="335">
        <f>'SCADA Grid'!C84</f>
        <v>50.07</v>
      </c>
      <c r="K83" s="336">
        <f>IEX!G91</f>
        <v>0</v>
      </c>
      <c r="L83" s="337">
        <v>5.75049</v>
      </c>
      <c r="M83" s="338">
        <f>RTM!G92</f>
        <v>-300</v>
      </c>
      <c r="N83" s="337">
        <v>5.78974</v>
      </c>
      <c r="O83" s="339">
        <f t="shared" si="6"/>
        <v>0</v>
      </c>
      <c r="P83" s="339">
        <f t="shared" si="7"/>
        <v>0</v>
      </c>
      <c r="Q83" s="339">
        <f t="shared" si="8"/>
        <v>0</v>
      </c>
    </row>
    <row r="84" ht="22.5" customHeight="1" spans="1:17">
      <c r="A84" s="326">
        <v>82</v>
      </c>
      <c r="B84" s="326" t="s">
        <v>95</v>
      </c>
      <c r="C84" s="327">
        <f>SUM('Individual BD'!C84:N84)-'Individual BD'!K84-'Individual BD'!M84-'Individual BD'!N84</f>
        <v>0</v>
      </c>
      <c r="D84" s="327">
        <f>IF('CGS BD CAL'!M84&lt;20,0,'CGS BD CAL'!M84)</f>
        <v>0</v>
      </c>
      <c r="E84" s="327">
        <f>SUM('Individual BD'!K84+'Individual BD'!M84+'Individual BD'!N84)</f>
        <v>0</v>
      </c>
      <c r="F84" s="328">
        <v>0</v>
      </c>
      <c r="G84" s="329">
        <v>0</v>
      </c>
      <c r="H84" s="327">
        <v>0</v>
      </c>
      <c r="I84" s="334">
        <f>'SCADA Grid'!D85</f>
        <v>-263.27</v>
      </c>
      <c r="J84" s="335">
        <f>'SCADA Grid'!C85</f>
        <v>50.03</v>
      </c>
      <c r="K84" s="336">
        <f>IEX!G92</f>
        <v>0</v>
      </c>
      <c r="L84" s="337">
        <v>5.50078</v>
      </c>
      <c r="M84" s="338">
        <f>RTM!G93</f>
        <v>-300</v>
      </c>
      <c r="N84" s="337">
        <v>5.64974</v>
      </c>
      <c r="O84" s="339">
        <f t="shared" si="6"/>
        <v>0</v>
      </c>
      <c r="P84" s="339">
        <f t="shared" si="7"/>
        <v>0</v>
      </c>
      <c r="Q84" s="339">
        <f t="shared" si="8"/>
        <v>0</v>
      </c>
    </row>
    <row r="85" ht="22.5" customHeight="1" spans="1:17">
      <c r="A85" s="326">
        <v>83</v>
      </c>
      <c r="B85" s="326" t="s">
        <v>96</v>
      </c>
      <c r="C85" s="327">
        <f>SUM('Individual BD'!C85:N85)-'Individual BD'!K85-'Individual BD'!M85-'Individual BD'!N85</f>
        <v>7.56999999999994</v>
      </c>
      <c r="D85" s="327">
        <f>IF('CGS BD CAL'!M85&lt;20,0,'CGS BD CAL'!M85)</f>
        <v>82.480207</v>
      </c>
      <c r="E85" s="327">
        <f>SUM('Individual BD'!K85+'Individual BD'!M85+'Individual BD'!N85)</f>
        <v>0</v>
      </c>
      <c r="F85" s="328">
        <v>0</v>
      </c>
      <c r="G85" s="329">
        <v>0</v>
      </c>
      <c r="H85" s="327">
        <v>0</v>
      </c>
      <c r="I85" s="334">
        <f>'SCADA Grid'!D86</f>
        <v>-40.18</v>
      </c>
      <c r="J85" s="335">
        <f>'SCADA Grid'!C86</f>
        <v>50.01</v>
      </c>
      <c r="K85" s="336">
        <f>IEX!G93</f>
        <v>-100</v>
      </c>
      <c r="L85" s="337">
        <v>5.50052</v>
      </c>
      <c r="M85" s="338">
        <f>RTM!G94</f>
        <v>-500</v>
      </c>
      <c r="N85" s="337">
        <v>5.00063</v>
      </c>
      <c r="O85" s="339">
        <f t="shared" si="6"/>
        <v>0</v>
      </c>
      <c r="P85" s="339">
        <f t="shared" si="7"/>
        <v>0</v>
      </c>
      <c r="Q85" s="339">
        <f t="shared" si="8"/>
        <v>0</v>
      </c>
    </row>
    <row r="86" ht="22.5" customHeight="1" spans="1:17">
      <c r="A86" s="326">
        <v>84</v>
      </c>
      <c r="B86" s="326" t="s">
        <v>97</v>
      </c>
      <c r="C86" s="327">
        <f>SUM('Individual BD'!C86:N86)-'Individual BD'!K86-'Individual BD'!M86-'Individual BD'!N86</f>
        <v>141.33</v>
      </c>
      <c r="D86" s="327">
        <f>IF('CGS BD CAL'!M86&lt;20,0,'CGS BD CAL'!M86)</f>
        <v>123.050207</v>
      </c>
      <c r="E86" s="327">
        <f>SUM('Individual BD'!K86+'Individual BD'!M86+'Individual BD'!N86)</f>
        <v>0</v>
      </c>
      <c r="F86" s="328">
        <v>0</v>
      </c>
      <c r="G86" s="329">
        <v>0</v>
      </c>
      <c r="H86" s="327">
        <v>0</v>
      </c>
      <c r="I86" s="334">
        <f>'SCADA Grid'!D87</f>
        <v>139.14</v>
      </c>
      <c r="J86" s="335">
        <f>'SCADA Grid'!C87</f>
        <v>50</v>
      </c>
      <c r="K86" s="336">
        <f>IEX!G94</f>
        <v>-200</v>
      </c>
      <c r="L86" s="337">
        <v>5.00005</v>
      </c>
      <c r="M86" s="338">
        <f>RTM!G95</f>
        <v>-600</v>
      </c>
      <c r="N86" s="337">
        <v>4.66506</v>
      </c>
      <c r="O86" s="339">
        <f t="shared" si="6"/>
        <v>0</v>
      </c>
      <c r="P86" s="339">
        <f t="shared" si="7"/>
        <v>0</v>
      </c>
      <c r="Q86" s="339">
        <f t="shared" si="8"/>
        <v>0</v>
      </c>
    </row>
    <row r="87" ht="22.5" customHeight="1" spans="1:17">
      <c r="A87" s="326">
        <v>85</v>
      </c>
      <c r="B87" s="326" t="s">
        <v>98</v>
      </c>
      <c r="C87" s="327">
        <f>SUM('Individual BD'!C87:N87)-'Individual BD'!K87-'Individual BD'!M87-'Individual BD'!N87</f>
        <v>247.57</v>
      </c>
      <c r="D87" s="327">
        <f>IF('CGS BD CAL'!M87&lt;20,0,'CGS BD CAL'!M87)</f>
        <v>123.050207</v>
      </c>
      <c r="E87" s="327">
        <f>SUM('Individual BD'!K87+'Individual BD'!M87+'Individual BD'!N87)</f>
        <v>0</v>
      </c>
      <c r="F87" s="328">
        <v>0</v>
      </c>
      <c r="G87" s="329">
        <v>0</v>
      </c>
      <c r="H87" s="327">
        <v>0</v>
      </c>
      <c r="I87" s="334">
        <f>'SCADA Grid'!D88</f>
        <v>-114.7</v>
      </c>
      <c r="J87" s="335">
        <f>'SCADA Grid'!C88</f>
        <v>50.01</v>
      </c>
      <c r="K87" s="336">
        <f>IEX!G95</f>
        <v>-400</v>
      </c>
      <c r="L87" s="337">
        <v>4.70017</v>
      </c>
      <c r="M87" s="338">
        <f>RTM!G96</f>
        <v>0</v>
      </c>
      <c r="N87" s="337">
        <v>4.44986</v>
      </c>
      <c r="O87" s="339">
        <f t="shared" si="6"/>
        <v>0</v>
      </c>
      <c r="P87" s="339">
        <f t="shared" si="7"/>
        <v>0</v>
      </c>
      <c r="Q87" s="339">
        <f t="shared" si="8"/>
        <v>0</v>
      </c>
    </row>
    <row r="88" ht="22.5" customHeight="1" spans="1:17">
      <c r="A88" s="326">
        <v>86</v>
      </c>
      <c r="B88" s="326" t="s">
        <v>99</v>
      </c>
      <c r="C88" s="327">
        <f>SUM('Individual BD'!C88:N88)-'Individual BD'!K88-'Individual BD'!M88-'Individual BD'!N88</f>
        <v>324.62</v>
      </c>
      <c r="D88" s="327">
        <f>IF('CGS BD CAL'!M88&lt;20,0,'CGS BD CAL'!M88)</f>
        <v>123.050207</v>
      </c>
      <c r="E88" s="327">
        <f>SUM('Individual BD'!K88+'Individual BD'!M88+'Individual BD'!N88)</f>
        <v>0</v>
      </c>
      <c r="F88" s="328">
        <v>0</v>
      </c>
      <c r="G88" s="329">
        <v>0</v>
      </c>
      <c r="H88" s="327">
        <v>0</v>
      </c>
      <c r="I88" s="334">
        <f>'SCADA Grid'!D89</f>
        <v>-210.55</v>
      </c>
      <c r="J88" s="335">
        <f>'SCADA Grid'!C89</f>
        <v>50.03</v>
      </c>
      <c r="K88" s="336">
        <f>IEX!G96</f>
        <v>-400</v>
      </c>
      <c r="L88" s="337">
        <v>4.67357</v>
      </c>
      <c r="M88" s="338">
        <f>RTM!G97</f>
        <v>0</v>
      </c>
      <c r="N88" s="337">
        <v>3.87159</v>
      </c>
      <c r="O88" s="339">
        <f t="shared" si="6"/>
        <v>0</v>
      </c>
      <c r="P88" s="339">
        <f t="shared" si="7"/>
        <v>0</v>
      </c>
      <c r="Q88" s="339">
        <f t="shared" si="8"/>
        <v>0</v>
      </c>
    </row>
    <row r="89" ht="22.5" customHeight="1" spans="1:17">
      <c r="A89" s="326">
        <v>87</v>
      </c>
      <c r="B89" s="326" t="s">
        <v>100</v>
      </c>
      <c r="C89" s="327">
        <f>SUM('Individual BD'!C89:N89)-'Individual BD'!K89-'Individual BD'!M89-'Individual BD'!N89</f>
        <v>409.76</v>
      </c>
      <c r="D89" s="327">
        <f>IF('CGS BD CAL'!M89&lt;20,0,'CGS BD CAL'!M89)</f>
        <v>118.298389</v>
      </c>
      <c r="E89" s="327">
        <f>SUM('Individual BD'!K89+'Individual BD'!M89+'Individual BD'!N89)</f>
        <v>0</v>
      </c>
      <c r="F89" s="328">
        <v>0</v>
      </c>
      <c r="G89" s="329">
        <v>0</v>
      </c>
      <c r="H89" s="327">
        <v>0</v>
      </c>
      <c r="I89" s="334">
        <f>'SCADA Grid'!D90</f>
        <v>-258.25</v>
      </c>
      <c r="J89" s="335">
        <f>'SCADA Grid'!C90</f>
        <v>50</v>
      </c>
      <c r="K89" s="336">
        <f>IEX!G97</f>
        <v>-400</v>
      </c>
      <c r="L89" s="337">
        <v>4.67242</v>
      </c>
      <c r="M89" s="338">
        <f>RTM!G98</f>
        <v>0</v>
      </c>
      <c r="N89" s="337">
        <v>3.81834</v>
      </c>
      <c r="O89" s="339">
        <f t="shared" si="6"/>
        <v>0</v>
      </c>
      <c r="P89" s="339">
        <f t="shared" si="7"/>
        <v>0</v>
      </c>
      <c r="Q89" s="339">
        <f t="shared" si="8"/>
        <v>0</v>
      </c>
    </row>
    <row r="90" ht="22.5" customHeight="1" spans="1:17">
      <c r="A90" s="326">
        <v>88</v>
      </c>
      <c r="B90" s="326" t="s">
        <v>101</v>
      </c>
      <c r="C90" s="327">
        <f>SUM('Individual BD'!C90:N90)-'Individual BD'!K90-'Individual BD'!M90-'Individual BD'!N90</f>
        <v>573.97</v>
      </c>
      <c r="D90" s="327">
        <f>IF('CGS BD CAL'!M90&lt;20,0,'CGS BD CAL'!M90)</f>
        <v>262.938389</v>
      </c>
      <c r="E90" s="327">
        <f>SUM('Individual BD'!K90+'Individual BD'!M90+'Individual BD'!N90)</f>
        <v>0</v>
      </c>
      <c r="F90" s="328">
        <v>0</v>
      </c>
      <c r="G90" s="329">
        <v>0</v>
      </c>
      <c r="H90" s="327">
        <v>0</v>
      </c>
      <c r="I90" s="334">
        <f>'SCADA Grid'!D91</f>
        <v>-199.57</v>
      </c>
      <c r="J90" s="335">
        <f>'SCADA Grid'!C91</f>
        <v>50.04</v>
      </c>
      <c r="K90" s="336">
        <f>IEX!G98</f>
        <v>-273.7</v>
      </c>
      <c r="L90" s="337">
        <v>4.48773</v>
      </c>
      <c r="M90" s="338">
        <f>RTM!G99</f>
        <v>0</v>
      </c>
      <c r="N90" s="337">
        <v>3.58096</v>
      </c>
      <c r="O90" s="339">
        <f t="shared" si="6"/>
        <v>0</v>
      </c>
      <c r="P90" s="339">
        <f t="shared" si="7"/>
        <v>0</v>
      </c>
      <c r="Q90" s="339">
        <f t="shared" si="8"/>
        <v>0</v>
      </c>
    </row>
    <row r="91" ht="22.5" customHeight="1" spans="1:17">
      <c r="A91" s="326">
        <v>89</v>
      </c>
      <c r="B91" s="326" t="s">
        <v>102</v>
      </c>
      <c r="C91" s="327">
        <f>SUM('Individual BD'!C91:N91)-'Individual BD'!K91-'Individual BD'!M91-'Individual BD'!N91</f>
        <v>786.82</v>
      </c>
      <c r="D91" s="327">
        <f>IF('CGS BD CAL'!M91&lt;20,0,'CGS BD CAL'!M91)</f>
        <v>359.427785</v>
      </c>
      <c r="E91" s="327">
        <f>SUM('Individual BD'!K91+'Individual BD'!M91+'Individual BD'!N91)</f>
        <v>0</v>
      </c>
      <c r="F91" s="328">
        <v>0</v>
      </c>
      <c r="G91" s="329">
        <v>0</v>
      </c>
      <c r="H91" s="327">
        <v>0</v>
      </c>
      <c r="I91" s="334">
        <f>'SCADA Grid'!D92</f>
        <v>-29.49</v>
      </c>
      <c r="J91" s="335">
        <f>'SCADA Grid'!C92</f>
        <v>49.98</v>
      </c>
      <c r="K91" s="336">
        <f>IEX!G99</f>
        <v>0</v>
      </c>
      <c r="L91" s="337">
        <v>3.85971</v>
      </c>
      <c r="M91" s="338">
        <f>RTM!G100</f>
        <v>0</v>
      </c>
      <c r="N91" s="337">
        <v>3.43891</v>
      </c>
      <c r="O91" s="339">
        <f t="shared" si="6"/>
        <v>0</v>
      </c>
      <c r="P91" s="339">
        <f t="shared" si="7"/>
        <v>0</v>
      </c>
      <c r="Q91" s="339">
        <f t="shared" si="8"/>
        <v>0</v>
      </c>
    </row>
    <row r="92" ht="22.5" customHeight="1" spans="1:17">
      <c r="A92" s="326">
        <v>90</v>
      </c>
      <c r="B92" s="326" t="s">
        <v>103</v>
      </c>
      <c r="C92" s="327">
        <f>SUM('Individual BD'!C92:N92)-'Individual BD'!K92-'Individual BD'!M92-'Individual BD'!N92</f>
        <v>875.51</v>
      </c>
      <c r="D92" s="327">
        <f>IF('CGS BD CAL'!M92&lt;20,0,'CGS BD CAL'!M92)</f>
        <v>416.977785</v>
      </c>
      <c r="E92" s="327">
        <f>SUM('Individual BD'!K92+'Individual BD'!M92+'Individual BD'!N92)</f>
        <v>0</v>
      </c>
      <c r="F92" s="328">
        <v>0</v>
      </c>
      <c r="G92" s="329">
        <v>0</v>
      </c>
      <c r="H92" s="327">
        <v>0</v>
      </c>
      <c r="I92" s="334">
        <f>'SCADA Grid'!D93</f>
        <v>10.38</v>
      </c>
      <c r="J92" s="335">
        <f>'SCADA Grid'!C93</f>
        <v>49.99</v>
      </c>
      <c r="K92" s="336">
        <f>IEX!G100</f>
        <v>0</v>
      </c>
      <c r="L92" s="337">
        <v>3.85939</v>
      </c>
      <c r="M92" s="338">
        <f>RTM!G101</f>
        <v>0</v>
      </c>
      <c r="N92" s="337">
        <v>3.3221</v>
      </c>
      <c r="O92" s="339">
        <f t="shared" si="6"/>
        <v>0</v>
      </c>
      <c r="P92" s="339">
        <f t="shared" si="7"/>
        <v>0</v>
      </c>
      <c r="Q92" s="339">
        <f t="shared" si="8"/>
        <v>0</v>
      </c>
    </row>
    <row r="93" ht="22.5" customHeight="1" spans="1:17">
      <c r="A93" s="326">
        <v>91</v>
      </c>
      <c r="B93" s="326" t="s">
        <v>104</v>
      </c>
      <c r="C93" s="327">
        <f>SUM('Individual BD'!C93:N93)-'Individual BD'!K93-'Individual BD'!M93-'Individual BD'!N93</f>
        <v>871.25</v>
      </c>
      <c r="D93" s="327">
        <f>IF('CGS BD CAL'!M93&lt;20,0,'CGS BD CAL'!M93)</f>
        <v>416.977785</v>
      </c>
      <c r="E93" s="327">
        <f>SUM('Individual BD'!K93+'Individual BD'!M93+'Individual BD'!N93)</f>
        <v>0</v>
      </c>
      <c r="F93" s="328">
        <v>0</v>
      </c>
      <c r="G93" s="329">
        <v>0</v>
      </c>
      <c r="H93" s="327">
        <v>0</v>
      </c>
      <c r="I93" s="334">
        <f>'SCADA Grid'!D94</f>
        <v>-103.63</v>
      </c>
      <c r="J93" s="335">
        <f>'SCADA Grid'!C94</f>
        <v>50.04</v>
      </c>
      <c r="K93" s="336">
        <f>IEX!G101</f>
        <v>0</v>
      </c>
      <c r="L93" s="337">
        <v>3.83108</v>
      </c>
      <c r="M93" s="338">
        <f>RTM!G102</f>
        <v>0</v>
      </c>
      <c r="N93" s="337">
        <v>2.96099</v>
      </c>
      <c r="O93" s="339">
        <f t="shared" si="6"/>
        <v>0</v>
      </c>
      <c r="P93" s="339">
        <f t="shared" si="7"/>
        <v>0</v>
      </c>
      <c r="Q93" s="339">
        <f t="shared" si="8"/>
        <v>0</v>
      </c>
    </row>
    <row r="94" ht="22.5" customHeight="1" spans="1:17">
      <c r="A94" s="326">
        <v>92</v>
      </c>
      <c r="B94" s="326" t="s">
        <v>105</v>
      </c>
      <c r="C94" s="327">
        <f>SUM('Individual BD'!C94:N94)-'Individual BD'!K94-'Individual BD'!M94-'Individual BD'!N94</f>
        <v>876.95</v>
      </c>
      <c r="D94" s="327">
        <f>IF('CGS BD CAL'!M94&lt;20,0,'CGS BD CAL'!M94)</f>
        <v>416.97052</v>
      </c>
      <c r="E94" s="327">
        <f>SUM('Individual BD'!K94+'Individual BD'!M94+'Individual BD'!N94)</f>
        <v>72.28</v>
      </c>
      <c r="F94" s="328">
        <v>0</v>
      </c>
      <c r="G94" s="329">
        <v>0</v>
      </c>
      <c r="H94" s="327">
        <v>0</v>
      </c>
      <c r="I94" s="334">
        <f>'SCADA Grid'!D95</f>
        <v>-269.5</v>
      </c>
      <c r="J94" s="335">
        <f>'SCADA Grid'!C95</f>
        <v>50.06</v>
      </c>
      <c r="K94" s="336">
        <f>IEX!G102</f>
        <v>0</v>
      </c>
      <c r="L94" s="337">
        <v>3.74605</v>
      </c>
      <c r="M94" s="338">
        <f>RTM!G103</f>
        <v>0</v>
      </c>
      <c r="N94" s="337">
        <v>2.38</v>
      </c>
      <c r="O94" s="339">
        <f t="shared" si="6"/>
        <v>0</v>
      </c>
      <c r="P94" s="339">
        <f t="shared" si="7"/>
        <v>0</v>
      </c>
      <c r="Q94" s="339">
        <f t="shared" si="8"/>
        <v>0</v>
      </c>
    </row>
    <row r="95" ht="22.5" customHeight="1" spans="1:17">
      <c r="A95" s="326">
        <v>93</v>
      </c>
      <c r="B95" s="326" t="s">
        <v>106</v>
      </c>
      <c r="C95" s="327">
        <f>SUM('Individual BD'!C95:N95)-'Individual BD'!K95-'Individual BD'!M95-'Individual BD'!N95</f>
        <v>1002.97</v>
      </c>
      <c r="D95" s="327">
        <f>IF('CGS BD CAL'!M95&lt;20,0,'CGS BD CAL'!M95)</f>
        <v>626.901171</v>
      </c>
      <c r="E95" s="327">
        <f>SUM('Individual BD'!K95+'Individual BD'!M95+'Individual BD'!N95)</f>
        <v>153.79</v>
      </c>
      <c r="F95" s="328">
        <v>0</v>
      </c>
      <c r="G95" s="329">
        <v>0</v>
      </c>
      <c r="H95" s="327">
        <v>0</v>
      </c>
      <c r="I95" s="334">
        <f>'SCADA Grid'!D96</f>
        <v>-38.62</v>
      </c>
      <c r="J95" s="335">
        <f>'SCADA Grid'!C96</f>
        <v>50.06</v>
      </c>
      <c r="K95" s="336">
        <f>IEX!G103</f>
        <v>0</v>
      </c>
      <c r="L95" s="337">
        <v>3.46622</v>
      </c>
      <c r="M95" s="338">
        <f>RTM!G104</f>
        <v>190.33</v>
      </c>
      <c r="N95" s="337">
        <v>2.80061</v>
      </c>
      <c r="O95" s="339">
        <f t="shared" si="6"/>
        <v>1</v>
      </c>
      <c r="P95" s="339">
        <f t="shared" si="7"/>
        <v>1</v>
      </c>
      <c r="Q95" s="339">
        <f t="shared" si="8"/>
        <v>1</v>
      </c>
    </row>
    <row r="96" ht="22.5" customHeight="1" spans="1:17">
      <c r="A96" s="326">
        <v>94</v>
      </c>
      <c r="B96" s="326" t="s">
        <v>107</v>
      </c>
      <c r="C96" s="327">
        <f>SUM('Individual BD'!C96:N96)-'Individual BD'!K96-'Individual BD'!M96-'Individual BD'!N96</f>
        <v>1074.11</v>
      </c>
      <c r="D96" s="327">
        <f>IF('CGS BD CAL'!M96&lt;20,0,'CGS BD CAL'!M96)</f>
        <v>915.045933</v>
      </c>
      <c r="E96" s="327">
        <f>SUM('Individual BD'!K96+'Individual BD'!M96+'Individual BD'!N96)</f>
        <v>204.26</v>
      </c>
      <c r="F96" s="328">
        <v>0</v>
      </c>
      <c r="G96" s="329">
        <v>0</v>
      </c>
      <c r="H96" s="327">
        <v>0</v>
      </c>
      <c r="I96" s="334">
        <f>'SCADA Grid'!D97</f>
        <v>4.27</v>
      </c>
      <c r="J96" s="335">
        <f>'SCADA Grid'!C97</f>
        <v>50.05</v>
      </c>
      <c r="K96" s="336">
        <f>IEX!G104</f>
        <v>0</v>
      </c>
      <c r="L96" s="337">
        <v>3.1715</v>
      </c>
      <c r="M96" s="338">
        <f>RTM!G105</f>
        <v>475.91</v>
      </c>
      <c r="N96" s="337">
        <v>2.89979</v>
      </c>
      <c r="O96" s="339">
        <f t="shared" si="6"/>
        <v>1</v>
      </c>
      <c r="P96" s="339">
        <f t="shared" si="7"/>
        <v>1</v>
      </c>
      <c r="Q96" s="339">
        <f t="shared" si="8"/>
        <v>1</v>
      </c>
    </row>
    <row r="97" ht="22.5" customHeight="1" spans="1:17">
      <c r="A97" s="326">
        <v>95</v>
      </c>
      <c r="B97" s="326" t="s">
        <v>108</v>
      </c>
      <c r="C97" s="327">
        <f>SUM('Individual BD'!C97:N97)-'Individual BD'!K97-'Individual BD'!M97-'Individual BD'!N97</f>
        <v>1059.49</v>
      </c>
      <c r="D97" s="327">
        <f>IF('CGS BD CAL'!M97&lt;20,0,'CGS BD CAL'!M97)</f>
        <v>1032.436476</v>
      </c>
      <c r="E97" s="327">
        <f>SUM('Individual BD'!K97+'Individual BD'!M97+'Individual BD'!N97)</f>
        <v>204.29</v>
      </c>
      <c r="F97" s="328">
        <v>0</v>
      </c>
      <c r="G97" s="329">
        <v>0</v>
      </c>
      <c r="H97" s="327">
        <v>0</v>
      </c>
      <c r="I97" s="334">
        <f>'SCADA Grid'!D98</f>
        <v>-160.02</v>
      </c>
      <c r="J97" s="335">
        <f>'SCADA Grid'!C98</f>
        <v>50.03</v>
      </c>
      <c r="K97" s="336">
        <f>IEX!G105</f>
        <v>0</v>
      </c>
      <c r="L97" s="337">
        <v>3.00168</v>
      </c>
      <c r="M97" s="338">
        <f>RTM!G106</f>
        <v>666.29</v>
      </c>
      <c r="N97" s="337">
        <v>2.88345</v>
      </c>
      <c r="O97" s="339">
        <f t="shared" si="6"/>
        <v>1</v>
      </c>
      <c r="P97" s="339">
        <f t="shared" si="7"/>
        <v>1</v>
      </c>
      <c r="Q97" s="339">
        <f t="shared" si="8"/>
        <v>1</v>
      </c>
    </row>
    <row r="98" ht="22.5" customHeight="1" spans="1:17">
      <c r="A98" s="326">
        <v>96</v>
      </c>
      <c r="B98" s="326" t="s">
        <v>109</v>
      </c>
      <c r="C98" s="327">
        <f>SUM('Individual BD'!C98:N98)-'Individual BD'!K98-'Individual BD'!M98-'Individual BD'!N98</f>
        <v>1057.09</v>
      </c>
      <c r="D98" s="327">
        <f>IF('CGS BD CAL'!M98&lt;20,0,'CGS BD CAL'!M98)</f>
        <v>1032.436476</v>
      </c>
      <c r="E98" s="327">
        <f>SUM('Individual BD'!K98+'Individual BD'!M98+'Individual BD'!N98)</f>
        <v>205.93</v>
      </c>
      <c r="F98" s="328">
        <v>0</v>
      </c>
      <c r="G98" s="329">
        <v>0</v>
      </c>
      <c r="H98" s="327">
        <v>0</v>
      </c>
      <c r="I98" s="334">
        <f>'SCADA Grid'!D99</f>
        <v>-170.41</v>
      </c>
      <c r="J98" s="335">
        <f>'SCADA Grid'!C99</f>
        <v>50.03</v>
      </c>
      <c r="K98" s="336">
        <f>IEX!G106</f>
        <v>0</v>
      </c>
      <c r="L98" s="337">
        <v>2.83968</v>
      </c>
      <c r="M98" s="338">
        <f>RTM!G107</f>
        <v>571.1</v>
      </c>
      <c r="N98" s="337">
        <v>2.85274</v>
      </c>
      <c r="O98" s="339">
        <f t="shared" si="6"/>
        <v>1</v>
      </c>
      <c r="P98" s="339">
        <f t="shared" si="7"/>
        <v>1</v>
      </c>
      <c r="Q98" s="339">
        <f t="shared" si="8"/>
        <v>1</v>
      </c>
    </row>
    <row r="99" ht="27.75" customHeight="1" spans="1:16">
      <c r="A99" s="326"/>
      <c r="B99" s="325" t="s">
        <v>110</v>
      </c>
      <c r="C99" s="341">
        <f t="shared" ref="C99:I99" si="9">AVERAGE(C3:C98)*24/1000</f>
        <v>14.70867</v>
      </c>
      <c r="D99" s="341">
        <f t="shared" si="9"/>
        <v>9.02326772375</v>
      </c>
      <c r="E99" s="341">
        <f t="shared" si="9"/>
        <v>1.6308325</v>
      </c>
      <c r="F99" s="341">
        <f t="shared" si="9"/>
        <v>0</v>
      </c>
      <c r="G99" s="341">
        <f t="shared" si="9"/>
        <v>0</v>
      </c>
      <c r="H99" s="341">
        <f t="shared" si="9"/>
        <v>0</v>
      </c>
      <c r="I99" s="341">
        <f t="shared" si="9"/>
        <v>-1.856135</v>
      </c>
      <c r="J99" s="331">
        <f>AVERAGE(J3:J98)</f>
        <v>49.9816666666667</v>
      </c>
      <c r="K99" s="352">
        <f>AVERAGE(K3:K98)*24/1000</f>
        <v>5.6373225</v>
      </c>
      <c r="L99" s="353"/>
      <c r="M99" s="353">
        <f>AVERAGE(M3:M98)*24/1000</f>
        <v>8.500805</v>
      </c>
      <c r="N99" s="354"/>
      <c r="O99" s="330"/>
      <c r="P99" s="355"/>
    </row>
    <row r="100" s="317" customFormat="1" ht="72" customHeight="1" spans="1:16">
      <c r="A100" s="342"/>
      <c r="B100" s="343" t="s">
        <v>111</v>
      </c>
      <c r="C100" s="344"/>
      <c r="D100" s="344"/>
      <c r="E100" s="344"/>
      <c r="F100" s="344"/>
      <c r="G100" s="344"/>
      <c r="H100" s="344"/>
      <c r="I100" s="344"/>
      <c r="J100" s="344"/>
      <c r="K100" s="344"/>
      <c r="L100" s="344"/>
      <c r="M100" s="344"/>
      <c r="N100" s="356"/>
      <c r="P100" s="355"/>
    </row>
    <row r="101" s="1" customFormat="1" ht="32" customHeight="1" spans="1:16">
      <c r="A101" s="345"/>
      <c r="B101" s="343" t="s">
        <v>112</v>
      </c>
      <c r="C101" s="344"/>
      <c r="D101" s="344"/>
      <c r="E101" s="344"/>
      <c r="F101" s="344"/>
      <c r="G101" s="344"/>
      <c r="H101" s="344"/>
      <c r="I101" s="344"/>
      <c r="J101" s="344"/>
      <c r="K101" s="344"/>
      <c r="L101" s="344"/>
      <c r="M101" s="344"/>
      <c r="N101" s="356"/>
      <c r="O101" s="330"/>
      <c r="P101" s="355"/>
    </row>
    <row r="102" s="317" customFormat="1" ht="37" customHeight="1" spans="1:16">
      <c r="A102" s="346"/>
      <c r="B102" s="343" t="s">
        <v>113</v>
      </c>
      <c r="C102" s="344"/>
      <c r="D102" s="344"/>
      <c r="E102" s="344"/>
      <c r="F102" s="344"/>
      <c r="G102" s="344"/>
      <c r="H102" s="344"/>
      <c r="I102" s="344"/>
      <c r="J102" s="344"/>
      <c r="K102" s="344"/>
      <c r="L102" s="344"/>
      <c r="M102" s="344"/>
      <c r="N102" s="356"/>
      <c r="P102" s="355"/>
    </row>
    <row r="103" ht="30.75" customHeight="1" spans="6:16">
      <c r="F103" s="347"/>
      <c r="L103" s="355"/>
      <c r="P103" s="355"/>
    </row>
    <row r="104" ht="20.25" spans="12:16">
      <c r="L104" s="355"/>
      <c r="M104" s="321" t="s">
        <v>114</v>
      </c>
      <c r="P104" s="355"/>
    </row>
    <row r="105" ht="20.25" spans="12:16">
      <c r="L105" s="355"/>
      <c r="P105" s="355"/>
    </row>
    <row r="106" s="318" customFormat="1" ht="18" spans="2:16">
      <c r="B106" s="348" t="s">
        <v>115</v>
      </c>
      <c r="C106" s="349">
        <f t="shared" ref="C106:G106" si="10">MIN(C3:C98)</f>
        <v>0</v>
      </c>
      <c r="D106" s="349">
        <f t="shared" si="10"/>
        <v>0</v>
      </c>
      <c r="E106" s="349">
        <f t="shared" si="10"/>
        <v>0</v>
      </c>
      <c r="F106" s="349">
        <f t="shared" si="10"/>
        <v>0</v>
      </c>
      <c r="G106" s="350">
        <f t="shared" si="10"/>
        <v>0</v>
      </c>
      <c r="H106" s="350"/>
      <c r="I106" s="348">
        <f t="shared" ref="I106:K106" si="11">MIN(I3:I98)</f>
        <v>-647.5</v>
      </c>
      <c r="J106" s="349">
        <f t="shared" si="11"/>
        <v>45.96</v>
      </c>
      <c r="K106" s="357">
        <f t="shared" si="11"/>
        <v>-400</v>
      </c>
      <c r="L106" s="358"/>
      <c r="M106" s="357">
        <f>MIN(M3:M98)</f>
        <v>-600</v>
      </c>
      <c r="N106" s="357">
        <f>MIN(N3:N98)</f>
        <v>1.89933</v>
      </c>
      <c r="P106" s="358"/>
    </row>
    <row r="107" s="318" customFormat="1" ht="18" spans="2:16">
      <c r="B107" s="348" t="s">
        <v>116</v>
      </c>
      <c r="C107" s="349">
        <f t="shared" ref="C107:G107" si="12">MAX(C3:C98)</f>
        <v>1518.03</v>
      </c>
      <c r="D107" s="349">
        <f t="shared" si="12"/>
        <v>1146.062079</v>
      </c>
      <c r="E107" s="349">
        <f t="shared" si="12"/>
        <v>364.37</v>
      </c>
      <c r="F107" s="349">
        <f t="shared" si="12"/>
        <v>0</v>
      </c>
      <c r="G107" s="349">
        <f t="shared" si="12"/>
        <v>0</v>
      </c>
      <c r="H107" s="349"/>
      <c r="I107" s="349">
        <f t="shared" ref="I107:K107" si="13">MAX(I3:I98)</f>
        <v>413.68</v>
      </c>
      <c r="J107" s="349">
        <f t="shared" si="13"/>
        <v>50.25</v>
      </c>
      <c r="K107" s="357">
        <f t="shared" si="13"/>
        <v>1618.23</v>
      </c>
      <c r="L107" s="358"/>
      <c r="M107" s="357">
        <f>MAX(M3:M98)</f>
        <v>1142.28</v>
      </c>
      <c r="N107" s="357">
        <f>MAX(N3:N98)</f>
        <v>10</v>
      </c>
      <c r="P107" s="358"/>
    </row>
    <row r="108" s="317" customFormat="1" spans="2:16">
      <c r="B108" s="319"/>
      <c r="C108" s="351"/>
      <c r="D108" s="321"/>
      <c r="G108" s="321"/>
      <c r="H108" s="321"/>
      <c r="K108" s="321"/>
      <c r="L108" s="355"/>
      <c r="M108" s="321"/>
      <c r="N108" s="321"/>
      <c r="P108" s="355"/>
    </row>
    <row r="109" s="317" customFormat="1" spans="2:16">
      <c r="B109" s="319"/>
      <c r="C109" s="320"/>
      <c r="D109" s="321"/>
      <c r="G109" s="321"/>
      <c r="H109" s="321"/>
      <c r="K109" s="321">
        <f>MIN(K3:K98)</f>
        <v>-400</v>
      </c>
      <c r="L109" s="355"/>
      <c r="M109" s="321"/>
      <c r="N109" s="321"/>
      <c r="P109" s="355"/>
    </row>
    <row r="110" s="317" customFormat="1" spans="2:16">
      <c r="B110" s="319"/>
      <c r="C110" s="320"/>
      <c r="D110" s="321"/>
      <c r="G110" s="321"/>
      <c r="H110" s="321"/>
      <c r="K110" s="321"/>
      <c r="L110" s="355"/>
      <c r="M110" s="321"/>
      <c r="N110" s="321"/>
      <c r="P110" s="355"/>
    </row>
    <row r="111" s="317" customFormat="1" spans="2:16">
      <c r="B111" s="319"/>
      <c r="C111" s="320"/>
      <c r="D111" s="321"/>
      <c r="G111" s="321"/>
      <c r="H111" s="321"/>
      <c r="K111" s="321"/>
      <c r="L111" s="355"/>
      <c r="M111" s="321"/>
      <c r="N111" s="321"/>
      <c r="P111" s="355"/>
    </row>
    <row r="112" s="317" customFormat="1" spans="2:16">
      <c r="B112" s="319"/>
      <c r="C112" s="320"/>
      <c r="D112" s="321"/>
      <c r="G112" s="321"/>
      <c r="H112" s="321"/>
      <c r="K112" s="321"/>
      <c r="L112" s="355"/>
      <c r="M112" s="321"/>
      <c r="N112" s="321"/>
      <c r="P112" s="355"/>
    </row>
    <row r="113" s="317" customFormat="1" spans="2:16">
      <c r="B113" s="319"/>
      <c r="C113" s="320"/>
      <c r="D113" s="321"/>
      <c r="G113" s="321"/>
      <c r="H113" s="321"/>
      <c r="K113" s="321"/>
      <c r="L113" s="355"/>
      <c r="M113" s="321"/>
      <c r="N113" s="321"/>
      <c r="P113" s="355"/>
    </row>
    <row r="114" ht="20.25" spans="12:16">
      <c r="L114" s="355"/>
      <c r="P114" s="355"/>
    </row>
    <row r="115" ht="20.25" spans="12:16">
      <c r="L115" s="355"/>
      <c r="P115" s="355"/>
    </row>
    <row r="122" ht="20.25" spans="2:2">
      <c r="B122" s="319">
        <v>0</v>
      </c>
    </row>
  </sheetData>
  <mergeCells count="4">
    <mergeCell ref="A1:N1"/>
    <mergeCell ref="B100:N100"/>
    <mergeCell ref="B101:N101"/>
    <mergeCell ref="B102:N102"/>
  </mergeCells>
  <conditionalFormatting sqref="C3:C98">
    <cfRule type="expression" dxfId="0" priority="11">
      <formula>$O3</formula>
    </cfRule>
  </conditionalFormatting>
  <conditionalFormatting sqref="D3:D98">
    <cfRule type="expression" dxfId="1" priority="10">
      <formula>$P3</formula>
    </cfRule>
  </conditionalFormatting>
  <conditionalFormatting sqref="E3:E98">
    <cfRule type="expression" dxfId="2" priority="9">
      <formula>$Q3</formula>
    </cfRule>
  </conditionalFormatting>
  <conditionalFormatting sqref="H3:H28">
    <cfRule type="expression" dxfId="1" priority="7">
      <formula>#REF!</formula>
    </cfRule>
  </conditionalFormatting>
  <conditionalFormatting sqref="K3:K98">
    <cfRule type="cellIs" dxfId="3" priority="13" operator="equal">
      <formula>1</formula>
    </cfRule>
  </conditionalFormatting>
  <conditionalFormatting sqref="O$1:O$1048576">
    <cfRule type="cellIs" dxfId="4" priority="5" operator="equal">
      <formula>1</formula>
    </cfRule>
  </conditionalFormatting>
  <conditionalFormatting sqref="O3:O98">
    <cfRule type="cellIs" dxfId="3" priority="6" operator="equal">
      <formula>1</formula>
    </cfRule>
  </conditionalFormatting>
  <conditionalFormatting sqref="K3:K99 K103:K1048576">
    <cfRule type="cellIs" dxfId="4" priority="12" operator="equal">
      <formula>1</formula>
    </cfRule>
  </conditionalFormatting>
  <conditionalFormatting sqref="P3:Q98">
    <cfRule type="cellIs" dxfId="4" priority="1" operator="equal">
      <formula>1</formula>
    </cfRule>
    <cfRule type="cellIs" dxfId="3" priority="2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8" activePane="bottomLeft" state="frozen"/>
      <selection/>
      <selection pane="bottomLeft" activeCell="G119" sqref="G119"/>
    </sheetView>
  </sheetViews>
  <sheetFormatPr defaultColWidth="9.1047619047619" defaultRowHeight="15" customHeight="1"/>
  <cols>
    <col min="1" max="1" width="10.1047619047619" style="288" customWidth="1"/>
    <col min="2" max="2" width="25" style="288" customWidth="1"/>
    <col min="3" max="3" width="22.3333333333333" style="288" customWidth="1"/>
    <col min="4" max="4" width="19.8857142857143" style="288" customWidth="1"/>
    <col min="5" max="5" width="20.6666666666667" style="288" customWidth="1"/>
    <col min="6" max="6" width="12.6666666666667" style="288" customWidth="1"/>
    <col min="7" max="7" width="20.3333333333333" style="288" customWidth="1"/>
    <col min="8" max="8" width="15.8857142857143" style="288" customWidth="1"/>
    <col min="9" max="9" width="25.1047619047619" style="288" customWidth="1"/>
    <col min="10" max="10" width="26" style="288" customWidth="1"/>
    <col min="11" max="11" width="13.8857142857143" style="288" customWidth="1"/>
    <col min="12" max="12" width="15.8857142857143" style="288" customWidth="1"/>
    <col min="13" max="13" width="19.3333333333333" style="288" customWidth="1"/>
    <col min="14" max="14" width="19" style="288" customWidth="1"/>
    <col min="15" max="15" width="9.1047619047619" style="288"/>
    <col min="16" max="16" width="30.6666666666667" style="289" customWidth="1"/>
    <col min="17" max="16384" width="9.1047619047619" style="288"/>
  </cols>
  <sheetData>
    <row r="1" ht="24.75" customHeight="1" spans="1:14">
      <c r="A1" s="290" t="str">
        <f>'BD&amp;LR'!A1:F1</f>
        <v>12/01/2026</v>
      </c>
      <c r="B1" s="290"/>
      <c r="C1" s="290"/>
      <c r="D1" s="291"/>
      <c r="E1" s="291"/>
      <c r="F1" s="290"/>
      <c r="G1" s="290"/>
      <c r="H1" s="290"/>
      <c r="I1" s="291"/>
      <c r="J1" s="291"/>
      <c r="K1" s="291"/>
      <c r="L1" s="296"/>
      <c r="M1" s="290"/>
      <c r="N1" s="297"/>
    </row>
    <row r="2" ht="44.25" customHeight="1" spans="1:16">
      <c r="A2" s="292" t="s">
        <v>0</v>
      </c>
      <c r="B2" s="293" t="s">
        <v>1</v>
      </c>
      <c r="C2" s="273" t="s">
        <v>117</v>
      </c>
      <c r="D2" s="273" t="s">
        <v>118</v>
      </c>
      <c r="E2" s="274" t="s">
        <v>119</v>
      </c>
      <c r="F2" s="275" t="s">
        <v>120</v>
      </c>
      <c r="G2" s="274" t="s">
        <v>121</v>
      </c>
      <c r="H2" s="274" t="s">
        <v>122</v>
      </c>
      <c r="I2" s="274" t="s">
        <v>123</v>
      </c>
      <c r="J2" s="274" t="s">
        <v>124</v>
      </c>
      <c r="K2" s="274" t="s">
        <v>125</v>
      </c>
      <c r="L2" s="274" t="s">
        <v>126</v>
      </c>
      <c r="M2" s="293" t="s">
        <v>127</v>
      </c>
      <c r="N2" s="293" t="s">
        <v>128</v>
      </c>
      <c r="P2" s="298" t="s">
        <v>129</v>
      </c>
    </row>
    <row r="3" ht="23.25" spans="1:16">
      <c r="A3" s="293">
        <v>1</v>
      </c>
      <c r="B3" s="294" t="s">
        <v>14</v>
      </c>
      <c r="C3" s="295">
        <f>IF('BD Start'!C3=0,0,IF('BD Start'!C3-(-SUM(Actual!$I3:$J3))&lt;0,0,'BD Start'!C3-(-SUM(Actual!$I3:$J3))))</f>
        <v>26.27</v>
      </c>
      <c r="D3" s="295">
        <f>IF('BD Start'!D3=0,0,IF('BD Start'!D3-(-SUM(Actual!$K3:$L3))&lt;0,0,'BD Start'!D3-(-SUM(Actual!$K3:$L3))))</f>
        <v>170.79</v>
      </c>
      <c r="E3" s="295">
        <f>IF('BD Start'!E3=0,0,IF('BD Start'!E3-(-Actual!$M3)&lt;0,0,'BD Start'!E3-(-Actual!$M3)))</f>
        <v>70.75</v>
      </c>
      <c r="F3" s="295">
        <f>IF('BD Start'!F3=0,0,IF('BD Start'!F3-(-SUM(Actual!$B3:$G3))&lt;0,0,'BD Start'!F3-(-SUM(Actual!$B3:$G3))))</f>
        <v>13.77</v>
      </c>
      <c r="G3" s="295">
        <f>IF('BD Start'!G3=0,0,IF('BD Start'!G3-(-Actual!$N3)&lt;0,0,'BD Start'!G3-(-Actual!$N3)))</f>
        <v>126.16</v>
      </c>
      <c r="H3" s="295">
        <f>IF('BD Start'!H3=0,0,IF('BD Start'!H3-(-Actual!$H3)&lt;0,0,'BD Start'!H3-(-Actual!$H3)))</f>
        <v>196.31</v>
      </c>
      <c r="I3" s="295">
        <f>IF('BD Start'!I3=0,0,IF('BD Start'!I3-(-SUM(Actual!$O3:$P3))&lt;0,0,'BD Start'!I3-(-SUM(Actual!$O3:$P3))))</f>
        <v>603.72</v>
      </c>
      <c r="J3" s="295">
        <f>IF('BD Start'!J3=0,0,IF('BD Start'!J3-(-Actual!$AA3)&lt;0,0,'BD Start'!J3-(-Actual!$AA3)))</f>
        <v>0</v>
      </c>
      <c r="K3" s="295">
        <f>IF('BD Start'!K3=0,0,IF('BD Start'!K3-('DATA-CMD'!D3)&lt;0,0,'BD Start'!K3-('DATA-CMD'!D3)))</f>
        <v>202.9</v>
      </c>
      <c r="L3" s="295">
        <f>IF('BD Start'!L3=0,0,IF('BD Start'!L3-(Actual!$AB3)&lt;0,0,'BD Start'!L3-(Actual!$AB3)))</f>
        <v>0</v>
      </c>
      <c r="M3" s="295">
        <f>IF('BD Start'!M3&gt;0,IF(('BD Start'!M3-'DATA-CMD'!L3+TPCIL!O13)&gt;=125,125,IF(('BD Start'!M3-'DATA-CMD'!L3+TPCIL!O13)&lt;0,0,('BD Start'!M3-'DATA-CMD'!L3+TPCIL!O13))),0)</f>
        <v>0</v>
      </c>
      <c r="N3" s="295">
        <f>IF('BD Start'!N3=0,0,IF('BD Start'!N3-O3&lt;0,0,'BD Start'!N3-O3))</f>
        <v>0</v>
      </c>
      <c r="O3" s="299">
        <f>'DATA-CMD'!L3+TPCIL!E13+TPCIL!F13+TPCIL!G13+TPCIL!H13</f>
        <v>459.09</v>
      </c>
      <c r="P3" s="289">
        <f>'BD Start'!P3+'BD Start'!Q3-'DATA-CMD'!M3</f>
        <v>0</v>
      </c>
    </row>
    <row r="4" ht="23.25" spans="1:16">
      <c r="A4" s="293">
        <v>2</v>
      </c>
      <c r="B4" s="294" t="s">
        <v>15</v>
      </c>
      <c r="C4" s="295">
        <f>IF('BD Start'!C4=0,0,IF('BD Start'!C4-(-SUM(Actual!$I4:$J4))&lt;0,0,'BD Start'!C4-(-SUM(Actual!$I4:$J4))))</f>
        <v>27.21</v>
      </c>
      <c r="D4" s="295">
        <f>IF('BD Start'!D4=0,0,IF('BD Start'!D4-(-SUM(Actual!$K4:$L4))&lt;0,0,'BD Start'!D4-(-SUM(Actual!$K4:$L4))))</f>
        <v>171.95</v>
      </c>
      <c r="E4" s="295">
        <f>IF('BD Start'!E4=0,0,IF('BD Start'!E4-(-Actual!$M4)&lt;0,0,'BD Start'!E4-(-Actual!$M4)))</f>
        <v>68.86</v>
      </c>
      <c r="F4" s="295">
        <f>IF('BD Start'!F4=0,0,IF('BD Start'!F4-(-SUM(Actual!$B4:$G4))&lt;0,0,'BD Start'!F4-(-SUM(Actual!$B4:$G4))))</f>
        <v>13.42</v>
      </c>
      <c r="G4" s="295">
        <f>IF('BD Start'!G4=0,0,IF('BD Start'!G4-(-Actual!$N4)&lt;0,0,'BD Start'!G4-(-Actual!$N4)))</f>
        <v>130.63</v>
      </c>
      <c r="H4" s="295">
        <f>IF('BD Start'!H4=0,0,IF('BD Start'!H4-(-Actual!$H4)&lt;0,0,'BD Start'!H4-(-Actual!$H4)))</f>
        <v>195.49</v>
      </c>
      <c r="I4" s="295">
        <f>IF('BD Start'!I4=0,0,IF('BD Start'!I4-(-SUM(Actual!$O4:$P4))&lt;0,0,'BD Start'!I4-(-SUM(Actual!$O4:$P4))))</f>
        <v>609.87</v>
      </c>
      <c r="J4" s="295">
        <f>IF('BD Start'!J4=0,0,IF('BD Start'!J4-(-Actual!$AA4)&lt;0,0,'BD Start'!J4-(-Actual!$AA4)))</f>
        <v>0</v>
      </c>
      <c r="K4" s="295">
        <f>IF('BD Start'!K4=0,0,IF('BD Start'!K4-('DATA-CMD'!D4)&lt;0,0,'BD Start'!K4-('DATA-CMD'!D4)))</f>
        <v>201.3</v>
      </c>
      <c r="L4" s="295">
        <f>IF('BD Start'!L4=0,0,IF('BD Start'!L4-(Actual!$AB4)&lt;0,0,'BD Start'!L4-(Actual!$AB4)))</f>
        <v>0</v>
      </c>
      <c r="M4" s="295">
        <f>IF('BD Start'!M4&gt;0,IF(('BD Start'!M4-'DATA-CMD'!L4+TPCIL!O14)&gt;=125,125,IF(('BD Start'!M4-'DATA-CMD'!L4+TPCIL!O14)&lt;0,0,('BD Start'!M4-'DATA-CMD'!L4+TPCIL!O14))),0)</f>
        <v>0</v>
      </c>
      <c r="N4" s="295">
        <f>IF('BD Start'!N4=0,0,IF('BD Start'!N4-O4&lt;0,0,'BD Start'!N4-O4))</f>
        <v>0</v>
      </c>
      <c r="O4" s="299">
        <f>'DATA-CMD'!L4+TPCIL!E14+TPCIL!F14+TPCIL!G14+TPCIL!H14</f>
        <v>501.27</v>
      </c>
      <c r="P4" s="289">
        <f>'BD Start'!P4+'BD Start'!Q4-'DATA-CMD'!M4</f>
        <v>0</v>
      </c>
    </row>
    <row r="5" ht="23.25" spans="1:16">
      <c r="A5" s="293">
        <v>3</v>
      </c>
      <c r="B5" s="294" t="s">
        <v>16</v>
      </c>
      <c r="C5" s="295">
        <f>IF('BD Start'!C5=0,0,IF('BD Start'!C5-(-SUM(Actual!$I5:$J5))&lt;0,0,'BD Start'!C5-(-SUM(Actual!$I5:$J5))))</f>
        <v>35.5</v>
      </c>
      <c r="D5" s="295">
        <f>IF('BD Start'!D5=0,0,IF('BD Start'!D5-(-SUM(Actual!$K5:$L5))&lt;0,0,'BD Start'!D5-(-SUM(Actual!$K5:$L5))))</f>
        <v>173.44</v>
      </c>
      <c r="E5" s="295">
        <f>IF('BD Start'!E5=0,0,IF('BD Start'!E5-(-Actual!$M5)&lt;0,0,'BD Start'!E5-(-Actual!$M5)))</f>
        <v>71.86</v>
      </c>
      <c r="F5" s="295">
        <f>IF('BD Start'!F5=0,0,IF('BD Start'!F5-(-SUM(Actual!$B5:$G5))&lt;0,0,'BD Start'!F5-(-SUM(Actual!$B5:$G5))))</f>
        <v>16.55</v>
      </c>
      <c r="G5" s="295">
        <f>IF('BD Start'!G5=0,0,IF('BD Start'!G5-(-Actual!$N5)&lt;0,0,'BD Start'!G5-(-Actual!$N5)))</f>
        <v>131.23</v>
      </c>
      <c r="H5" s="295">
        <f>IF('BD Start'!H5=0,0,IF('BD Start'!H5-(-Actual!$H5)&lt;0,0,'BD Start'!H5-(-Actual!$H5)))</f>
        <v>194.96</v>
      </c>
      <c r="I5" s="295">
        <f>IF('BD Start'!I5=0,0,IF('BD Start'!I5-(-SUM(Actual!$O5:$P5))&lt;0,0,'BD Start'!I5-(-SUM(Actual!$O5:$P5))))</f>
        <v>610.56</v>
      </c>
      <c r="J5" s="295">
        <f>IF('BD Start'!J5=0,0,IF('BD Start'!J5-(-Actual!$AA5)&lt;0,0,'BD Start'!J5-(-Actual!$AA5)))</f>
        <v>0</v>
      </c>
      <c r="K5" s="295">
        <f>IF('BD Start'!K5=0,0,IF('BD Start'!K5-('DATA-CMD'!D5)&lt;0,0,'BD Start'!K5-('DATA-CMD'!D5)))</f>
        <v>208.06</v>
      </c>
      <c r="L5" s="295">
        <f>IF('BD Start'!L5=0,0,IF('BD Start'!L5-(Actual!$AB5)&lt;0,0,'BD Start'!L5-(Actual!$AB5)))</f>
        <v>0</v>
      </c>
      <c r="M5" s="295">
        <f>IF('BD Start'!M5&gt;0,IF(('BD Start'!M5-'DATA-CMD'!L5+TPCIL!O15)&gt;=125,125,IF(('BD Start'!M5-'DATA-CMD'!L5+TPCIL!O15)&lt;0,0,('BD Start'!M5-'DATA-CMD'!L5+TPCIL!O15))),0)</f>
        <v>0</v>
      </c>
      <c r="N5" s="295">
        <f>IF('BD Start'!N5=0,0,IF('BD Start'!N5-O5&lt;0,0,'BD Start'!N5-O5))</f>
        <v>0</v>
      </c>
      <c r="O5" s="299">
        <f>'DATA-CMD'!L5+TPCIL!E15+TPCIL!F15+TPCIL!G15+TPCIL!H15</f>
        <v>502.21</v>
      </c>
      <c r="P5" s="289">
        <f>'BD Start'!P5+'BD Start'!Q5-'DATA-CMD'!M5</f>
        <v>0</v>
      </c>
    </row>
    <row r="6" ht="23.25" spans="1:16">
      <c r="A6" s="293">
        <v>4</v>
      </c>
      <c r="B6" s="294" t="s">
        <v>17</v>
      </c>
      <c r="C6" s="295">
        <f>IF('BD Start'!C6=0,0,IF('BD Start'!C6-(-SUM(Actual!$I6:$J6))&lt;0,0,'BD Start'!C6-(-SUM(Actual!$I6:$J6))))</f>
        <v>43.49</v>
      </c>
      <c r="D6" s="295">
        <f>IF('BD Start'!D6=0,0,IF('BD Start'!D6-(-SUM(Actual!$K6:$L6))&lt;0,0,'BD Start'!D6-(-SUM(Actual!$K6:$L6))))</f>
        <v>172</v>
      </c>
      <c r="E6" s="295">
        <f>IF('BD Start'!E6=0,0,IF('BD Start'!E6-(-Actual!$M6)&lt;0,0,'BD Start'!E6-(-Actual!$M6)))</f>
        <v>69.12</v>
      </c>
      <c r="F6" s="295">
        <f>IF('BD Start'!F6=0,0,IF('BD Start'!F6-(-SUM(Actual!$B6:$G6))&lt;0,0,'BD Start'!F6-(-SUM(Actual!$B6:$G6))))</f>
        <v>20.0700000000001</v>
      </c>
      <c r="G6" s="295">
        <f>IF('BD Start'!G6=0,0,IF('BD Start'!G6-(-Actual!$N6)&lt;0,0,'BD Start'!G6-(-Actual!$N6)))</f>
        <v>131.23</v>
      </c>
      <c r="H6" s="295">
        <f>IF('BD Start'!H6=0,0,IF('BD Start'!H6-(-Actual!$H6)&lt;0,0,'BD Start'!H6-(-Actual!$H6)))</f>
        <v>195.87</v>
      </c>
      <c r="I6" s="295">
        <f>IF('BD Start'!I6=0,0,IF('BD Start'!I6-(-SUM(Actual!$O6:$P6))&lt;0,0,'BD Start'!I6-(-SUM(Actual!$O6:$P6))))</f>
        <v>609.73</v>
      </c>
      <c r="J6" s="295">
        <f>IF('BD Start'!J6=0,0,IF('BD Start'!J6-(-Actual!$AA6)&lt;0,0,'BD Start'!J6-(-Actual!$AA6)))</f>
        <v>0</v>
      </c>
      <c r="K6" s="295">
        <f>IF('BD Start'!K6=0,0,IF('BD Start'!K6-('DATA-CMD'!D6)&lt;0,0,'BD Start'!K6-('DATA-CMD'!D6)))</f>
        <v>206.87</v>
      </c>
      <c r="L6" s="295">
        <f>IF('BD Start'!L6=0,0,IF('BD Start'!L6-(Actual!$AB6)&lt;0,0,'BD Start'!L6-(Actual!$AB6)))</f>
        <v>0</v>
      </c>
      <c r="M6" s="295">
        <f>IF('BD Start'!M6&gt;0,IF(('BD Start'!M6-'DATA-CMD'!L6+TPCIL!O16)&gt;=125,125,IF(('BD Start'!M6-'DATA-CMD'!L6+TPCIL!O16)&lt;0,0,('BD Start'!M6-'DATA-CMD'!L6+TPCIL!O16))),0)</f>
        <v>0</v>
      </c>
      <c r="N6" s="295">
        <f>IF('BD Start'!N6=0,0,IF('BD Start'!N6-O6&lt;0,0,'BD Start'!N6-O6))</f>
        <v>0</v>
      </c>
      <c r="O6" s="299">
        <f>'DATA-CMD'!L6+TPCIL!E16+TPCIL!F16+TPCIL!G16+TPCIL!H16</f>
        <v>502.44</v>
      </c>
      <c r="P6" s="289">
        <f>'BD Start'!P6+'BD Start'!Q6-'DATA-CMD'!M6</f>
        <v>0</v>
      </c>
    </row>
    <row r="7" ht="23.25" spans="1:16">
      <c r="A7" s="293">
        <v>5</v>
      </c>
      <c r="B7" s="294" t="s">
        <v>18</v>
      </c>
      <c r="C7" s="295">
        <f>IF('BD Start'!C7=0,0,IF('BD Start'!C7-(-SUM(Actual!$I7:$J7))&lt;0,0,'BD Start'!C7-(-SUM(Actual!$I7:$J7))))</f>
        <v>46.45</v>
      </c>
      <c r="D7" s="295">
        <f>IF('BD Start'!D7=0,0,IF('BD Start'!D7-(-SUM(Actual!$K7:$L7))&lt;0,0,'BD Start'!D7-(-SUM(Actual!$K7:$L7))))</f>
        <v>172.85</v>
      </c>
      <c r="E7" s="295">
        <f>IF('BD Start'!E7=0,0,IF('BD Start'!E7-(-Actual!$M7)&lt;0,0,'BD Start'!E7-(-Actual!$M7)))</f>
        <v>69.68</v>
      </c>
      <c r="F7" s="295">
        <f>IF('BD Start'!F7=0,0,IF('BD Start'!F7-(-SUM(Actual!$B7:$G7))&lt;0,0,'BD Start'!F7-(-SUM(Actual!$B7:$G7))))</f>
        <v>26.0700000000001</v>
      </c>
      <c r="G7" s="295">
        <f>IF('BD Start'!G7=0,0,IF('BD Start'!G7-(-Actual!$N7)&lt;0,0,'BD Start'!G7-(-Actual!$N7)))</f>
        <v>133.35</v>
      </c>
      <c r="H7" s="295">
        <f>IF('BD Start'!H7=0,0,IF('BD Start'!H7-(-Actual!$H7)&lt;0,0,'BD Start'!H7-(-Actual!$H7)))</f>
        <v>197</v>
      </c>
      <c r="I7" s="295">
        <f>IF('BD Start'!I7=0,0,IF('BD Start'!I7-(-SUM(Actual!$O7:$P7))&lt;0,0,'BD Start'!I7-(-SUM(Actual!$O7:$P7))))</f>
        <v>602.16</v>
      </c>
      <c r="J7" s="295">
        <f>IF('BD Start'!J7=0,0,IF('BD Start'!J7-(-Actual!$AA7)&lt;0,0,'BD Start'!J7-(-Actual!$AA7)))</f>
        <v>0</v>
      </c>
      <c r="K7" s="295">
        <f>IF('BD Start'!K7=0,0,IF('BD Start'!K7-('DATA-CMD'!D7)&lt;0,0,'BD Start'!K7-('DATA-CMD'!D7)))</f>
        <v>202.06</v>
      </c>
      <c r="L7" s="295">
        <f>IF('BD Start'!L7=0,0,IF('BD Start'!L7-(Actual!$AB7)&lt;0,0,'BD Start'!L7-(Actual!$AB7)))</f>
        <v>0</v>
      </c>
      <c r="M7" s="295">
        <f>IF('BD Start'!M7&gt;0,IF(('BD Start'!M7-'DATA-CMD'!L7+TPCIL!O17)&gt;=125,125,IF(('BD Start'!M7-'DATA-CMD'!L7+TPCIL!O17)&lt;0,0,('BD Start'!M7-'DATA-CMD'!L7+TPCIL!O17))),0)</f>
        <v>0</v>
      </c>
      <c r="N7" s="295">
        <f>IF('BD Start'!N7=0,0,IF('BD Start'!N7-O7&lt;0,0,'BD Start'!N7-O7))</f>
        <v>0</v>
      </c>
      <c r="O7" s="299">
        <f>'DATA-CMD'!L7+TPCIL!E17+TPCIL!F17+TPCIL!G17+TPCIL!H17</f>
        <v>488.97</v>
      </c>
      <c r="P7" s="289">
        <f>'BD Start'!P7+'BD Start'!Q7-'DATA-CMD'!M7</f>
        <v>0</v>
      </c>
    </row>
    <row r="8" ht="23.25" spans="1:16">
      <c r="A8" s="293">
        <v>6</v>
      </c>
      <c r="B8" s="294" t="s">
        <v>19</v>
      </c>
      <c r="C8" s="295">
        <f>IF('BD Start'!C8=0,0,IF('BD Start'!C8-(-SUM(Actual!$I8:$J8))&lt;0,0,'BD Start'!C8-(-SUM(Actual!$I8:$J8))))</f>
        <v>50.78</v>
      </c>
      <c r="D8" s="295">
        <f>IF('BD Start'!D8=0,0,IF('BD Start'!D8-(-SUM(Actual!$K8:$L8))&lt;0,0,'BD Start'!D8-(-SUM(Actual!$K8:$L8))))</f>
        <v>174.39</v>
      </c>
      <c r="E8" s="295">
        <f>IF('BD Start'!E8=0,0,IF('BD Start'!E8-(-Actual!$M8)&lt;0,0,'BD Start'!E8-(-Actual!$M8)))</f>
        <v>71.19</v>
      </c>
      <c r="F8" s="295">
        <f>IF('BD Start'!F8=0,0,IF('BD Start'!F8-(-SUM(Actual!$B8:$G8))&lt;0,0,'BD Start'!F8-(-SUM(Actual!$B8:$G8))))</f>
        <v>22.35</v>
      </c>
      <c r="G8" s="295">
        <f>IF('BD Start'!G8=0,0,IF('BD Start'!G8-(-Actual!$N8)&lt;0,0,'BD Start'!G8-(-Actual!$N8)))</f>
        <v>136.32</v>
      </c>
      <c r="H8" s="295">
        <f>IF('BD Start'!H8=0,0,IF('BD Start'!H8-(-Actual!$H8)&lt;0,0,'BD Start'!H8-(-Actual!$H8)))</f>
        <v>193.95</v>
      </c>
      <c r="I8" s="295">
        <f>IF('BD Start'!I8=0,0,IF('BD Start'!I8-(-SUM(Actual!$O8:$P8))&lt;0,0,'BD Start'!I8-(-SUM(Actual!$O8:$P8))))</f>
        <v>603.23</v>
      </c>
      <c r="J8" s="295">
        <f>IF('BD Start'!J8=0,0,IF('BD Start'!J8-(-Actual!$AA8)&lt;0,0,'BD Start'!J8-(-Actual!$AA8)))</f>
        <v>0</v>
      </c>
      <c r="K8" s="295">
        <f>IF('BD Start'!K8=0,0,IF('BD Start'!K8-('DATA-CMD'!D8)&lt;0,0,'BD Start'!K8-('DATA-CMD'!D8)))</f>
        <v>203.98</v>
      </c>
      <c r="L8" s="295">
        <f>IF('BD Start'!L8=0,0,IF('BD Start'!L8-(Actual!$AB8)&lt;0,0,'BD Start'!L8-(Actual!$AB8)))</f>
        <v>0</v>
      </c>
      <c r="M8" s="295">
        <f>IF('BD Start'!M8&gt;0,IF(('BD Start'!M8-'DATA-CMD'!L8+TPCIL!O18)&gt;=125,125,IF(('BD Start'!M8-'DATA-CMD'!L8+TPCIL!O18)&lt;0,0,('BD Start'!M8-'DATA-CMD'!L8+TPCIL!O18))),0)</f>
        <v>0</v>
      </c>
      <c r="N8" s="295">
        <f>IF('BD Start'!N8=0,0,IF('BD Start'!N8-O8&lt;0,0,'BD Start'!N8-O8))</f>
        <v>47.64</v>
      </c>
      <c r="O8" s="299">
        <f>'DATA-CMD'!L8+TPCIL!E18+TPCIL!F18+TPCIL!G18+TPCIL!H18</f>
        <v>454.36</v>
      </c>
      <c r="P8" s="289">
        <f>'BD Start'!P8+'BD Start'!Q8-'DATA-CMD'!M8</f>
        <v>0</v>
      </c>
    </row>
    <row r="9" ht="23.25" spans="1:16">
      <c r="A9" s="293">
        <v>7</v>
      </c>
      <c r="B9" s="294" t="s">
        <v>20</v>
      </c>
      <c r="C9" s="295">
        <f>IF('BD Start'!C9=0,0,IF('BD Start'!C9-(-SUM(Actual!$I9:$J9))&lt;0,0,'BD Start'!C9-(-SUM(Actual!$I9:$J9))))</f>
        <v>51.5</v>
      </c>
      <c r="D9" s="295">
        <f>IF('BD Start'!D9=0,0,IF('BD Start'!D9-(-SUM(Actual!$K9:$L9))&lt;0,0,'BD Start'!D9-(-SUM(Actual!$K9:$L9))))</f>
        <v>172.76</v>
      </c>
      <c r="E9" s="295">
        <f>IF('BD Start'!E9=0,0,IF('BD Start'!E9-(-Actual!$M9)&lt;0,0,'BD Start'!E9-(-Actual!$M9)))</f>
        <v>69.97</v>
      </c>
      <c r="F9" s="295">
        <f>IF('BD Start'!F9=0,0,IF('BD Start'!F9-(-SUM(Actual!$B9:$G9))&lt;0,0,'BD Start'!F9-(-SUM(Actual!$B9:$G9))))</f>
        <v>22.1500000000001</v>
      </c>
      <c r="G9" s="295">
        <f>IF('BD Start'!G9=0,0,IF('BD Start'!G9-(-Actual!$N9)&lt;0,0,'BD Start'!G9-(-Actual!$N9)))</f>
        <v>136.32</v>
      </c>
      <c r="H9" s="295">
        <f>IF('BD Start'!H9=0,0,IF('BD Start'!H9-(-Actual!$H9)&lt;0,0,'BD Start'!H9-(-Actual!$H9)))</f>
        <v>194.41</v>
      </c>
      <c r="I9" s="295">
        <f>IF('BD Start'!I9=0,0,IF('BD Start'!I9-(-SUM(Actual!$O9:$P9))&lt;0,0,'BD Start'!I9-(-SUM(Actual!$O9:$P9))))</f>
        <v>590.88</v>
      </c>
      <c r="J9" s="295">
        <f>IF('BD Start'!J9=0,0,IF('BD Start'!J9-(-Actual!$AA9)&lt;0,0,'BD Start'!J9-(-Actual!$AA9)))</f>
        <v>0</v>
      </c>
      <c r="K9" s="295">
        <f>IF('BD Start'!K9=0,0,IF('BD Start'!K9-('DATA-CMD'!D9)&lt;0,0,'BD Start'!K9-('DATA-CMD'!D9)))</f>
        <v>202.46</v>
      </c>
      <c r="L9" s="295">
        <f>IF('BD Start'!L9=0,0,IF('BD Start'!L9-(Actual!$AB9)&lt;0,0,'BD Start'!L9-(Actual!$AB9)))</f>
        <v>268.34</v>
      </c>
      <c r="M9" s="295">
        <f>IF('BD Start'!M9&gt;0,IF(('BD Start'!M9-'DATA-CMD'!L9+TPCIL!O19)&gt;=125,125,IF(('BD Start'!M9-'DATA-CMD'!L9+TPCIL!O19)&lt;0,0,('BD Start'!M9-'DATA-CMD'!L9+TPCIL!O19))),0)</f>
        <v>0</v>
      </c>
      <c r="N9" s="295">
        <f>IF('BD Start'!N9=0,0,IF('BD Start'!N9-O9&lt;0,0,'BD Start'!N9-O9))</f>
        <v>103.33</v>
      </c>
      <c r="O9" s="299">
        <f>'DATA-CMD'!L9+TPCIL!E19+TPCIL!F19+TPCIL!G19+TPCIL!H19</f>
        <v>398.67</v>
      </c>
      <c r="P9" s="289">
        <f>'BD Start'!P9+'BD Start'!Q9-'DATA-CMD'!M9</f>
        <v>0</v>
      </c>
    </row>
    <row r="10" ht="23.25" spans="1:16">
      <c r="A10" s="293">
        <v>8</v>
      </c>
      <c r="B10" s="294" t="s">
        <v>21</v>
      </c>
      <c r="C10" s="295">
        <f>IF('BD Start'!C10=0,0,IF('BD Start'!C10-(-SUM(Actual!$I10:$J10))&lt;0,0,'BD Start'!C10-(-SUM(Actual!$I10:$J10))))</f>
        <v>56.24</v>
      </c>
      <c r="D10" s="295">
        <f>IF('BD Start'!D10=0,0,IF('BD Start'!D10-(-SUM(Actual!$K10:$L10))&lt;0,0,'BD Start'!D10-(-SUM(Actual!$K10:$L10))))</f>
        <v>172.94</v>
      </c>
      <c r="E10" s="295">
        <f>IF('BD Start'!E10=0,0,IF('BD Start'!E10-(-Actual!$M10)&lt;0,0,'BD Start'!E10-(-Actual!$M10)))</f>
        <v>69.37</v>
      </c>
      <c r="F10" s="295">
        <f>IF('BD Start'!F10=0,0,IF('BD Start'!F10-(-SUM(Actual!$B10:$G10))&lt;0,0,'BD Start'!F10-(-SUM(Actual!$B10:$G10))))</f>
        <v>18.0400000000001</v>
      </c>
      <c r="G10" s="295">
        <f>IF('BD Start'!G10=0,0,IF('BD Start'!G10-(-Actual!$N10)&lt;0,0,'BD Start'!G10-(-Actual!$N10)))</f>
        <v>132.35</v>
      </c>
      <c r="H10" s="295">
        <f>IF('BD Start'!H10=0,0,IF('BD Start'!H10-(-Actual!$H10)&lt;0,0,'BD Start'!H10-(-Actual!$H10)))</f>
        <v>200.88</v>
      </c>
      <c r="I10" s="295">
        <f>IF('BD Start'!I10=0,0,IF('BD Start'!I10-(-SUM(Actual!$O10:$P10))&lt;0,0,'BD Start'!I10-(-SUM(Actual!$O10:$P10))))</f>
        <v>601</v>
      </c>
      <c r="J10" s="295">
        <f>IF('BD Start'!J10=0,0,IF('BD Start'!J10-(-Actual!$AA10)&lt;0,0,'BD Start'!J10-(-Actual!$AA10)))</f>
        <v>0</v>
      </c>
      <c r="K10" s="295">
        <f>IF('BD Start'!K10=0,0,IF('BD Start'!K10-('DATA-CMD'!D10)&lt;0,0,'BD Start'!K10-('DATA-CMD'!D10)))</f>
        <v>204.23</v>
      </c>
      <c r="L10" s="295">
        <f>IF('BD Start'!L10=0,0,IF('BD Start'!L10-(Actual!$AB10)&lt;0,0,'BD Start'!L10-(Actual!$AB10)))</f>
        <v>267.21</v>
      </c>
      <c r="M10" s="295">
        <f>IF('BD Start'!M10&gt;0,IF(('BD Start'!M10-'DATA-CMD'!L10+TPCIL!O20)&gt;=125,125,IF(('BD Start'!M10-'DATA-CMD'!L10+TPCIL!O20)&lt;0,0,('BD Start'!M10-'DATA-CMD'!L10+TPCIL!O20))),0)</f>
        <v>0</v>
      </c>
      <c r="N10" s="295">
        <f>IF('BD Start'!N10=0,0,IF('BD Start'!N10-O10&lt;0,0,'BD Start'!N10-O10))</f>
        <v>149.28</v>
      </c>
      <c r="O10" s="299">
        <f>'DATA-CMD'!L10+TPCIL!E20+TPCIL!F20+TPCIL!G20+TPCIL!H20</f>
        <v>352.72</v>
      </c>
      <c r="P10" s="289">
        <f>'BD Start'!P10+'BD Start'!Q10-'DATA-CMD'!M10</f>
        <v>0</v>
      </c>
    </row>
    <row r="11" ht="23.25" spans="1:16">
      <c r="A11" s="293">
        <v>9</v>
      </c>
      <c r="B11" s="294" t="s">
        <v>22</v>
      </c>
      <c r="C11" s="295">
        <f>IF('BD Start'!C11=0,0,IF('BD Start'!C11-(-SUM(Actual!$I11:$J11))&lt;0,0,'BD Start'!C11-(-SUM(Actual!$I11:$J11))))</f>
        <v>52.4</v>
      </c>
      <c r="D11" s="295">
        <f>IF('BD Start'!D11=0,0,IF('BD Start'!D11-(-SUM(Actual!$K11:$L11))&lt;0,0,'BD Start'!D11-(-SUM(Actual!$K11:$L11))))</f>
        <v>170.93</v>
      </c>
      <c r="E11" s="295">
        <f>IF('BD Start'!E11=0,0,IF('BD Start'!E11-(-Actual!$M11)&lt;0,0,'BD Start'!E11-(-Actual!$M11)))</f>
        <v>69.96</v>
      </c>
      <c r="F11" s="295">
        <f>IF('BD Start'!F11=0,0,IF('BD Start'!F11-(-SUM(Actual!$B11:$G11))&lt;0,0,'BD Start'!F11-(-SUM(Actual!$B11:$G11))))</f>
        <v>11.1800000000001</v>
      </c>
      <c r="G11" s="295">
        <f>IF('BD Start'!G11=0,0,IF('BD Start'!G11-(-Actual!$N11)&lt;0,0,'BD Start'!G11-(-Actual!$N11)))</f>
        <v>127.79</v>
      </c>
      <c r="H11" s="295">
        <f>IF('BD Start'!H11=0,0,IF('BD Start'!H11-(-Actual!$H11)&lt;0,0,'BD Start'!H11-(-Actual!$H11)))</f>
        <v>195.24</v>
      </c>
      <c r="I11" s="295">
        <f>IF('BD Start'!I11=0,0,IF('BD Start'!I11-(-SUM(Actual!$O11:$P11))&lt;0,0,'BD Start'!I11-(-SUM(Actual!$O11:$P11))))</f>
        <v>621.88</v>
      </c>
      <c r="J11" s="295">
        <f>IF('BD Start'!J11=0,0,IF('BD Start'!J11-(-Actual!$AA11)&lt;0,0,'BD Start'!J11-(-Actual!$AA11)))</f>
        <v>0</v>
      </c>
      <c r="K11" s="295">
        <f>IF('BD Start'!K11=0,0,IF('BD Start'!K11-('DATA-CMD'!D11)&lt;0,0,'BD Start'!K11-('DATA-CMD'!D11)))</f>
        <v>206.89</v>
      </c>
      <c r="L11" s="295">
        <f>IF('BD Start'!L11=0,0,IF('BD Start'!L11-(Actual!$AB11)&lt;0,0,'BD Start'!L11-(Actual!$AB11)))</f>
        <v>259.52</v>
      </c>
      <c r="M11" s="295">
        <f>IF('BD Start'!M11&gt;0,IF(('BD Start'!M11-'DATA-CMD'!L11+TPCIL!O21)&gt;=125,125,IF(('BD Start'!M11-'DATA-CMD'!L11+TPCIL!O21)&lt;0,0,('BD Start'!M11-'DATA-CMD'!L11+TPCIL!O21))),0)</f>
        <v>0</v>
      </c>
      <c r="N11" s="295">
        <f>IF('BD Start'!N11=0,0,IF('BD Start'!N11-O11&lt;0,0,'BD Start'!N11-O11))</f>
        <v>157.48</v>
      </c>
      <c r="O11" s="299">
        <f>'DATA-CMD'!L11+TPCIL!E21+TPCIL!F21+TPCIL!G21+TPCIL!H21</f>
        <v>344.52</v>
      </c>
      <c r="P11" s="289">
        <f>'BD Start'!P11+'BD Start'!Q11-'DATA-CMD'!M11</f>
        <v>0</v>
      </c>
    </row>
    <row r="12" ht="23.25" spans="1:16">
      <c r="A12" s="293">
        <v>10</v>
      </c>
      <c r="B12" s="294" t="s">
        <v>23</v>
      </c>
      <c r="C12" s="295">
        <f>IF('BD Start'!C12=0,0,IF('BD Start'!C12-(-SUM(Actual!$I12:$J12))&lt;0,0,'BD Start'!C12-(-SUM(Actual!$I12:$J12))))</f>
        <v>52.91</v>
      </c>
      <c r="D12" s="295">
        <f>IF('BD Start'!D12=0,0,IF('BD Start'!D12-(-SUM(Actual!$K12:$L12))&lt;0,0,'BD Start'!D12-(-SUM(Actual!$K12:$L12))))</f>
        <v>174</v>
      </c>
      <c r="E12" s="295">
        <f>IF('BD Start'!E12=0,0,IF('BD Start'!E12-(-Actual!$M12)&lt;0,0,'BD Start'!E12-(-Actual!$M12)))</f>
        <v>68.9</v>
      </c>
      <c r="F12" s="295">
        <f>IF('BD Start'!F12=0,0,IF('BD Start'!F12-(-SUM(Actual!$B12:$G12))&lt;0,0,'BD Start'!F12-(-SUM(Actual!$B12:$G12))))</f>
        <v>9.85000000000002</v>
      </c>
      <c r="G12" s="295">
        <f>IF('BD Start'!G12=0,0,IF('BD Start'!G12-(-Actual!$N12)&lt;0,0,'BD Start'!G12-(-Actual!$N12)))</f>
        <v>130.38</v>
      </c>
      <c r="H12" s="295">
        <f>IF('BD Start'!H12=0,0,IF('BD Start'!H12-(-Actual!$H12)&lt;0,0,'BD Start'!H12-(-Actual!$H12)))</f>
        <v>195.48</v>
      </c>
      <c r="I12" s="295">
        <f>IF('BD Start'!I12=0,0,IF('BD Start'!I12-(-SUM(Actual!$O12:$P12))&lt;0,0,'BD Start'!I12-(-SUM(Actual!$O12:$P12))))</f>
        <v>613.59</v>
      </c>
      <c r="J12" s="295">
        <f>IF('BD Start'!J12=0,0,IF('BD Start'!J12-(-Actual!$AA12)&lt;0,0,'BD Start'!J12-(-Actual!$AA12)))</f>
        <v>0</v>
      </c>
      <c r="K12" s="295">
        <f>IF('BD Start'!K12=0,0,IF('BD Start'!K12-('DATA-CMD'!D12)&lt;0,0,'BD Start'!K12-('DATA-CMD'!D12)))</f>
        <v>206.4</v>
      </c>
      <c r="L12" s="295">
        <f>IF('BD Start'!L12=0,0,IF('BD Start'!L12-(Actual!$AB12)&lt;0,0,'BD Start'!L12-(Actual!$AB12)))</f>
        <v>259.78</v>
      </c>
      <c r="M12" s="295">
        <f>IF('BD Start'!M12&gt;0,IF(('BD Start'!M12-'DATA-CMD'!L12+TPCIL!O22)&gt;=125,125,IF(('BD Start'!M12-'DATA-CMD'!L12+TPCIL!O22)&lt;0,0,('BD Start'!M12-'DATA-CMD'!L12+TPCIL!O22))),0)</f>
        <v>0</v>
      </c>
      <c r="N12" s="295">
        <f>IF('BD Start'!N12=0,0,IF('BD Start'!N12-O12&lt;0,0,'BD Start'!N12-O12))</f>
        <v>155.05</v>
      </c>
      <c r="O12" s="299">
        <f>'DATA-CMD'!L12+TPCIL!E22+TPCIL!F22+TPCIL!G22+TPCIL!H22</f>
        <v>346.95</v>
      </c>
      <c r="P12" s="289">
        <f>'BD Start'!P12+'BD Start'!Q12-'DATA-CMD'!M12</f>
        <v>0</v>
      </c>
    </row>
    <row r="13" ht="23.25" spans="1:16">
      <c r="A13" s="293">
        <v>11</v>
      </c>
      <c r="B13" s="294" t="s">
        <v>24</v>
      </c>
      <c r="C13" s="295">
        <f>IF('BD Start'!C13=0,0,IF('BD Start'!C13-(-SUM(Actual!$I13:$J13))&lt;0,0,'BD Start'!C13-(-SUM(Actual!$I13:$J13))))</f>
        <v>50.86</v>
      </c>
      <c r="D13" s="295">
        <f>IF('BD Start'!D13=0,0,IF('BD Start'!D13-(-SUM(Actual!$K13:$L13))&lt;0,0,'BD Start'!D13-(-SUM(Actual!$K13:$L13))))</f>
        <v>171.15</v>
      </c>
      <c r="E13" s="295">
        <f>IF('BD Start'!E13=0,0,IF('BD Start'!E13-(-Actual!$M13)&lt;0,0,'BD Start'!E13-(-Actual!$M13)))</f>
        <v>69.08</v>
      </c>
      <c r="F13" s="295">
        <f>IF('BD Start'!F13=0,0,IF('BD Start'!F13-(-SUM(Actual!$B13:$G13))&lt;0,0,'BD Start'!F13-(-SUM(Actual!$B13:$G13))))</f>
        <v>10.66</v>
      </c>
      <c r="G13" s="295">
        <f>IF('BD Start'!G13=0,0,IF('BD Start'!G13-(-Actual!$N13)&lt;0,0,'BD Start'!G13-(-Actual!$N13)))</f>
        <v>129.25</v>
      </c>
      <c r="H13" s="295">
        <f>IF('BD Start'!H13=0,0,IF('BD Start'!H13-(-Actual!$H13)&lt;0,0,'BD Start'!H13-(-Actual!$H13)))</f>
        <v>198.32</v>
      </c>
      <c r="I13" s="295">
        <f>IF('BD Start'!I13=0,0,IF('BD Start'!I13-(-SUM(Actual!$O13:$P13))&lt;0,0,'BD Start'!I13-(-SUM(Actual!$O13:$P13))))</f>
        <v>617.35</v>
      </c>
      <c r="J13" s="295">
        <f>IF('BD Start'!J13=0,0,IF('BD Start'!J13-(-Actual!$AA13)&lt;0,0,'BD Start'!J13-(-Actual!$AA13)))</f>
        <v>0</v>
      </c>
      <c r="K13" s="295">
        <f>IF('BD Start'!K13=0,0,IF('BD Start'!K13-('DATA-CMD'!D13)&lt;0,0,'BD Start'!K13-('DATA-CMD'!D13)))</f>
        <v>206.78</v>
      </c>
      <c r="L13" s="295">
        <f>IF('BD Start'!L13=0,0,IF('BD Start'!L13-(Actual!$AB13)&lt;0,0,'BD Start'!L13-(Actual!$AB13)))</f>
        <v>248.44</v>
      </c>
      <c r="M13" s="295">
        <f>IF('BD Start'!M13&gt;0,IF(('BD Start'!M13-'DATA-CMD'!L13+TPCIL!O23)&gt;=125,125,IF(('BD Start'!M13-'DATA-CMD'!L13+TPCIL!O23)&lt;0,0,('BD Start'!M13-'DATA-CMD'!L13+TPCIL!O23))),0)</f>
        <v>0</v>
      </c>
      <c r="N13" s="295">
        <f>IF('BD Start'!N13=0,0,IF('BD Start'!N13-O13&lt;0,0,'BD Start'!N13-O13))</f>
        <v>155.09</v>
      </c>
      <c r="O13" s="299">
        <f>'DATA-CMD'!L13+TPCIL!E23+TPCIL!F23+TPCIL!G23+TPCIL!H23</f>
        <v>346.91</v>
      </c>
      <c r="P13" s="289">
        <f>'BD Start'!P13+'BD Start'!Q13-'DATA-CMD'!M13</f>
        <v>0</v>
      </c>
    </row>
    <row r="14" ht="23.25" spans="1:16">
      <c r="A14" s="293">
        <v>12</v>
      </c>
      <c r="B14" s="294" t="s">
        <v>25</v>
      </c>
      <c r="C14" s="295">
        <f>IF('BD Start'!C14=0,0,IF('BD Start'!C14-(-SUM(Actual!$I14:$J14))&lt;0,0,'BD Start'!C14-(-SUM(Actual!$I14:$J14))))</f>
        <v>50.21</v>
      </c>
      <c r="D14" s="295">
        <f>IF('BD Start'!D14=0,0,IF('BD Start'!D14-(-SUM(Actual!$K14:$L14))&lt;0,0,'BD Start'!D14-(-SUM(Actual!$K14:$L14))))</f>
        <v>172.35</v>
      </c>
      <c r="E14" s="295">
        <f>IF('BD Start'!E14=0,0,IF('BD Start'!E14-(-Actual!$M14)&lt;0,0,'BD Start'!E14-(-Actual!$M14)))</f>
        <v>70.03</v>
      </c>
      <c r="F14" s="295">
        <f>IF('BD Start'!F14=0,0,IF('BD Start'!F14-(-SUM(Actual!$B14:$G14))&lt;0,0,'BD Start'!F14-(-SUM(Actual!$B14:$G14))))</f>
        <v>8.44000000000005</v>
      </c>
      <c r="G14" s="295">
        <f>IF('BD Start'!G14=0,0,IF('BD Start'!G14-(-Actual!$N14)&lt;0,0,'BD Start'!G14-(-Actual!$N14)))</f>
        <v>135.87</v>
      </c>
      <c r="H14" s="295">
        <f>IF('BD Start'!H14=0,0,IF('BD Start'!H14-(-Actual!$H14)&lt;0,0,'BD Start'!H14-(-Actual!$H14)))</f>
        <v>194.96</v>
      </c>
      <c r="I14" s="295">
        <f>IF('BD Start'!I14=0,0,IF('BD Start'!I14-(-SUM(Actual!$O14:$P14))&lt;0,0,'BD Start'!I14-(-SUM(Actual!$O14:$P14))))</f>
        <v>614.9</v>
      </c>
      <c r="J14" s="295">
        <f>IF('BD Start'!J14=0,0,IF('BD Start'!J14-(-Actual!$AA14)&lt;0,0,'BD Start'!J14-(-Actual!$AA14)))</f>
        <v>0</v>
      </c>
      <c r="K14" s="295">
        <f>IF('BD Start'!K14=0,0,IF('BD Start'!K14-('DATA-CMD'!D14)&lt;0,0,'BD Start'!K14-('DATA-CMD'!D14)))</f>
        <v>205.6</v>
      </c>
      <c r="L14" s="295">
        <f>IF('BD Start'!L14=0,0,IF('BD Start'!L14-(Actual!$AB14)&lt;0,0,'BD Start'!L14-(Actual!$AB14)))</f>
        <v>252.05</v>
      </c>
      <c r="M14" s="295">
        <f>IF('BD Start'!M14&gt;0,IF(('BD Start'!M14-'DATA-CMD'!L14+TPCIL!O24)&gt;=125,125,IF(('BD Start'!M14-'DATA-CMD'!L14+TPCIL!O24)&lt;0,0,('BD Start'!M14-'DATA-CMD'!L14+TPCIL!O24))),0)</f>
        <v>0</v>
      </c>
      <c r="N14" s="295">
        <f>IF('BD Start'!N14=0,0,IF('BD Start'!N14-O14&lt;0,0,'BD Start'!N14-O14))</f>
        <v>156.17</v>
      </c>
      <c r="O14" s="299">
        <f>'DATA-CMD'!L14+TPCIL!E24+TPCIL!F24+TPCIL!G24+TPCIL!H24</f>
        <v>345.83</v>
      </c>
      <c r="P14" s="289">
        <f>'BD Start'!P14+'BD Start'!Q14-'DATA-CMD'!M14</f>
        <v>0</v>
      </c>
    </row>
    <row r="15" ht="23.25" spans="1:16">
      <c r="A15" s="293">
        <v>13</v>
      </c>
      <c r="B15" s="294" t="s">
        <v>26</v>
      </c>
      <c r="C15" s="295">
        <f>IF('BD Start'!C15=0,0,IF('BD Start'!C15-(-SUM(Actual!$I15:$J15))&lt;0,0,'BD Start'!C15-(-SUM(Actual!$I15:$J15))))</f>
        <v>54.21</v>
      </c>
      <c r="D15" s="295">
        <f>IF('BD Start'!D15=0,0,IF('BD Start'!D15-(-SUM(Actual!$K15:$L15))&lt;0,0,'BD Start'!D15-(-SUM(Actual!$K15:$L15))))</f>
        <v>171.67</v>
      </c>
      <c r="E15" s="295">
        <f>IF('BD Start'!E15=0,0,IF('BD Start'!E15-(-Actual!$M15)&lt;0,0,'BD Start'!E15-(-Actual!$M15)))</f>
        <v>69.93</v>
      </c>
      <c r="F15" s="295">
        <f>IF('BD Start'!F15=0,0,IF('BD Start'!F15-(-SUM(Actual!$B15:$G15))&lt;0,0,'BD Start'!F15-(-SUM(Actual!$B15:$G15))))</f>
        <v>9.90000000000009</v>
      </c>
      <c r="G15" s="295">
        <f>IF('BD Start'!G15=0,0,IF('BD Start'!G15-(-Actual!$N15)&lt;0,0,'BD Start'!G15-(-Actual!$N15)))</f>
        <v>135.87</v>
      </c>
      <c r="H15" s="295">
        <f>IF('BD Start'!H15=0,0,IF('BD Start'!H15-(-Actual!$H15)&lt;0,0,'BD Start'!H15-(-Actual!$H15)))</f>
        <v>196</v>
      </c>
      <c r="I15" s="295">
        <f>IF('BD Start'!I15=0,0,IF('BD Start'!I15-(-SUM(Actual!$O15:$P15))&lt;0,0,'BD Start'!I15-(-SUM(Actual!$O15:$P15))))</f>
        <v>611.66</v>
      </c>
      <c r="J15" s="295">
        <f>IF('BD Start'!J15=0,0,IF('BD Start'!J15-(-Actual!$AA15)&lt;0,0,'BD Start'!J15-(-Actual!$AA15)))</f>
        <v>0</v>
      </c>
      <c r="K15" s="295">
        <f>IF('BD Start'!K15=0,0,IF('BD Start'!K15-('DATA-CMD'!D15)&lt;0,0,'BD Start'!K15-('DATA-CMD'!D15)))</f>
        <v>202.72</v>
      </c>
      <c r="L15" s="295">
        <f>IF('BD Start'!L15=0,0,IF('BD Start'!L15-(Actual!$AB15)&lt;0,0,'BD Start'!L15-(Actual!$AB15)))</f>
        <v>253.29</v>
      </c>
      <c r="M15" s="295">
        <f>IF('BD Start'!M15&gt;0,IF(('BD Start'!M15-'DATA-CMD'!L15+TPCIL!O25)&gt;=125,125,IF(('BD Start'!M15-'DATA-CMD'!L15+TPCIL!O25)&lt;0,0,('BD Start'!M15-'DATA-CMD'!L15+TPCIL!O25))),0)</f>
        <v>0</v>
      </c>
      <c r="N15" s="295">
        <f>IF('BD Start'!N15=0,0,IF('BD Start'!N15-O15&lt;0,0,'BD Start'!N15-O15))</f>
        <v>155.94</v>
      </c>
      <c r="O15" s="299">
        <f>'DATA-CMD'!L15+TPCIL!E25+TPCIL!F25+TPCIL!G25+TPCIL!H25</f>
        <v>346.06</v>
      </c>
      <c r="P15" s="289">
        <f>'BD Start'!P15+'BD Start'!Q15-'DATA-CMD'!M15</f>
        <v>0</v>
      </c>
    </row>
    <row r="16" ht="23.25" spans="1:16">
      <c r="A16" s="293">
        <v>14</v>
      </c>
      <c r="B16" s="294" t="s">
        <v>27</v>
      </c>
      <c r="C16" s="295">
        <f>IF('BD Start'!C16=0,0,IF('BD Start'!C16-(-SUM(Actual!$I16:$J16))&lt;0,0,'BD Start'!C16-(-SUM(Actual!$I16:$J16))))</f>
        <v>57.97</v>
      </c>
      <c r="D16" s="295">
        <f>IF('BD Start'!D16=0,0,IF('BD Start'!D16-(-SUM(Actual!$K16:$L16))&lt;0,0,'BD Start'!D16-(-SUM(Actual!$K16:$L16))))</f>
        <v>172.33</v>
      </c>
      <c r="E16" s="295">
        <f>IF('BD Start'!E16=0,0,IF('BD Start'!E16-(-Actual!$M16)&lt;0,0,'BD Start'!E16-(-Actual!$M16)))</f>
        <v>70.37</v>
      </c>
      <c r="F16" s="295">
        <f>IF('BD Start'!F16=0,0,IF('BD Start'!F16-(-SUM(Actual!$B16:$G16))&lt;0,0,'BD Start'!F16-(-SUM(Actual!$B16:$G16))))</f>
        <v>9.04000000000008</v>
      </c>
      <c r="G16" s="295">
        <f>IF('BD Start'!G16=0,0,IF('BD Start'!G16-(-Actual!$N16)&lt;0,0,'BD Start'!G16-(-Actual!$N16)))</f>
        <v>131.45</v>
      </c>
      <c r="H16" s="295">
        <f>IF('BD Start'!H16=0,0,IF('BD Start'!H16-(-Actual!$H16)&lt;0,0,'BD Start'!H16-(-Actual!$H16)))</f>
        <v>197.22</v>
      </c>
      <c r="I16" s="295">
        <f>IF('BD Start'!I16=0,0,IF('BD Start'!I16-(-SUM(Actual!$O16:$P16))&lt;0,0,'BD Start'!I16-(-SUM(Actual!$O16:$P16))))</f>
        <v>609.16</v>
      </c>
      <c r="J16" s="295">
        <f>IF('BD Start'!J16=0,0,IF('BD Start'!J16-(-Actual!$AA16)&lt;0,0,'BD Start'!J16-(-Actual!$AA16)))</f>
        <v>0</v>
      </c>
      <c r="K16" s="295">
        <f>IF('BD Start'!K16=0,0,IF('BD Start'!K16-('DATA-CMD'!D16)&lt;0,0,'BD Start'!K16-('DATA-CMD'!D16)))</f>
        <v>203.09</v>
      </c>
      <c r="L16" s="295">
        <f>IF('BD Start'!L16=0,0,IF('BD Start'!L16-(Actual!$AB16)&lt;0,0,'BD Start'!L16-(Actual!$AB16)))</f>
        <v>232.6</v>
      </c>
      <c r="M16" s="295">
        <f>IF('BD Start'!M16&gt;0,IF(('BD Start'!M16-'DATA-CMD'!L16+TPCIL!O26)&gt;=125,125,IF(('BD Start'!M16-'DATA-CMD'!L16+TPCIL!O26)&lt;0,0,('BD Start'!M16-'DATA-CMD'!L16+TPCIL!O26))),0)</f>
        <v>0</v>
      </c>
      <c r="N16" s="295">
        <f>IF('BD Start'!N16=0,0,IF('BD Start'!N16-O16&lt;0,0,'BD Start'!N16-O16))</f>
        <v>153.82</v>
      </c>
      <c r="O16" s="299">
        <f>'DATA-CMD'!L16+TPCIL!E26+TPCIL!F26+TPCIL!G26+TPCIL!H26</f>
        <v>348.18</v>
      </c>
      <c r="P16" s="289">
        <f>'BD Start'!P16+'BD Start'!Q16-'DATA-CMD'!M16</f>
        <v>0</v>
      </c>
    </row>
    <row r="17" ht="23.25" spans="1:16">
      <c r="A17" s="293">
        <v>15</v>
      </c>
      <c r="B17" s="294" t="s">
        <v>28</v>
      </c>
      <c r="C17" s="295">
        <f>IF('BD Start'!C17=0,0,IF('BD Start'!C17-(-SUM(Actual!$I17:$J17))&lt;0,0,'BD Start'!C17-(-SUM(Actual!$I17:$J17))))</f>
        <v>65.07</v>
      </c>
      <c r="D17" s="295">
        <f>IF('BD Start'!D17=0,0,IF('BD Start'!D17-(-SUM(Actual!$K17:$L17))&lt;0,0,'BD Start'!D17-(-SUM(Actual!$K17:$L17))))</f>
        <v>172.03</v>
      </c>
      <c r="E17" s="295">
        <f>IF('BD Start'!E17=0,0,IF('BD Start'!E17-(-Actual!$M17)&lt;0,0,'BD Start'!E17-(-Actual!$M17)))</f>
        <v>70</v>
      </c>
      <c r="F17" s="295">
        <f>IF('BD Start'!F17=0,0,IF('BD Start'!F17-(-SUM(Actual!$B17:$G17))&lt;0,0,'BD Start'!F17-(-SUM(Actual!$B17:$G17))))</f>
        <v>12.05</v>
      </c>
      <c r="G17" s="295">
        <f>IF('BD Start'!G17=0,0,IF('BD Start'!G17-(-Actual!$N17)&lt;0,0,'BD Start'!G17-(-Actual!$N17)))</f>
        <v>130.76</v>
      </c>
      <c r="H17" s="295">
        <f>IF('BD Start'!H17=0,0,IF('BD Start'!H17-(-Actual!$H17)&lt;0,0,'BD Start'!H17-(-Actual!$H17)))</f>
        <v>197.14</v>
      </c>
      <c r="I17" s="295">
        <f>IF('BD Start'!I17=0,0,IF('BD Start'!I17-(-SUM(Actual!$O17:$P17))&lt;0,0,'BD Start'!I17-(-SUM(Actual!$O17:$P17))))</f>
        <v>596.79</v>
      </c>
      <c r="J17" s="295">
        <f>IF('BD Start'!J17=0,0,IF('BD Start'!J17-(-Actual!$AA17)&lt;0,0,'BD Start'!J17-(-Actual!$AA17)))</f>
        <v>0</v>
      </c>
      <c r="K17" s="295">
        <f>IF('BD Start'!K17=0,0,IF('BD Start'!K17-('DATA-CMD'!D17)&lt;0,0,'BD Start'!K17-('DATA-CMD'!D17)))</f>
        <v>206.93</v>
      </c>
      <c r="L17" s="295">
        <f>IF('BD Start'!L17=0,0,IF('BD Start'!L17-(Actual!$AB17)&lt;0,0,'BD Start'!L17-(Actual!$AB17)))</f>
        <v>241.83</v>
      </c>
      <c r="M17" s="295">
        <f>IF('BD Start'!M17&gt;0,IF(('BD Start'!M17-'DATA-CMD'!L17+TPCIL!O27)&gt;=125,125,IF(('BD Start'!M17-'DATA-CMD'!L17+TPCIL!O27)&lt;0,0,('BD Start'!M17-'DATA-CMD'!L17+TPCIL!O27))),0)</f>
        <v>0</v>
      </c>
      <c r="N17" s="295">
        <f>IF('BD Start'!N17=0,0,IF('BD Start'!N17-O17&lt;0,0,'BD Start'!N17-O17))</f>
        <v>152.96</v>
      </c>
      <c r="O17" s="299">
        <f>'DATA-CMD'!L17+TPCIL!E27+TPCIL!F27+TPCIL!G27+TPCIL!H27</f>
        <v>349.04</v>
      </c>
      <c r="P17" s="289">
        <f>'BD Start'!P17+'BD Start'!Q17-'DATA-CMD'!M17</f>
        <v>0</v>
      </c>
    </row>
    <row r="18" ht="23.25" spans="1:16">
      <c r="A18" s="293">
        <v>16</v>
      </c>
      <c r="B18" s="294" t="s">
        <v>29</v>
      </c>
      <c r="C18" s="295">
        <f>IF('BD Start'!C18=0,0,IF('BD Start'!C18-(-SUM(Actual!$I18:$J18))&lt;0,0,'BD Start'!C18-(-SUM(Actual!$I18:$J18))))</f>
        <v>64</v>
      </c>
      <c r="D18" s="295">
        <f>IF('BD Start'!D18=0,0,IF('BD Start'!D18-(-SUM(Actual!$K18:$L18))&lt;0,0,'BD Start'!D18-(-SUM(Actual!$K18:$L18))))</f>
        <v>171.35</v>
      </c>
      <c r="E18" s="295">
        <f>IF('BD Start'!E18=0,0,IF('BD Start'!E18-(-Actual!$M18)&lt;0,0,'BD Start'!E18-(-Actual!$M18)))</f>
        <v>69.53</v>
      </c>
      <c r="F18" s="295">
        <f>IF('BD Start'!F18=0,0,IF('BD Start'!F18-(-SUM(Actual!$B18:$G18))&lt;0,0,'BD Start'!F18-(-SUM(Actual!$B18:$G18))))</f>
        <v>22.49</v>
      </c>
      <c r="G18" s="295">
        <f>IF('BD Start'!G18=0,0,IF('BD Start'!G18-(-Actual!$N18)&lt;0,0,'BD Start'!G18-(-Actual!$N18)))</f>
        <v>128.94</v>
      </c>
      <c r="H18" s="295">
        <f>IF('BD Start'!H18=0,0,IF('BD Start'!H18-(-Actual!$H18)&lt;0,0,'BD Start'!H18-(-Actual!$H18)))</f>
        <v>197.41</v>
      </c>
      <c r="I18" s="295">
        <f>IF('BD Start'!I18=0,0,IF('BD Start'!I18-(-SUM(Actual!$O18:$P18))&lt;0,0,'BD Start'!I18-(-SUM(Actual!$O18:$P18))))</f>
        <v>594.4</v>
      </c>
      <c r="J18" s="295">
        <f>IF('BD Start'!J18=0,0,IF('BD Start'!J18-(-Actual!$AA18)&lt;0,0,'BD Start'!J18-(-Actual!$AA18)))</f>
        <v>0</v>
      </c>
      <c r="K18" s="295">
        <f>IF('BD Start'!K18=0,0,IF('BD Start'!K18-('DATA-CMD'!D18)&lt;0,0,'BD Start'!K18-('DATA-CMD'!D18)))</f>
        <v>205.58</v>
      </c>
      <c r="L18" s="295">
        <f>IF('BD Start'!L18=0,0,IF('BD Start'!L18-(Actual!$AB18)&lt;0,0,'BD Start'!L18-(Actual!$AB18)))</f>
        <v>219.32</v>
      </c>
      <c r="M18" s="295">
        <f>IF('BD Start'!M18&gt;0,IF(('BD Start'!M18-'DATA-CMD'!L18+TPCIL!O28)&gt;=125,125,IF(('BD Start'!M18-'DATA-CMD'!L18+TPCIL!O28)&lt;0,0,('BD Start'!M18-'DATA-CMD'!L18+TPCIL!O28))),0)</f>
        <v>0</v>
      </c>
      <c r="N18" s="295">
        <f>IF('BD Start'!N18=0,0,IF('BD Start'!N18-O18&lt;0,0,'BD Start'!N18-O18))</f>
        <v>0</v>
      </c>
      <c r="O18" s="299">
        <f>'DATA-CMD'!L18+TPCIL!E28+TPCIL!F28+TPCIL!G28+TPCIL!H28</f>
        <v>392.91</v>
      </c>
      <c r="P18" s="289">
        <f>'BD Start'!P18+'BD Start'!Q18-'DATA-CMD'!M18</f>
        <v>0</v>
      </c>
    </row>
    <row r="19" ht="23.25" spans="1:16">
      <c r="A19" s="293">
        <v>17</v>
      </c>
      <c r="B19" s="294" t="s">
        <v>30</v>
      </c>
      <c r="C19" s="295">
        <f>IF('BD Start'!C19=0,0,IF('BD Start'!C19-(-SUM(Actual!$I19:$J19))&lt;0,0,'BD Start'!C19-(-SUM(Actual!$I19:$J19))))</f>
        <v>60</v>
      </c>
      <c r="D19" s="295">
        <f>IF('BD Start'!D19=0,0,IF('BD Start'!D19-(-SUM(Actual!$K19:$L19))&lt;0,0,'BD Start'!D19-(-SUM(Actual!$K19:$L19))))</f>
        <v>169.9</v>
      </c>
      <c r="E19" s="295">
        <f>IF('BD Start'!E19=0,0,IF('BD Start'!E19-(-Actual!$M19)&lt;0,0,'BD Start'!E19-(-Actual!$M19)))</f>
        <v>70.13</v>
      </c>
      <c r="F19" s="295">
        <f>IF('BD Start'!F19=0,0,IF('BD Start'!F19-(-SUM(Actual!$B19:$G19))&lt;0,0,'BD Start'!F19-(-SUM(Actual!$B19:$G19))))</f>
        <v>26.39</v>
      </c>
      <c r="G19" s="295">
        <f>IF('BD Start'!G19=0,0,IF('BD Start'!G19-(-Actual!$N19)&lt;0,0,'BD Start'!G19-(-Actual!$N19)))</f>
        <v>127.22</v>
      </c>
      <c r="H19" s="295">
        <f>IF('BD Start'!H19=0,0,IF('BD Start'!H19-(-Actual!$H19)&lt;0,0,'BD Start'!H19-(-Actual!$H19)))</f>
        <v>197.11</v>
      </c>
      <c r="I19" s="295">
        <f>IF('BD Start'!I19=0,0,IF('BD Start'!I19-(-SUM(Actual!$O19:$P19))&lt;0,0,'BD Start'!I19-(-SUM(Actual!$O19:$P19))))</f>
        <v>597.31</v>
      </c>
      <c r="J19" s="295">
        <f>IF('BD Start'!J19=0,0,IF('BD Start'!J19-(-Actual!$AA19)&lt;0,0,'BD Start'!J19-(-Actual!$AA19)))</f>
        <v>0</v>
      </c>
      <c r="K19" s="295">
        <f>IF('BD Start'!K19=0,0,IF('BD Start'!K19-('DATA-CMD'!D19)&lt;0,0,'BD Start'!K19-('DATA-CMD'!D19)))</f>
        <v>207.98</v>
      </c>
      <c r="L19" s="295">
        <f>IF('BD Start'!L19=0,0,IF('BD Start'!L19-(Actual!$AB19)&lt;0,0,'BD Start'!L19-(Actual!$AB19)))</f>
        <v>235.54</v>
      </c>
      <c r="M19" s="295">
        <f>IF('BD Start'!M19&gt;0,IF(('BD Start'!M19-'DATA-CMD'!L19+TPCIL!O29)&gt;=125,125,IF(('BD Start'!M19-'DATA-CMD'!L19+TPCIL!O29)&lt;0,0,('BD Start'!M19-'DATA-CMD'!L19+TPCIL!O29))),0)</f>
        <v>0</v>
      </c>
      <c r="N19" s="295">
        <f>IF('BD Start'!N19=0,0,IF('BD Start'!N19-O19&lt;0,0,'BD Start'!N19-O19))</f>
        <v>0</v>
      </c>
      <c r="O19" s="299">
        <f>'DATA-CMD'!L19+TPCIL!E29+TPCIL!F29+TPCIL!G29+TPCIL!H29</f>
        <v>450.06</v>
      </c>
      <c r="P19" s="289">
        <f>'BD Start'!P19+'BD Start'!Q19-'DATA-CMD'!M19</f>
        <v>0</v>
      </c>
    </row>
    <row r="20" ht="23.25" spans="1:16">
      <c r="A20" s="293">
        <v>18</v>
      </c>
      <c r="B20" s="294" t="s">
        <v>31</v>
      </c>
      <c r="C20" s="295">
        <f>IF('BD Start'!C20=0,0,IF('BD Start'!C20-(-SUM(Actual!$I20:$J20))&lt;0,0,'BD Start'!C20-(-SUM(Actual!$I20:$J20))))</f>
        <v>59.8200000000001</v>
      </c>
      <c r="D20" s="295">
        <f>IF('BD Start'!D20=0,0,IF('BD Start'!D20-(-SUM(Actual!$K20:$L20))&lt;0,0,'BD Start'!D20-(-SUM(Actual!$K20:$L20))))</f>
        <v>169.81</v>
      </c>
      <c r="E20" s="295">
        <f>IF('BD Start'!E20=0,0,IF('BD Start'!E20-(-Actual!$M20)&lt;0,0,'BD Start'!E20-(-Actual!$M20)))</f>
        <v>68.96</v>
      </c>
      <c r="F20" s="295">
        <f>IF('BD Start'!F20=0,0,IF('BD Start'!F20-(-SUM(Actual!$B20:$G20))&lt;0,0,'BD Start'!F20-(-SUM(Actual!$B20:$G20))))</f>
        <v>31.11</v>
      </c>
      <c r="G20" s="295">
        <f>IF('BD Start'!G20=0,0,IF('BD Start'!G20-(-Actual!$N20)&lt;0,0,'BD Start'!G20-(-Actual!$N20)))</f>
        <v>130.93</v>
      </c>
      <c r="H20" s="295">
        <f>IF('BD Start'!H20=0,0,IF('BD Start'!H20-(-Actual!$H20)&lt;0,0,'BD Start'!H20-(-Actual!$H20)))</f>
        <v>194.57</v>
      </c>
      <c r="I20" s="295">
        <f>IF('BD Start'!I20=0,0,IF('BD Start'!I20-(-SUM(Actual!$O20:$P20))&lt;0,0,'BD Start'!I20-(-SUM(Actual!$O20:$P20))))</f>
        <v>599.18</v>
      </c>
      <c r="J20" s="295">
        <f>IF('BD Start'!J20=0,0,IF('BD Start'!J20-(-Actual!$AA20)&lt;0,0,'BD Start'!J20-(-Actual!$AA20)))</f>
        <v>0</v>
      </c>
      <c r="K20" s="295">
        <f>IF('BD Start'!K20=0,0,IF('BD Start'!K20-('DATA-CMD'!D20)&lt;0,0,'BD Start'!K20-('DATA-CMD'!D20)))</f>
        <v>205.27</v>
      </c>
      <c r="L20" s="295">
        <f>IF('BD Start'!L20=0,0,IF('BD Start'!L20-(Actual!$AB20)&lt;0,0,'BD Start'!L20-(Actual!$AB20)))</f>
        <v>0</v>
      </c>
      <c r="M20" s="295">
        <f>IF('BD Start'!M20&gt;0,IF(('BD Start'!M20-'DATA-CMD'!L20+TPCIL!O30)&gt;=125,125,IF(('BD Start'!M20-'DATA-CMD'!L20+TPCIL!O30)&lt;0,0,('BD Start'!M20-'DATA-CMD'!L20+TPCIL!O30))),0)</f>
        <v>0</v>
      </c>
      <c r="N20" s="295">
        <f>IF('BD Start'!N20=0,0,IF('BD Start'!N20-O20&lt;0,0,'BD Start'!N20-O20))</f>
        <v>0</v>
      </c>
      <c r="O20" s="299">
        <f>'DATA-CMD'!L20+TPCIL!E30+TPCIL!F30+TPCIL!G30+TPCIL!H30</f>
        <v>498.68</v>
      </c>
      <c r="P20" s="289">
        <f>'BD Start'!P20+'BD Start'!Q20-'DATA-CMD'!M20</f>
        <v>0</v>
      </c>
    </row>
    <row r="21" ht="23.25" spans="1:16">
      <c r="A21" s="293">
        <v>19</v>
      </c>
      <c r="B21" s="294" t="s">
        <v>32</v>
      </c>
      <c r="C21" s="295">
        <f>IF('BD Start'!C21=0,0,IF('BD Start'!C21-(-SUM(Actual!$I21:$J21))&lt;0,0,'BD Start'!C21-(-SUM(Actual!$I21:$J21))))</f>
        <v>57.35</v>
      </c>
      <c r="D21" s="295">
        <f>IF('BD Start'!D21=0,0,IF('BD Start'!D21-(-SUM(Actual!$K21:$L21))&lt;0,0,'BD Start'!D21-(-SUM(Actual!$K21:$L21))))</f>
        <v>169</v>
      </c>
      <c r="E21" s="295">
        <f>IF('BD Start'!E21=0,0,IF('BD Start'!E21-(-Actual!$M21)&lt;0,0,'BD Start'!E21-(-Actual!$M21)))</f>
        <v>69.19</v>
      </c>
      <c r="F21" s="295">
        <f>IF('BD Start'!F21=0,0,IF('BD Start'!F21-(-SUM(Actual!$B21:$G21))&lt;0,0,'BD Start'!F21-(-SUM(Actual!$B21:$G21))))</f>
        <v>30.36</v>
      </c>
      <c r="G21" s="295">
        <f>IF('BD Start'!G21=0,0,IF('BD Start'!G21-(-Actual!$N21)&lt;0,0,'BD Start'!G21-(-Actual!$N21)))</f>
        <v>130.93</v>
      </c>
      <c r="H21" s="295">
        <f>IF('BD Start'!H21=0,0,IF('BD Start'!H21-(-Actual!$H21)&lt;0,0,'BD Start'!H21-(-Actual!$H21)))</f>
        <v>198.48</v>
      </c>
      <c r="I21" s="295">
        <f>IF('BD Start'!I21=0,0,IF('BD Start'!I21-(-SUM(Actual!$O21:$P21))&lt;0,0,'BD Start'!I21-(-SUM(Actual!$O21:$P21))))</f>
        <v>598.44</v>
      </c>
      <c r="J21" s="295">
        <f>IF('BD Start'!J21=0,0,IF('BD Start'!J21-(-Actual!$AA21)&lt;0,0,'BD Start'!J21-(-Actual!$AA21)))</f>
        <v>0</v>
      </c>
      <c r="K21" s="295">
        <f>IF('BD Start'!K21=0,0,IF('BD Start'!K21-('DATA-CMD'!D21)&lt;0,0,'BD Start'!K21-('DATA-CMD'!D21)))</f>
        <v>205.69</v>
      </c>
      <c r="L21" s="295">
        <f>IF('BD Start'!L21=0,0,IF('BD Start'!L21-(Actual!$AB21)&lt;0,0,'BD Start'!L21-(Actual!$AB21)))</f>
        <v>0</v>
      </c>
      <c r="M21" s="295">
        <f>IF('BD Start'!M21&gt;0,IF(('BD Start'!M21-'DATA-CMD'!L21+TPCIL!O31)&gt;=125,125,IF(('BD Start'!M21-'DATA-CMD'!L21+TPCIL!O31)&lt;0,0,('BD Start'!M21-'DATA-CMD'!L21+TPCIL!O31))),0)</f>
        <v>0</v>
      </c>
      <c r="N21" s="295">
        <f>IF('BD Start'!N21=0,0,IF('BD Start'!N21-O21&lt;0,0,'BD Start'!N21-O21))</f>
        <v>0</v>
      </c>
      <c r="O21" s="299">
        <f>'DATA-CMD'!L21+TPCIL!E31+TPCIL!F31+TPCIL!G31+TPCIL!H31</f>
        <v>499.66</v>
      </c>
      <c r="P21" s="289">
        <f>'BD Start'!P21+'BD Start'!Q21-'DATA-CMD'!M21</f>
        <v>0</v>
      </c>
    </row>
    <row r="22" ht="23.25" spans="1:16">
      <c r="A22" s="293">
        <v>20</v>
      </c>
      <c r="B22" s="294" t="s">
        <v>33</v>
      </c>
      <c r="C22" s="295">
        <f>IF('BD Start'!C22=0,0,IF('BD Start'!C22-(-SUM(Actual!$I22:$J22))&lt;0,0,'BD Start'!C22-(-SUM(Actual!$I22:$J22))))</f>
        <v>57.7</v>
      </c>
      <c r="D22" s="295">
        <f>IF('BD Start'!D22=0,0,IF('BD Start'!D22-(-SUM(Actual!$K22:$L22))&lt;0,0,'BD Start'!D22-(-SUM(Actual!$K22:$L22))))</f>
        <v>169.71</v>
      </c>
      <c r="E22" s="295">
        <f>IF('BD Start'!E22=0,0,IF('BD Start'!E22-(-Actual!$M22)&lt;0,0,'BD Start'!E22-(-Actual!$M22)))</f>
        <v>69.15</v>
      </c>
      <c r="F22" s="295">
        <f>IF('BD Start'!F22=0,0,IF('BD Start'!F22-(-SUM(Actual!$B22:$G22))&lt;0,0,'BD Start'!F22-(-SUM(Actual!$B22:$G22))))</f>
        <v>32.95</v>
      </c>
      <c r="G22" s="295">
        <f>IF('BD Start'!G22=0,0,IF('BD Start'!G22-(-Actual!$N22)&lt;0,0,'BD Start'!G22-(-Actual!$N22)))</f>
        <v>130.93</v>
      </c>
      <c r="H22" s="295">
        <f>IF('BD Start'!H22=0,0,IF('BD Start'!H22-(-Actual!$H22)&lt;0,0,'BD Start'!H22-(-Actual!$H22)))</f>
        <v>196.3</v>
      </c>
      <c r="I22" s="295">
        <f>IF('BD Start'!I22=0,0,IF('BD Start'!I22-(-SUM(Actual!$O22:$P22))&lt;0,0,'BD Start'!I22-(-SUM(Actual!$O22:$P22))))</f>
        <v>594.83</v>
      </c>
      <c r="J22" s="295">
        <f>IF('BD Start'!J22=0,0,IF('BD Start'!J22-(-Actual!$AA22)&lt;0,0,'BD Start'!J22-(-Actual!$AA22)))</f>
        <v>0</v>
      </c>
      <c r="K22" s="295">
        <f>IF('BD Start'!K22=0,0,IF('BD Start'!K22-('DATA-CMD'!D22)&lt;0,0,'BD Start'!K22-('DATA-CMD'!D22)))</f>
        <v>202.24</v>
      </c>
      <c r="L22" s="295">
        <f>IF('BD Start'!L22=0,0,IF('BD Start'!L22-(Actual!$AB22)&lt;0,0,'BD Start'!L22-(Actual!$AB22)))</f>
        <v>0</v>
      </c>
      <c r="M22" s="295">
        <f>IF('BD Start'!M22&gt;0,IF(('BD Start'!M22-'DATA-CMD'!L22+TPCIL!O32)&gt;=125,125,IF(('BD Start'!M22-'DATA-CMD'!L22+TPCIL!O32)&lt;0,0,('BD Start'!M22-'DATA-CMD'!L22+TPCIL!O32))),0)</f>
        <v>0</v>
      </c>
      <c r="N22" s="295">
        <f>IF('BD Start'!N22=0,0,IF('BD Start'!N22-O22&lt;0,0,'BD Start'!N22-O22))</f>
        <v>0</v>
      </c>
      <c r="O22" s="299">
        <f>'DATA-CMD'!L22+TPCIL!E32+TPCIL!F32+TPCIL!G32+TPCIL!H32</f>
        <v>498.8</v>
      </c>
      <c r="P22" s="289">
        <f>'BD Start'!P22+'BD Start'!Q22-'DATA-CMD'!M22</f>
        <v>0</v>
      </c>
    </row>
    <row r="23" ht="23.25" spans="1:16">
      <c r="A23" s="293">
        <v>21</v>
      </c>
      <c r="B23" s="294" t="s">
        <v>34</v>
      </c>
      <c r="C23" s="295">
        <f>IF('BD Start'!C23=0,0,IF('BD Start'!C23-(-SUM(Actual!$I23:$J23))&lt;0,0,'BD Start'!C23-(-SUM(Actual!$I23:$J23))))</f>
        <v>55.91</v>
      </c>
      <c r="D23" s="295">
        <f>IF('BD Start'!D23=0,0,IF('BD Start'!D23-(-SUM(Actual!$K23:$L23))&lt;0,0,'BD Start'!D23-(-SUM(Actual!$K23:$L23))))</f>
        <v>167.33</v>
      </c>
      <c r="E23" s="295">
        <f>IF('BD Start'!E23=0,0,IF('BD Start'!E23-(-Actual!$M23)&lt;0,0,'BD Start'!E23-(-Actual!$M23)))</f>
        <v>66.04</v>
      </c>
      <c r="F23" s="295">
        <f>IF('BD Start'!F23=0,0,IF('BD Start'!F23-(-SUM(Actual!$B23:$G23))&lt;0,0,'BD Start'!F23-(-SUM(Actual!$B23:$G23))))</f>
        <v>32.48</v>
      </c>
      <c r="G23" s="295">
        <f>IF('BD Start'!G23=0,0,IF('BD Start'!G23-(-Actual!$N23)&lt;0,0,'BD Start'!G23-(-Actual!$N23)))</f>
        <v>128.58</v>
      </c>
      <c r="H23" s="295">
        <f>IF('BD Start'!H23=0,0,IF('BD Start'!H23-(-Actual!$H23)&lt;0,0,'BD Start'!H23-(-Actual!$H23)))</f>
        <v>196.74</v>
      </c>
      <c r="I23" s="295">
        <f>IF('BD Start'!I23=0,0,IF('BD Start'!I23-(-SUM(Actual!$O23:$P23))&lt;0,0,'BD Start'!I23-(-SUM(Actual!$O23:$P23))))</f>
        <v>601.84</v>
      </c>
      <c r="J23" s="295">
        <f>IF('BD Start'!J23=0,0,IF('BD Start'!J23-(-Actual!$AA23)&lt;0,0,'BD Start'!J23-(-Actual!$AA23)))</f>
        <v>0</v>
      </c>
      <c r="K23" s="295">
        <f>IF('BD Start'!K23=0,0,IF('BD Start'!K23-('DATA-CMD'!D23)&lt;0,0,'BD Start'!K23-('DATA-CMD'!D23)))</f>
        <v>198.99</v>
      </c>
      <c r="L23" s="295">
        <f>IF('BD Start'!L23=0,0,IF('BD Start'!L23-(Actual!$AB23)&lt;0,0,'BD Start'!L23-(Actual!$AB23)))</f>
        <v>0</v>
      </c>
      <c r="M23" s="295">
        <f>IF('BD Start'!M23&gt;0,IF(('BD Start'!M23-'DATA-CMD'!L23+TPCIL!O33)&gt;=125,125,IF(('BD Start'!M23-'DATA-CMD'!L23+TPCIL!O33)&lt;0,0,('BD Start'!M23-'DATA-CMD'!L23+TPCIL!O33))),0)</f>
        <v>0</v>
      </c>
      <c r="N23" s="295">
        <f>IF('BD Start'!N23=0,0,IF('BD Start'!N23-O23&lt;0,0,'BD Start'!N23-O23))</f>
        <v>0</v>
      </c>
      <c r="O23" s="299">
        <f>'DATA-CMD'!L23+TPCIL!E33+TPCIL!F33+TPCIL!G33+TPCIL!H33</f>
        <v>502.38</v>
      </c>
      <c r="P23" s="289">
        <f>'BD Start'!P23+'BD Start'!Q23-'DATA-CMD'!M23</f>
        <v>0</v>
      </c>
    </row>
    <row r="24" ht="23.25" spans="1:16">
      <c r="A24" s="293">
        <v>22</v>
      </c>
      <c r="B24" s="294" t="s">
        <v>35</v>
      </c>
      <c r="C24" s="295">
        <f>IF('BD Start'!C24=0,0,IF('BD Start'!C24-(-SUM(Actual!$I24:$J24))&lt;0,0,'BD Start'!C24-(-SUM(Actual!$I24:$J24))))</f>
        <v>60.11</v>
      </c>
      <c r="D24" s="295">
        <f>IF('BD Start'!D24=0,0,IF('BD Start'!D24-(-SUM(Actual!$K24:$L24))&lt;0,0,'BD Start'!D24-(-SUM(Actual!$K24:$L24))))</f>
        <v>167.6</v>
      </c>
      <c r="E24" s="295">
        <f>IF('BD Start'!E24=0,0,IF('BD Start'!E24-(-Actual!$M24)&lt;0,0,'BD Start'!E24-(-Actual!$M24)))</f>
        <v>69.31</v>
      </c>
      <c r="F24" s="295">
        <f>IF('BD Start'!F24=0,0,IF('BD Start'!F24-(-SUM(Actual!$B24:$G24))&lt;0,0,'BD Start'!F24-(-SUM(Actual!$B24:$G24))))</f>
        <v>31.72</v>
      </c>
      <c r="G24" s="295">
        <f>IF('BD Start'!G24=0,0,IF('BD Start'!G24-(-Actual!$N24)&lt;0,0,'BD Start'!G24-(-Actual!$N24)))</f>
        <v>131.13</v>
      </c>
      <c r="H24" s="295">
        <f>IF('BD Start'!H24=0,0,IF('BD Start'!H24-(-Actual!$H24)&lt;0,0,'BD Start'!H24-(-Actual!$H24)))</f>
        <v>195.87</v>
      </c>
      <c r="I24" s="295">
        <f>IF('BD Start'!I24=0,0,IF('BD Start'!I24-(-SUM(Actual!$O24:$P24))&lt;0,0,'BD Start'!I24-(-SUM(Actual!$O24:$P24))))</f>
        <v>0</v>
      </c>
      <c r="J24" s="295">
        <f>IF('BD Start'!J24=0,0,IF('BD Start'!J24-(-Actual!$AA24)&lt;0,0,'BD Start'!J24-(-Actual!$AA24)))</f>
        <v>0</v>
      </c>
      <c r="K24" s="295">
        <f>IF('BD Start'!K24=0,0,IF('BD Start'!K24-('DATA-CMD'!D24)&lt;0,0,'BD Start'!K24-('DATA-CMD'!D24)))</f>
        <v>0</v>
      </c>
      <c r="L24" s="295">
        <f>IF('BD Start'!L24=0,0,IF('BD Start'!L24-(Actual!$AB24)&lt;0,0,'BD Start'!L24-(Actual!$AB24)))</f>
        <v>0</v>
      </c>
      <c r="M24" s="295">
        <f>IF('BD Start'!M24&gt;0,IF(('BD Start'!M24-'DATA-CMD'!L24+TPCIL!O34)&gt;=125,125,IF(('BD Start'!M24-'DATA-CMD'!L24+TPCIL!O34)&lt;0,0,('BD Start'!M24-'DATA-CMD'!L24+TPCIL!O34))),0)</f>
        <v>0</v>
      </c>
      <c r="N24" s="295">
        <f>IF('BD Start'!N24=0,0,IF('BD Start'!N24-O24&lt;0,0,'BD Start'!N24-O24))</f>
        <v>0</v>
      </c>
      <c r="O24" s="299">
        <f>'DATA-CMD'!L24+TPCIL!E34+TPCIL!F34+TPCIL!G34+TPCIL!H34</f>
        <v>498.82</v>
      </c>
      <c r="P24" s="289">
        <f>'BD Start'!P24+'BD Start'!Q24-'DATA-CMD'!M24</f>
        <v>0</v>
      </c>
    </row>
    <row r="25" ht="23.25" spans="1:16">
      <c r="A25" s="293">
        <v>23</v>
      </c>
      <c r="B25" s="294" t="s">
        <v>36</v>
      </c>
      <c r="C25" s="295">
        <f>IF('BD Start'!C25=0,0,IF('BD Start'!C25-(-SUM(Actual!$I25:$J25))&lt;0,0,'BD Start'!C25-(-SUM(Actual!$I25:$J25))))</f>
        <v>56.76</v>
      </c>
      <c r="D25" s="295">
        <f>IF('BD Start'!D25=0,0,IF('BD Start'!D25-(-SUM(Actual!$K25:$L25))&lt;0,0,'BD Start'!D25-(-SUM(Actual!$K25:$L25))))</f>
        <v>167.63</v>
      </c>
      <c r="E25" s="295">
        <f>IF('BD Start'!E25=0,0,IF('BD Start'!E25-(-Actual!$M25)&lt;0,0,'BD Start'!E25-(-Actual!$M25)))</f>
        <v>67.8</v>
      </c>
      <c r="F25" s="295">
        <f>IF('BD Start'!F25=0,0,IF('BD Start'!F25-(-SUM(Actual!$B25:$G25))&lt;0,0,'BD Start'!F25-(-SUM(Actual!$B25:$G25))))</f>
        <v>29.1500000000001</v>
      </c>
      <c r="G25" s="295">
        <f>IF('BD Start'!G25=0,0,IF('BD Start'!G25-(-Actual!$N25)&lt;0,0,'BD Start'!G25-(-Actual!$N25)))</f>
        <v>129.26</v>
      </c>
      <c r="H25" s="295">
        <f>IF('BD Start'!H25=0,0,IF('BD Start'!H25-(-Actual!$H25)&lt;0,0,'BD Start'!H25-(-Actual!$H25)))</f>
        <v>198.36</v>
      </c>
      <c r="I25" s="295">
        <f>IF('BD Start'!I25=0,0,IF('BD Start'!I25-(-SUM(Actual!$O25:$P25))&lt;0,0,'BD Start'!I25-(-SUM(Actual!$O25:$P25))))</f>
        <v>0</v>
      </c>
      <c r="J25" s="295">
        <f>IF('BD Start'!J25=0,0,IF('BD Start'!J25-(-Actual!$AA25)&lt;0,0,'BD Start'!J25-(-Actual!$AA25)))</f>
        <v>0</v>
      </c>
      <c r="K25" s="295">
        <f>IF('BD Start'!K25=0,0,IF('BD Start'!K25-('DATA-CMD'!D25)&lt;0,0,'BD Start'!K25-('DATA-CMD'!D25)))</f>
        <v>0</v>
      </c>
      <c r="L25" s="295">
        <f>IF('BD Start'!L25=0,0,IF('BD Start'!L25-(Actual!$AB25)&lt;0,0,'BD Start'!L25-(Actual!$AB25)))</f>
        <v>0</v>
      </c>
      <c r="M25" s="295">
        <f>IF('BD Start'!M25&gt;0,IF(('BD Start'!M25-'DATA-CMD'!L25+TPCIL!O35)&gt;=125,125,IF(('BD Start'!M25-'DATA-CMD'!L25+TPCIL!O35)&lt;0,0,('BD Start'!M25-'DATA-CMD'!L25+TPCIL!O35))),0)</f>
        <v>0</v>
      </c>
      <c r="N25" s="295">
        <f>IF('BD Start'!N25=0,0,IF('BD Start'!N25-O25&lt;0,0,'BD Start'!N25-O25))</f>
        <v>0</v>
      </c>
      <c r="O25" s="299">
        <f>'DATA-CMD'!L25+TPCIL!E35+TPCIL!F35+TPCIL!G35+TPCIL!H35</f>
        <v>497.46</v>
      </c>
      <c r="P25" s="289">
        <f>'BD Start'!P25+'BD Start'!Q25-'DATA-CMD'!M25</f>
        <v>0</v>
      </c>
    </row>
    <row r="26" ht="23.25" spans="1:16">
      <c r="A26" s="293">
        <v>24</v>
      </c>
      <c r="B26" s="294" t="s">
        <v>37</v>
      </c>
      <c r="C26" s="295">
        <f>IF('BD Start'!C26=0,0,IF('BD Start'!C26-(-SUM(Actual!$I26:$J26))&lt;0,0,'BD Start'!C26-(-SUM(Actual!$I26:$J26))))</f>
        <v>60.66</v>
      </c>
      <c r="D26" s="295">
        <f>IF('BD Start'!D26=0,0,IF('BD Start'!D26-(-SUM(Actual!$K26:$L26))&lt;0,0,'BD Start'!D26-(-SUM(Actual!$K26:$L26))))</f>
        <v>169.72</v>
      </c>
      <c r="E26" s="295">
        <f>IF('BD Start'!E26=0,0,IF('BD Start'!E26-(-Actual!$M26)&lt;0,0,'BD Start'!E26-(-Actual!$M26)))</f>
        <v>69.9</v>
      </c>
      <c r="F26" s="295">
        <f>IF('BD Start'!F26=0,0,IF('BD Start'!F26-(-SUM(Actual!$B26:$G26))&lt;0,0,'BD Start'!F26-(-SUM(Actual!$B26:$G26))))</f>
        <v>26.4</v>
      </c>
      <c r="G26" s="295">
        <f>IF('BD Start'!G26=0,0,IF('BD Start'!G26-(-Actual!$N26)&lt;0,0,'BD Start'!G26-(-Actual!$N26)))</f>
        <v>131.43</v>
      </c>
      <c r="H26" s="295">
        <f>IF('BD Start'!H26=0,0,IF('BD Start'!H26-(-Actual!$H26)&lt;0,0,'BD Start'!H26-(-Actual!$H26)))</f>
        <v>196.6</v>
      </c>
      <c r="I26" s="295">
        <f>IF('BD Start'!I26=0,0,IF('BD Start'!I26-(-SUM(Actual!$O26:$P26))&lt;0,0,'BD Start'!I26-(-SUM(Actual!$O26:$P26))))</f>
        <v>0</v>
      </c>
      <c r="J26" s="295">
        <f>IF('BD Start'!J26=0,0,IF('BD Start'!J26-(-Actual!$AA26)&lt;0,0,'BD Start'!J26-(-Actual!$AA26)))</f>
        <v>0</v>
      </c>
      <c r="K26" s="295">
        <f>IF('BD Start'!K26=0,0,IF('BD Start'!K26-('DATA-CMD'!D26)&lt;0,0,'BD Start'!K26-('DATA-CMD'!D26)))</f>
        <v>0</v>
      </c>
      <c r="L26" s="295">
        <f>IF('BD Start'!L26=0,0,IF('BD Start'!L26-(Actual!$AB26)&lt;0,0,'BD Start'!L26-(Actual!$AB26)))</f>
        <v>0</v>
      </c>
      <c r="M26" s="295">
        <f>IF('BD Start'!M26&gt;0,IF(('BD Start'!M26-'DATA-CMD'!L26+TPCIL!O36)&gt;=125,125,IF(('BD Start'!M26-'DATA-CMD'!L26+TPCIL!O36)&lt;0,0,('BD Start'!M26-'DATA-CMD'!L26+TPCIL!O36))),0)</f>
        <v>0</v>
      </c>
      <c r="N26" s="295">
        <f>IF('BD Start'!N26=0,0,IF('BD Start'!N26-O26&lt;0,0,'BD Start'!N26-O26))</f>
        <v>0</v>
      </c>
      <c r="O26" s="299">
        <f>'DATA-CMD'!L26+TPCIL!E36+TPCIL!F36+TPCIL!G36+TPCIL!H36</f>
        <v>490.26</v>
      </c>
      <c r="P26" s="289">
        <f>'BD Start'!P26+'BD Start'!Q26-'DATA-CMD'!M26</f>
        <v>0</v>
      </c>
    </row>
    <row r="27" ht="23.25" spans="1:16">
      <c r="A27" s="293">
        <v>25</v>
      </c>
      <c r="B27" s="294" t="s">
        <v>38</v>
      </c>
      <c r="C27" s="295">
        <f>IF('BD Start'!C27=0,0,IF('BD Start'!C27-(-SUM(Actual!$I27:$J27))&lt;0,0,'BD Start'!C27-(-SUM(Actual!$I27:$J27))))</f>
        <v>58.52</v>
      </c>
      <c r="D27" s="295">
        <f>IF('BD Start'!D27=0,0,IF('BD Start'!D27-(-SUM(Actual!$K27:$L27))&lt;0,0,'BD Start'!D27-(-SUM(Actual!$K27:$L27))))</f>
        <v>163.5</v>
      </c>
      <c r="E27" s="295">
        <f>IF('BD Start'!E27=0,0,IF('BD Start'!E27-(-Actual!$M27)&lt;0,0,'BD Start'!E27-(-Actual!$M27)))</f>
        <v>66.42</v>
      </c>
      <c r="F27" s="295">
        <f>IF('BD Start'!F27=0,0,IF('BD Start'!F27-(-SUM(Actual!$B27:$G27))&lt;0,0,'BD Start'!F27-(-SUM(Actual!$B27:$G27))))</f>
        <v>20.51</v>
      </c>
      <c r="G27" s="295">
        <f>IF('BD Start'!G27=0,0,IF('BD Start'!G27-(-Actual!$N27)&lt;0,0,'BD Start'!G27-(-Actual!$N27)))</f>
        <v>126.21</v>
      </c>
      <c r="H27" s="295">
        <f>IF('BD Start'!H27=0,0,IF('BD Start'!H27-(-Actual!$H27)&lt;0,0,'BD Start'!H27-(-Actual!$H27)))</f>
        <v>197.83</v>
      </c>
      <c r="I27" s="295">
        <f>IF('BD Start'!I27=0,0,IF('BD Start'!I27-(-SUM(Actual!$O27:$P27))&lt;0,0,'BD Start'!I27-(-SUM(Actual!$O27:$P27))))</f>
        <v>0</v>
      </c>
      <c r="J27" s="295">
        <f>IF('BD Start'!J27=0,0,IF('BD Start'!J27-(-Actual!$AA27)&lt;0,0,'BD Start'!J27-(-Actual!$AA27)))</f>
        <v>0</v>
      </c>
      <c r="K27" s="295">
        <f>IF('BD Start'!K27=0,0,IF('BD Start'!K27-('DATA-CMD'!D27)&lt;0,0,'BD Start'!K27-('DATA-CMD'!D27)))</f>
        <v>0</v>
      </c>
      <c r="L27" s="295">
        <f>IF('BD Start'!L27=0,0,IF('BD Start'!L27-(Actual!$AB27)&lt;0,0,'BD Start'!L27-(Actual!$AB27)))</f>
        <v>0</v>
      </c>
      <c r="M27" s="295">
        <f>IF('BD Start'!M27&gt;0,IF(('BD Start'!M27-'DATA-CMD'!L27+TPCIL!O37)&gt;=125,125,IF(('BD Start'!M27-'DATA-CMD'!L27+TPCIL!O37)&lt;0,0,('BD Start'!M27-'DATA-CMD'!L27+TPCIL!O37))),0)</f>
        <v>0</v>
      </c>
      <c r="N27" s="295">
        <f>IF('BD Start'!N27=0,0,IF('BD Start'!N27-O27&lt;0,0,'BD Start'!N27-O27))</f>
        <v>0</v>
      </c>
      <c r="O27" s="299">
        <f>'DATA-CMD'!L27+TPCIL!E37+TPCIL!F37+TPCIL!G37+TPCIL!H37</f>
        <v>491.22</v>
      </c>
      <c r="P27" s="289">
        <f>'BD Start'!P27+'BD Start'!Q27-'DATA-CMD'!M27</f>
        <v>0</v>
      </c>
    </row>
    <row r="28" ht="23.25" spans="1:16">
      <c r="A28" s="293">
        <v>26</v>
      </c>
      <c r="B28" s="294" t="s">
        <v>39</v>
      </c>
      <c r="C28" s="295">
        <f>IF('BD Start'!C28=0,0,IF('BD Start'!C28-(-SUM(Actual!$I28:$J28))&lt;0,0,'BD Start'!C28-(-SUM(Actual!$I28:$J28))))</f>
        <v>65.62</v>
      </c>
      <c r="D28" s="295">
        <f>IF('BD Start'!D28=0,0,IF('BD Start'!D28-(-SUM(Actual!$K28:$L28))&lt;0,0,'BD Start'!D28-(-SUM(Actual!$K28:$L28))))</f>
        <v>169.08</v>
      </c>
      <c r="E28" s="295">
        <f>IF('BD Start'!E28=0,0,IF('BD Start'!E28-(-Actual!$M28)&lt;0,0,'BD Start'!E28-(-Actual!$M28)))</f>
        <v>68.82</v>
      </c>
      <c r="F28" s="295">
        <f>IF('BD Start'!F28=0,0,IF('BD Start'!F28-(-SUM(Actual!$B28:$G28))&lt;0,0,'BD Start'!F28-(-SUM(Actual!$B28:$G28))))</f>
        <v>0</v>
      </c>
      <c r="G28" s="295">
        <f>IF('BD Start'!G28=0,0,IF('BD Start'!G28-(-Actual!$N28)&lt;0,0,'BD Start'!G28-(-Actual!$N28)))</f>
        <v>0</v>
      </c>
      <c r="H28" s="295">
        <f>IF('BD Start'!H28=0,0,IF('BD Start'!H28-(-Actual!$H28)&lt;0,0,'BD Start'!H28-(-Actual!$H28)))</f>
        <v>0</v>
      </c>
      <c r="I28" s="295">
        <f>IF('BD Start'!I28=0,0,IF('BD Start'!I28-(-SUM(Actual!$O28:$P28))&lt;0,0,'BD Start'!I28-(-SUM(Actual!$O28:$P28))))</f>
        <v>0</v>
      </c>
      <c r="J28" s="295">
        <f>IF('BD Start'!J28=0,0,IF('BD Start'!J28-(-Actual!$AA28)&lt;0,0,'BD Start'!J28-(-Actual!$AA28)))</f>
        <v>0</v>
      </c>
      <c r="K28" s="295">
        <f>IF('BD Start'!K28=0,0,IF('BD Start'!K28-('DATA-CMD'!D28)&lt;0,0,'BD Start'!K28-('DATA-CMD'!D28)))</f>
        <v>0</v>
      </c>
      <c r="L28" s="295">
        <f>IF('BD Start'!L28=0,0,IF('BD Start'!L28-(Actual!$AB28)&lt;0,0,'BD Start'!L28-(Actual!$AB28)))</f>
        <v>0</v>
      </c>
      <c r="M28" s="295">
        <f>IF('BD Start'!M28&gt;0,IF(('BD Start'!M28-'DATA-CMD'!L28+TPCIL!O38)&gt;=125,125,IF(('BD Start'!M28-'DATA-CMD'!L28+TPCIL!O38)&lt;0,0,('BD Start'!M28-'DATA-CMD'!L28+TPCIL!O38))),0)</f>
        <v>0</v>
      </c>
      <c r="N28" s="295">
        <f>IF('BD Start'!N28=0,0,IF('BD Start'!N28-O28&lt;0,0,'BD Start'!N28-O28))</f>
        <v>0</v>
      </c>
      <c r="O28" s="299">
        <f>'DATA-CMD'!L28+TPCIL!E38+TPCIL!F38+TPCIL!G38+TPCIL!H38</f>
        <v>497.1</v>
      </c>
      <c r="P28" s="289">
        <f>'BD Start'!P28+'BD Start'!Q28-'DATA-CMD'!M28</f>
        <v>0</v>
      </c>
    </row>
    <row r="29" ht="23.25" spans="1:16">
      <c r="A29" s="293">
        <v>27</v>
      </c>
      <c r="B29" s="294" t="s">
        <v>40</v>
      </c>
      <c r="C29" s="295">
        <f>IF('BD Start'!C29=0,0,IF('BD Start'!C29-(-SUM(Actual!$I29:$J29))&lt;0,0,'BD Start'!C29-(-SUM(Actual!$I29:$J29))))</f>
        <v>67</v>
      </c>
      <c r="D29" s="295">
        <f>IF('BD Start'!D29=0,0,IF('BD Start'!D29-(-SUM(Actual!$K29:$L29))&lt;0,0,'BD Start'!D29-(-SUM(Actual!$K29:$L29))))</f>
        <v>166.28</v>
      </c>
      <c r="E29" s="295">
        <f>IF('BD Start'!E29=0,0,IF('BD Start'!E29-(-Actual!$M29)&lt;0,0,'BD Start'!E29-(-Actual!$M29)))</f>
        <v>67.78</v>
      </c>
      <c r="F29" s="295">
        <f>IF('BD Start'!F29=0,0,IF('BD Start'!F29-(-SUM(Actual!$B29:$G29))&lt;0,0,'BD Start'!F29-(-SUM(Actual!$B29:$G29))))</f>
        <v>0</v>
      </c>
      <c r="G29" s="295">
        <f>IF('BD Start'!G29=0,0,IF('BD Start'!G29-(-Actual!$N29)&lt;0,0,'BD Start'!G29-(-Actual!$N29)))</f>
        <v>0</v>
      </c>
      <c r="H29" s="295">
        <f>IF('BD Start'!H29=0,0,IF('BD Start'!H29-(-Actual!$H29)&lt;0,0,'BD Start'!H29-(-Actual!$H29)))</f>
        <v>0</v>
      </c>
      <c r="I29" s="295">
        <f>IF('BD Start'!I29=0,0,IF('BD Start'!I29-(-SUM(Actual!$O29:$P29))&lt;0,0,'BD Start'!I29-(-SUM(Actual!$O29:$P29))))</f>
        <v>0</v>
      </c>
      <c r="J29" s="295">
        <f>IF('BD Start'!J29=0,0,IF('BD Start'!J29-(-Actual!$AA29)&lt;0,0,'BD Start'!J29-(-Actual!$AA29)))</f>
        <v>0</v>
      </c>
      <c r="K29" s="295">
        <f>IF('BD Start'!K29=0,0,IF('BD Start'!K29-('DATA-CMD'!D29)&lt;0,0,'BD Start'!K29-('DATA-CMD'!D29)))</f>
        <v>0</v>
      </c>
      <c r="L29" s="295">
        <f>IF('BD Start'!L29=0,0,IF('BD Start'!L29-(Actual!$AB29)&lt;0,0,'BD Start'!L29-(Actual!$AB29)))</f>
        <v>0</v>
      </c>
      <c r="M29" s="295">
        <f>IF('BD Start'!M29&gt;0,IF(('BD Start'!M29-'DATA-CMD'!L29+TPCIL!O39)&gt;=125,125,IF(('BD Start'!M29-'DATA-CMD'!L29+TPCIL!O39)&lt;0,0,('BD Start'!M29-'DATA-CMD'!L29+TPCIL!O39))),0)</f>
        <v>0</v>
      </c>
      <c r="N29" s="295">
        <f>IF('BD Start'!N29=0,0,IF('BD Start'!N29-O29&lt;0,0,'BD Start'!N29-O29))</f>
        <v>0</v>
      </c>
      <c r="O29" s="299">
        <f>'DATA-CMD'!L29+TPCIL!E39+TPCIL!F39+TPCIL!G39+TPCIL!H39</f>
        <v>503.05</v>
      </c>
      <c r="P29" s="289">
        <f>'BD Start'!P29+'BD Start'!Q29-'DATA-CMD'!M29</f>
        <v>0</v>
      </c>
    </row>
    <row r="30" ht="23.25" spans="1:16">
      <c r="A30" s="293">
        <v>28</v>
      </c>
      <c r="B30" s="294" t="s">
        <v>41</v>
      </c>
      <c r="C30" s="295">
        <f>IF('BD Start'!C30=0,0,IF('BD Start'!C30-(-SUM(Actual!$I30:$J30))&lt;0,0,'BD Start'!C30-(-SUM(Actual!$I30:$J30))))</f>
        <v>67.07</v>
      </c>
      <c r="D30" s="295">
        <f>IF('BD Start'!D30=0,0,IF('BD Start'!D30-(-SUM(Actual!$K30:$L30))&lt;0,0,'BD Start'!D30-(-SUM(Actual!$K30:$L30))))</f>
        <v>169.77</v>
      </c>
      <c r="E30" s="295">
        <f>IF('BD Start'!E30=0,0,IF('BD Start'!E30-(-Actual!$M30)&lt;0,0,'BD Start'!E30-(-Actual!$M30)))</f>
        <v>69.28</v>
      </c>
      <c r="F30" s="295">
        <f>IF('BD Start'!F30=0,0,IF('BD Start'!F30-(-SUM(Actual!$B30:$G30))&lt;0,0,'BD Start'!F30-(-SUM(Actual!$B30:$G30))))</f>
        <v>0</v>
      </c>
      <c r="G30" s="295">
        <f>IF('BD Start'!G30=0,0,IF('BD Start'!G30-(-Actual!$N30)&lt;0,0,'BD Start'!G30-(-Actual!$N30)))</f>
        <v>7.41000000000003</v>
      </c>
      <c r="H30" s="295">
        <f>IF('BD Start'!H30=0,0,IF('BD Start'!H30-(-Actual!$H30)&lt;0,0,'BD Start'!H30-(-Actual!$H30)))</f>
        <v>45.55</v>
      </c>
      <c r="I30" s="295">
        <f>IF('BD Start'!I30=0,0,IF('BD Start'!I30-(-SUM(Actual!$O30:$P30))&lt;0,0,'BD Start'!I30-(-SUM(Actual!$O30:$P30))))</f>
        <v>0</v>
      </c>
      <c r="J30" s="295">
        <f>IF('BD Start'!J30=0,0,IF('BD Start'!J30-(-Actual!$AA30)&lt;0,0,'BD Start'!J30-(-Actual!$AA30)))</f>
        <v>0</v>
      </c>
      <c r="K30" s="295">
        <f>IF('BD Start'!K30=0,0,IF('BD Start'!K30-('DATA-CMD'!D30)&lt;0,0,'BD Start'!K30-('DATA-CMD'!D30)))</f>
        <v>0</v>
      </c>
      <c r="L30" s="295">
        <f>IF('BD Start'!L30=0,0,IF('BD Start'!L30-(Actual!$AB30)&lt;0,0,'BD Start'!L30-(Actual!$AB30)))</f>
        <v>0</v>
      </c>
      <c r="M30" s="295">
        <f>IF('BD Start'!M30&gt;0,IF(('BD Start'!M30-'DATA-CMD'!L30+TPCIL!O40)&gt;=125,125,IF(('BD Start'!M30-'DATA-CMD'!L30+TPCIL!O40)&lt;0,0,('BD Start'!M30-'DATA-CMD'!L30+TPCIL!O40))),0)</f>
        <v>0</v>
      </c>
      <c r="N30" s="295">
        <f>IF('BD Start'!N30=0,0,IF('BD Start'!N30-O30&lt;0,0,'BD Start'!N30-O30))</f>
        <v>0</v>
      </c>
      <c r="O30" s="299">
        <f>'DATA-CMD'!L30+TPCIL!E40+TPCIL!F40+TPCIL!G40+TPCIL!H40</f>
        <v>506.01</v>
      </c>
      <c r="P30" s="289">
        <f>'BD Start'!P30+'BD Start'!Q30-'DATA-CMD'!M30</f>
        <v>0</v>
      </c>
    </row>
    <row r="31" ht="23.25" spans="1:16">
      <c r="A31" s="293">
        <v>29</v>
      </c>
      <c r="B31" s="294" t="s">
        <v>42</v>
      </c>
      <c r="C31" s="295">
        <f>IF('BD Start'!C31=0,0,IF('BD Start'!C31-(-SUM(Actual!$I31:$J31))&lt;0,0,'BD Start'!C31-(-SUM(Actual!$I31:$J31))))</f>
        <v>71.46</v>
      </c>
      <c r="D31" s="295">
        <f>IF('BD Start'!D31=0,0,IF('BD Start'!D31-(-SUM(Actual!$K31:$L31))&lt;0,0,'BD Start'!D31-(-SUM(Actual!$K31:$L31))))</f>
        <v>173.03</v>
      </c>
      <c r="E31" s="295">
        <f>IF('BD Start'!E31=0,0,IF('BD Start'!E31-(-Actual!$M31)&lt;0,0,'BD Start'!E31-(-Actual!$M31)))</f>
        <v>71.21</v>
      </c>
      <c r="F31" s="295">
        <f>IF('BD Start'!F31=0,0,IF('BD Start'!F31-(-SUM(Actual!$B31:$G31))&lt;0,0,'BD Start'!F31-(-SUM(Actual!$B31:$G31))))</f>
        <v>4.8599999999999</v>
      </c>
      <c r="G31" s="295">
        <f>IF('BD Start'!G31=0,0,IF('BD Start'!G31-(-Actual!$N31)&lt;0,0,'BD Start'!G31-(-Actual!$N31)))</f>
        <v>100.49</v>
      </c>
      <c r="H31" s="295">
        <f>IF('BD Start'!H31=0,0,IF('BD Start'!H31-(-Actual!$H31)&lt;0,0,'BD Start'!H31-(-Actual!$H31)))</f>
        <v>85.8</v>
      </c>
      <c r="I31" s="295">
        <f>IF('BD Start'!I31=0,0,IF('BD Start'!I31-(-SUM(Actual!$O31:$P31))&lt;0,0,'BD Start'!I31-(-SUM(Actual!$O31:$P31))))</f>
        <v>0</v>
      </c>
      <c r="J31" s="295">
        <f>IF('BD Start'!J31=0,0,IF('BD Start'!J31-(-Actual!$AA31)&lt;0,0,'BD Start'!J31-(-Actual!$AA31)))</f>
        <v>0</v>
      </c>
      <c r="K31" s="295">
        <f>IF('BD Start'!K31=0,0,IF('BD Start'!K31-('DATA-CMD'!D31)&lt;0,0,'BD Start'!K31-('DATA-CMD'!D31)))</f>
        <v>0</v>
      </c>
      <c r="L31" s="295">
        <f>IF('BD Start'!L31=0,0,IF('BD Start'!L31-(Actual!$AB31)&lt;0,0,'BD Start'!L31-(Actual!$AB31)))</f>
        <v>0</v>
      </c>
      <c r="M31" s="295">
        <f>IF('BD Start'!M31&gt;0,IF(('BD Start'!M31-'DATA-CMD'!L31+TPCIL!O41)&gt;=125,125,IF(('BD Start'!M31-'DATA-CMD'!L31+TPCIL!O41)&lt;0,0,('BD Start'!M31-'DATA-CMD'!L31+TPCIL!O41))),0)</f>
        <v>0</v>
      </c>
      <c r="N31" s="295">
        <f>IF('BD Start'!N31=0,0,IF('BD Start'!N31-O31&lt;0,0,'BD Start'!N31-O31))</f>
        <v>0</v>
      </c>
      <c r="O31" s="299">
        <f>'DATA-CMD'!L31+TPCIL!E41+TPCIL!F41+TPCIL!G41+TPCIL!H41</f>
        <v>505.54</v>
      </c>
      <c r="P31" s="289">
        <f>'BD Start'!P31+'BD Start'!Q31-'DATA-CMD'!M31</f>
        <v>0</v>
      </c>
    </row>
    <row r="32" ht="23.25" spans="1:16">
      <c r="A32" s="293">
        <v>30</v>
      </c>
      <c r="B32" s="294" t="s">
        <v>43</v>
      </c>
      <c r="C32" s="295">
        <f>IF('BD Start'!C32=0,0,IF('BD Start'!C32-(-SUM(Actual!$I32:$J32))&lt;0,0,'BD Start'!C32-(-SUM(Actual!$I32:$J32))))</f>
        <v>72.56</v>
      </c>
      <c r="D32" s="295">
        <f>IF('BD Start'!D32=0,0,IF('BD Start'!D32-(-SUM(Actual!$K32:$L32))&lt;0,0,'BD Start'!D32-(-SUM(Actual!$K32:$L32))))</f>
        <v>168.93</v>
      </c>
      <c r="E32" s="295">
        <f>IF('BD Start'!E32=0,0,IF('BD Start'!E32-(-Actual!$M32)&lt;0,0,'BD Start'!E32-(-Actual!$M32)))</f>
        <v>68.14</v>
      </c>
      <c r="F32" s="295">
        <f>IF('BD Start'!F32=0,0,IF('BD Start'!F32-(-SUM(Actual!$B32:$G32))&lt;0,0,'BD Start'!F32-(-SUM(Actual!$B32:$G32))))</f>
        <v>29.62</v>
      </c>
      <c r="G32" s="295">
        <f>IF('BD Start'!G32=0,0,IF('BD Start'!G32-(-Actual!$N32)&lt;0,0,'BD Start'!G32-(-Actual!$N32)))</f>
        <v>134.02</v>
      </c>
      <c r="H32" s="295">
        <f>IF('BD Start'!H32=0,0,IF('BD Start'!H32-(-Actual!$H32)&lt;0,0,'BD Start'!H32-(-Actual!$H32)))</f>
        <v>149.42</v>
      </c>
      <c r="I32" s="295">
        <f>IF('BD Start'!I32=0,0,IF('BD Start'!I32-(-SUM(Actual!$O32:$P32))&lt;0,0,'BD Start'!I32-(-SUM(Actual!$O32:$P32))))</f>
        <v>0</v>
      </c>
      <c r="J32" s="295">
        <f>IF('BD Start'!J32=0,0,IF('BD Start'!J32-(-Actual!$AA32)&lt;0,0,'BD Start'!J32-(-Actual!$AA32)))</f>
        <v>0</v>
      </c>
      <c r="K32" s="295">
        <f>IF('BD Start'!K32=0,0,IF('BD Start'!K32-('DATA-CMD'!D32)&lt;0,0,'BD Start'!K32-('DATA-CMD'!D32)))</f>
        <v>0</v>
      </c>
      <c r="L32" s="295">
        <f>IF('BD Start'!L32=0,0,IF('BD Start'!L32-(Actual!$AB32)&lt;0,0,'BD Start'!L32-(Actual!$AB32)))</f>
        <v>0</v>
      </c>
      <c r="M32" s="295">
        <f>IF('BD Start'!M32&gt;0,IF(('BD Start'!M32-'DATA-CMD'!L32+TPCIL!O42)&gt;=125,125,IF(('BD Start'!M32-'DATA-CMD'!L32+TPCIL!O42)&lt;0,0,('BD Start'!M32-'DATA-CMD'!L32+TPCIL!O42))),0)</f>
        <v>0</v>
      </c>
      <c r="N32" s="295">
        <f>IF('BD Start'!N32=0,0,IF('BD Start'!N32-O32&lt;0,0,'BD Start'!N32-O32))</f>
        <v>0</v>
      </c>
      <c r="O32" s="299">
        <f>'DATA-CMD'!L32+TPCIL!E42+TPCIL!F42+TPCIL!G42+TPCIL!H42</f>
        <v>505.84</v>
      </c>
      <c r="P32" s="289">
        <f>'BD Start'!P32+'BD Start'!Q32-'DATA-CMD'!M32</f>
        <v>0</v>
      </c>
    </row>
    <row r="33" ht="23.25" spans="1:16">
      <c r="A33" s="293">
        <v>31</v>
      </c>
      <c r="B33" s="294" t="s">
        <v>44</v>
      </c>
      <c r="C33" s="295">
        <f>IF('BD Start'!C33=0,0,IF('BD Start'!C33-(-SUM(Actual!$I33:$J33))&lt;0,0,'BD Start'!C33-(-SUM(Actual!$I33:$J33))))</f>
        <v>75.48</v>
      </c>
      <c r="D33" s="295">
        <f>IF('BD Start'!D33=0,0,IF('BD Start'!D33-(-SUM(Actual!$K33:$L33))&lt;0,0,'BD Start'!D33-(-SUM(Actual!$K33:$L33))))</f>
        <v>171.23</v>
      </c>
      <c r="E33" s="295">
        <f>IF('BD Start'!E33=0,0,IF('BD Start'!E33-(-Actual!$M33)&lt;0,0,'BD Start'!E33-(-Actual!$M33)))</f>
        <v>69.81</v>
      </c>
      <c r="F33" s="295">
        <f>IF('BD Start'!F33=0,0,IF('BD Start'!F33-(-SUM(Actual!$B33:$G33))&lt;0,0,'BD Start'!F33-(-SUM(Actual!$B33:$G33))))</f>
        <v>28.35</v>
      </c>
      <c r="G33" s="295">
        <f>IF('BD Start'!G33=0,0,IF('BD Start'!G33-(-Actual!$N33)&lt;0,0,'BD Start'!G33-(-Actual!$N33)))</f>
        <v>141.1</v>
      </c>
      <c r="H33" s="295">
        <f>IF('BD Start'!H33=0,0,IF('BD Start'!H33-(-Actual!$H33)&lt;0,0,'BD Start'!H33-(-Actual!$H33)))</f>
        <v>199.17</v>
      </c>
      <c r="I33" s="295">
        <f>IF('BD Start'!I33=0,0,IF('BD Start'!I33-(-SUM(Actual!$O33:$P33))&lt;0,0,'BD Start'!I33-(-SUM(Actual!$O33:$P33))))</f>
        <v>0</v>
      </c>
      <c r="J33" s="295">
        <f>IF('BD Start'!J33=0,0,IF('BD Start'!J33-(-Actual!$AA33)&lt;0,0,'BD Start'!J33-(-Actual!$AA33)))</f>
        <v>0</v>
      </c>
      <c r="K33" s="295">
        <f>IF('BD Start'!K33=0,0,IF('BD Start'!K33-('DATA-CMD'!D33)&lt;0,0,'BD Start'!K33-('DATA-CMD'!D33)))</f>
        <v>0</v>
      </c>
      <c r="L33" s="295">
        <f>IF('BD Start'!L33=0,0,IF('BD Start'!L33-(Actual!$AB33)&lt;0,0,'BD Start'!L33-(Actual!$AB33)))</f>
        <v>0</v>
      </c>
      <c r="M33" s="295">
        <f>IF('BD Start'!M33&gt;0,IF(('BD Start'!M33-'DATA-CMD'!L33+TPCIL!O43)&gt;=125,125,IF(('BD Start'!M33-'DATA-CMD'!L33+TPCIL!O43)&lt;0,0,('BD Start'!M33-'DATA-CMD'!L33+TPCIL!O43))),0)</f>
        <v>0</v>
      </c>
      <c r="N33" s="295">
        <f>IF('BD Start'!N33=0,0,IF('BD Start'!N33-O33&lt;0,0,'BD Start'!N33-O33))</f>
        <v>0</v>
      </c>
      <c r="O33" s="299">
        <f>'DATA-CMD'!L33+TPCIL!E43+TPCIL!F43+TPCIL!G43+TPCIL!H43</f>
        <v>506.08</v>
      </c>
      <c r="P33" s="289">
        <f>'BD Start'!P33+'BD Start'!Q33-'DATA-CMD'!M33</f>
        <v>0</v>
      </c>
    </row>
    <row r="34" ht="23.25" spans="1:16">
      <c r="A34" s="293">
        <v>32</v>
      </c>
      <c r="B34" s="294" t="s">
        <v>45</v>
      </c>
      <c r="C34" s="295">
        <f>IF('BD Start'!C34=0,0,IF('BD Start'!C34-(-SUM(Actual!$I34:$J34))&lt;0,0,'BD Start'!C34-(-SUM(Actual!$I34:$J34))))</f>
        <v>60.35</v>
      </c>
      <c r="D34" s="295">
        <f>IF('BD Start'!D34=0,0,IF('BD Start'!D34-(-SUM(Actual!$K34:$L34))&lt;0,0,'BD Start'!D34-(-SUM(Actual!$K34:$L34))))</f>
        <v>155.44</v>
      </c>
      <c r="E34" s="295">
        <f>IF('BD Start'!E34=0,0,IF('BD Start'!E34-(-Actual!$M34)&lt;0,0,'BD Start'!E34-(-Actual!$M34)))</f>
        <v>65.03</v>
      </c>
      <c r="F34" s="295">
        <f>IF('BD Start'!F34=0,0,IF('BD Start'!F34-(-SUM(Actual!$B34:$G34))&lt;0,0,'BD Start'!F34-(-SUM(Actual!$B34:$G34))))</f>
        <v>0</v>
      </c>
      <c r="G34" s="295">
        <f>IF('BD Start'!G34=0,0,IF('BD Start'!G34-(-Actual!$N34)&lt;0,0,'BD Start'!G34-(-Actual!$N34)))</f>
        <v>0</v>
      </c>
      <c r="H34" s="295">
        <f>IF('BD Start'!H34=0,0,IF('BD Start'!H34-(-Actual!$H34)&lt;0,0,'BD Start'!H34-(-Actual!$H34)))</f>
        <v>0</v>
      </c>
      <c r="I34" s="295">
        <f>IF('BD Start'!I34=0,0,IF('BD Start'!I34-(-SUM(Actual!$O34:$P34))&lt;0,0,'BD Start'!I34-(-SUM(Actual!$O34:$P34))))</f>
        <v>0</v>
      </c>
      <c r="J34" s="295">
        <f>IF('BD Start'!J34=0,0,IF('BD Start'!J34-(-Actual!$AA34)&lt;0,0,'BD Start'!J34-(-Actual!$AA34)))</f>
        <v>0</v>
      </c>
      <c r="K34" s="295">
        <f>IF('BD Start'!K34=0,0,IF('BD Start'!K34-('DATA-CMD'!D34)&lt;0,0,'BD Start'!K34-('DATA-CMD'!D34)))</f>
        <v>0</v>
      </c>
      <c r="L34" s="295">
        <f>IF('BD Start'!L34=0,0,IF('BD Start'!L34-(Actual!$AB34)&lt;0,0,'BD Start'!L34-(Actual!$AB34)))</f>
        <v>0</v>
      </c>
      <c r="M34" s="295">
        <f>IF('BD Start'!M34&gt;0,IF(('BD Start'!M34-'DATA-CMD'!L34+TPCIL!O44)&gt;=125,125,IF(('BD Start'!M34-'DATA-CMD'!L34+TPCIL!O44)&lt;0,0,('BD Start'!M34-'DATA-CMD'!L34+TPCIL!O44))),0)</f>
        <v>0</v>
      </c>
      <c r="N34" s="295">
        <f>IF('BD Start'!N34=0,0,IF('BD Start'!N34-O34&lt;0,0,'BD Start'!N34-O34))</f>
        <v>0</v>
      </c>
      <c r="O34" s="299">
        <f>'DATA-CMD'!L34+TPCIL!E44+TPCIL!F44+TPCIL!G44+TPCIL!H44</f>
        <v>504.46</v>
      </c>
      <c r="P34" s="289">
        <f>'BD Start'!P34+'BD Start'!Q34-'DATA-CMD'!M34</f>
        <v>0</v>
      </c>
    </row>
    <row r="35" ht="23.25" spans="1:16">
      <c r="A35" s="293">
        <v>33</v>
      </c>
      <c r="B35" s="294" t="s">
        <v>46</v>
      </c>
      <c r="C35" s="295">
        <f>IF('BD Start'!C35=0,0,IF('BD Start'!C35-(-SUM(Actual!$I35:$J35))&lt;0,0,'BD Start'!C35-(-SUM(Actual!$I35:$J35))))</f>
        <v>0</v>
      </c>
      <c r="D35" s="295">
        <f>IF('BD Start'!D35=0,0,IF('BD Start'!D35-(-SUM(Actual!$K35:$L35))&lt;0,0,'BD Start'!D35-(-SUM(Actual!$K35:$L35))))</f>
        <v>0</v>
      </c>
      <c r="E35" s="295">
        <f>IF('BD Start'!E35=0,0,IF('BD Start'!E35-(-Actual!$M35)&lt;0,0,'BD Start'!E35-(-Actual!$M35)))</f>
        <v>0</v>
      </c>
      <c r="F35" s="295">
        <f>IF('BD Start'!F35=0,0,IF('BD Start'!F35-(-SUM(Actual!$B35:$G35))&lt;0,0,'BD Start'!F35-(-SUM(Actual!$B35:$G35))))</f>
        <v>0</v>
      </c>
      <c r="G35" s="295">
        <f>IF('BD Start'!G35=0,0,IF('BD Start'!G35-(-Actual!$N35)&lt;0,0,'BD Start'!G35-(-Actual!$N35)))</f>
        <v>0</v>
      </c>
      <c r="H35" s="295">
        <f>IF('BD Start'!H35=0,0,IF('BD Start'!H35-(-Actual!$H35)&lt;0,0,'BD Start'!H35-(-Actual!$H35)))</f>
        <v>0</v>
      </c>
      <c r="I35" s="295">
        <f>IF('BD Start'!I35=0,0,IF('BD Start'!I35-(-SUM(Actual!$O35:$P35))&lt;0,0,'BD Start'!I35-(-SUM(Actual!$O35:$P35))))</f>
        <v>0</v>
      </c>
      <c r="J35" s="295">
        <f>IF('BD Start'!J35=0,0,IF('BD Start'!J35-(-Actual!$AA35)&lt;0,0,'BD Start'!J35-(-Actual!$AA35)))</f>
        <v>0</v>
      </c>
      <c r="K35" s="295">
        <f>IF('BD Start'!K35=0,0,IF('BD Start'!K35-('DATA-CMD'!D35)&lt;0,0,'BD Start'!K35-('DATA-CMD'!D35)))</f>
        <v>0</v>
      </c>
      <c r="L35" s="295">
        <f>IF('BD Start'!L35=0,0,IF('BD Start'!L35-(Actual!$AB35)&lt;0,0,'BD Start'!L35-(Actual!$AB35)))</f>
        <v>0</v>
      </c>
      <c r="M35" s="295">
        <f>IF('BD Start'!M35&gt;0,IF(('BD Start'!M35-'DATA-CMD'!L35+TPCIL!O45)&gt;=125,125,IF(('BD Start'!M35-'DATA-CMD'!L35+TPCIL!O45)&lt;0,0,('BD Start'!M35-'DATA-CMD'!L35+TPCIL!O45))),0)</f>
        <v>0</v>
      </c>
      <c r="N35" s="295">
        <f>IF('BD Start'!N35=0,0,IF('BD Start'!N35-O35&lt;0,0,'BD Start'!N35-O35))</f>
        <v>0</v>
      </c>
      <c r="O35" s="299">
        <f>'DATA-CMD'!L35+TPCIL!E45+TPCIL!F45+TPCIL!G45+TPCIL!H45</f>
        <v>505.96</v>
      </c>
      <c r="P35" s="289">
        <f>'BD Start'!P35+'BD Start'!Q35-'DATA-CMD'!M35</f>
        <v>0</v>
      </c>
    </row>
    <row r="36" ht="23.25" spans="1:16">
      <c r="A36" s="293">
        <v>34</v>
      </c>
      <c r="B36" s="294" t="s">
        <v>47</v>
      </c>
      <c r="C36" s="295">
        <f>IF('BD Start'!C36=0,0,IF('BD Start'!C36-(-SUM(Actual!$I36:$J36))&lt;0,0,'BD Start'!C36-(-SUM(Actual!$I36:$J36))))</f>
        <v>0</v>
      </c>
      <c r="D36" s="295">
        <f>IF('BD Start'!D36=0,0,IF('BD Start'!D36-(-SUM(Actual!$K36:$L36))&lt;0,0,'BD Start'!D36-(-SUM(Actual!$K36:$L36))))</f>
        <v>0</v>
      </c>
      <c r="E36" s="295">
        <f>IF('BD Start'!E36=0,0,IF('BD Start'!E36-(-Actual!$M36)&lt;0,0,'BD Start'!E36-(-Actual!$M36)))</f>
        <v>0</v>
      </c>
      <c r="F36" s="295">
        <f>IF('BD Start'!F36=0,0,IF('BD Start'!F36-(-SUM(Actual!$B36:$G36))&lt;0,0,'BD Start'!F36-(-SUM(Actual!$B36:$G36))))</f>
        <v>0</v>
      </c>
      <c r="G36" s="295">
        <f>IF('BD Start'!G36=0,0,IF('BD Start'!G36-(-Actual!$N36)&lt;0,0,'BD Start'!G36-(-Actual!$N36)))</f>
        <v>0</v>
      </c>
      <c r="H36" s="295">
        <f>IF('BD Start'!H36=0,0,IF('BD Start'!H36-(-Actual!$H36)&lt;0,0,'BD Start'!H36-(-Actual!$H36)))</f>
        <v>0</v>
      </c>
      <c r="I36" s="295">
        <f>IF('BD Start'!I36=0,0,IF('BD Start'!I36-(-SUM(Actual!$O36:$P36))&lt;0,0,'BD Start'!I36-(-SUM(Actual!$O36:$P36))))</f>
        <v>0</v>
      </c>
      <c r="J36" s="295">
        <f>IF('BD Start'!J36=0,0,IF('BD Start'!J36-(-Actual!$AA36)&lt;0,0,'BD Start'!J36-(-Actual!$AA36)))</f>
        <v>0</v>
      </c>
      <c r="K36" s="295">
        <f>IF('BD Start'!K36=0,0,IF('BD Start'!K36-('DATA-CMD'!D36)&lt;0,0,'BD Start'!K36-('DATA-CMD'!D36)))</f>
        <v>0</v>
      </c>
      <c r="L36" s="295">
        <f>IF('BD Start'!L36=0,0,IF('BD Start'!L36-(Actual!$AB36)&lt;0,0,'BD Start'!L36-(Actual!$AB36)))</f>
        <v>0</v>
      </c>
      <c r="M36" s="295">
        <f>IF('BD Start'!M36&gt;0,IF(('BD Start'!M36-'DATA-CMD'!L36+TPCIL!O46)&gt;=125,125,IF(('BD Start'!M36-'DATA-CMD'!L36+TPCIL!O46)&lt;0,0,('BD Start'!M36-'DATA-CMD'!L36+TPCIL!O46))),0)</f>
        <v>0</v>
      </c>
      <c r="N36" s="295">
        <f>IF('BD Start'!N36=0,0,IF('BD Start'!N36-O36&lt;0,0,'BD Start'!N36-O36))</f>
        <v>0</v>
      </c>
      <c r="O36" s="299">
        <f>'DATA-CMD'!L36+TPCIL!E46+TPCIL!F46+TPCIL!G46+TPCIL!H46</f>
        <v>505.63</v>
      </c>
      <c r="P36" s="289">
        <f>'BD Start'!P36+'BD Start'!Q36-'DATA-CMD'!M36</f>
        <v>0</v>
      </c>
    </row>
    <row r="37" ht="23.25" spans="1:16">
      <c r="A37" s="293">
        <v>35</v>
      </c>
      <c r="B37" s="294" t="s">
        <v>48</v>
      </c>
      <c r="C37" s="295">
        <f>IF('BD Start'!C37=0,0,IF('BD Start'!C37-(-SUM(Actual!$I37:$J37))&lt;0,0,'BD Start'!C37-(-SUM(Actual!$I37:$J37))))</f>
        <v>0</v>
      </c>
      <c r="D37" s="295">
        <f>IF('BD Start'!D37=0,0,IF('BD Start'!D37-(-SUM(Actual!$K37:$L37))&lt;0,0,'BD Start'!D37-(-SUM(Actual!$K37:$L37))))</f>
        <v>0</v>
      </c>
      <c r="E37" s="295">
        <f>IF('BD Start'!E37=0,0,IF('BD Start'!E37-(-Actual!$M37)&lt;0,0,'BD Start'!E37-(-Actual!$M37)))</f>
        <v>0</v>
      </c>
      <c r="F37" s="295">
        <f>IF('BD Start'!F37=0,0,IF('BD Start'!F37-(-SUM(Actual!$B37:$G37))&lt;0,0,'BD Start'!F37-(-SUM(Actual!$B37:$G37))))</f>
        <v>0</v>
      </c>
      <c r="G37" s="295">
        <f>IF('BD Start'!G37=0,0,IF('BD Start'!G37-(-Actual!$N37)&lt;0,0,'BD Start'!G37-(-Actual!$N37)))</f>
        <v>0</v>
      </c>
      <c r="H37" s="295">
        <f>IF('BD Start'!H37=0,0,IF('BD Start'!H37-(-Actual!$H37)&lt;0,0,'BD Start'!H37-(-Actual!$H37)))</f>
        <v>0</v>
      </c>
      <c r="I37" s="295">
        <f>IF('BD Start'!I37=0,0,IF('BD Start'!I37-(-SUM(Actual!$O37:$P37))&lt;0,0,'BD Start'!I37-(-SUM(Actual!$O37:$P37))))</f>
        <v>0</v>
      </c>
      <c r="J37" s="295">
        <f>IF('BD Start'!J37=0,0,IF('BD Start'!J37-(-Actual!$AA37)&lt;0,0,'BD Start'!J37-(-Actual!$AA37)))</f>
        <v>0</v>
      </c>
      <c r="K37" s="295">
        <f>IF('BD Start'!K37=0,0,IF('BD Start'!K37-('DATA-CMD'!D37)&lt;0,0,'BD Start'!K37-('DATA-CMD'!D37)))</f>
        <v>0</v>
      </c>
      <c r="L37" s="295">
        <f>IF('BD Start'!L37=0,0,IF('BD Start'!L37-(Actual!$AB37)&lt;0,0,'BD Start'!L37-(Actual!$AB37)))</f>
        <v>0</v>
      </c>
      <c r="M37" s="295">
        <f>IF('BD Start'!M37&gt;0,IF(('BD Start'!M37-'DATA-CMD'!L37+TPCIL!O47)&gt;=125,125,IF(('BD Start'!M37-'DATA-CMD'!L37+TPCIL!O47)&lt;0,0,('BD Start'!M37-'DATA-CMD'!L37+TPCIL!O47))),0)</f>
        <v>0</v>
      </c>
      <c r="N37" s="295">
        <f>IF('BD Start'!N37=0,0,IF('BD Start'!N37-O37&lt;0,0,'BD Start'!N37-O37))</f>
        <v>0</v>
      </c>
      <c r="O37" s="299">
        <f>'DATA-CMD'!L37+TPCIL!E47+TPCIL!F47+TPCIL!G47+TPCIL!H47</f>
        <v>493.32</v>
      </c>
      <c r="P37" s="289">
        <f>'BD Start'!P37+'BD Start'!Q37-'DATA-CMD'!M37</f>
        <v>0</v>
      </c>
    </row>
    <row r="38" ht="23.25" spans="1:16">
      <c r="A38" s="293">
        <v>36</v>
      </c>
      <c r="B38" s="294" t="s">
        <v>49</v>
      </c>
      <c r="C38" s="295">
        <f>IF('BD Start'!C38=0,0,IF('BD Start'!C38-(-SUM(Actual!$I38:$J38))&lt;0,0,'BD Start'!C38-(-SUM(Actual!$I38:$J38))))</f>
        <v>0</v>
      </c>
      <c r="D38" s="295">
        <f>IF('BD Start'!D38=0,0,IF('BD Start'!D38-(-SUM(Actual!$K38:$L38))&lt;0,0,'BD Start'!D38-(-SUM(Actual!$K38:$L38))))</f>
        <v>0</v>
      </c>
      <c r="E38" s="295">
        <f>IF('BD Start'!E38=0,0,IF('BD Start'!E38-(-Actual!$M38)&lt;0,0,'BD Start'!E38-(-Actual!$M38)))</f>
        <v>0</v>
      </c>
      <c r="F38" s="295">
        <f>IF('BD Start'!F38=0,0,IF('BD Start'!F38-(-SUM(Actual!$B38:$G38))&lt;0,0,'BD Start'!F38-(-SUM(Actual!$B38:$G38))))</f>
        <v>0</v>
      </c>
      <c r="G38" s="295">
        <f>IF('BD Start'!G38=0,0,IF('BD Start'!G38-(-Actual!$N38)&lt;0,0,'BD Start'!G38-(-Actual!$N38)))</f>
        <v>0</v>
      </c>
      <c r="H38" s="295">
        <f>IF('BD Start'!H38=0,0,IF('BD Start'!H38-(-Actual!$H38)&lt;0,0,'BD Start'!H38-(-Actual!$H38)))</f>
        <v>0</v>
      </c>
      <c r="I38" s="295">
        <f>IF('BD Start'!I38=0,0,IF('BD Start'!I38-(-SUM(Actual!$O38:$P38))&lt;0,0,'BD Start'!I38-(-SUM(Actual!$O38:$P38))))</f>
        <v>0</v>
      </c>
      <c r="J38" s="295">
        <f>IF('BD Start'!J38=0,0,IF('BD Start'!J38-(-Actual!$AA38)&lt;0,0,'BD Start'!J38-(-Actual!$AA38)))</f>
        <v>0</v>
      </c>
      <c r="K38" s="295">
        <f>IF('BD Start'!K38=0,0,IF('BD Start'!K38-('DATA-CMD'!D38)&lt;0,0,'BD Start'!K38-('DATA-CMD'!D38)))</f>
        <v>0</v>
      </c>
      <c r="L38" s="295">
        <f>IF('BD Start'!L38=0,0,IF('BD Start'!L38-(Actual!$AB38)&lt;0,0,'BD Start'!L38-(Actual!$AB38)))</f>
        <v>0</v>
      </c>
      <c r="M38" s="295">
        <f>IF('BD Start'!M38&gt;0,IF(('BD Start'!M38-'DATA-CMD'!L38+TPCIL!O48)&gt;=125,125,IF(('BD Start'!M38-'DATA-CMD'!L38+TPCIL!O48)&lt;0,0,('BD Start'!M38-'DATA-CMD'!L38+TPCIL!O48))),0)</f>
        <v>0</v>
      </c>
      <c r="N38" s="295">
        <f>IF('BD Start'!N38=0,0,IF('BD Start'!N38-O38&lt;0,0,'BD Start'!N38-O38))</f>
        <v>0</v>
      </c>
      <c r="O38" s="299">
        <f>'DATA-CMD'!L38+TPCIL!E48+TPCIL!F48+TPCIL!G48+TPCIL!H48</f>
        <v>495.97</v>
      </c>
      <c r="P38" s="289">
        <f>'BD Start'!P38+'BD Start'!Q38-'DATA-CMD'!M38</f>
        <v>0</v>
      </c>
    </row>
    <row r="39" ht="23.25" spans="1:16">
      <c r="A39" s="293">
        <v>37</v>
      </c>
      <c r="B39" s="294" t="s">
        <v>50</v>
      </c>
      <c r="C39" s="295">
        <f>IF('BD Start'!C39=0,0,IF('BD Start'!C39-(-SUM(Actual!$I39:$J39))&lt;0,0,'BD Start'!C39-(-SUM(Actual!$I39:$J39))))</f>
        <v>0</v>
      </c>
      <c r="D39" s="295">
        <f>IF('BD Start'!D39=0,0,IF('BD Start'!D39-(-SUM(Actual!$K39:$L39))&lt;0,0,'BD Start'!D39-(-SUM(Actual!$K39:$L39))))</f>
        <v>0</v>
      </c>
      <c r="E39" s="295">
        <f>IF('BD Start'!E39=0,0,IF('BD Start'!E39-(-Actual!$M39)&lt;0,0,'BD Start'!E39-(-Actual!$M39)))</f>
        <v>0</v>
      </c>
      <c r="F39" s="295">
        <f>IF('BD Start'!F39=0,0,IF('BD Start'!F39-(-SUM(Actual!$B39:$G39))&lt;0,0,'BD Start'!F39-(-SUM(Actual!$B39:$G39))))</f>
        <v>0</v>
      </c>
      <c r="G39" s="295">
        <f>IF('BD Start'!G39=0,0,IF('BD Start'!G39-(-Actual!$N39)&lt;0,0,'BD Start'!G39-(-Actual!$N39)))</f>
        <v>0</v>
      </c>
      <c r="H39" s="295">
        <f>IF('BD Start'!H39=0,0,IF('BD Start'!H39-(-Actual!$H39)&lt;0,0,'BD Start'!H39-(-Actual!$H39)))</f>
        <v>0</v>
      </c>
      <c r="I39" s="295">
        <f>IF('BD Start'!I39=0,0,IF('BD Start'!I39-(-SUM(Actual!$O39:$P39))&lt;0,0,'BD Start'!I39-(-SUM(Actual!$O39:$P39))))</f>
        <v>0</v>
      </c>
      <c r="J39" s="295">
        <f>IF('BD Start'!J39=0,0,IF('BD Start'!J39-(-Actual!$AA39)&lt;0,0,'BD Start'!J39-(-Actual!$AA39)))</f>
        <v>0</v>
      </c>
      <c r="K39" s="295">
        <f>IF('BD Start'!K39=0,0,IF('BD Start'!K39-('DATA-CMD'!D39)&lt;0,0,'BD Start'!K39-('DATA-CMD'!D39)))</f>
        <v>0</v>
      </c>
      <c r="L39" s="295">
        <f>IF('BD Start'!L39=0,0,IF('BD Start'!L39-(Actual!$AB39)&lt;0,0,'BD Start'!L39-(Actual!$AB39)))</f>
        <v>0</v>
      </c>
      <c r="M39" s="295">
        <f>IF('BD Start'!M39&gt;0,IF(('BD Start'!M39-'DATA-CMD'!L39+TPCIL!O49)&gt;=125,125,IF(('BD Start'!M39-'DATA-CMD'!L39+TPCIL!O49)&lt;0,0,('BD Start'!M39-'DATA-CMD'!L39+TPCIL!O49))),0)</f>
        <v>0</v>
      </c>
      <c r="N39" s="295">
        <f>IF('BD Start'!N39=0,0,IF('BD Start'!N39-O39&lt;0,0,'BD Start'!N39-O39))</f>
        <v>0</v>
      </c>
      <c r="O39" s="299">
        <f>'DATA-CMD'!L39+TPCIL!E49+TPCIL!F49+TPCIL!G49+TPCIL!H49</f>
        <v>499.87</v>
      </c>
      <c r="P39" s="289">
        <f>'BD Start'!P39+'BD Start'!Q39-'DATA-CMD'!M39</f>
        <v>0</v>
      </c>
    </row>
    <row r="40" ht="23.25" spans="1:16">
      <c r="A40" s="293">
        <v>38</v>
      </c>
      <c r="B40" s="294" t="s">
        <v>51</v>
      </c>
      <c r="C40" s="295">
        <f>IF('BD Start'!C40=0,0,IF('BD Start'!C40-(-SUM(Actual!$I40:$J40))&lt;0,0,'BD Start'!C40-(-SUM(Actual!$I40:$J40))))</f>
        <v>0</v>
      </c>
      <c r="D40" s="295">
        <f>IF('BD Start'!D40=0,0,IF('BD Start'!D40-(-SUM(Actual!$K40:$L40))&lt;0,0,'BD Start'!D40-(-SUM(Actual!$K40:$L40))))</f>
        <v>0</v>
      </c>
      <c r="E40" s="295">
        <f>IF('BD Start'!E40=0,0,IF('BD Start'!E40-(-Actual!$M40)&lt;0,0,'BD Start'!E40-(-Actual!$M40)))</f>
        <v>0</v>
      </c>
      <c r="F40" s="295">
        <f>IF('BD Start'!F40=0,0,IF('BD Start'!F40-(-SUM(Actual!$B40:$G40))&lt;0,0,'BD Start'!F40-(-SUM(Actual!$B40:$G40))))</f>
        <v>0</v>
      </c>
      <c r="G40" s="295">
        <f>IF('BD Start'!G40=0,0,IF('BD Start'!G40-(-Actual!$N40)&lt;0,0,'BD Start'!G40-(-Actual!$N40)))</f>
        <v>0</v>
      </c>
      <c r="H40" s="295">
        <f>IF('BD Start'!H40=0,0,IF('BD Start'!H40-(-Actual!$H40)&lt;0,0,'BD Start'!H40-(-Actual!$H40)))</f>
        <v>0</v>
      </c>
      <c r="I40" s="295">
        <f>IF('BD Start'!I40=0,0,IF('BD Start'!I40-(-SUM(Actual!$O40:$P40))&lt;0,0,'BD Start'!I40-(-SUM(Actual!$O40:$P40))))</f>
        <v>0</v>
      </c>
      <c r="J40" s="295">
        <f>IF('BD Start'!J40=0,0,IF('BD Start'!J40-(-Actual!$AA40)&lt;0,0,'BD Start'!J40-(-Actual!$AA40)))</f>
        <v>0</v>
      </c>
      <c r="K40" s="295">
        <f>IF('BD Start'!K40=0,0,IF('BD Start'!K40-('DATA-CMD'!D40)&lt;0,0,'BD Start'!K40-('DATA-CMD'!D40)))</f>
        <v>0</v>
      </c>
      <c r="L40" s="295">
        <f>IF('BD Start'!L40=0,0,IF('BD Start'!L40-(Actual!$AB40)&lt;0,0,'BD Start'!L40-(Actual!$AB40)))</f>
        <v>0</v>
      </c>
      <c r="M40" s="295">
        <f>IF('BD Start'!M40&gt;0,IF(('BD Start'!M40-'DATA-CMD'!L40+TPCIL!O50)&gt;=125,125,IF(('BD Start'!M40-'DATA-CMD'!L40+TPCIL!O50)&lt;0,0,('BD Start'!M40-'DATA-CMD'!L40+TPCIL!O50))),0)</f>
        <v>0</v>
      </c>
      <c r="N40" s="295">
        <f>IF('BD Start'!N40=0,0,IF('BD Start'!N40-O40&lt;0,0,'BD Start'!N40-O40))</f>
        <v>0</v>
      </c>
      <c r="O40" s="299">
        <f>'DATA-CMD'!L40+TPCIL!E50+TPCIL!F50+TPCIL!G50+TPCIL!H50</f>
        <v>507.31</v>
      </c>
      <c r="P40" s="289">
        <f>'BD Start'!P40+'BD Start'!Q40-'DATA-CMD'!M40</f>
        <v>0</v>
      </c>
    </row>
    <row r="41" ht="23.25" spans="1:16">
      <c r="A41" s="293">
        <v>39</v>
      </c>
      <c r="B41" s="294" t="s">
        <v>52</v>
      </c>
      <c r="C41" s="295">
        <f>IF('BD Start'!C41=0,0,IF('BD Start'!C41-(-SUM(Actual!$I41:$J41))&lt;0,0,'BD Start'!C41-(-SUM(Actual!$I41:$J41))))</f>
        <v>9.55000000000001</v>
      </c>
      <c r="D41" s="295">
        <f>IF('BD Start'!D41=0,0,IF('BD Start'!D41-(-SUM(Actual!$K41:$L41))&lt;0,0,'BD Start'!D41-(-SUM(Actual!$K41:$L41))))</f>
        <v>40.35</v>
      </c>
      <c r="E41" s="295">
        <f>IF('BD Start'!E41=0,0,IF('BD Start'!E41-(-Actual!$M41)&lt;0,0,'BD Start'!E41-(-Actual!$M41)))</f>
        <v>13.42</v>
      </c>
      <c r="F41" s="295">
        <f>IF('BD Start'!F41=0,0,IF('BD Start'!F41-(-SUM(Actual!$B41:$G41))&lt;0,0,'BD Start'!F41-(-SUM(Actual!$B41:$G41))))</f>
        <v>0</v>
      </c>
      <c r="G41" s="295">
        <f>IF('BD Start'!G41=0,0,IF('BD Start'!G41-(-Actual!$N41)&lt;0,0,'BD Start'!G41-(-Actual!$N41)))</f>
        <v>15.28</v>
      </c>
      <c r="H41" s="295">
        <f>IF('BD Start'!H41=0,0,IF('BD Start'!H41-(-Actual!$H41)&lt;0,0,'BD Start'!H41-(-Actual!$H41)))</f>
        <v>0</v>
      </c>
      <c r="I41" s="295">
        <f>IF('BD Start'!I41=0,0,IF('BD Start'!I41-(-SUM(Actual!$O41:$P41))&lt;0,0,'BD Start'!I41-(-SUM(Actual!$O41:$P41))))</f>
        <v>0</v>
      </c>
      <c r="J41" s="295">
        <f>IF('BD Start'!J41=0,0,IF('BD Start'!J41-(-Actual!$AA41)&lt;0,0,'BD Start'!J41-(-Actual!$AA41)))</f>
        <v>0</v>
      </c>
      <c r="K41" s="295">
        <f>IF('BD Start'!K41=0,0,IF('BD Start'!K41-('DATA-CMD'!D41)&lt;0,0,'BD Start'!K41-('DATA-CMD'!D41)))</f>
        <v>0</v>
      </c>
      <c r="L41" s="295">
        <f>IF('BD Start'!L41=0,0,IF('BD Start'!L41-(Actual!$AB41)&lt;0,0,'BD Start'!L41-(Actual!$AB41)))</f>
        <v>0</v>
      </c>
      <c r="M41" s="295">
        <f>IF('BD Start'!M41&gt;0,IF(('BD Start'!M41-'DATA-CMD'!L41+TPCIL!O51)&gt;=125,125,IF(('BD Start'!M41-'DATA-CMD'!L41+TPCIL!O51)&lt;0,0,('BD Start'!M41-'DATA-CMD'!L41+TPCIL!O51))),0)</f>
        <v>0</v>
      </c>
      <c r="N41" s="295">
        <f>IF('BD Start'!N41=0,0,IF('BD Start'!N41-O41&lt;0,0,'BD Start'!N41-O41))</f>
        <v>0</v>
      </c>
      <c r="O41" s="299">
        <f>'DATA-CMD'!L41+TPCIL!E51+TPCIL!F51+TPCIL!G51+TPCIL!H51</f>
        <v>503.6</v>
      </c>
      <c r="P41" s="289">
        <f>'BD Start'!P41+'BD Start'!Q41-'DATA-CMD'!M41</f>
        <v>0</v>
      </c>
    </row>
    <row r="42" ht="23.25" spans="1:16">
      <c r="A42" s="293">
        <v>40</v>
      </c>
      <c r="B42" s="294" t="s">
        <v>53</v>
      </c>
      <c r="C42" s="295">
        <f>IF('BD Start'!C42=0,0,IF('BD Start'!C42-(-SUM(Actual!$I42:$J42))&lt;0,0,'BD Start'!C42-(-SUM(Actual!$I42:$J42))))</f>
        <v>21.72</v>
      </c>
      <c r="D42" s="295">
        <f>IF('BD Start'!D42=0,0,IF('BD Start'!D42-(-SUM(Actual!$K42:$L42))&lt;0,0,'BD Start'!D42-(-SUM(Actual!$K42:$L42))))</f>
        <v>99.87</v>
      </c>
      <c r="E42" s="295">
        <f>IF('BD Start'!E42=0,0,IF('BD Start'!E42-(-Actual!$M42)&lt;0,0,'BD Start'!E42-(-Actual!$M42)))</f>
        <v>33.28</v>
      </c>
      <c r="F42" s="295">
        <f>IF('BD Start'!F42=0,0,IF('BD Start'!F42-(-SUM(Actual!$B42:$G42))&lt;0,0,'BD Start'!F42-(-SUM(Actual!$B42:$G42))))</f>
        <v>0</v>
      </c>
      <c r="G42" s="295">
        <f>IF('BD Start'!G42=0,0,IF('BD Start'!G42-(-Actual!$N42)&lt;0,0,'BD Start'!G42-(-Actual!$N42)))</f>
        <v>95.33</v>
      </c>
      <c r="H42" s="295">
        <f>IF('BD Start'!H42=0,0,IF('BD Start'!H42-(-Actual!$H42)&lt;0,0,'BD Start'!H42-(-Actual!$H42)))</f>
        <v>5.87</v>
      </c>
      <c r="I42" s="295">
        <f>IF('BD Start'!I42=0,0,IF('BD Start'!I42-(-SUM(Actual!$O42:$P42))&lt;0,0,'BD Start'!I42-(-SUM(Actual!$O42:$P42))))</f>
        <v>0</v>
      </c>
      <c r="J42" s="295">
        <f>IF('BD Start'!J42=0,0,IF('BD Start'!J42-(-Actual!$AA42)&lt;0,0,'BD Start'!J42-(-Actual!$AA42)))</f>
        <v>0</v>
      </c>
      <c r="K42" s="295">
        <f>IF('BD Start'!K42=0,0,IF('BD Start'!K42-('DATA-CMD'!D42)&lt;0,0,'BD Start'!K42-('DATA-CMD'!D42)))</f>
        <v>0</v>
      </c>
      <c r="L42" s="295">
        <f>IF('BD Start'!L42=0,0,IF('BD Start'!L42-(Actual!$AB42)&lt;0,0,'BD Start'!L42-(Actual!$AB42)))</f>
        <v>0</v>
      </c>
      <c r="M42" s="295">
        <f>IF('BD Start'!M42&gt;0,IF(('BD Start'!M42-'DATA-CMD'!L42+TPCIL!O52)&gt;=125,125,IF(('BD Start'!M42-'DATA-CMD'!L42+TPCIL!O52)&lt;0,0,('BD Start'!M42-'DATA-CMD'!L42+TPCIL!O52))),0)</f>
        <v>0</v>
      </c>
      <c r="N42" s="295">
        <f>IF('BD Start'!N42=0,0,IF('BD Start'!N42-O42&lt;0,0,'BD Start'!N42-O42))</f>
        <v>0</v>
      </c>
      <c r="O42" s="299">
        <f>'DATA-CMD'!L42+TPCIL!E52+TPCIL!F52+TPCIL!G52+TPCIL!H52</f>
        <v>505.22</v>
      </c>
      <c r="P42" s="289">
        <f>'BD Start'!P42+'BD Start'!Q42-'DATA-CMD'!M42</f>
        <v>0</v>
      </c>
    </row>
    <row r="43" ht="23.25" spans="1:16">
      <c r="A43" s="293">
        <v>41</v>
      </c>
      <c r="B43" s="294" t="s">
        <v>54</v>
      </c>
      <c r="C43" s="295">
        <f>IF('BD Start'!C43=0,0,IF('BD Start'!C43-(-SUM(Actual!$I43:$J43))&lt;0,0,'BD Start'!C43-(-SUM(Actual!$I43:$J43))))</f>
        <v>22.01</v>
      </c>
      <c r="D43" s="295">
        <f>IF('BD Start'!D43=0,0,IF('BD Start'!D43-(-SUM(Actual!$K43:$L43))&lt;0,0,'BD Start'!D43-(-SUM(Actual!$K43:$L43))))</f>
        <v>136.51</v>
      </c>
      <c r="E43" s="295">
        <f>IF('BD Start'!E43=0,0,IF('BD Start'!E43-(-Actual!$M43)&lt;0,0,'BD Start'!E43-(-Actual!$M43)))</f>
        <v>51.66</v>
      </c>
      <c r="F43" s="295">
        <f>IF('BD Start'!F43=0,0,IF('BD Start'!F43-(-SUM(Actual!$B43:$G43))&lt;0,0,'BD Start'!F43-(-SUM(Actual!$B43:$G43))))</f>
        <v>0</v>
      </c>
      <c r="G43" s="295">
        <f>IF('BD Start'!G43=0,0,IF('BD Start'!G43-(-Actual!$N43)&lt;0,0,'BD Start'!G43-(-Actual!$N43)))</f>
        <v>125.89</v>
      </c>
      <c r="H43" s="295">
        <f>IF('BD Start'!H43=0,0,IF('BD Start'!H43-(-Actual!$H43)&lt;0,0,'BD Start'!H43-(-Actual!$H43)))</f>
        <v>69.4</v>
      </c>
      <c r="I43" s="295">
        <f>IF('BD Start'!I43=0,0,IF('BD Start'!I43-(-SUM(Actual!$O43:$P43))&lt;0,0,'BD Start'!I43-(-SUM(Actual!$O43:$P43))))</f>
        <v>0</v>
      </c>
      <c r="J43" s="295">
        <f>IF('BD Start'!J43=0,0,IF('BD Start'!J43-(-Actual!$AA43)&lt;0,0,'BD Start'!J43-(-Actual!$AA43)))</f>
        <v>0</v>
      </c>
      <c r="K43" s="295">
        <f>IF('BD Start'!K43=0,0,IF('BD Start'!K43-('DATA-CMD'!D43)&lt;0,0,'BD Start'!K43-('DATA-CMD'!D43)))</f>
        <v>0</v>
      </c>
      <c r="L43" s="295">
        <f>IF('BD Start'!L43=0,0,IF('BD Start'!L43-(Actual!$AB43)&lt;0,0,'BD Start'!L43-(Actual!$AB43)))</f>
        <v>0</v>
      </c>
      <c r="M43" s="295">
        <f>IF('BD Start'!M43&gt;0,IF(('BD Start'!M43-'DATA-CMD'!L43+TPCIL!O53)&gt;=125,125,IF(('BD Start'!M43-'DATA-CMD'!L43+TPCIL!O53)&lt;0,0,('BD Start'!M43-'DATA-CMD'!L43+TPCIL!O53))),0)</f>
        <v>0</v>
      </c>
      <c r="N43" s="295">
        <f>IF('BD Start'!N43=0,0,IF('BD Start'!N43-O43&lt;0,0,'BD Start'!N43-O43))</f>
        <v>0</v>
      </c>
      <c r="O43" s="299">
        <f>'DATA-CMD'!L43+TPCIL!E53+TPCIL!F53+TPCIL!G53+TPCIL!H53</f>
        <v>505.22</v>
      </c>
      <c r="P43" s="289">
        <f>'BD Start'!P43+'BD Start'!Q43-'DATA-CMD'!M43</f>
        <v>0</v>
      </c>
    </row>
    <row r="44" ht="23.25" spans="1:16">
      <c r="A44" s="293">
        <v>42</v>
      </c>
      <c r="B44" s="294" t="s">
        <v>55</v>
      </c>
      <c r="C44" s="295">
        <f>IF('BD Start'!C44=0,0,IF('BD Start'!C44-(-SUM(Actual!$I44:$J44))&lt;0,0,'BD Start'!C44-(-SUM(Actual!$I44:$J44))))</f>
        <v>30.99</v>
      </c>
      <c r="D44" s="295">
        <f>IF('BD Start'!D44=0,0,IF('BD Start'!D44-(-SUM(Actual!$K44:$L44))&lt;0,0,'BD Start'!D44-(-SUM(Actual!$K44:$L44))))</f>
        <v>144.29</v>
      </c>
      <c r="E44" s="295">
        <f>IF('BD Start'!E44=0,0,IF('BD Start'!E44-(-Actual!$M44)&lt;0,0,'BD Start'!E44-(-Actual!$M44)))</f>
        <v>64.65</v>
      </c>
      <c r="F44" s="295">
        <f>IF('BD Start'!F44=0,0,IF('BD Start'!F44-(-SUM(Actual!$B44:$G44))&lt;0,0,'BD Start'!F44-(-SUM(Actual!$B44:$G44))))</f>
        <v>0</v>
      </c>
      <c r="G44" s="295">
        <f>IF('BD Start'!G44=0,0,IF('BD Start'!G44-(-Actual!$N44)&lt;0,0,'BD Start'!G44-(-Actual!$N44)))</f>
        <v>132.09</v>
      </c>
      <c r="H44" s="295">
        <f>IF('BD Start'!H44=0,0,IF('BD Start'!H44-(-Actual!$H44)&lt;0,0,'BD Start'!H44-(-Actual!$H44)))</f>
        <v>132.07</v>
      </c>
      <c r="I44" s="295">
        <f>IF('BD Start'!I44=0,0,IF('BD Start'!I44-(-SUM(Actual!$O44:$P44))&lt;0,0,'BD Start'!I44-(-SUM(Actual!$O44:$P44))))</f>
        <v>0</v>
      </c>
      <c r="J44" s="295">
        <f>IF('BD Start'!J44=0,0,IF('BD Start'!J44-(-Actual!$AA44)&lt;0,0,'BD Start'!J44-(-Actual!$AA44)))</f>
        <v>0</v>
      </c>
      <c r="K44" s="295">
        <f>IF('BD Start'!K44=0,0,IF('BD Start'!K44-('DATA-CMD'!D44)&lt;0,0,'BD Start'!K44-('DATA-CMD'!D44)))</f>
        <v>0</v>
      </c>
      <c r="L44" s="295">
        <f>IF('BD Start'!L44=0,0,IF('BD Start'!L44-(Actual!$AB44)&lt;0,0,'BD Start'!L44-(Actual!$AB44)))</f>
        <v>0</v>
      </c>
      <c r="M44" s="295">
        <f>IF('BD Start'!M44&gt;0,IF(('BD Start'!M44-'DATA-CMD'!L44+TPCIL!O54)&gt;=125,125,IF(('BD Start'!M44-'DATA-CMD'!L44+TPCIL!O54)&lt;0,0,('BD Start'!M44-'DATA-CMD'!L44+TPCIL!O54))),0)</f>
        <v>0</v>
      </c>
      <c r="N44" s="295">
        <f>IF('BD Start'!N44=0,0,IF('BD Start'!N44-O44&lt;0,0,'BD Start'!N44-O44))</f>
        <v>0</v>
      </c>
      <c r="O44" s="299">
        <f>'DATA-CMD'!L44+TPCIL!E54+TPCIL!F54+TPCIL!G54+TPCIL!H54</f>
        <v>504.95</v>
      </c>
      <c r="P44" s="289">
        <f>'BD Start'!P44+'BD Start'!Q44-'DATA-CMD'!M44</f>
        <v>0</v>
      </c>
    </row>
    <row r="45" ht="23.25" spans="1:16">
      <c r="A45" s="293">
        <v>43</v>
      </c>
      <c r="B45" s="294" t="s">
        <v>56</v>
      </c>
      <c r="C45" s="295">
        <f>IF('BD Start'!C45=0,0,IF('BD Start'!C45-(-SUM(Actual!$I45:$J45))&lt;0,0,'BD Start'!C45-(-SUM(Actual!$I45:$J45))))</f>
        <v>34.4</v>
      </c>
      <c r="D45" s="295">
        <f>IF('BD Start'!D45=0,0,IF('BD Start'!D45-(-SUM(Actual!$K45:$L45))&lt;0,0,'BD Start'!D45-(-SUM(Actual!$K45:$L45))))</f>
        <v>146.5</v>
      </c>
      <c r="E45" s="295">
        <f>IF('BD Start'!E45=0,0,IF('BD Start'!E45-(-Actual!$M45)&lt;0,0,'BD Start'!E45-(-Actual!$M45)))</f>
        <v>50.11</v>
      </c>
      <c r="F45" s="295">
        <f>IF('BD Start'!F45=0,0,IF('BD Start'!F45-(-SUM(Actual!$B45:$G45))&lt;0,0,'BD Start'!F45-(-SUM(Actual!$B45:$G45))))</f>
        <v>0</v>
      </c>
      <c r="G45" s="295">
        <f>IF('BD Start'!G45=0,0,IF('BD Start'!G45-(-Actual!$N45)&lt;0,0,'BD Start'!G45-(-Actual!$N45)))</f>
        <v>120.69</v>
      </c>
      <c r="H45" s="295">
        <f>IF('BD Start'!H45=0,0,IF('BD Start'!H45-(-Actual!$H45)&lt;0,0,'BD Start'!H45-(-Actual!$H45)))</f>
        <v>184</v>
      </c>
      <c r="I45" s="295">
        <f>IF('BD Start'!I45=0,0,IF('BD Start'!I45-(-SUM(Actual!$O45:$P45))&lt;0,0,'BD Start'!I45-(-SUM(Actual!$O45:$P45))))</f>
        <v>0</v>
      </c>
      <c r="J45" s="295">
        <f>IF('BD Start'!J45=0,0,IF('BD Start'!J45-(-Actual!$AA45)&lt;0,0,'BD Start'!J45-(-Actual!$AA45)))</f>
        <v>0</v>
      </c>
      <c r="K45" s="295">
        <f>IF('BD Start'!K45=0,0,IF('BD Start'!K45-('DATA-CMD'!D45)&lt;0,0,'BD Start'!K45-('DATA-CMD'!D45)))</f>
        <v>0</v>
      </c>
      <c r="L45" s="295">
        <f>IF('BD Start'!L45=0,0,IF('BD Start'!L45-(Actual!$AB45)&lt;0,0,'BD Start'!L45-(Actual!$AB45)))</f>
        <v>0</v>
      </c>
      <c r="M45" s="295">
        <f>IF('BD Start'!M45&gt;0,IF(('BD Start'!M45-'DATA-CMD'!L45+TPCIL!O55)&gt;=125,125,IF(('BD Start'!M45-'DATA-CMD'!L45+TPCIL!O55)&lt;0,0,('BD Start'!M45-'DATA-CMD'!L45+TPCIL!O55))),0)</f>
        <v>0</v>
      </c>
      <c r="N45" s="295">
        <f>IF('BD Start'!N45=0,0,IF('BD Start'!N45-O45&lt;0,0,'BD Start'!N45-O45))</f>
        <v>0</v>
      </c>
      <c r="O45" s="299">
        <f>'DATA-CMD'!L45+TPCIL!E55+TPCIL!F55+TPCIL!G55+TPCIL!H55</f>
        <v>505.34</v>
      </c>
      <c r="P45" s="289">
        <f>'BD Start'!P45+'BD Start'!Q45-'DATA-CMD'!M45</f>
        <v>0</v>
      </c>
    </row>
    <row r="46" ht="23.25" spans="1:16">
      <c r="A46" s="293">
        <v>44</v>
      </c>
      <c r="B46" s="294" t="s">
        <v>57</v>
      </c>
      <c r="C46" s="295">
        <f>IF('BD Start'!C46=0,0,IF('BD Start'!C46-(-SUM(Actual!$I46:$J46))&lt;0,0,'BD Start'!C46-(-SUM(Actual!$I46:$J46))))</f>
        <v>31.89</v>
      </c>
      <c r="D46" s="295">
        <f>IF('BD Start'!D46=0,0,IF('BD Start'!D46-(-SUM(Actual!$K46:$L46))&lt;0,0,'BD Start'!D46-(-SUM(Actual!$K46:$L46))))</f>
        <v>145.93</v>
      </c>
      <c r="E46" s="295">
        <f>IF('BD Start'!E46=0,0,IF('BD Start'!E46-(-Actual!$M46)&lt;0,0,'BD Start'!E46-(-Actual!$M46)))</f>
        <v>62.95</v>
      </c>
      <c r="F46" s="295">
        <f>IF('BD Start'!F46=0,0,IF('BD Start'!F46-(-SUM(Actual!$B46:$G46))&lt;0,0,'BD Start'!F46-(-SUM(Actual!$B46:$G46))))</f>
        <v>0</v>
      </c>
      <c r="G46" s="295">
        <f>IF('BD Start'!G46=0,0,IF('BD Start'!G46-(-Actual!$N46)&lt;0,0,'BD Start'!G46-(-Actual!$N46)))</f>
        <v>124.95</v>
      </c>
      <c r="H46" s="295">
        <f>IF('BD Start'!H46=0,0,IF('BD Start'!H46-(-Actual!$H46)&lt;0,0,'BD Start'!H46-(-Actual!$H46)))</f>
        <v>210.15</v>
      </c>
      <c r="I46" s="295">
        <f>IF('BD Start'!I46=0,0,IF('BD Start'!I46-(-SUM(Actual!$O46:$P46))&lt;0,0,'BD Start'!I46-(-SUM(Actual!$O46:$P46))))</f>
        <v>3.55999999999995</v>
      </c>
      <c r="J46" s="295">
        <f>IF('BD Start'!J46=0,0,IF('BD Start'!J46-(-Actual!$AA46)&lt;0,0,'BD Start'!J46-(-Actual!$AA46)))</f>
        <v>0</v>
      </c>
      <c r="K46" s="295">
        <f>IF('BD Start'!K46=0,0,IF('BD Start'!K46-('DATA-CMD'!D46)&lt;0,0,'BD Start'!K46-('DATA-CMD'!D46)))</f>
        <v>0</v>
      </c>
      <c r="L46" s="295">
        <f>IF('BD Start'!L46=0,0,IF('BD Start'!L46-(Actual!$AB46)&lt;0,0,'BD Start'!L46-(Actual!$AB46)))</f>
        <v>0</v>
      </c>
      <c r="M46" s="295">
        <f>IF('BD Start'!M46&gt;0,IF(('BD Start'!M46-'DATA-CMD'!L46+TPCIL!O56)&gt;=125,125,IF(('BD Start'!M46-'DATA-CMD'!L46+TPCIL!O56)&lt;0,0,('BD Start'!M46-'DATA-CMD'!L46+TPCIL!O56))),0)</f>
        <v>0</v>
      </c>
      <c r="N46" s="295">
        <f>IF('BD Start'!N46=0,0,IF('BD Start'!N46-O46&lt;0,0,'BD Start'!N46-O46))</f>
        <v>0</v>
      </c>
      <c r="O46" s="299">
        <f>'DATA-CMD'!L46+TPCIL!E56+TPCIL!F56+TPCIL!G56+TPCIL!H56</f>
        <v>504.09</v>
      </c>
      <c r="P46" s="289">
        <f>'BD Start'!P46+'BD Start'!Q46-'DATA-CMD'!M46</f>
        <v>0</v>
      </c>
    </row>
    <row r="47" ht="23.25" spans="1:16">
      <c r="A47" s="293">
        <v>45</v>
      </c>
      <c r="B47" s="294" t="s">
        <v>58</v>
      </c>
      <c r="C47" s="295">
        <f>IF('BD Start'!C47=0,0,IF('BD Start'!C47-(-SUM(Actual!$I47:$J47))&lt;0,0,'BD Start'!C47-(-SUM(Actual!$I47:$J47))))</f>
        <v>29.01</v>
      </c>
      <c r="D47" s="295">
        <f>IF('BD Start'!D47=0,0,IF('BD Start'!D47-(-SUM(Actual!$K47:$L47))&lt;0,0,'BD Start'!D47-(-SUM(Actual!$K47:$L47))))</f>
        <v>141.83</v>
      </c>
      <c r="E47" s="295">
        <f>IF('BD Start'!E47=0,0,IF('BD Start'!E47-(-Actual!$M47)&lt;0,0,'BD Start'!E47-(-Actual!$M47)))</f>
        <v>55.38</v>
      </c>
      <c r="F47" s="295">
        <f>IF('BD Start'!F47=0,0,IF('BD Start'!F47-(-SUM(Actual!$B47:$G47))&lt;0,0,'BD Start'!F47-(-SUM(Actual!$B47:$G47))))</f>
        <v>0</v>
      </c>
      <c r="G47" s="295">
        <f>IF('BD Start'!G47=0,0,IF('BD Start'!G47-(-Actual!$N47)&lt;0,0,'BD Start'!G47-(-Actual!$N47)))</f>
        <v>122.44</v>
      </c>
      <c r="H47" s="295">
        <f>IF('BD Start'!H47=0,0,IF('BD Start'!H47-(-Actual!$H47)&lt;0,0,'BD Start'!H47-(-Actual!$H47)))</f>
        <v>216.05</v>
      </c>
      <c r="I47" s="295">
        <f>IF('BD Start'!I47=0,0,IF('BD Start'!I47-(-SUM(Actual!$O47:$P47))&lt;0,0,'BD Start'!I47-(-SUM(Actual!$O47:$P47))))</f>
        <v>184.72</v>
      </c>
      <c r="J47" s="295">
        <f>IF('BD Start'!J47=0,0,IF('BD Start'!J47-(-Actual!$AA47)&lt;0,0,'BD Start'!J47-(-Actual!$AA47)))</f>
        <v>0</v>
      </c>
      <c r="K47" s="295">
        <f>IF('BD Start'!K47=0,0,IF('BD Start'!K47-('DATA-CMD'!D47)&lt;0,0,'BD Start'!K47-('DATA-CMD'!D47)))</f>
        <v>0</v>
      </c>
      <c r="L47" s="295">
        <f>IF('BD Start'!L47=0,0,IF('BD Start'!L47-(Actual!$AB47)&lt;0,0,'BD Start'!L47-(Actual!$AB47)))</f>
        <v>0</v>
      </c>
      <c r="M47" s="295">
        <f>IF('BD Start'!M47&gt;0,IF(('BD Start'!M47-'DATA-CMD'!L47+TPCIL!O57)&gt;=125,125,IF(('BD Start'!M47-'DATA-CMD'!L47+TPCIL!O57)&lt;0,0,('BD Start'!M47-'DATA-CMD'!L47+TPCIL!O57))),0)</f>
        <v>0</v>
      </c>
      <c r="N47" s="295">
        <f>IF('BD Start'!N47=0,0,IF('BD Start'!N47-O47&lt;0,0,'BD Start'!N47-O47))</f>
        <v>0</v>
      </c>
      <c r="O47" s="299">
        <f>'DATA-CMD'!L47+TPCIL!E57+TPCIL!F57+TPCIL!G57+TPCIL!H57</f>
        <v>497.94</v>
      </c>
      <c r="P47" s="289">
        <f>'BD Start'!P47+'BD Start'!Q47-'DATA-CMD'!M47</f>
        <v>0</v>
      </c>
    </row>
    <row r="48" ht="23.25" spans="1:16">
      <c r="A48" s="293">
        <v>46</v>
      </c>
      <c r="B48" s="294" t="s">
        <v>59</v>
      </c>
      <c r="C48" s="295">
        <f>IF('BD Start'!C48=0,0,IF('BD Start'!C48-(-SUM(Actual!$I48:$J48))&lt;0,0,'BD Start'!C48-(-SUM(Actual!$I48:$J48))))</f>
        <v>39.02</v>
      </c>
      <c r="D48" s="295">
        <f>IF('BD Start'!D48=0,0,IF('BD Start'!D48-(-SUM(Actual!$K48:$L48))&lt;0,0,'BD Start'!D48-(-SUM(Actual!$K48:$L48))))</f>
        <v>146.18</v>
      </c>
      <c r="E48" s="295">
        <f>IF('BD Start'!E48=0,0,IF('BD Start'!E48-(-Actual!$M48)&lt;0,0,'BD Start'!E48-(-Actual!$M48)))</f>
        <v>67.46</v>
      </c>
      <c r="F48" s="295">
        <f>IF('BD Start'!F48=0,0,IF('BD Start'!F48-(-SUM(Actual!$B48:$G48))&lt;0,0,'BD Start'!F48-(-SUM(Actual!$B48:$G48))))</f>
        <v>0</v>
      </c>
      <c r="G48" s="295">
        <f>IF('BD Start'!G48=0,0,IF('BD Start'!G48-(-Actual!$N48)&lt;0,0,'BD Start'!G48-(-Actual!$N48)))</f>
        <v>124.74</v>
      </c>
      <c r="H48" s="295">
        <f>IF('BD Start'!H48=0,0,IF('BD Start'!H48-(-Actual!$H48)&lt;0,0,'BD Start'!H48-(-Actual!$H48)))</f>
        <v>225.31</v>
      </c>
      <c r="I48" s="295">
        <f>IF('BD Start'!I48=0,0,IF('BD Start'!I48-(-SUM(Actual!$O48:$P48))&lt;0,0,'BD Start'!I48-(-SUM(Actual!$O48:$P48))))</f>
        <v>399.18</v>
      </c>
      <c r="J48" s="295">
        <f>IF('BD Start'!J48=0,0,IF('BD Start'!J48-(-Actual!$AA48)&lt;0,0,'BD Start'!J48-(-Actual!$AA48)))</f>
        <v>0</v>
      </c>
      <c r="K48" s="295">
        <f>IF('BD Start'!K48=0,0,IF('BD Start'!K48-('DATA-CMD'!D48)&lt;0,0,'BD Start'!K48-('DATA-CMD'!D48)))</f>
        <v>0</v>
      </c>
      <c r="L48" s="295">
        <f>IF('BD Start'!L48=0,0,IF('BD Start'!L48-(Actual!$AB48)&lt;0,0,'BD Start'!L48-(Actual!$AB48)))</f>
        <v>0</v>
      </c>
      <c r="M48" s="295">
        <f>IF('BD Start'!M48&gt;0,IF(('BD Start'!M48-'DATA-CMD'!L48+TPCIL!O58)&gt;=125,125,IF(('BD Start'!M48-'DATA-CMD'!L48+TPCIL!O58)&lt;0,0,('BD Start'!M48-'DATA-CMD'!L48+TPCIL!O58))),0)</f>
        <v>0</v>
      </c>
      <c r="N48" s="295">
        <f>IF('BD Start'!N48=0,0,IF('BD Start'!N48-O48&lt;0,0,'BD Start'!N48-O48))</f>
        <v>0</v>
      </c>
      <c r="O48" s="299">
        <f>'DATA-CMD'!L48+TPCIL!E58+TPCIL!F58+TPCIL!G58+TPCIL!H58</f>
        <v>501.51</v>
      </c>
      <c r="P48" s="289">
        <f>'BD Start'!P48+'BD Start'!Q48-'DATA-CMD'!M48</f>
        <v>0</v>
      </c>
    </row>
    <row r="49" ht="23.25" spans="1:16">
      <c r="A49" s="293">
        <v>47</v>
      </c>
      <c r="B49" s="294" t="s">
        <v>60</v>
      </c>
      <c r="C49" s="295">
        <f>IF('BD Start'!C49=0,0,IF('BD Start'!C49-(-SUM(Actual!$I49:$J49))&lt;0,0,'BD Start'!C49-(-SUM(Actual!$I49:$J49))))</f>
        <v>47.33</v>
      </c>
      <c r="D49" s="295">
        <f>IF('BD Start'!D49=0,0,IF('BD Start'!D49-(-SUM(Actual!$K49:$L49))&lt;0,0,'BD Start'!D49-(-SUM(Actual!$K49:$L49))))</f>
        <v>150.71</v>
      </c>
      <c r="E49" s="295">
        <f>IF('BD Start'!E49=0,0,IF('BD Start'!E49-(-Actual!$M49)&lt;0,0,'BD Start'!E49-(-Actual!$M49)))</f>
        <v>62.26</v>
      </c>
      <c r="F49" s="295">
        <f>IF('BD Start'!F49=0,0,IF('BD Start'!F49-(-SUM(Actual!$B49:$G49))&lt;0,0,'BD Start'!F49-(-SUM(Actual!$B49:$G49))))</f>
        <v>0</v>
      </c>
      <c r="G49" s="295">
        <f>IF('BD Start'!G49=0,0,IF('BD Start'!G49-(-Actual!$N49)&lt;0,0,'BD Start'!G49-(-Actual!$N49)))</f>
        <v>124.33</v>
      </c>
      <c r="H49" s="295">
        <f>IF('BD Start'!H49=0,0,IF('BD Start'!H49-(-Actual!$H49)&lt;0,0,'BD Start'!H49-(-Actual!$H49)))</f>
        <v>223.06</v>
      </c>
      <c r="I49" s="295">
        <f>IF('BD Start'!I49=0,0,IF('BD Start'!I49-(-SUM(Actual!$O49:$P49))&lt;0,0,'BD Start'!I49-(-SUM(Actual!$O49:$P49))))</f>
        <v>517.22</v>
      </c>
      <c r="J49" s="295">
        <f>IF('BD Start'!J49=0,0,IF('BD Start'!J49-(-Actual!$AA49)&lt;0,0,'BD Start'!J49-(-Actual!$AA49)))</f>
        <v>0</v>
      </c>
      <c r="K49" s="295">
        <f>IF('BD Start'!K49=0,0,IF('BD Start'!K49-('DATA-CMD'!D49)&lt;0,0,'BD Start'!K49-('DATA-CMD'!D49)))</f>
        <v>0</v>
      </c>
      <c r="L49" s="295">
        <f>IF('BD Start'!L49=0,0,IF('BD Start'!L49-(Actual!$AB49)&lt;0,0,'BD Start'!L49-(Actual!$AB49)))</f>
        <v>0</v>
      </c>
      <c r="M49" s="295">
        <f>IF('BD Start'!M49&gt;0,IF(('BD Start'!M49-'DATA-CMD'!L49+TPCIL!O59)&gt;=125,125,IF(('BD Start'!M49-'DATA-CMD'!L49+TPCIL!O59)&lt;0,0,('BD Start'!M49-'DATA-CMD'!L49+TPCIL!O59))),0)</f>
        <v>0</v>
      </c>
      <c r="N49" s="295">
        <f>IF('BD Start'!N49=0,0,IF('BD Start'!N49-O49&lt;0,0,'BD Start'!N49-O49))</f>
        <v>0</v>
      </c>
      <c r="O49" s="299">
        <f>'DATA-CMD'!L49+TPCIL!E59+TPCIL!F59+TPCIL!G59+TPCIL!H59</f>
        <v>496.29</v>
      </c>
      <c r="P49" s="289">
        <f>'BD Start'!P49+'BD Start'!Q49-'DATA-CMD'!M49</f>
        <v>0</v>
      </c>
    </row>
    <row r="50" ht="23.25" spans="1:16">
      <c r="A50" s="293">
        <v>48</v>
      </c>
      <c r="B50" s="294" t="s">
        <v>61</v>
      </c>
      <c r="C50" s="295">
        <f>IF('BD Start'!C50=0,0,IF('BD Start'!C50-(-SUM(Actual!$I50:$J50))&lt;0,0,'BD Start'!C50-(-SUM(Actual!$I50:$J50))))</f>
        <v>46.73</v>
      </c>
      <c r="D50" s="295">
        <f>IF('BD Start'!D50=0,0,IF('BD Start'!D50-(-SUM(Actual!$K50:$L50))&lt;0,0,'BD Start'!D50-(-SUM(Actual!$K50:$L50))))</f>
        <v>154.55</v>
      </c>
      <c r="E50" s="295">
        <f>IF('BD Start'!E50=0,0,IF('BD Start'!E50-(-Actual!$M50)&lt;0,0,'BD Start'!E50-(-Actual!$M50)))</f>
        <v>66.28</v>
      </c>
      <c r="F50" s="295">
        <f>IF('BD Start'!F50=0,0,IF('BD Start'!F50-(-SUM(Actual!$B50:$G50))&lt;0,0,'BD Start'!F50-(-SUM(Actual!$B50:$G50))))</f>
        <v>0</v>
      </c>
      <c r="G50" s="295">
        <f>IF('BD Start'!G50=0,0,IF('BD Start'!G50-(-Actual!$N50)&lt;0,0,'BD Start'!G50-(-Actual!$N50)))</f>
        <v>126.76</v>
      </c>
      <c r="H50" s="295">
        <f>IF('BD Start'!H50=0,0,IF('BD Start'!H50-(-Actual!$H50)&lt;0,0,'BD Start'!H50-(-Actual!$H50)))</f>
        <v>223.81</v>
      </c>
      <c r="I50" s="295">
        <f>IF('BD Start'!I50=0,0,IF('BD Start'!I50-(-SUM(Actual!$O50:$P50))&lt;0,0,'BD Start'!I50-(-SUM(Actual!$O50:$P50))))</f>
        <v>593.06</v>
      </c>
      <c r="J50" s="295">
        <f>IF('BD Start'!J50=0,0,IF('BD Start'!J50-(-Actual!$AA50)&lt;0,0,'BD Start'!J50-(-Actual!$AA50)))</f>
        <v>0</v>
      </c>
      <c r="K50" s="295">
        <f>IF('BD Start'!K50=0,0,IF('BD Start'!K50-('DATA-CMD'!D50)&lt;0,0,'BD Start'!K50-('DATA-CMD'!D50)))</f>
        <v>0</v>
      </c>
      <c r="L50" s="295">
        <f>IF('BD Start'!L50=0,0,IF('BD Start'!L50-(Actual!$AB50)&lt;0,0,'BD Start'!L50-(Actual!$AB50)))</f>
        <v>0</v>
      </c>
      <c r="M50" s="295">
        <f>IF('BD Start'!M50&gt;0,IF(('BD Start'!M50-'DATA-CMD'!L50+TPCIL!O60)&gt;=125,125,IF(('BD Start'!M50-'DATA-CMD'!L50+TPCIL!O60)&lt;0,0,('BD Start'!M50-'DATA-CMD'!L50+TPCIL!O60))),0)</f>
        <v>0</v>
      </c>
      <c r="N50" s="295">
        <f>IF('BD Start'!N50=0,0,IF('BD Start'!N50-O50&lt;0,0,'BD Start'!N50-O50))</f>
        <v>0</v>
      </c>
      <c r="O50" s="299">
        <f>'DATA-CMD'!L50+TPCIL!E60+TPCIL!F60+TPCIL!G60+TPCIL!H60</f>
        <v>499.74</v>
      </c>
      <c r="P50" s="289">
        <f>'BD Start'!P50+'BD Start'!Q50-'DATA-CMD'!M50</f>
        <v>0</v>
      </c>
    </row>
    <row r="51" ht="23.25" spans="1:16">
      <c r="A51" s="293">
        <v>49</v>
      </c>
      <c r="B51" s="294" t="s">
        <v>62</v>
      </c>
      <c r="C51" s="295">
        <f>IF('BD Start'!C51=0,0,IF('BD Start'!C51-(-SUM(Actual!$I51:$J51))&lt;0,0,'BD Start'!C51-(-SUM(Actual!$I51:$J51))))</f>
        <v>51.57</v>
      </c>
      <c r="D51" s="295">
        <f>IF('BD Start'!D51=0,0,IF('BD Start'!D51-(-SUM(Actual!$K51:$L51))&lt;0,0,'BD Start'!D51-(-SUM(Actual!$K51:$L51))))</f>
        <v>158.93</v>
      </c>
      <c r="E51" s="295">
        <f>IF('BD Start'!E51=0,0,IF('BD Start'!E51-(-Actual!$M51)&lt;0,0,'BD Start'!E51-(-Actual!$M51)))</f>
        <v>58.13</v>
      </c>
      <c r="F51" s="295">
        <f>IF('BD Start'!F51=0,0,IF('BD Start'!F51-(-SUM(Actual!$B51:$G51))&lt;0,0,'BD Start'!F51-(-SUM(Actual!$B51:$G51))))</f>
        <v>0</v>
      </c>
      <c r="G51" s="295">
        <f>IF('BD Start'!G51=0,0,IF('BD Start'!G51-(-Actual!$N51)&lt;0,0,'BD Start'!G51-(-Actual!$N51)))</f>
        <v>122</v>
      </c>
      <c r="H51" s="295">
        <f>IF('BD Start'!H51=0,0,IF('BD Start'!H51-(-Actual!$H51)&lt;0,0,'BD Start'!H51-(-Actual!$H51)))</f>
        <v>217.91</v>
      </c>
      <c r="I51" s="295">
        <f>IF('BD Start'!I51=0,0,IF('BD Start'!I51-(-SUM(Actual!$O51:$P51))&lt;0,0,'BD Start'!I51-(-SUM(Actual!$O51:$P51))))</f>
        <v>0</v>
      </c>
      <c r="J51" s="295">
        <f>IF('BD Start'!J51=0,0,IF('BD Start'!J51-(-Actual!$AA51)&lt;0,0,'BD Start'!J51-(-Actual!$AA51)))</f>
        <v>0</v>
      </c>
      <c r="K51" s="295">
        <f>IF('BD Start'!K51=0,0,IF('BD Start'!K51-('DATA-CMD'!D51)&lt;0,0,'BD Start'!K51-('DATA-CMD'!D51)))</f>
        <v>0</v>
      </c>
      <c r="L51" s="295">
        <f>IF('BD Start'!L51=0,0,IF('BD Start'!L51-(Actual!$AB51)&lt;0,0,'BD Start'!L51-(Actual!$AB51)))</f>
        <v>0</v>
      </c>
      <c r="M51" s="295">
        <f>IF('BD Start'!M51&gt;0,IF(('BD Start'!M51-'DATA-CMD'!L51+TPCIL!O61)&gt;=125,125,IF(('BD Start'!M51-'DATA-CMD'!L51+TPCIL!O61)&lt;0,0,('BD Start'!M51-'DATA-CMD'!L51+TPCIL!O61))),0)</f>
        <v>0</v>
      </c>
      <c r="N51" s="295">
        <f>IF('BD Start'!N51=0,0,IF('BD Start'!N51-O51&lt;0,0,'BD Start'!N51-O51))</f>
        <v>0</v>
      </c>
      <c r="O51" s="299">
        <f>'DATA-CMD'!L51+TPCIL!E61+TPCIL!F61+TPCIL!G61+TPCIL!H61</f>
        <v>499.21</v>
      </c>
      <c r="P51" s="289">
        <f>'BD Start'!P51+'BD Start'!Q51-'DATA-CMD'!M51</f>
        <v>0</v>
      </c>
    </row>
    <row r="52" ht="23.25" spans="1:16">
      <c r="A52" s="293">
        <v>50</v>
      </c>
      <c r="B52" s="294" t="s">
        <v>63</v>
      </c>
      <c r="C52" s="295">
        <f>IF('BD Start'!C52=0,0,IF('BD Start'!C52-(-SUM(Actual!$I52:$J52))&lt;0,0,'BD Start'!C52-(-SUM(Actual!$I52:$J52))))</f>
        <v>47.76</v>
      </c>
      <c r="D52" s="295">
        <f>IF('BD Start'!D52=0,0,IF('BD Start'!D52-(-SUM(Actual!$K52:$L52))&lt;0,0,'BD Start'!D52-(-SUM(Actual!$K52:$L52))))</f>
        <v>160.55</v>
      </c>
      <c r="E52" s="295">
        <f>IF('BD Start'!E52=0,0,IF('BD Start'!E52-(-Actual!$M52)&lt;0,0,'BD Start'!E52-(-Actual!$M52)))</f>
        <v>62.15</v>
      </c>
      <c r="F52" s="295">
        <f>IF('BD Start'!F52=0,0,IF('BD Start'!F52-(-SUM(Actual!$B52:$G52))&lt;0,0,'BD Start'!F52-(-SUM(Actual!$B52:$G52))))</f>
        <v>0</v>
      </c>
      <c r="G52" s="295">
        <f>IF('BD Start'!G52=0,0,IF('BD Start'!G52-(-Actual!$N52)&lt;0,0,'BD Start'!G52-(-Actual!$N52)))</f>
        <v>121.48</v>
      </c>
      <c r="H52" s="295">
        <f>IF('BD Start'!H52=0,0,IF('BD Start'!H52-(-Actual!$H52)&lt;0,0,'BD Start'!H52-(-Actual!$H52)))</f>
        <v>217.77</v>
      </c>
      <c r="I52" s="295">
        <f>IF('BD Start'!I52=0,0,IF('BD Start'!I52-(-SUM(Actual!$O52:$P52))&lt;0,0,'BD Start'!I52-(-SUM(Actual!$O52:$P52))))</f>
        <v>0</v>
      </c>
      <c r="J52" s="295">
        <f>IF('BD Start'!J52=0,0,IF('BD Start'!J52-(-Actual!$AA52)&lt;0,0,'BD Start'!J52-(-Actual!$AA52)))</f>
        <v>0</v>
      </c>
      <c r="K52" s="295">
        <f>IF('BD Start'!K52=0,0,IF('BD Start'!K52-('DATA-CMD'!D52)&lt;0,0,'BD Start'!K52-('DATA-CMD'!D52)))</f>
        <v>0</v>
      </c>
      <c r="L52" s="295">
        <f>IF('BD Start'!L52=0,0,IF('BD Start'!L52-(Actual!$AB52)&lt;0,0,'BD Start'!L52-(Actual!$AB52)))</f>
        <v>0</v>
      </c>
      <c r="M52" s="295">
        <f>IF('BD Start'!M52&gt;0,IF(('BD Start'!M52-'DATA-CMD'!L52+TPCIL!O62)&gt;=125,125,IF(('BD Start'!M52-'DATA-CMD'!L52+TPCIL!O62)&lt;0,0,('BD Start'!M52-'DATA-CMD'!L52+TPCIL!O62))),0)</f>
        <v>0</v>
      </c>
      <c r="N52" s="295">
        <f>IF('BD Start'!N52=0,0,IF('BD Start'!N52-O52&lt;0,0,'BD Start'!N52-O52))</f>
        <v>0</v>
      </c>
      <c r="O52" s="299">
        <f>'DATA-CMD'!L52+TPCIL!E62+TPCIL!F62+TPCIL!G62+TPCIL!H62</f>
        <v>505.58</v>
      </c>
      <c r="P52" s="289">
        <f>'BD Start'!P52+'BD Start'!Q52-'DATA-CMD'!M52</f>
        <v>0</v>
      </c>
    </row>
    <row r="53" ht="23.25" spans="1:16">
      <c r="A53" s="293">
        <v>51</v>
      </c>
      <c r="B53" s="294" t="s">
        <v>64</v>
      </c>
      <c r="C53" s="295">
        <f>IF('BD Start'!C53=0,0,IF('BD Start'!C53-(-SUM(Actual!$I53:$J53))&lt;0,0,'BD Start'!C53-(-SUM(Actual!$I53:$J53))))</f>
        <v>49.77</v>
      </c>
      <c r="D53" s="295">
        <f>IF('BD Start'!D53=0,0,IF('BD Start'!D53-(-SUM(Actual!$K53:$L53))&lt;0,0,'BD Start'!D53-(-SUM(Actual!$K53:$L53))))</f>
        <v>161.98</v>
      </c>
      <c r="E53" s="295">
        <f>IF('BD Start'!E53=0,0,IF('BD Start'!E53-(-Actual!$M53)&lt;0,0,'BD Start'!E53-(-Actual!$M53)))</f>
        <v>59.1</v>
      </c>
      <c r="F53" s="295">
        <f>IF('BD Start'!F53=0,0,IF('BD Start'!F53-(-SUM(Actual!$B53:$G53))&lt;0,0,'BD Start'!F53-(-SUM(Actual!$B53:$G53))))</f>
        <v>0</v>
      </c>
      <c r="G53" s="295">
        <f>IF('BD Start'!G53=0,0,IF('BD Start'!G53-(-Actual!$N53)&lt;0,0,'BD Start'!G53-(-Actual!$N53)))</f>
        <v>127.21</v>
      </c>
      <c r="H53" s="295">
        <f>IF('BD Start'!H53=0,0,IF('BD Start'!H53-(-Actual!$H53)&lt;0,0,'BD Start'!H53-(-Actual!$H53)))</f>
        <v>216.68</v>
      </c>
      <c r="I53" s="295">
        <f>IF('BD Start'!I53=0,0,IF('BD Start'!I53-(-SUM(Actual!$O53:$P53))&lt;0,0,'BD Start'!I53-(-SUM(Actual!$O53:$P53))))</f>
        <v>0</v>
      </c>
      <c r="J53" s="295">
        <f>IF('BD Start'!J53=0,0,IF('BD Start'!J53-(-Actual!$AA53)&lt;0,0,'BD Start'!J53-(-Actual!$AA53)))</f>
        <v>0</v>
      </c>
      <c r="K53" s="295">
        <f>IF('BD Start'!K53=0,0,IF('BD Start'!K53-('DATA-CMD'!D53)&lt;0,0,'BD Start'!K53-('DATA-CMD'!D53)))</f>
        <v>0</v>
      </c>
      <c r="L53" s="295">
        <f>IF('BD Start'!L53=0,0,IF('BD Start'!L53-(Actual!$AB53)&lt;0,0,'BD Start'!L53-(Actual!$AB53)))</f>
        <v>0</v>
      </c>
      <c r="M53" s="295">
        <f>IF('BD Start'!M53&gt;0,IF(('BD Start'!M53-'DATA-CMD'!L53+TPCIL!O63)&gt;=125,125,IF(('BD Start'!M53-'DATA-CMD'!L53+TPCIL!O63)&lt;0,0,('BD Start'!M53-'DATA-CMD'!L53+TPCIL!O63))),0)</f>
        <v>0</v>
      </c>
      <c r="N53" s="295">
        <f>IF('BD Start'!N53=0,0,IF('BD Start'!N53-O53&lt;0,0,'BD Start'!N53-O53))</f>
        <v>0</v>
      </c>
      <c r="O53" s="299">
        <f>'DATA-CMD'!L53+TPCIL!E63+TPCIL!F63+TPCIL!G63+TPCIL!H63</f>
        <v>503.68</v>
      </c>
      <c r="P53" s="289">
        <f>'BD Start'!P53+'BD Start'!Q53-'DATA-CMD'!M53</f>
        <v>0</v>
      </c>
    </row>
    <row r="54" ht="23.25" spans="1:16">
      <c r="A54" s="293">
        <v>52</v>
      </c>
      <c r="B54" s="294" t="s">
        <v>65</v>
      </c>
      <c r="C54" s="295">
        <f>IF('BD Start'!C54=0,0,IF('BD Start'!C54-(-SUM(Actual!$I54:$J54))&lt;0,0,'BD Start'!C54-(-SUM(Actual!$I54:$J54))))</f>
        <v>51.51</v>
      </c>
      <c r="D54" s="295">
        <f>IF('BD Start'!D54=0,0,IF('BD Start'!D54-(-SUM(Actual!$K54:$L54))&lt;0,0,'BD Start'!D54-(-SUM(Actual!$K54:$L54))))</f>
        <v>165.31</v>
      </c>
      <c r="E54" s="295">
        <f>IF('BD Start'!E54=0,0,IF('BD Start'!E54-(-Actual!$M54)&lt;0,0,'BD Start'!E54-(-Actual!$M54)))</f>
        <v>66.48</v>
      </c>
      <c r="F54" s="295">
        <f>IF('BD Start'!F54=0,0,IF('BD Start'!F54-(-SUM(Actual!$B54:$G54))&lt;0,0,'BD Start'!F54-(-SUM(Actual!$B54:$G54))))</f>
        <v>0</v>
      </c>
      <c r="G54" s="295">
        <f>IF('BD Start'!G54=0,0,IF('BD Start'!G54-(-Actual!$N54)&lt;0,0,'BD Start'!G54-(-Actual!$N54)))</f>
        <v>127.31</v>
      </c>
      <c r="H54" s="295">
        <f>IF('BD Start'!H54=0,0,IF('BD Start'!H54-(-Actual!$H54)&lt;0,0,'BD Start'!H54-(-Actual!$H54)))</f>
        <v>220.1</v>
      </c>
      <c r="I54" s="295">
        <f>IF('BD Start'!I54=0,0,IF('BD Start'!I54-(-SUM(Actual!$O54:$P54))&lt;0,0,'BD Start'!I54-(-SUM(Actual!$O54:$P54))))</f>
        <v>0</v>
      </c>
      <c r="J54" s="295">
        <f>IF('BD Start'!J54=0,0,IF('BD Start'!J54-(-Actual!$AA54)&lt;0,0,'BD Start'!J54-(-Actual!$AA54)))</f>
        <v>0</v>
      </c>
      <c r="K54" s="295">
        <f>IF('BD Start'!K54=0,0,IF('BD Start'!K54-('DATA-CMD'!D54)&lt;0,0,'BD Start'!K54-('DATA-CMD'!D54)))</f>
        <v>0</v>
      </c>
      <c r="L54" s="295">
        <f>IF('BD Start'!L54=0,0,IF('BD Start'!L54-(Actual!$AB54)&lt;0,0,'BD Start'!L54-(Actual!$AB54)))</f>
        <v>0</v>
      </c>
      <c r="M54" s="295">
        <f>IF('BD Start'!M54&gt;0,IF(('BD Start'!M54-'DATA-CMD'!L54+TPCIL!O64)&gt;=125,125,IF(('BD Start'!M54-'DATA-CMD'!L54+TPCIL!O64)&lt;0,0,('BD Start'!M54-'DATA-CMD'!L54+TPCIL!O64))),0)</f>
        <v>0</v>
      </c>
      <c r="N54" s="295">
        <f>IF('BD Start'!N54=0,0,IF('BD Start'!N54-O54&lt;0,0,'BD Start'!N54-O54))</f>
        <v>0</v>
      </c>
      <c r="O54" s="299">
        <f>'DATA-CMD'!L54+TPCIL!E64+TPCIL!F64+TPCIL!G64+TPCIL!H64</f>
        <v>501.62</v>
      </c>
      <c r="P54" s="289">
        <f>'BD Start'!P54+'BD Start'!Q54-'DATA-CMD'!M54</f>
        <v>0</v>
      </c>
    </row>
    <row r="55" ht="23.25" spans="1:16">
      <c r="A55" s="293">
        <v>53</v>
      </c>
      <c r="B55" s="294" t="s">
        <v>66</v>
      </c>
      <c r="C55" s="295">
        <f>IF('BD Start'!C55=0,0,IF('BD Start'!C55-(-SUM(Actual!$I55:$J55))&lt;0,0,'BD Start'!C55-(-SUM(Actual!$I55:$J55))))</f>
        <v>48.04</v>
      </c>
      <c r="D55" s="295">
        <f>IF('BD Start'!D55=0,0,IF('BD Start'!D55-(-SUM(Actual!$K55:$L55))&lt;0,0,'BD Start'!D55-(-SUM(Actual!$K55:$L55))))</f>
        <v>164.21</v>
      </c>
      <c r="E55" s="295">
        <f>IF('BD Start'!E55=0,0,IF('BD Start'!E55-(-Actual!$M55)&lt;0,0,'BD Start'!E55-(-Actual!$M55)))</f>
        <v>63.22</v>
      </c>
      <c r="F55" s="295">
        <f>IF('BD Start'!F55=0,0,IF('BD Start'!F55-(-SUM(Actual!$B55:$G55))&lt;0,0,'BD Start'!F55-(-SUM(Actual!$B55:$G55))))</f>
        <v>0</v>
      </c>
      <c r="G55" s="295">
        <f>IF('BD Start'!G55=0,0,IF('BD Start'!G55-(-Actual!$N55)&lt;0,0,'BD Start'!G55-(-Actual!$N55)))</f>
        <v>123.39</v>
      </c>
      <c r="H55" s="295">
        <f>IF('BD Start'!H55=0,0,IF('BD Start'!H55-(-Actual!$H55)&lt;0,0,'BD Start'!H55-(-Actual!$H55)))</f>
        <v>219.54</v>
      </c>
      <c r="I55" s="295">
        <f>IF('BD Start'!I55=0,0,IF('BD Start'!I55-(-SUM(Actual!$O55:$P55))&lt;0,0,'BD Start'!I55-(-SUM(Actual!$O55:$P55))))</f>
        <v>0</v>
      </c>
      <c r="J55" s="295">
        <f>IF('BD Start'!J55=0,0,IF('BD Start'!J55-(-Actual!$AA55)&lt;0,0,'BD Start'!J55-(-Actual!$AA55)))</f>
        <v>0</v>
      </c>
      <c r="K55" s="295">
        <f>IF('BD Start'!K55=0,0,IF('BD Start'!K55-('DATA-CMD'!D55)&lt;0,0,'BD Start'!K55-('DATA-CMD'!D55)))</f>
        <v>0</v>
      </c>
      <c r="L55" s="295">
        <f>IF('BD Start'!L55=0,0,IF('BD Start'!L55-(Actual!$AB55)&lt;0,0,'BD Start'!L55-(Actual!$AB55)))</f>
        <v>0</v>
      </c>
      <c r="M55" s="295">
        <f>IF('BD Start'!M55&gt;0,IF(('BD Start'!M55-'DATA-CMD'!L55+TPCIL!O65)&gt;=125,125,IF(('BD Start'!M55-'DATA-CMD'!L55+TPCIL!O65)&lt;0,0,('BD Start'!M55-'DATA-CMD'!L55+TPCIL!O65))),0)</f>
        <v>0</v>
      </c>
      <c r="N55" s="295">
        <f>IF('BD Start'!N55=0,0,IF('BD Start'!N55-O55&lt;0,0,'BD Start'!N55-O55))</f>
        <v>0</v>
      </c>
      <c r="O55" s="299">
        <f>'DATA-CMD'!L55+TPCIL!E65+TPCIL!F65+TPCIL!G65+TPCIL!H65</f>
        <v>500.72</v>
      </c>
      <c r="P55" s="289">
        <f>'BD Start'!P55+'BD Start'!Q55-'DATA-CMD'!M55</f>
        <v>0</v>
      </c>
    </row>
    <row r="56" ht="23.25" spans="1:16">
      <c r="A56" s="293">
        <v>54</v>
      </c>
      <c r="B56" s="294" t="s">
        <v>67</v>
      </c>
      <c r="C56" s="295">
        <f>IF('BD Start'!C56=0,0,IF('BD Start'!C56-(-SUM(Actual!$I56:$J56))&lt;0,0,'BD Start'!C56-(-SUM(Actual!$I56:$J56))))</f>
        <v>54.85</v>
      </c>
      <c r="D56" s="295">
        <f>IF('BD Start'!D56=0,0,IF('BD Start'!D56-(-SUM(Actual!$K56:$L56))&lt;0,0,'BD Start'!D56-(-SUM(Actual!$K56:$L56))))</f>
        <v>157.44</v>
      </c>
      <c r="E56" s="295">
        <f>IF('BD Start'!E56=0,0,IF('BD Start'!E56-(-Actual!$M56)&lt;0,0,'BD Start'!E56-(-Actual!$M56)))</f>
        <v>66.84</v>
      </c>
      <c r="F56" s="295">
        <f>IF('BD Start'!F56=0,0,IF('BD Start'!F56-(-SUM(Actual!$B56:$G56))&lt;0,0,'BD Start'!F56-(-SUM(Actual!$B56:$G56))))</f>
        <v>0</v>
      </c>
      <c r="G56" s="295">
        <f>IF('BD Start'!G56=0,0,IF('BD Start'!G56-(-Actual!$N56)&lt;0,0,'BD Start'!G56-(-Actual!$N56)))</f>
        <v>118.78</v>
      </c>
      <c r="H56" s="295">
        <f>IF('BD Start'!H56=0,0,IF('BD Start'!H56-(-Actual!$H56)&lt;0,0,'BD Start'!H56-(-Actual!$H56)))</f>
        <v>222.27</v>
      </c>
      <c r="I56" s="295">
        <f>IF('BD Start'!I56=0,0,IF('BD Start'!I56-(-SUM(Actual!$O56:$P56))&lt;0,0,'BD Start'!I56-(-SUM(Actual!$O56:$P56))))</f>
        <v>0</v>
      </c>
      <c r="J56" s="295">
        <f>IF('BD Start'!J56=0,0,IF('BD Start'!J56-(-Actual!$AA56)&lt;0,0,'BD Start'!J56-(-Actual!$AA56)))</f>
        <v>0</v>
      </c>
      <c r="K56" s="295">
        <f>IF('BD Start'!K56=0,0,IF('BD Start'!K56-('DATA-CMD'!D56)&lt;0,0,'BD Start'!K56-('DATA-CMD'!D56)))</f>
        <v>0</v>
      </c>
      <c r="L56" s="295">
        <f>IF('BD Start'!L56=0,0,IF('BD Start'!L56-(Actual!$AB56)&lt;0,0,'BD Start'!L56-(Actual!$AB56)))</f>
        <v>0</v>
      </c>
      <c r="M56" s="295">
        <f>IF('BD Start'!M56&gt;0,IF(('BD Start'!M56-'DATA-CMD'!L56+TPCIL!O66)&gt;=125,125,IF(('BD Start'!M56-'DATA-CMD'!L56+TPCIL!O66)&lt;0,0,('BD Start'!M56-'DATA-CMD'!L56+TPCIL!O66))),0)</f>
        <v>0</v>
      </c>
      <c r="N56" s="295">
        <f>IF('BD Start'!N56=0,0,IF('BD Start'!N56-O56&lt;0,0,'BD Start'!N56-O56))</f>
        <v>0</v>
      </c>
      <c r="O56" s="299">
        <f>'DATA-CMD'!L56+TPCIL!E66+TPCIL!F66+TPCIL!G66+TPCIL!H66</f>
        <v>503.82</v>
      </c>
      <c r="P56" s="289">
        <f>'BD Start'!P56+'BD Start'!Q56-'DATA-CMD'!M56</f>
        <v>0</v>
      </c>
    </row>
    <row r="57" ht="23.25" spans="1:16">
      <c r="A57" s="293">
        <v>55</v>
      </c>
      <c r="B57" s="294" t="s">
        <v>68</v>
      </c>
      <c r="C57" s="295">
        <f>IF('BD Start'!C57=0,0,IF('BD Start'!C57-(-SUM(Actual!$I57:$J57))&lt;0,0,'BD Start'!C57-(-SUM(Actual!$I57:$J57))))</f>
        <v>54.1</v>
      </c>
      <c r="D57" s="295">
        <f>IF('BD Start'!D57=0,0,IF('BD Start'!D57-(-SUM(Actual!$K57:$L57))&lt;0,0,'BD Start'!D57-(-SUM(Actual!$K57:$L57))))</f>
        <v>151.78</v>
      </c>
      <c r="E57" s="295">
        <f>IF('BD Start'!E57=0,0,IF('BD Start'!E57-(-Actual!$M57)&lt;0,0,'BD Start'!E57-(-Actual!$M57)))</f>
        <v>63.11</v>
      </c>
      <c r="F57" s="295">
        <f>IF('BD Start'!F57=0,0,IF('BD Start'!F57-(-SUM(Actual!$B57:$G57))&lt;0,0,'BD Start'!F57-(-SUM(Actual!$B57:$G57))))</f>
        <v>0</v>
      </c>
      <c r="G57" s="295">
        <f>IF('BD Start'!G57=0,0,IF('BD Start'!G57-(-Actual!$N57)&lt;0,0,'BD Start'!G57-(-Actual!$N57)))</f>
        <v>120.32</v>
      </c>
      <c r="H57" s="295">
        <f>IF('BD Start'!H57=0,0,IF('BD Start'!H57-(-Actual!$H57)&lt;0,0,'BD Start'!H57-(-Actual!$H57)))</f>
        <v>222.14</v>
      </c>
      <c r="I57" s="295">
        <f>IF('BD Start'!I57=0,0,IF('BD Start'!I57-(-SUM(Actual!$O57:$P57))&lt;0,0,'BD Start'!I57-(-SUM(Actual!$O57:$P57))))</f>
        <v>0</v>
      </c>
      <c r="J57" s="295">
        <f>IF('BD Start'!J57=0,0,IF('BD Start'!J57-(-Actual!$AA57)&lt;0,0,'BD Start'!J57-(-Actual!$AA57)))</f>
        <v>0</v>
      </c>
      <c r="K57" s="295">
        <f>IF('BD Start'!K57=0,0,IF('BD Start'!K57-('DATA-CMD'!D57)&lt;0,0,'BD Start'!K57-('DATA-CMD'!D57)))</f>
        <v>0</v>
      </c>
      <c r="L57" s="295">
        <f>IF('BD Start'!L57=0,0,IF('BD Start'!L57-(Actual!$AB57)&lt;0,0,'BD Start'!L57-(Actual!$AB57)))</f>
        <v>0</v>
      </c>
      <c r="M57" s="295">
        <f>IF('BD Start'!M57&gt;0,IF(('BD Start'!M57-'DATA-CMD'!L57+TPCIL!O67)&gt;=125,125,IF(('BD Start'!M57-'DATA-CMD'!L57+TPCIL!O67)&lt;0,0,('BD Start'!M57-'DATA-CMD'!L57+TPCIL!O67))),0)</f>
        <v>0</v>
      </c>
      <c r="N57" s="295">
        <f>IF('BD Start'!N57=0,0,IF('BD Start'!N57-O57&lt;0,0,'BD Start'!N57-O57))</f>
        <v>0</v>
      </c>
      <c r="O57" s="299">
        <f>'DATA-CMD'!L57+TPCIL!E67+TPCIL!F67+TPCIL!G67+TPCIL!H67</f>
        <v>504.89</v>
      </c>
      <c r="P57" s="289">
        <f>'BD Start'!P57+'BD Start'!Q57-'DATA-CMD'!M57</f>
        <v>0</v>
      </c>
    </row>
    <row r="58" ht="23.25" spans="1:16">
      <c r="A58" s="293">
        <v>56</v>
      </c>
      <c r="B58" s="294" t="s">
        <v>69</v>
      </c>
      <c r="C58" s="295">
        <f>IF('BD Start'!C58=0,0,IF('BD Start'!C58-(-SUM(Actual!$I58:$J58))&lt;0,0,'BD Start'!C58-(-SUM(Actual!$I58:$J58))))</f>
        <v>42.7</v>
      </c>
      <c r="D58" s="295">
        <f>IF('BD Start'!D58=0,0,IF('BD Start'!D58-(-SUM(Actual!$K58:$L58))&lt;0,0,'BD Start'!D58-(-SUM(Actual!$K58:$L58))))</f>
        <v>153.03</v>
      </c>
      <c r="E58" s="295">
        <f>IF('BD Start'!E58=0,0,IF('BD Start'!E58-(-Actual!$M58)&lt;0,0,'BD Start'!E58-(-Actual!$M58)))</f>
        <v>66.03</v>
      </c>
      <c r="F58" s="295">
        <f>IF('BD Start'!F58=0,0,IF('BD Start'!F58-(-SUM(Actual!$B58:$G58))&lt;0,0,'BD Start'!F58-(-SUM(Actual!$B58:$G58))))</f>
        <v>0</v>
      </c>
      <c r="G58" s="295">
        <f>IF('BD Start'!G58=0,0,IF('BD Start'!G58-(-Actual!$N58)&lt;0,0,'BD Start'!G58-(-Actual!$N58)))</f>
        <v>124.89</v>
      </c>
      <c r="H58" s="295">
        <f>IF('BD Start'!H58=0,0,IF('BD Start'!H58-(-Actual!$H58)&lt;0,0,'BD Start'!H58-(-Actual!$H58)))</f>
        <v>221.12</v>
      </c>
      <c r="I58" s="295">
        <f>IF('BD Start'!I58=0,0,IF('BD Start'!I58-(-SUM(Actual!$O58:$P58))&lt;0,0,'BD Start'!I58-(-SUM(Actual!$O58:$P58))))</f>
        <v>0</v>
      </c>
      <c r="J58" s="295">
        <f>IF('BD Start'!J58=0,0,IF('BD Start'!J58-(-Actual!$AA58)&lt;0,0,'BD Start'!J58-(-Actual!$AA58)))</f>
        <v>0</v>
      </c>
      <c r="K58" s="295">
        <f>IF('BD Start'!K58=0,0,IF('BD Start'!K58-('DATA-CMD'!D58)&lt;0,0,'BD Start'!K58-('DATA-CMD'!D58)))</f>
        <v>0</v>
      </c>
      <c r="L58" s="295">
        <f>IF('BD Start'!L58=0,0,IF('BD Start'!L58-(Actual!$AB58)&lt;0,0,'BD Start'!L58-(Actual!$AB58)))</f>
        <v>0</v>
      </c>
      <c r="M58" s="295">
        <f>IF('BD Start'!M58&gt;0,IF(('BD Start'!M58-'DATA-CMD'!L58+TPCIL!O68)&gt;=125,125,IF(('BD Start'!M58-'DATA-CMD'!L58+TPCIL!O68)&lt;0,0,('BD Start'!M58-'DATA-CMD'!L58+TPCIL!O68))),0)</f>
        <v>0</v>
      </c>
      <c r="N58" s="295">
        <f>IF('BD Start'!N58=0,0,IF('BD Start'!N58-O58&lt;0,0,'BD Start'!N58-O58))</f>
        <v>0</v>
      </c>
      <c r="O58" s="299">
        <f>'DATA-CMD'!L58+TPCIL!E68+TPCIL!F68+TPCIL!G68+TPCIL!H68</f>
        <v>501.54</v>
      </c>
      <c r="P58" s="289">
        <f>'BD Start'!P58+'BD Start'!Q58-'DATA-CMD'!M58</f>
        <v>0</v>
      </c>
    </row>
    <row r="59" ht="23.25" spans="1:16">
      <c r="A59" s="293">
        <v>57</v>
      </c>
      <c r="B59" s="294" t="s">
        <v>70</v>
      </c>
      <c r="C59" s="295">
        <f>IF('BD Start'!C59=0,0,IF('BD Start'!C59-(-SUM(Actual!$I59:$J59))&lt;0,0,'BD Start'!C59-(-SUM(Actual!$I59:$J59))))</f>
        <v>39.59</v>
      </c>
      <c r="D59" s="295">
        <f>IF('BD Start'!D59=0,0,IF('BD Start'!D59-(-SUM(Actual!$K59:$L59))&lt;0,0,'BD Start'!D59-(-SUM(Actual!$K59:$L59))))</f>
        <v>150.1</v>
      </c>
      <c r="E59" s="295">
        <f>IF('BD Start'!E59=0,0,IF('BD Start'!E59-(-Actual!$M59)&lt;0,0,'BD Start'!E59-(-Actual!$M59)))</f>
        <v>64</v>
      </c>
      <c r="F59" s="295">
        <f>IF('BD Start'!F59=0,0,IF('BD Start'!F59-(-SUM(Actual!$B59:$G59))&lt;0,0,'BD Start'!F59-(-SUM(Actual!$B59:$G59))))</f>
        <v>0</v>
      </c>
      <c r="G59" s="295">
        <f>IF('BD Start'!G59=0,0,IF('BD Start'!G59-(-Actual!$N59)&lt;0,0,'BD Start'!G59-(-Actual!$N59)))</f>
        <v>123.8</v>
      </c>
      <c r="H59" s="295">
        <f>IF('BD Start'!H59=0,0,IF('BD Start'!H59-(-Actual!$H59)&lt;0,0,'BD Start'!H59-(-Actual!$H59)))</f>
        <v>221.03</v>
      </c>
      <c r="I59" s="295">
        <f>IF('BD Start'!I59=0,0,IF('BD Start'!I59-(-SUM(Actual!$O59:$P59))&lt;0,0,'BD Start'!I59-(-SUM(Actual!$O59:$P59))))</f>
        <v>447.05</v>
      </c>
      <c r="J59" s="295">
        <f>IF('BD Start'!J59=0,0,IF('BD Start'!J59-(-Actual!$AA59)&lt;0,0,'BD Start'!J59-(-Actual!$AA59)))</f>
        <v>0</v>
      </c>
      <c r="K59" s="295">
        <f>IF('BD Start'!K59=0,0,IF('BD Start'!K59-('DATA-CMD'!D59)&lt;0,0,'BD Start'!K59-('DATA-CMD'!D59)))</f>
        <v>0</v>
      </c>
      <c r="L59" s="295">
        <f>IF('BD Start'!L59=0,0,IF('BD Start'!L59-(Actual!$AB59)&lt;0,0,'BD Start'!L59-(Actual!$AB59)))</f>
        <v>0</v>
      </c>
      <c r="M59" s="295">
        <f>IF('BD Start'!M59&gt;0,IF(('BD Start'!M59-'DATA-CMD'!L59+TPCIL!O69)&gt;=125,125,IF(('BD Start'!M59-'DATA-CMD'!L59+TPCIL!O69)&lt;0,0,('BD Start'!M59-'DATA-CMD'!L59+TPCIL!O69))),0)</f>
        <v>0</v>
      </c>
      <c r="N59" s="295">
        <f>IF('BD Start'!N59=0,0,IF('BD Start'!N59-O59&lt;0,0,'BD Start'!N59-O59))</f>
        <v>0</v>
      </c>
      <c r="O59" s="299">
        <f>'DATA-CMD'!L59+TPCIL!E69+TPCIL!F69+TPCIL!G69+TPCIL!H69</f>
        <v>500.72</v>
      </c>
      <c r="P59" s="289">
        <f>'BD Start'!P59+'BD Start'!Q59-'DATA-CMD'!M59</f>
        <v>0</v>
      </c>
    </row>
    <row r="60" ht="23.25" spans="1:16">
      <c r="A60" s="293">
        <v>58</v>
      </c>
      <c r="B60" s="294" t="s">
        <v>71</v>
      </c>
      <c r="C60" s="295">
        <f>IF('BD Start'!C60=0,0,IF('BD Start'!C60-(-SUM(Actual!$I60:$J60))&lt;0,0,'BD Start'!C60-(-SUM(Actual!$I60:$J60))))</f>
        <v>46.23</v>
      </c>
      <c r="D60" s="295">
        <f>IF('BD Start'!D60=0,0,IF('BD Start'!D60-(-SUM(Actual!$K60:$L60))&lt;0,0,'BD Start'!D60-(-SUM(Actual!$K60:$L60))))</f>
        <v>152.77</v>
      </c>
      <c r="E60" s="295">
        <f>IF('BD Start'!E60=0,0,IF('BD Start'!E60-(-Actual!$M60)&lt;0,0,'BD Start'!E60-(-Actual!$M60)))</f>
        <v>65.24</v>
      </c>
      <c r="F60" s="295">
        <f>IF('BD Start'!F60=0,0,IF('BD Start'!F60-(-SUM(Actual!$B60:$G60))&lt;0,0,'BD Start'!F60-(-SUM(Actual!$B60:$G60))))</f>
        <v>0</v>
      </c>
      <c r="G60" s="295">
        <f>IF('BD Start'!G60=0,0,IF('BD Start'!G60-(-Actual!$N60)&lt;0,0,'BD Start'!G60-(-Actual!$N60)))</f>
        <v>120.96</v>
      </c>
      <c r="H60" s="295">
        <f>IF('BD Start'!H60=0,0,IF('BD Start'!H60-(-Actual!$H60)&lt;0,0,'BD Start'!H60-(-Actual!$H60)))</f>
        <v>222.95</v>
      </c>
      <c r="I60" s="295">
        <f>IF('BD Start'!I60=0,0,IF('BD Start'!I60-(-SUM(Actual!$O60:$P60))&lt;0,0,'BD Start'!I60-(-SUM(Actual!$O60:$P60))))</f>
        <v>503.05</v>
      </c>
      <c r="J60" s="295">
        <f>IF('BD Start'!J60=0,0,IF('BD Start'!J60-(-Actual!$AA60)&lt;0,0,'BD Start'!J60-(-Actual!$AA60)))</f>
        <v>0</v>
      </c>
      <c r="K60" s="295">
        <f>IF('BD Start'!K60=0,0,IF('BD Start'!K60-('DATA-CMD'!D60)&lt;0,0,'BD Start'!K60-('DATA-CMD'!D60)))</f>
        <v>0</v>
      </c>
      <c r="L60" s="295">
        <f>IF('BD Start'!L60=0,0,IF('BD Start'!L60-(Actual!$AB60)&lt;0,0,'BD Start'!L60-(Actual!$AB60)))</f>
        <v>0</v>
      </c>
      <c r="M60" s="295">
        <f>IF('BD Start'!M60&gt;0,IF(('BD Start'!M60-'DATA-CMD'!L60+TPCIL!O70)&gt;=125,125,IF(('BD Start'!M60-'DATA-CMD'!L60+TPCIL!O70)&lt;0,0,('BD Start'!M60-'DATA-CMD'!L60+TPCIL!O70))),0)</f>
        <v>0</v>
      </c>
      <c r="N60" s="295">
        <f>IF('BD Start'!N60=0,0,IF('BD Start'!N60-O60&lt;0,0,'BD Start'!N60-O60))</f>
        <v>0</v>
      </c>
      <c r="O60" s="299">
        <f>'DATA-CMD'!L60+TPCIL!E70+TPCIL!F70+TPCIL!G70+TPCIL!H70</f>
        <v>502.64</v>
      </c>
      <c r="P60" s="289">
        <f>'BD Start'!P60+'BD Start'!Q60-'DATA-CMD'!M60</f>
        <v>0</v>
      </c>
    </row>
    <row r="61" ht="23.25" spans="1:16">
      <c r="A61" s="293">
        <v>59</v>
      </c>
      <c r="B61" s="294" t="s">
        <v>72</v>
      </c>
      <c r="C61" s="295">
        <f>IF('BD Start'!C61=0,0,IF('BD Start'!C61-(-SUM(Actual!$I61:$J61))&lt;0,0,'BD Start'!C61-(-SUM(Actual!$I61:$J61))))</f>
        <v>53.17</v>
      </c>
      <c r="D61" s="295">
        <f>IF('BD Start'!D61=0,0,IF('BD Start'!D61-(-SUM(Actual!$K61:$L61))&lt;0,0,'BD Start'!D61-(-SUM(Actual!$K61:$L61))))</f>
        <v>156.74</v>
      </c>
      <c r="E61" s="295">
        <f>IF('BD Start'!E61=0,0,IF('BD Start'!E61-(-Actual!$M61)&lt;0,0,'BD Start'!E61-(-Actual!$M61)))</f>
        <v>65.18</v>
      </c>
      <c r="F61" s="295">
        <f>IF('BD Start'!F61=0,0,IF('BD Start'!F61-(-SUM(Actual!$B61:$G61))&lt;0,0,'BD Start'!F61-(-SUM(Actual!$B61:$G61))))</f>
        <v>0</v>
      </c>
      <c r="G61" s="295">
        <f>IF('BD Start'!G61=0,0,IF('BD Start'!G61-(-Actual!$N61)&lt;0,0,'BD Start'!G61-(-Actual!$N61)))</f>
        <v>119.58</v>
      </c>
      <c r="H61" s="295">
        <f>IF('BD Start'!H61=0,0,IF('BD Start'!H61-(-Actual!$H61)&lt;0,0,'BD Start'!H61-(-Actual!$H61)))</f>
        <v>0</v>
      </c>
      <c r="I61" s="295">
        <f>IF('BD Start'!I61=0,0,IF('BD Start'!I61-(-SUM(Actual!$O61:$P61))&lt;0,0,'BD Start'!I61-(-SUM(Actual!$O61:$P61))))</f>
        <v>0</v>
      </c>
      <c r="J61" s="295">
        <f>IF('BD Start'!J61=0,0,IF('BD Start'!J61-(-Actual!$AA61)&lt;0,0,'BD Start'!J61-(-Actual!$AA61)))</f>
        <v>0</v>
      </c>
      <c r="K61" s="295">
        <f>IF('BD Start'!K61=0,0,IF('BD Start'!K61-('DATA-CMD'!D61)&lt;0,0,'BD Start'!K61-('DATA-CMD'!D61)))</f>
        <v>0</v>
      </c>
      <c r="L61" s="295">
        <f>IF('BD Start'!L61=0,0,IF('BD Start'!L61-(Actual!$AB61)&lt;0,0,'BD Start'!L61-(Actual!$AB61)))</f>
        <v>0</v>
      </c>
      <c r="M61" s="295">
        <f>IF('BD Start'!M61&gt;0,IF(('BD Start'!M61-'DATA-CMD'!L61+TPCIL!O71)&gt;=125,125,IF(('BD Start'!M61-'DATA-CMD'!L61+TPCIL!O71)&lt;0,0,('BD Start'!M61-'DATA-CMD'!L61+TPCIL!O71))),0)</f>
        <v>0</v>
      </c>
      <c r="N61" s="295">
        <f>IF('BD Start'!N61=0,0,IF('BD Start'!N61-O61&lt;0,0,'BD Start'!N61-O61))</f>
        <v>0</v>
      </c>
      <c r="O61" s="299">
        <f>'DATA-CMD'!L61+TPCIL!E71+TPCIL!F71+TPCIL!G71+TPCIL!H71</f>
        <v>503.86</v>
      </c>
      <c r="P61" s="289">
        <f>'BD Start'!P61+'BD Start'!Q61-'DATA-CMD'!M61</f>
        <v>0</v>
      </c>
    </row>
    <row r="62" ht="23.25" spans="1:16">
      <c r="A62" s="293">
        <v>60</v>
      </c>
      <c r="B62" s="294" t="s">
        <v>73</v>
      </c>
      <c r="C62" s="295">
        <f>IF('BD Start'!C62=0,0,IF('BD Start'!C62-(-SUM(Actual!$I62:$J62))&lt;0,0,'BD Start'!C62-(-SUM(Actual!$I62:$J62))))</f>
        <v>57.4400000000001</v>
      </c>
      <c r="D62" s="295">
        <f>IF('BD Start'!D62=0,0,IF('BD Start'!D62-(-SUM(Actual!$K62:$L62))&lt;0,0,'BD Start'!D62-(-SUM(Actual!$K62:$L62))))</f>
        <v>146.05</v>
      </c>
      <c r="E62" s="295">
        <f>IF('BD Start'!E62=0,0,IF('BD Start'!E62-(-Actual!$M62)&lt;0,0,'BD Start'!E62-(-Actual!$M62)))</f>
        <v>68.07</v>
      </c>
      <c r="F62" s="295">
        <f>IF('BD Start'!F62=0,0,IF('BD Start'!F62-(-SUM(Actual!$B62:$G62))&lt;0,0,'BD Start'!F62-(-SUM(Actual!$B62:$G62))))</f>
        <v>0</v>
      </c>
      <c r="G62" s="295">
        <f>IF('BD Start'!G62=0,0,IF('BD Start'!G62-(-Actual!$N62)&lt;0,0,'BD Start'!G62-(-Actual!$N62)))</f>
        <v>0</v>
      </c>
      <c r="H62" s="295">
        <f>IF('BD Start'!H62=0,0,IF('BD Start'!H62-(-Actual!$H62)&lt;0,0,'BD Start'!H62-(-Actual!$H62)))</f>
        <v>0</v>
      </c>
      <c r="I62" s="295">
        <f>IF('BD Start'!I62=0,0,IF('BD Start'!I62-(-SUM(Actual!$O62:$P62))&lt;0,0,'BD Start'!I62-(-SUM(Actual!$O62:$P62))))</f>
        <v>0</v>
      </c>
      <c r="J62" s="295">
        <f>IF('BD Start'!J62=0,0,IF('BD Start'!J62-(-Actual!$AA62)&lt;0,0,'BD Start'!J62-(-Actual!$AA62)))</f>
        <v>0</v>
      </c>
      <c r="K62" s="295">
        <f>IF('BD Start'!K62=0,0,IF('BD Start'!K62-('DATA-CMD'!D62)&lt;0,0,'BD Start'!K62-('DATA-CMD'!D62)))</f>
        <v>0</v>
      </c>
      <c r="L62" s="295">
        <f>IF('BD Start'!L62=0,0,IF('BD Start'!L62-(Actual!$AB62)&lt;0,0,'BD Start'!L62-(Actual!$AB62)))</f>
        <v>0</v>
      </c>
      <c r="M62" s="295">
        <f>IF('BD Start'!M62&gt;0,IF(('BD Start'!M62-'DATA-CMD'!L62+TPCIL!O72)&gt;=125,125,IF(('BD Start'!M62-'DATA-CMD'!L62+TPCIL!O72)&lt;0,0,('BD Start'!M62-'DATA-CMD'!L62+TPCIL!O72))),0)</f>
        <v>0</v>
      </c>
      <c r="N62" s="295">
        <f>IF('BD Start'!N62=0,0,IF('BD Start'!N62-O62&lt;0,0,'BD Start'!N62-O62))</f>
        <v>0</v>
      </c>
      <c r="O62" s="299">
        <f>'DATA-CMD'!L62+TPCIL!E72+TPCIL!F72+TPCIL!G72+TPCIL!H72</f>
        <v>501.33</v>
      </c>
      <c r="P62" s="289">
        <f>'BD Start'!P62+'BD Start'!Q62-'DATA-CMD'!M62</f>
        <v>0</v>
      </c>
    </row>
    <row r="63" ht="23.25" spans="1:16">
      <c r="A63" s="293">
        <v>61</v>
      </c>
      <c r="B63" s="294" t="s">
        <v>74</v>
      </c>
      <c r="C63" s="295">
        <f>IF('BD Start'!C63=0,0,IF('BD Start'!C63-(-SUM(Actual!$I63:$J63))&lt;0,0,'BD Start'!C63-(-SUM(Actual!$I63:$J63))))</f>
        <v>56.81</v>
      </c>
      <c r="D63" s="295">
        <f>IF('BD Start'!D63=0,0,IF('BD Start'!D63-(-SUM(Actual!$K63:$L63))&lt;0,0,'BD Start'!D63-(-SUM(Actual!$K63:$L63))))</f>
        <v>155.16</v>
      </c>
      <c r="E63" s="295">
        <f>IF('BD Start'!E63=0,0,IF('BD Start'!E63-(-Actual!$M63)&lt;0,0,'BD Start'!E63-(-Actual!$M63)))</f>
        <v>69.34</v>
      </c>
      <c r="F63" s="295">
        <f>IF('BD Start'!F63=0,0,IF('BD Start'!F63-(-SUM(Actual!$B63:$G63))&lt;0,0,'BD Start'!F63-(-SUM(Actual!$B63:$G63))))</f>
        <v>0</v>
      </c>
      <c r="G63" s="295">
        <f>IF('BD Start'!G63=0,0,IF('BD Start'!G63-(-Actual!$N63)&lt;0,0,'BD Start'!G63-(-Actual!$N63)))</f>
        <v>0</v>
      </c>
      <c r="H63" s="295">
        <f>IF('BD Start'!H63=0,0,IF('BD Start'!H63-(-Actual!$H63)&lt;0,0,'BD Start'!H63-(-Actual!$H63)))</f>
        <v>0</v>
      </c>
      <c r="I63" s="295">
        <f>IF('BD Start'!I63=0,0,IF('BD Start'!I63-(-SUM(Actual!$O63:$P63))&lt;0,0,'BD Start'!I63-(-SUM(Actual!$O63:$P63))))</f>
        <v>0</v>
      </c>
      <c r="J63" s="295">
        <f>IF('BD Start'!J63=0,0,IF('BD Start'!J63-(-Actual!$AA63)&lt;0,0,'BD Start'!J63-(-Actual!$AA63)))</f>
        <v>0</v>
      </c>
      <c r="K63" s="295">
        <f>IF('BD Start'!K63=0,0,IF('BD Start'!K63-('DATA-CMD'!D63)&lt;0,0,'BD Start'!K63-('DATA-CMD'!D63)))</f>
        <v>0</v>
      </c>
      <c r="L63" s="295">
        <f>IF('BD Start'!L63=0,0,IF('BD Start'!L63-(Actual!$AB63)&lt;0,0,'BD Start'!L63-(Actual!$AB63)))</f>
        <v>0</v>
      </c>
      <c r="M63" s="295">
        <f>IF('BD Start'!M63&gt;0,IF(('BD Start'!M63-'DATA-CMD'!L63+TPCIL!O73)&gt;=125,125,IF(('BD Start'!M63-'DATA-CMD'!L63+TPCIL!O73)&lt;0,0,('BD Start'!M63-'DATA-CMD'!L63+TPCIL!O73))),0)</f>
        <v>0</v>
      </c>
      <c r="N63" s="295">
        <f>IF('BD Start'!N63=0,0,IF('BD Start'!N63-O63&lt;0,0,'BD Start'!N63-O63))</f>
        <v>0</v>
      </c>
      <c r="O63" s="299">
        <f>'DATA-CMD'!L63+TPCIL!E73+TPCIL!F73+TPCIL!G73+TPCIL!H73</f>
        <v>500.1</v>
      </c>
      <c r="P63" s="289">
        <f>'BD Start'!P63+'BD Start'!Q63-'DATA-CMD'!M63</f>
        <v>0</v>
      </c>
    </row>
    <row r="64" ht="23.25" spans="1:16">
      <c r="A64" s="293">
        <v>62</v>
      </c>
      <c r="B64" s="294" t="s">
        <v>75</v>
      </c>
      <c r="C64" s="295">
        <f>IF('BD Start'!C64=0,0,IF('BD Start'!C64-(-SUM(Actual!$I64:$J64))&lt;0,0,'BD Start'!C64-(-SUM(Actual!$I64:$J64))))</f>
        <v>48.88</v>
      </c>
      <c r="D64" s="295">
        <f>IF('BD Start'!D64=0,0,IF('BD Start'!D64-(-SUM(Actual!$K64:$L64))&lt;0,0,'BD Start'!D64-(-SUM(Actual!$K64:$L64))))</f>
        <v>151.87</v>
      </c>
      <c r="E64" s="295">
        <f>IF('BD Start'!E64=0,0,IF('BD Start'!E64-(-Actual!$M64)&lt;0,0,'BD Start'!E64-(-Actual!$M64)))</f>
        <v>70.53</v>
      </c>
      <c r="F64" s="295">
        <f>IF('BD Start'!F64=0,0,IF('BD Start'!F64-(-SUM(Actual!$B64:$G64))&lt;0,0,'BD Start'!F64-(-SUM(Actual!$B64:$G64))))</f>
        <v>0</v>
      </c>
      <c r="G64" s="295">
        <f>IF('BD Start'!G64=0,0,IF('BD Start'!G64-(-Actual!$N64)&lt;0,0,'BD Start'!G64-(-Actual!$N64)))</f>
        <v>0</v>
      </c>
      <c r="H64" s="295">
        <f>IF('BD Start'!H64=0,0,IF('BD Start'!H64-(-Actual!$H64)&lt;0,0,'BD Start'!H64-(-Actual!$H64)))</f>
        <v>0</v>
      </c>
      <c r="I64" s="295">
        <f>IF('BD Start'!I64=0,0,IF('BD Start'!I64-(-SUM(Actual!$O64:$P64))&lt;0,0,'BD Start'!I64-(-SUM(Actual!$O64:$P64))))</f>
        <v>0</v>
      </c>
      <c r="J64" s="295">
        <f>IF('BD Start'!J64=0,0,IF('BD Start'!J64-(-Actual!$AA64)&lt;0,0,'BD Start'!J64-(-Actual!$AA64)))</f>
        <v>0</v>
      </c>
      <c r="K64" s="295">
        <f>IF('BD Start'!K64=0,0,IF('BD Start'!K64-('DATA-CMD'!D64)&lt;0,0,'BD Start'!K64-('DATA-CMD'!D64)))</f>
        <v>0</v>
      </c>
      <c r="L64" s="295">
        <f>IF('BD Start'!L64=0,0,IF('BD Start'!L64-(Actual!$AB64)&lt;0,0,'BD Start'!L64-(Actual!$AB64)))</f>
        <v>0</v>
      </c>
      <c r="M64" s="295">
        <f>IF('BD Start'!M64&gt;0,IF(('BD Start'!M64-'DATA-CMD'!L64+TPCIL!O74)&gt;=125,125,IF(('BD Start'!M64-'DATA-CMD'!L64+TPCIL!O74)&lt;0,0,('BD Start'!M64-'DATA-CMD'!L64+TPCIL!O74))),0)</f>
        <v>0</v>
      </c>
      <c r="N64" s="295">
        <f>IF('BD Start'!N64=0,0,IF('BD Start'!N64-O64&lt;0,0,'BD Start'!N64-O64))</f>
        <v>0</v>
      </c>
      <c r="O64" s="299">
        <f>'DATA-CMD'!L64+TPCIL!E74+TPCIL!F74+TPCIL!G74+TPCIL!H74</f>
        <v>500.13</v>
      </c>
      <c r="P64" s="289">
        <f>'BD Start'!P64+'BD Start'!Q64-'DATA-CMD'!M64</f>
        <v>0</v>
      </c>
    </row>
    <row r="65" ht="23.25" spans="1:16">
      <c r="A65" s="293">
        <v>63</v>
      </c>
      <c r="B65" s="294" t="s">
        <v>76</v>
      </c>
      <c r="C65" s="295">
        <f>IF('BD Start'!C65=0,0,IF('BD Start'!C65-(-SUM(Actual!$I65:$J65))&lt;0,0,'BD Start'!C65-(-SUM(Actual!$I65:$J65))))</f>
        <v>48.52</v>
      </c>
      <c r="D65" s="295">
        <f>IF('BD Start'!D65=0,0,IF('BD Start'!D65-(-SUM(Actual!$K65:$L65))&lt;0,0,'BD Start'!D65-(-SUM(Actual!$K65:$L65))))</f>
        <v>155.3</v>
      </c>
      <c r="E65" s="295">
        <f>IF('BD Start'!E65=0,0,IF('BD Start'!E65-(-Actual!$M65)&lt;0,0,'BD Start'!E65-(-Actual!$M65)))</f>
        <v>65.77</v>
      </c>
      <c r="F65" s="295">
        <f>IF('BD Start'!F65=0,0,IF('BD Start'!F65-(-SUM(Actual!$B65:$G65))&lt;0,0,'BD Start'!F65-(-SUM(Actual!$B65:$G65))))</f>
        <v>0</v>
      </c>
      <c r="G65" s="295">
        <f>IF('BD Start'!G65=0,0,IF('BD Start'!G65-(-Actual!$N65)&lt;0,0,'BD Start'!G65-(-Actual!$N65)))</f>
        <v>0</v>
      </c>
      <c r="H65" s="295">
        <f>IF('BD Start'!H65=0,0,IF('BD Start'!H65-(-Actual!$H65)&lt;0,0,'BD Start'!H65-(-Actual!$H65)))</f>
        <v>0</v>
      </c>
      <c r="I65" s="295">
        <f>IF('BD Start'!I65=0,0,IF('BD Start'!I65-(-SUM(Actual!$O65:$P65))&lt;0,0,'BD Start'!I65-(-SUM(Actual!$O65:$P65))))</f>
        <v>0</v>
      </c>
      <c r="J65" s="295">
        <f>IF('BD Start'!J65=0,0,IF('BD Start'!J65-(-Actual!$AA65)&lt;0,0,'BD Start'!J65-(-Actual!$AA65)))</f>
        <v>0</v>
      </c>
      <c r="K65" s="295">
        <f>IF('BD Start'!K65=0,0,IF('BD Start'!K65-('DATA-CMD'!D65)&lt;0,0,'BD Start'!K65-('DATA-CMD'!D65)))</f>
        <v>0</v>
      </c>
      <c r="L65" s="295">
        <f>IF('BD Start'!L65=0,0,IF('BD Start'!L65-(Actual!$AB65)&lt;0,0,'BD Start'!L65-(Actual!$AB65)))</f>
        <v>0</v>
      </c>
      <c r="M65" s="295">
        <f>IF('BD Start'!M65&gt;0,IF(('BD Start'!M65-'DATA-CMD'!L65+TPCIL!O75)&gt;=125,125,IF(('BD Start'!M65-'DATA-CMD'!L65+TPCIL!O75)&lt;0,0,('BD Start'!M65-'DATA-CMD'!L65+TPCIL!O75))),0)</f>
        <v>0</v>
      </c>
      <c r="N65" s="295">
        <f>IF('BD Start'!N65=0,0,IF('BD Start'!N65-O65&lt;0,0,'BD Start'!N65-O65))</f>
        <v>0</v>
      </c>
      <c r="O65" s="299">
        <f>'DATA-CMD'!L65+TPCIL!E75+TPCIL!F75+TPCIL!G75+TPCIL!H75</f>
        <v>496.01</v>
      </c>
      <c r="P65" s="289">
        <f>'BD Start'!P65+'BD Start'!Q65-'DATA-CMD'!M65</f>
        <v>0</v>
      </c>
    </row>
    <row r="66" ht="23.25" spans="1:16">
      <c r="A66" s="293">
        <v>64</v>
      </c>
      <c r="B66" s="294" t="s">
        <v>77</v>
      </c>
      <c r="C66" s="295">
        <f>IF('BD Start'!C66=0,0,IF('BD Start'!C66-(-SUM(Actual!$I66:$J66))&lt;0,0,'BD Start'!C66-(-SUM(Actual!$I66:$J66))))</f>
        <v>0</v>
      </c>
      <c r="D66" s="295">
        <f>IF('BD Start'!D66=0,0,IF('BD Start'!D66-(-SUM(Actual!$K66:$L66))&lt;0,0,'BD Start'!D66-(-SUM(Actual!$K66:$L66))))</f>
        <v>0</v>
      </c>
      <c r="E66" s="295">
        <f>IF('BD Start'!E66=0,0,IF('BD Start'!E66-(-Actual!$M66)&lt;0,0,'BD Start'!E66-(-Actual!$M66)))</f>
        <v>0</v>
      </c>
      <c r="F66" s="295">
        <f>IF('BD Start'!F66=0,0,IF('BD Start'!F66-(-SUM(Actual!$B66:$G66))&lt;0,0,'BD Start'!F66-(-SUM(Actual!$B66:$G66))))</f>
        <v>0</v>
      </c>
      <c r="G66" s="295">
        <f>IF('BD Start'!G66=0,0,IF('BD Start'!G66-(-Actual!$N66)&lt;0,0,'BD Start'!G66-(-Actual!$N66)))</f>
        <v>0</v>
      </c>
      <c r="H66" s="295">
        <f>IF('BD Start'!H66=0,0,IF('BD Start'!H66-(-Actual!$H66)&lt;0,0,'BD Start'!H66-(-Actual!$H66)))</f>
        <v>0</v>
      </c>
      <c r="I66" s="295">
        <f>IF('BD Start'!I66=0,0,IF('BD Start'!I66-(-SUM(Actual!$O66:$P66))&lt;0,0,'BD Start'!I66-(-SUM(Actual!$O66:$P66))))</f>
        <v>0</v>
      </c>
      <c r="J66" s="295">
        <f>IF('BD Start'!J66=0,0,IF('BD Start'!J66-(-Actual!$AA66)&lt;0,0,'BD Start'!J66-(-Actual!$AA66)))</f>
        <v>0</v>
      </c>
      <c r="K66" s="295">
        <f>IF('BD Start'!K66=0,0,IF('BD Start'!K66-('DATA-CMD'!D66)&lt;0,0,'BD Start'!K66-('DATA-CMD'!D66)))</f>
        <v>0</v>
      </c>
      <c r="L66" s="295">
        <f>IF('BD Start'!L66=0,0,IF('BD Start'!L66-(Actual!$AB66)&lt;0,0,'BD Start'!L66-(Actual!$AB66)))</f>
        <v>0</v>
      </c>
      <c r="M66" s="295">
        <f>IF('BD Start'!M66&gt;0,IF(('BD Start'!M66-'DATA-CMD'!L66+TPCIL!O76)&gt;=125,125,IF(('BD Start'!M66-'DATA-CMD'!L66+TPCIL!O76)&lt;0,0,('BD Start'!M66-'DATA-CMD'!L66+TPCIL!O76))),0)</f>
        <v>0</v>
      </c>
      <c r="N66" s="295">
        <f>IF('BD Start'!N66=0,0,IF('BD Start'!N66-O66&lt;0,0,'BD Start'!N66-O66))</f>
        <v>0</v>
      </c>
      <c r="O66" s="299">
        <f>'DATA-CMD'!L66+TPCIL!E76+TPCIL!F76+TPCIL!G76+TPCIL!H76</f>
        <v>505.03</v>
      </c>
      <c r="P66" s="289">
        <f>'BD Start'!P66+'BD Start'!Q66-'DATA-CMD'!M66</f>
        <v>0</v>
      </c>
    </row>
    <row r="67" ht="23.25" spans="1:16">
      <c r="A67" s="293">
        <v>65</v>
      </c>
      <c r="B67" s="294" t="s">
        <v>78</v>
      </c>
      <c r="C67" s="295">
        <f>IF('BD Start'!C67=0,0,IF('BD Start'!C67-(-SUM(Actual!$I67:$J67))&lt;0,0,'BD Start'!C67-(-SUM(Actual!$I67:$J67))))</f>
        <v>0</v>
      </c>
      <c r="D67" s="295">
        <f>IF('BD Start'!D67=0,0,IF('BD Start'!D67-(-SUM(Actual!$K67:$L67))&lt;0,0,'BD Start'!D67-(-SUM(Actual!$K67:$L67))))</f>
        <v>0</v>
      </c>
      <c r="E67" s="295">
        <f>IF('BD Start'!E67=0,0,IF('BD Start'!E67-(-Actual!$M67)&lt;0,0,'BD Start'!E67-(-Actual!$M67)))</f>
        <v>0</v>
      </c>
      <c r="F67" s="295">
        <f>IF('BD Start'!F67=0,0,IF('BD Start'!F67-(-SUM(Actual!$B67:$G67))&lt;0,0,'BD Start'!F67-(-SUM(Actual!$B67:$G67))))</f>
        <v>0</v>
      </c>
      <c r="G67" s="295">
        <f>IF('BD Start'!G67=0,0,IF('BD Start'!G67-(-Actual!$N67)&lt;0,0,'BD Start'!G67-(-Actual!$N67)))</f>
        <v>0</v>
      </c>
      <c r="H67" s="295">
        <f>IF('BD Start'!H67=0,0,IF('BD Start'!H67-(-Actual!$H67)&lt;0,0,'BD Start'!H67-(-Actual!$H67)))</f>
        <v>0</v>
      </c>
      <c r="I67" s="295">
        <f>IF('BD Start'!I67=0,0,IF('BD Start'!I67-(-SUM(Actual!$O67:$P67))&lt;0,0,'BD Start'!I67-(-SUM(Actual!$O67:$P67))))</f>
        <v>0</v>
      </c>
      <c r="J67" s="295">
        <f>IF('BD Start'!J67=0,0,IF('BD Start'!J67-(-Actual!$AA67)&lt;0,0,'BD Start'!J67-(-Actual!$AA67)))</f>
        <v>0</v>
      </c>
      <c r="K67" s="295">
        <f>IF('BD Start'!K67=0,0,IF('BD Start'!K67-('DATA-CMD'!D67)&lt;0,0,'BD Start'!K67-('DATA-CMD'!D67)))</f>
        <v>0</v>
      </c>
      <c r="L67" s="295">
        <f>IF('BD Start'!L67=0,0,IF('BD Start'!L67-(Actual!$AB67)&lt;0,0,'BD Start'!L67-(Actual!$AB67)))</f>
        <v>0</v>
      </c>
      <c r="M67" s="295">
        <f>IF('BD Start'!M67&gt;0,IF(('BD Start'!M67-'DATA-CMD'!L67+TPCIL!O77)&gt;=125,125,IF(('BD Start'!M67-'DATA-CMD'!L67+TPCIL!O77)&lt;0,0,('BD Start'!M67-'DATA-CMD'!L67+TPCIL!O77))),0)</f>
        <v>0</v>
      </c>
      <c r="N67" s="295">
        <f>IF('BD Start'!N67=0,0,IF('BD Start'!N67-O67&lt;0,0,'BD Start'!N67-O67))</f>
        <v>0</v>
      </c>
      <c r="O67" s="299">
        <f>'DATA-CMD'!L67+TPCIL!E77+TPCIL!F77+TPCIL!G77+TPCIL!H77</f>
        <v>327.08</v>
      </c>
      <c r="P67" s="289">
        <f>'BD Start'!P67+'BD Start'!Q67-'DATA-CMD'!M67</f>
        <v>0</v>
      </c>
    </row>
    <row r="68" ht="23.25" spans="1:16">
      <c r="A68" s="293">
        <v>66</v>
      </c>
      <c r="B68" s="294" t="s">
        <v>79</v>
      </c>
      <c r="C68" s="295">
        <f>IF('BD Start'!C68=0,0,IF('BD Start'!C68-(-SUM(Actual!$I68:$J68))&lt;0,0,'BD Start'!C68-(-SUM(Actual!$I68:$J68))))</f>
        <v>0</v>
      </c>
      <c r="D68" s="295">
        <f>IF('BD Start'!D68=0,0,IF('BD Start'!D68-(-SUM(Actual!$K68:$L68))&lt;0,0,'BD Start'!D68-(-SUM(Actual!$K68:$L68))))</f>
        <v>0</v>
      </c>
      <c r="E68" s="295">
        <f>IF('BD Start'!E68=0,0,IF('BD Start'!E68-(-Actual!$M68)&lt;0,0,'BD Start'!E68-(-Actual!$M68)))</f>
        <v>0</v>
      </c>
      <c r="F68" s="295">
        <f>IF('BD Start'!F68=0,0,IF('BD Start'!F68-(-SUM(Actual!$B68:$G68))&lt;0,0,'BD Start'!F68-(-SUM(Actual!$B68:$G68))))</f>
        <v>0</v>
      </c>
      <c r="G68" s="295">
        <f>IF('BD Start'!G68=0,0,IF('BD Start'!G68-(-Actual!$N68)&lt;0,0,'BD Start'!G68-(-Actual!$N68)))</f>
        <v>0</v>
      </c>
      <c r="H68" s="295">
        <f>IF('BD Start'!H68=0,0,IF('BD Start'!H68-(-Actual!$H68)&lt;0,0,'BD Start'!H68-(-Actual!$H68)))</f>
        <v>0</v>
      </c>
      <c r="I68" s="295">
        <f>IF('BD Start'!I68=0,0,IF('BD Start'!I68-(-SUM(Actual!$O68:$P68))&lt;0,0,'BD Start'!I68-(-SUM(Actual!$O68:$P68))))</f>
        <v>0</v>
      </c>
      <c r="J68" s="295">
        <f>IF('BD Start'!J68=0,0,IF('BD Start'!J68-(-Actual!$AA68)&lt;0,0,'BD Start'!J68-(-Actual!$AA68)))</f>
        <v>0</v>
      </c>
      <c r="K68" s="295">
        <f>IF('BD Start'!K68=0,0,IF('BD Start'!K68-('DATA-CMD'!D68)&lt;0,0,'BD Start'!K68-('DATA-CMD'!D68)))</f>
        <v>0</v>
      </c>
      <c r="L68" s="295">
        <f>IF('BD Start'!L68=0,0,IF('BD Start'!L68-(Actual!$AB68)&lt;0,0,'BD Start'!L68-(Actual!$AB68)))</f>
        <v>0</v>
      </c>
      <c r="M68" s="295">
        <f>IF('BD Start'!M68&gt;0,IF(('BD Start'!M68-'DATA-CMD'!L68+TPCIL!O78)&gt;=125,125,IF(('BD Start'!M68-'DATA-CMD'!L68+TPCIL!O78)&lt;0,0,('BD Start'!M68-'DATA-CMD'!L68+TPCIL!O78))),0)</f>
        <v>0</v>
      </c>
      <c r="N68" s="295">
        <f>IF('BD Start'!N68=0,0,IF('BD Start'!N68-O68&lt;0,0,'BD Start'!N68-O68))</f>
        <v>0</v>
      </c>
      <c r="O68" s="299">
        <f>'DATA-CMD'!L68+TPCIL!E78+TPCIL!F78+TPCIL!G78+TPCIL!H78</f>
        <v>504.51</v>
      </c>
      <c r="P68" s="289">
        <f>'BD Start'!P68+'BD Start'!Q68-'DATA-CMD'!M68</f>
        <v>0</v>
      </c>
    </row>
    <row r="69" ht="23.25" spans="1:16">
      <c r="A69" s="293">
        <v>67</v>
      </c>
      <c r="B69" s="294" t="s">
        <v>80</v>
      </c>
      <c r="C69" s="295">
        <f>IF('BD Start'!C69=0,0,IF('BD Start'!C69-(-SUM(Actual!$I69:$J69))&lt;0,0,'BD Start'!C69-(-SUM(Actual!$I69:$J69))))</f>
        <v>0</v>
      </c>
      <c r="D69" s="295">
        <f>IF('BD Start'!D69=0,0,IF('BD Start'!D69-(-SUM(Actual!$K69:$L69))&lt;0,0,'BD Start'!D69-(-SUM(Actual!$K69:$L69))))</f>
        <v>0</v>
      </c>
      <c r="E69" s="295">
        <f>IF('BD Start'!E69=0,0,IF('BD Start'!E69-(-Actual!$M69)&lt;0,0,'BD Start'!E69-(-Actual!$M69)))</f>
        <v>0</v>
      </c>
      <c r="F69" s="295">
        <f>IF('BD Start'!F69=0,0,IF('BD Start'!F69-(-SUM(Actual!$B69:$G69))&lt;0,0,'BD Start'!F69-(-SUM(Actual!$B69:$G69))))</f>
        <v>0</v>
      </c>
      <c r="G69" s="295">
        <f>IF('BD Start'!G69=0,0,IF('BD Start'!G69-(-Actual!$N69)&lt;0,0,'BD Start'!G69-(-Actual!$N69)))</f>
        <v>0</v>
      </c>
      <c r="H69" s="295">
        <f>IF('BD Start'!H69=0,0,IF('BD Start'!H69-(-Actual!$H69)&lt;0,0,'BD Start'!H69-(-Actual!$H69)))</f>
        <v>0</v>
      </c>
      <c r="I69" s="295">
        <f>IF('BD Start'!I69=0,0,IF('BD Start'!I69-(-SUM(Actual!$O69:$P69))&lt;0,0,'BD Start'!I69-(-SUM(Actual!$O69:$P69))))</f>
        <v>0</v>
      </c>
      <c r="J69" s="295">
        <f>IF('BD Start'!J69=0,0,IF('BD Start'!J69-(-Actual!$AA69)&lt;0,0,'BD Start'!J69-(-Actual!$AA69)))</f>
        <v>0</v>
      </c>
      <c r="K69" s="295">
        <f>IF('BD Start'!K69=0,0,IF('BD Start'!K69-('DATA-CMD'!D69)&lt;0,0,'BD Start'!K69-('DATA-CMD'!D69)))</f>
        <v>0</v>
      </c>
      <c r="L69" s="295">
        <f>IF('BD Start'!L69=0,0,IF('BD Start'!L69-(Actual!$AB69)&lt;0,0,'BD Start'!L69-(Actual!$AB69)))</f>
        <v>0</v>
      </c>
      <c r="M69" s="295">
        <f>IF('BD Start'!M69&gt;0,IF(('BD Start'!M69-'DATA-CMD'!L69+TPCIL!O79)&gt;=125,125,IF(('BD Start'!M69-'DATA-CMD'!L69+TPCIL!O79)&lt;0,0,('BD Start'!M69-'DATA-CMD'!L69+TPCIL!O79))),0)</f>
        <v>0</v>
      </c>
      <c r="N69" s="295">
        <f>IF('BD Start'!N69=0,0,IF('BD Start'!N69-O69&lt;0,0,'BD Start'!N69-O69))</f>
        <v>0</v>
      </c>
      <c r="O69" s="299">
        <f>'DATA-CMD'!L69+TPCIL!E79+TPCIL!F79+TPCIL!G79+TPCIL!H79</f>
        <v>506.13</v>
      </c>
      <c r="P69" s="289">
        <f>'BD Start'!P69+'BD Start'!Q69-'DATA-CMD'!M69</f>
        <v>0</v>
      </c>
    </row>
    <row r="70" ht="23.25" spans="1:16">
      <c r="A70" s="293">
        <v>68</v>
      </c>
      <c r="B70" s="294" t="s">
        <v>81</v>
      </c>
      <c r="C70" s="295">
        <f>IF('BD Start'!C70=0,0,IF('BD Start'!C70-(-SUM(Actual!$I70:$J70))&lt;0,0,'BD Start'!C70-(-SUM(Actual!$I70:$J70))))</f>
        <v>0</v>
      </c>
      <c r="D70" s="295">
        <f>IF('BD Start'!D70=0,0,IF('BD Start'!D70-(-SUM(Actual!$K70:$L70))&lt;0,0,'BD Start'!D70-(-SUM(Actual!$K70:$L70))))</f>
        <v>0</v>
      </c>
      <c r="E70" s="295">
        <f>IF('BD Start'!E70=0,0,IF('BD Start'!E70-(-Actual!$M70)&lt;0,0,'BD Start'!E70-(-Actual!$M70)))</f>
        <v>0</v>
      </c>
      <c r="F70" s="295">
        <f>IF('BD Start'!F70=0,0,IF('BD Start'!F70-(-SUM(Actual!$B70:$G70))&lt;0,0,'BD Start'!F70-(-SUM(Actual!$B70:$G70))))</f>
        <v>0</v>
      </c>
      <c r="G70" s="295">
        <f>IF('BD Start'!G70=0,0,IF('BD Start'!G70-(-Actual!$N70)&lt;0,0,'BD Start'!G70-(-Actual!$N70)))</f>
        <v>0</v>
      </c>
      <c r="H70" s="295">
        <f>IF('BD Start'!H70=0,0,IF('BD Start'!H70-(-Actual!$H70)&lt;0,0,'BD Start'!H70-(-Actual!$H70)))</f>
        <v>0</v>
      </c>
      <c r="I70" s="295">
        <f>IF('BD Start'!I70=0,0,IF('BD Start'!I70-(-SUM(Actual!$O70:$P70))&lt;0,0,'BD Start'!I70-(-SUM(Actual!$O70:$P70))))</f>
        <v>0</v>
      </c>
      <c r="J70" s="295">
        <f>IF('BD Start'!J70=0,0,IF('BD Start'!J70-(-Actual!$AA70)&lt;0,0,'BD Start'!J70-(-Actual!$AA70)))</f>
        <v>0</v>
      </c>
      <c r="K70" s="295">
        <f>IF('BD Start'!K70=0,0,IF('BD Start'!K70-('DATA-CMD'!D70)&lt;0,0,'BD Start'!K70-('DATA-CMD'!D70)))</f>
        <v>0</v>
      </c>
      <c r="L70" s="295">
        <f>IF('BD Start'!L70=0,0,IF('BD Start'!L70-(Actual!$AB70)&lt;0,0,'BD Start'!L70-(Actual!$AB70)))</f>
        <v>0</v>
      </c>
      <c r="M70" s="295">
        <f>IF('BD Start'!M70&gt;0,IF(('BD Start'!M70-'DATA-CMD'!L70+TPCIL!O80)&gt;=125,125,IF(('BD Start'!M70-'DATA-CMD'!L70+TPCIL!O80)&lt;0,0,('BD Start'!M70-'DATA-CMD'!L70+TPCIL!O80))),0)</f>
        <v>0</v>
      </c>
      <c r="N70" s="295">
        <f>IF('BD Start'!N70=0,0,IF('BD Start'!N70-O70&lt;0,0,'BD Start'!N70-O70))</f>
        <v>0</v>
      </c>
      <c r="O70" s="299">
        <f>'DATA-CMD'!L70+TPCIL!E80+TPCIL!F80+TPCIL!G80+TPCIL!H80</f>
        <v>508.02</v>
      </c>
      <c r="P70" s="289">
        <f>'BD Start'!P70+'BD Start'!Q70-'DATA-CMD'!M70</f>
        <v>0</v>
      </c>
    </row>
    <row r="71" ht="23.25" spans="1:16">
      <c r="A71" s="293">
        <v>69</v>
      </c>
      <c r="B71" s="294" t="s">
        <v>82</v>
      </c>
      <c r="C71" s="295">
        <f>IF('BD Start'!C71=0,0,IF('BD Start'!C71-(-SUM(Actual!$I71:$J71))&lt;0,0,'BD Start'!C71-(-SUM(Actual!$I71:$J71))))</f>
        <v>0</v>
      </c>
      <c r="D71" s="295">
        <f>IF('BD Start'!D71=0,0,IF('BD Start'!D71-(-SUM(Actual!$K71:$L71))&lt;0,0,'BD Start'!D71-(-SUM(Actual!$K71:$L71))))</f>
        <v>0</v>
      </c>
      <c r="E71" s="295">
        <f>IF('BD Start'!E71=0,0,IF('BD Start'!E71-(-Actual!$M71)&lt;0,0,'BD Start'!E71-(-Actual!$M71)))</f>
        <v>0</v>
      </c>
      <c r="F71" s="295">
        <f>IF('BD Start'!F71=0,0,IF('BD Start'!F71-(-SUM(Actual!$B71:$G71))&lt;0,0,'BD Start'!F71-(-SUM(Actual!$B71:$G71))))</f>
        <v>0</v>
      </c>
      <c r="G71" s="295">
        <f>IF('BD Start'!G71=0,0,IF('BD Start'!G71-(-Actual!$N71)&lt;0,0,'BD Start'!G71-(-Actual!$N71)))</f>
        <v>0</v>
      </c>
      <c r="H71" s="295">
        <f>IF('BD Start'!H71=0,0,IF('BD Start'!H71-(-Actual!$H71)&lt;0,0,'BD Start'!H71-(-Actual!$H71)))</f>
        <v>0</v>
      </c>
      <c r="I71" s="295">
        <f>IF('BD Start'!I71=0,0,IF('BD Start'!I71-(-SUM(Actual!$O71:$P71))&lt;0,0,'BD Start'!I71-(-SUM(Actual!$O71:$P71))))</f>
        <v>0</v>
      </c>
      <c r="J71" s="295">
        <f>IF('BD Start'!J71=0,0,IF('BD Start'!J71-(-Actual!$AA71)&lt;0,0,'BD Start'!J71-(-Actual!$AA71)))</f>
        <v>0</v>
      </c>
      <c r="K71" s="295">
        <f>IF('BD Start'!K71=0,0,IF('BD Start'!K71-('DATA-CMD'!D71)&lt;0,0,'BD Start'!K71-('DATA-CMD'!D71)))</f>
        <v>0</v>
      </c>
      <c r="L71" s="295">
        <f>IF('BD Start'!L71=0,0,IF('BD Start'!L71-(Actual!$AB71)&lt;0,0,'BD Start'!L71-(Actual!$AB71)))</f>
        <v>0</v>
      </c>
      <c r="M71" s="295">
        <f>IF('BD Start'!M71&gt;0,IF(('BD Start'!M71-'DATA-CMD'!L71+TPCIL!O81)&gt;=125,125,IF(('BD Start'!M71-'DATA-CMD'!L71+TPCIL!O81)&lt;0,0,('BD Start'!M71-'DATA-CMD'!L71+TPCIL!O81))),0)</f>
        <v>0</v>
      </c>
      <c r="N71" s="295">
        <f>IF('BD Start'!N71=0,0,IF('BD Start'!N71-O71&lt;0,0,'BD Start'!N71-O71))</f>
        <v>0</v>
      </c>
      <c r="O71" s="299">
        <f>'DATA-CMD'!L71+TPCIL!E81+TPCIL!F81+TPCIL!G81+TPCIL!H81</f>
        <v>504.8</v>
      </c>
      <c r="P71" s="289">
        <f>'BD Start'!P71+'BD Start'!Q71-'DATA-CMD'!M71</f>
        <v>0</v>
      </c>
    </row>
    <row r="72" ht="23.25" spans="1:16">
      <c r="A72" s="293">
        <v>70</v>
      </c>
      <c r="B72" s="294" t="s">
        <v>83</v>
      </c>
      <c r="C72" s="295">
        <f>IF('BD Start'!C72=0,0,IF('BD Start'!C72-(-SUM(Actual!$I72:$J72))&lt;0,0,'BD Start'!C72-(-SUM(Actual!$I72:$J72))))</f>
        <v>0</v>
      </c>
      <c r="D72" s="295">
        <f>IF('BD Start'!D72=0,0,IF('BD Start'!D72-(-SUM(Actual!$K72:$L72))&lt;0,0,'BD Start'!D72-(-SUM(Actual!$K72:$L72))))</f>
        <v>0</v>
      </c>
      <c r="E72" s="295">
        <f>IF('BD Start'!E72=0,0,IF('BD Start'!E72-(-Actual!$M72)&lt;0,0,'BD Start'!E72-(-Actual!$M72)))</f>
        <v>0</v>
      </c>
      <c r="F72" s="295">
        <f>IF('BD Start'!F72=0,0,IF('BD Start'!F72-(-SUM(Actual!$B72:$G72))&lt;0,0,'BD Start'!F72-(-SUM(Actual!$B72:$G72))))</f>
        <v>0</v>
      </c>
      <c r="G72" s="295">
        <f>IF('BD Start'!G72=0,0,IF('BD Start'!G72-(-Actual!$N72)&lt;0,0,'BD Start'!G72-(-Actual!$N72)))</f>
        <v>0</v>
      </c>
      <c r="H72" s="295">
        <f>IF('BD Start'!H72=0,0,IF('BD Start'!H72-(-Actual!$H72)&lt;0,0,'BD Start'!H72-(-Actual!$H72)))</f>
        <v>0</v>
      </c>
      <c r="I72" s="295">
        <f>IF('BD Start'!I72=0,0,IF('BD Start'!I72-(-SUM(Actual!$O72:$P72))&lt;0,0,'BD Start'!I72-(-SUM(Actual!$O72:$P72))))</f>
        <v>0</v>
      </c>
      <c r="J72" s="295">
        <f>IF('BD Start'!J72=0,0,IF('BD Start'!J72-(-Actual!$AA72)&lt;0,0,'BD Start'!J72-(-Actual!$AA72)))</f>
        <v>0</v>
      </c>
      <c r="K72" s="295">
        <f>IF('BD Start'!K72=0,0,IF('BD Start'!K72-('DATA-CMD'!D72)&lt;0,0,'BD Start'!K72-('DATA-CMD'!D72)))</f>
        <v>0</v>
      </c>
      <c r="L72" s="295">
        <f>IF('BD Start'!L72=0,0,IF('BD Start'!L72-(Actual!$AB72)&lt;0,0,'BD Start'!L72-(Actual!$AB72)))</f>
        <v>0</v>
      </c>
      <c r="M72" s="295">
        <f>IF('BD Start'!M72&gt;0,IF(('BD Start'!M72-'DATA-CMD'!L72+TPCIL!O82)&gt;=125,125,IF(('BD Start'!M72-'DATA-CMD'!L72+TPCIL!O82)&lt;0,0,('BD Start'!M72-'DATA-CMD'!L72+TPCIL!O82))),0)</f>
        <v>0</v>
      </c>
      <c r="N72" s="295">
        <f>IF('BD Start'!N72=0,0,IF('BD Start'!N72-O72&lt;0,0,'BD Start'!N72-O72))</f>
        <v>0</v>
      </c>
      <c r="O72" s="299">
        <f>'DATA-CMD'!L72+TPCIL!E82+TPCIL!F82+TPCIL!G82+TPCIL!H82</f>
        <v>503.63</v>
      </c>
      <c r="P72" s="289">
        <f>'BD Start'!P72+'BD Start'!Q72-'DATA-CMD'!M72</f>
        <v>0</v>
      </c>
    </row>
    <row r="73" ht="23.25" spans="1:16">
      <c r="A73" s="293">
        <v>71</v>
      </c>
      <c r="B73" s="294" t="s">
        <v>84</v>
      </c>
      <c r="C73" s="295">
        <f>IF('BD Start'!C73=0,0,IF('BD Start'!C73-(-SUM(Actual!$I73:$J73))&lt;0,0,'BD Start'!C73-(-SUM(Actual!$I73:$J73))))</f>
        <v>0</v>
      </c>
      <c r="D73" s="295">
        <f>IF('BD Start'!D73=0,0,IF('BD Start'!D73-(-SUM(Actual!$K73:$L73))&lt;0,0,'BD Start'!D73-(-SUM(Actual!$K73:$L73))))</f>
        <v>0</v>
      </c>
      <c r="E73" s="295">
        <f>IF('BD Start'!E73=0,0,IF('BD Start'!E73-(-Actual!$M73)&lt;0,0,'BD Start'!E73-(-Actual!$M73)))</f>
        <v>0</v>
      </c>
      <c r="F73" s="295">
        <f>IF('BD Start'!F73=0,0,IF('BD Start'!F73-(-SUM(Actual!$B73:$G73))&lt;0,0,'BD Start'!F73-(-SUM(Actual!$B73:$G73))))</f>
        <v>0</v>
      </c>
      <c r="G73" s="295">
        <f>IF('BD Start'!G73=0,0,IF('BD Start'!G73-(-Actual!$N73)&lt;0,0,'BD Start'!G73-(-Actual!$N73)))</f>
        <v>0</v>
      </c>
      <c r="H73" s="295">
        <f>IF('BD Start'!H73=0,0,IF('BD Start'!H73-(-Actual!$H73)&lt;0,0,'BD Start'!H73-(-Actual!$H73)))</f>
        <v>0</v>
      </c>
      <c r="I73" s="295">
        <f>IF('BD Start'!I73=0,0,IF('BD Start'!I73-(-SUM(Actual!$O73:$P73))&lt;0,0,'BD Start'!I73-(-SUM(Actual!$O73:$P73))))</f>
        <v>0</v>
      </c>
      <c r="J73" s="295">
        <f>IF('BD Start'!J73=0,0,IF('BD Start'!J73-(-Actual!$AA73)&lt;0,0,'BD Start'!J73-(-Actual!$AA73)))</f>
        <v>0</v>
      </c>
      <c r="K73" s="295">
        <f>IF('BD Start'!K73=0,0,IF('BD Start'!K73-('DATA-CMD'!D73)&lt;0,0,'BD Start'!K73-('DATA-CMD'!D73)))</f>
        <v>0</v>
      </c>
      <c r="L73" s="295">
        <f>IF('BD Start'!L73=0,0,IF('BD Start'!L73-(Actual!$AB73)&lt;0,0,'BD Start'!L73-(Actual!$AB73)))</f>
        <v>0</v>
      </c>
      <c r="M73" s="295">
        <f>IF('BD Start'!M73&gt;0,IF(('BD Start'!M73-'DATA-CMD'!L73+TPCIL!O83)&gt;=125,125,IF(('BD Start'!M73-'DATA-CMD'!L73+TPCIL!O83)&lt;0,0,('BD Start'!M73-'DATA-CMD'!L73+TPCIL!O83))),0)</f>
        <v>0</v>
      </c>
      <c r="N73" s="295">
        <f>IF('BD Start'!N73=0,0,IF('BD Start'!N73-O73&lt;0,0,'BD Start'!N73-O73))</f>
        <v>0</v>
      </c>
      <c r="O73" s="299">
        <f>'DATA-CMD'!L73+TPCIL!E83+TPCIL!F83+TPCIL!G83+TPCIL!H83</f>
        <v>505.81</v>
      </c>
      <c r="P73" s="289">
        <f>'BD Start'!P73+'BD Start'!Q73-'DATA-CMD'!M73</f>
        <v>0</v>
      </c>
    </row>
    <row r="74" ht="23.25" spans="1:16">
      <c r="A74" s="293">
        <v>72</v>
      </c>
      <c r="B74" s="294" t="s">
        <v>85</v>
      </c>
      <c r="C74" s="295">
        <f>IF('BD Start'!C74=0,0,IF('BD Start'!C74-(-SUM(Actual!$I74:$J74))&lt;0,0,'BD Start'!C74-(-SUM(Actual!$I74:$J74))))</f>
        <v>0</v>
      </c>
      <c r="D74" s="295">
        <f>IF('BD Start'!D74=0,0,IF('BD Start'!D74-(-SUM(Actual!$K74:$L74))&lt;0,0,'BD Start'!D74-(-SUM(Actual!$K74:$L74))))</f>
        <v>0</v>
      </c>
      <c r="E74" s="295">
        <f>IF('BD Start'!E74=0,0,IF('BD Start'!E74-(-Actual!$M74)&lt;0,0,'BD Start'!E74-(-Actual!$M74)))</f>
        <v>0</v>
      </c>
      <c r="F74" s="295">
        <f>IF('BD Start'!F74=0,0,IF('BD Start'!F74-(-SUM(Actual!$B74:$G74))&lt;0,0,'BD Start'!F74-(-SUM(Actual!$B74:$G74))))</f>
        <v>0</v>
      </c>
      <c r="G74" s="295">
        <f>IF('BD Start'!G74=0,0,IF('BD Start'!G74-(-Actual!$N74)&lt;0,0,'BD Start'!G74-(-Actual!$N74)))</f>
        <v>0</v>
      </c>
      <c r="H74" s="295">
        <f>IF('BD Start'!H74=0,0,IF('BD Start'!H74-(-Actual!$H74)&lt;0,0,'BD Start'!H74-(-Actual!$H74)))</f>
        <v>0</v>
      </c>
      <c r="I74" s="295">
        <f>IF('BD Start'!I74=0,0,IF('BD Start'!I74-(-SUM(Actual!$O74:$P74))&lt;0,0,'BD Start'!I74-(-SUM(Actual!$O74:$P74))))</f>
        <v>0</v>
      </c>
      <c r="J74" s="295">
        <f>IF('BD Start'!J74=0,0,IF('BD Start'!J74-(-Actual!$AA74)&lt;0,0,'BD Start'!J74-(-Actual!$AA74)))</f>
        <v>0</v>
      </c>
      <c r="K74" s="295">
        <f>IF('BD Start'!K74=0,0,IF('BD Start'!K74-('DATA-CMD'!D74)&lt;0,0,'BD Start'!K74-('DATA-CMD'!D74)))</f>
        <v>0</v>
      </c>
      <c r="L74" s="295">
        <f>IF('BD Start'!L74=0,0,IF('BD Start'!L74-(Actual!$AB74)&lt;0,0,'BD Start'!L74-(Actual!$AB74)))</f>
        <v>0</v>
      </c>
      <c r="M74" s="295">
        <f>IF('BD Start'!M74&gt;0,IF(('BD Start'!M74-'DATA-CMD'!L74+TPCIL!O84)&gt;=125,125,IF(('BD Start'!M74-'DATA-CMD'!L74+TPCIL!O84)&lt;0,0,('BD Start'!M74-'DATA-CMD'!L74+TPCIL!O84))),0)</f>
        <v>0</v>
      </c>
      <c r="N74" s="295">
        <f>IF('BD Start'!N74=0,0,IF('BD Start'!N74-O74&lt;0,0,'BD Start'!N74-O74))</f>
        <v>0</v>
      </c>
      <c r="O74" s="299">
        <f>'DATA-CMD'!L74+TPCIL!E84+TPCIL!F84+TPCIL!G84+TPCIL!H84</f>
        <v>493.51</v>
      </c>
      <c r="P74" s="289">
        <f>'BD Start'!P74+'BD Start'!Q74-'DATA-CMD'!M74</f>
        <v>0</v>
      </c>
    </row>
    <row r="75" ht="23.25" spans="1:16">
      <c r="A75" s="293">
        <v>73</v>
      </c>
      <c r="B75" s="294" t="s">
        <v>86</v>
      </c>
      <c r="C75" s="295">
        <f>IF('BD Start'!C75=0,0,IF('BD Start'!C75-(-SUM(Actual!$I75:$J75))&lt;0,0,'BD Start'!C75-(-SUM(Actual!$I75:$J75))))</f>
        <v>0</v>
      </c>
      <c r="D75" s="295">
        <f>IF('BD Start'!D75=0,0,IF('BD Start'!D75-(-SUM(Actual!$K75:$L75))&lt;0,0,'BD Start'!D75-(-SUM(Actual!$K75:$L75))))</f>
        <v>0</v>
      </c>
      <c r="E75" s="295">
        <f>IF('BD Start'!E75=0,0,IF('BD Start'!E75-(-Actual!$M75)&lt;0,0,'BD Start'!E75-(-Actual!$M75)))</f>
        <v>0</v>
      </c>
      <c r="F75" s="295">
        <f>IF('BD Start'!F75=0,0,IF('BD Start'!F75-(-SUM(Actual!$B75:$G75))&lt;0,0,'BD Start'!F75-(-SUM(Actual!$B75:$G75))))</f>
        <v>0</v>
      </c>
      <c r="G75" s="295">
        <f>IF('BD Start'!G75=0,0,IF('BD Start'!G75-(-Actual!$N75)&lt;0,0,'BD Start'!G75-(-Actual!$N75)))</f>
        <v>0</v>
      </c>
      <c r="H75" s="295">
        <f>IF('BD Start'!H75=0,0,IF('BD Start'!H75-(-Actual!$H75)&lt;0,0,'BD Start'!H75-(-Actual!$H75)))</f>
        <v>0</v>
      </c>
      <c r="I75" s="295">
        <f>IF('BD Start'!I75=0,0,IF('BD Start'!I75-(-SUM(Actual!$O75:$P75))&lt;0,0,'BD Start'!I75-(-SUM(Actual!$O75:$P75))))</f>
        <v>0</v>
      </c>
      <c r="J75" s="295">
        <f>IF('BD Start'!J75=0,0,IF('BD Start'!J75-(-Actual!$AA75)&lt;0,0,'BD Start'!J75-(-Actual!$AA75)))</f>
        <v>0</v>
      </c>
      <c r="K75" s="295">
        <f>IF('BD Start'!K75=0,0,IF('BD Start'!K75-('DATA-CMD'!D75)&lt;0,0,'BD Start'!K75-('DATA-CMD'!D75)))</f>
        <v>0</v>
      </c>
      <c r="L75" s="295">
        <f>IF('BD Start'!L75=0,0,IF('BD Start'!L75-(Actual!$AB75)&lt;0,0,'BD Start'!L75-(Actual!$AB75)))</f>
        <v>0</v>
      </c>
      <c r="M75" s="295">
        <f>IF('BD Start'!M75&gt;0,IF(('BD Start'!M75-'DATA-CMD'!L75+TPCIL!O85)&gt;=125,125,IF(('BD Start'!M75-'DATA-CMD'!L75+TPCIL!O85)&lt;0,0,('BD Start'!M75-'DATA-CMD'!L75+TPCIL!O85))),0)</f>
        <v>0</v>
      </c>
      <c r="N75" s="295">
        <f>IF('BD Start'!N75=0,0,IF('BD Start'!N75-O75&lt;0,0,'BD Start'!N75-O75))</f>
        <v>0</v>
      </c>
      <c r="O75" s="299">
        <f>'DATA-CMD'!L75+TPCIL!E85+TPCIL!F85+TPCIL!G85+TPCIL!H85</f>
        <v>479.55</v>
      </c>
      <c r="P75" s="289">
        <f>'BD Start'!P75+'BD Start'!Q75-'DATA-CMD'!M75</f>
        <v>0</v>
      </c>
    </row>
    <row r="76" ht="23.25" spans="1:16">
      <c r="A76" s="293">
        <v>74</v>
      </c>
      <c r="B76" s="294" t="s">
        <v>87</v>
      </c>
      <c r="C76" s="295">
        <f>IF('BD Start'!C76=0,0,IF('BD Start'!C76-(-SUM(Actual!$I76:$J76))&lt;0,0,'BD Start'!C76-(-SUM(Actual!$I76:$J76))))</f>
        <v>0</v>
      </c>
      <c r="D76" s="295">
        <f>IF('BD Start'!D76=0,0,IF('BD Start'!D76-(-SUM(Actual!$K76:$L76))&lt;0,0,'BD Start'!D76-(-SUM(Actual!$K76:$L76))))</f>
        <v>0</v>
      </c>
      <c r="E76" s="295">
        <f>IF('BD Start'!E76=0,0,IF('BD Start'!E76-(-Actual!$M76)&lt;0,0,'BD Start'!E76-(-Actual!$M76)))</f>
        <v>0</v>
      </c>
      <c r="F76" s="295">
        <f>IF('BD Start'!F76=0,0,IF('BD Start'!F76-(-SUM(Actual!$B76:$G76))&lt;0,0,'BD Start'!F76-(-SUM(Actual!$B76:$G76))))</f>
        <v>0</v>
      </c>
      <c r="G76" s="295">
        <f>IF('BD Start'!G76=0,0,IF('BD Start'!G76-(-Actual!$N76)&lt;0,0,'BD Start'!G76-(-Actual!$N76)))</f>
        <v>0</v>
      </c>
      <c r="H76" s="295">
        <f>IF('BD Start'!H76=0,0,IF('BD Start'!H76-(-Actual!$H76)&lt;0,0,'BD Start'!H76-(-Actual!$H76)))</f>
        <v>0</v>
      </c>
      <c r="I76" s="295">
        <f>IF('BD Start'!I76=0,0,IF('BD Start'!I76-(-SUM(Actual!$O76:$P76))&lt;0,0,'BD Start'!I76-(-SUM(Actual!$O76:$P76))))</f>
        <v>0</v>
      </c>
      <c r="J76" s="295">
        <f>IF('BD Start'!J76=0,0,IF('BD Start'!J76-(-Actual!$AA76)&lt;0,0,'BD Start'!J76-(-Actual!$AA76)))</f>
        <v>0</v>
      </c>
      <c r="K76" s="295">
        <f>IF('BD Start'!K76=0,0,IF('BD Start'!K76-('DATA-CMD'!D76)&lt;0,0,'BD Start'!K76-('DATA-CMD'!D76)))</f>
        <v>0</v>
      </c>
      <c r="L76" s="295">
        <f>IF('BD Start'!L76=0,0,IF('BD Start'!L76-(Actual!$AB76)&lt;0,0,'BD Start'!L76-(Actual!$AB76)))</f>
        <v>0</v>
      </c>
      <c r="M76" s="295">
        <f>IF('BD Start'!M76&gt;0,IF(('BD Start'!M76-'DATA-CMD'!L76+TPCIL!O86)&gt;=125,125,IF(('BD Start'!M76-'DATA-CMD'!L76+TPCIL!O86)&lt;0,0,('BD Start'!M76-'DATA-CMD'!L76+TPCIL!O86))),0)</f>
        <v>0</v>
      </c>
      <c r="N76" s="295">
        <f>IF('BD Start'!N76=0,0,IF('BD Start'!N76-O76&lt;0,0,'BD Start'!N76-O76))</f>
        <v>0</v>
      </c>
      <c r="O76" s="299">
        <f>'DATA-CMD'!L76+TPCIL!E86+TPCIL!F86+TPCIL!G86+TPCIL!H86</f>
        <v>486.87</v>
      </c>
      <c r="P76" s="289">
        <f>'BD Start'!P76+'BD Start'!Q76-'DATA-CMD'!M76</f>
        <v>0</v>
      </c>
    </row>
    <row r="77" ht="23.25" spans="1:16">
      <c r="A77" s="293">
        <v>75</v>
      </c>
      <c r="B77" s="294" t="s">
        <v>88</v>
      </c>
      <c r="C77" s="295">
        <f>IF('BD Start'!C77=0,0,IF('BD Start'!C77-(-SUM(Actual!$I77:$J77))&lt;0,0,'BD Start'!C77-(-SUM(Actual!$I77:$J77))))</f>
        <v>0</v>
      </c>
      <c r="D77" s="295">
        <f>IF('BD Start'!D77=0,0,IF('BD Start'!D77-(-SUM(Actual!$K77:$L77))&lt;0,0,'BD Start'!D77-(-SUM(Actual!$K77:$L77))))</f>
        <v>0</v>
      </c>
      <c r="E77" s="295">
        <f>IF('BD Start'!E77=0,0,IF('BD Start'!E77-(-Actual!$M77)&lt;0,0,'BD Start'!E77-(-Actual!$M77)))</f>
        <v>0</v>
      </c>
      <c r="F77" s="295">
        <f>IF('BD Start'!F77=0,0,IF('BD Start'!F77-(-SUM(Actual!$B77:$G77))&lt;0,0,'BD Start'!F77-(-SUM(Actual!$B77:$G77))))</f>
        <v>0</v>
      </c>
      <c r="G77" s="295">
        <f>IF('BD Start'!G77=0,0,IF('BD Start'!G77-(-Actual!$N77)&lt;0,0,'BD Start'!G77-(-Actual!$N77)))</f>
        <v>0</v>
      </c>
      <c r="H77" s="295">
        <f>IF('BD Start'!H77=0,0,IF('BD Start'!H77-(-Actual!$H77)&lt;0,0,'BD Start'!H77-(-Actual!$H77)))</f>
        <v>0</v>
      </c>
      <c r="I77" s="295">
        <f>IF('BD Start'!I77=0,0,IF('BD Start'!I77-(-SUM(Actual!$O77:$P77))&lt;0,0,'BD Start'!I77-(-SUM(Actual!$O77:$P77))))</f>
        <v>0</v>
      </c>
      <c r="J77" s="295">
        <f>IF('BD Start'!J77=0,0,IF('BD Start'!J77-(-Actual!$AA77)&lt;0,0,'BD Start'!J77-(-Actual!$AA77)))</f>
        <v>0</v>
      </c>
      <c r="K77" s="295">
        <f>IF('BD Start'!K77=0,0,IF('BD Start'!K77-('DATA-CMD'!D77)&lt;0,0,'BD Start'!K77-('DATA-CMD'!D77)))</f>
        <v>0</v>
      </c>
      <c r="L77" s="295">
        <f>IF('BD Start'!L77=0,0,IF('BD Start'!L77-(Actual!$AB77)&lt;0,0,'BD Start'!L77-(Actual!$AB77)))</f>
        <v>0</v>
      </c>
      <c r="M77" s="295">
        <f>IF('BD Start'!M77&gt;0,IF(('BD Start'!M77-'DATA-CMD'!L77+TPCIL!O87)&gt;=125,125,IF(('BD Start'!M77-'DATA-CMD'!L77+TPCIL!O87)&lt;0,0,('BD Start'!M77-'DATA-CMD'!L77+TPCIL!O87))),0)</f>
        <v>0</v>
      </c>
      <c r="N77" s="295">
        <f>IF('BD Start'!N77=0,0,IF('BD Start'!N77-O77&lt;0,0,'BD Start'!N77-O77))</f>
        <v>0</v>
      </c>
      <c r="O77" s="299">
        <f>'DATA-CMD'!L77+TPCIL!E87+TPCIL!F87+TPCIL!G87+TPCIL!H87</f>
        <v>492.79</v>
      </c>
      <c r="P77" s="289">
        <f>'BD Start'!P77+'BD Start'!Q77-'DATA-CMD'!M77</f>
        <v>0</v>
      </c>
    </row>
    <row r="78" ht="23.25" spans="1:16">
      <c r="A78" s="293">
        <v>76</v>
      </c>
      <c r="B78" s="294" t="s">
        <v>89</v>
      </c>
      <c r="C78" s="295">
        <f>IF('BD Start'!C78=0,0,IF('BD Start'!C78-(-SUM(Actual!$I78:$J78))&lt;0,0,'BD Start'!C78-(-SUM(Actual!$I78:$J78))))</f>
        <v>0</v>
      </c>
      <c r="D78" s="295">
        <f>IF('BD Start'!D78=0,0,IF('BD Start'!D78-(-SUM(Actual!$K78:$L78))&lt;0,0,'BD Start'!D78-(-SUM(Actual!$K78:$L78))))</f>
        <v>0</v>
      </c>
      <c r="E78" s="295">
        <f>IF('BD Start'!E78=0,0,IF('BD Start'!E78-(-Actual!$M78)&lt;0,0,'BD Start'!E78-(-Actual!$M78)))</f>
        <v>0</v>
      </c>
      <c r="F78" s="295">
        <f>IF('BD Start'!F78=0,0,IF('BD Start'!F78-(-SUM(Actual!$B78:$G78))&lt;0,0,'BD Start'!F78-(-SUM(Actual!$B78:$G78))))</f>
        <v>0</v>
      </c>
      <c r="G78" s="295">
        <f>IF('BD Start'!G78=0,0,IF('BD Start'!G78-(-Actual!$N78)&lt;0,0,'BD Start'!G78-(-Actual!$N78)))</f>
        <v>0</v>
      </c>
      <c r="H78" s="295">
        <f>IF('BD Start'!H78=0,0,IF('BD Start'!H78-(-Actual!$H78)&lt;0,0,'BD Start'!H78-(-Actual!$H78)))</f>
        <v>0</v>
      </c>
      <c r="I78" s="295">
        <f>IF('BD Start'!I78=0,0,IF('BD Start'!I78-(-SUM(Actual!$O78:$P78))&lt;0,0,'BD Start'!I78-(-SUM(Actual!$O78:$P78))))</f>
        <v>0</v>
      </c>
      <c r="J78" s="295">
        <f>IF('BD Start'!J78=0,0,IF('BD Start'!J78-(-Actual!$AA78)&lt;0,0,'BD Start'!J78-(-Actual!$AA78)))</f>
        <v>0</v>
      </c>
      <c r="K78" s="295">
        <f>IF('BD Start'!K78=0,0,IF('BD Start'!K78-('DATA-CMD'!D78)&lt;0,0,'BD Start'!K78-('DATA-CMD'!D78)))</f>
        <v>0</v>
      </c>
      <c r="L78" s="295">
        <f>IF('BD Start'!L78=0,0,IF('BD Start'!L78-(Actual!$AB78)&lt;0,0,'BD Start'!L78-(Actual!$AB78)))</f>
        <v>0</v>
      </c>
      <c r="M78" s="295">
        <f>IF('BD Start'!M78&gt;0,IF(('BD Start'!M78-'DATA-CMD'!L78+TPCIL!O88)&gt;=125,125,IF(('BD Start'!M78-'DATA-CMD'!L78+TPCIL!O88)&lt;0,0,('BD Start'!M78-'DATA-CMD'!L78+TPCIL!O88))),0)</f>
        <v>0</v>
      </c>
      <c r="N78" s="295">
        <f>IF('BD Start'!N78=0,0,IF('BD Start'!N78-O78&lt;0,0,'BD Start'!N78-O78))</f>
        <v>0</v>
      </c>
      <c r="O78" s="299">
        <f>'DATA-CMD'!L78+TPCIL!E88+TPCIL!F88+TPCIL!G88+TPCIL!H88</f>
        <v>476.56</v>
      </c>
      <c r="P78" s="289">
        <f>'BD Start'!P78+'BD Start'!Q78-'DATA-CMD'!M78</f>
        <v>0</v>
      </c>
    </row>
    <row r="79" ht="23.25" spans="1:16">
      <c r="A79" s="293">
        <v>77</v>
      </c>
      <c r="B79" s="294" t="s">
        <v>90</v>
      </c>
      <c r="C79" s="295">
        <f>IF('BD Start'!C79=0,0,IF('BD Start'!C79-(-SUM(Actual!$I79:$J79))&lt;0,0,'BD Start'!C79-(-SUM(Actual!$I79:$J79))))</f>
        <v>0</v>
      </c>
      <c r="D79" s="295">
        <f>IF('BD Start'!D79=0,0,IF('BD Start'!D79-(-SUM(Actual!$K79:$L79))&lt;0,0,'BD Start'!D79-(-SUM(Actual!$K79:$L79))))</f>
        <v>0</v>
      </c>
      <c r="E79" s="295">
        <f>IF('BD Start'!E79=0,0,IF('BD Start'!E79-(-Actual!$M79)&lt;0,0,'BD Start'!E79-(-Actual!$M79)))</f>
        <v>0</v>
      </c>
      <c r="F79" s="295">
        <f>IF('BD Start'!F79=0,0,IF('BD Start'!F79-(-SUM(Actual!$B79:$G79))&lt;0,0,'BD Start'!F79-(-SUM(Actual!$B79:$G79))))</f>
        <v>0</v>
      </c>
      <c r="G79" s="295">
        <f>IF('BD Start'!G79=0,0,IF('BD Start'!G79-(-Actual!$N79)&lt;0,0,'BD Start'!G79-(-Actual!$N79)))</f>
        <v>0</v>
      </c>
      <c r="H79" s="295">
        <f>IF('BD Start'!H79=0,0,IF('BD Start'!H79-(-Actual!$H79)&lt;0,0,'BD Start'!H79-(-Actual!$H79)))</f>
        <v>0</v>
      </c>
      <c r="I79" s="295">
        <f>IF('BD Start'!I79=0,0,IF('BD Start'!I79-(-SUM(Actual!$O79:$P79))&lt;0,0,'BD Start'!I79-(-SUM(Actual!$O79:$P79))))</f>
        <v>0</v>
      </c>
      <c r="J79" s="295">
        <f>IF('BD Start'!J79=0,0,IF('BD Start'!J79-(-Actual!$AA79)&lt;0,0,'BD Start'!J79-(-Actual!$AA79)))</f>
        <v>0</v>
      </c>
      <c r="K79" s="295">
        <f>IF('BD Start'!K79=0,0,IF('BD Start'!K79-('DATA-CMD'!D79)&lt;0,0,'BD Start'!K79-('DATA-CMD'!D79)))</f>
        <v>0</v>
      </c>
      <c r="L79" s="295">
        <f>IF('BD Start'!L79=0,0,IF('BD Start'!L79-(Actual!$AB79)&lt;0,0,'BD Start'!L79-(Actual!$AB79)))</f>
        <v>0</v>
      </c>
      <c r="M79" s="295">
        <f>IF('BD Start'!M79&gt;0,IF(('BD Start'!M79-'DATA-CMD'!L79+TPCIL!O89)&gt;=125,125,IF(('BD Start'!M79-'DATA-CMD'!L79+TPCIL!O89)&lt;0,0,('BD Start'!M79-'DATA-CMD'!L79+TPCIL!O89))),0)</f>
        <v>0</v>
      </c>
      <c r="N79" s="295">
        <f>IF('BD Start'!N79=0,0,IF('BD Start'!N79-O79&lt;0,0,'BD Start'!N79-O79))</f>
        <v>0</v>
      </c>
      <c r="O79" s="299">
        <f>'DATA-CMD'!L79+TPCIL!E89+TPCIL!F89+TPCIL!G89+TPCIL!H89</f>
        <v>497.65</v>
      </c>
      <c r="P79" s="289">
        <f>'BD Start'!P79+'BD Start'!Q79-'DATA-CMD'!M79</f>
        <v>0</v>
      </c>
    </row>
    <row r="80" ht="23.25" spans="1:16">
      <c r="A80" s="293">
        <v>78</v>
      </c>
      <c r="B80" s="294" t="s">
        <v>91</v>
      </c>
      <c r="C80" s="295">
        <f>IF('BD Start'!C80=0,0,IF('BD Start'!C80-(-SUM(Actual!$I80:$J80))&lt;0,0,'BD Start'!C80-(-SUM(Actual!$I80:$J80))))</f>
        <v>0</v>
      </c>
      <c r="D80" s="295">
        <f>IF('BD Start'!D80=0,0,IF('BD Start'!D80-(-SUM(Actual!$K80:$L80))&lt;0,0,'BD Start'!D80-(-SUM(Actual!$K80:$L80))))</f>
        <v>0</v>
      </c>
      <c r="E80" s="295">
        <f>IF('BD Start'!E80=0,0,IF('BD Start'!E80-(-Actual!$M80)&lt;0,0,'BD Start'!E80-(-Actual!$M80)))</f>
        <v>0</v>
      </c>
      <c r="F80" s="295">
        <f>IF('BD Start'!F80=0,0,IF('BD Start'!F80-(-SUM(Actual!$B80:$G80))&lt;0,0,'BD Start'!F80-(-SUM(Actual!$B80:$G80))))</f>
        <v>0</v>
      </c>
      <c r="G80" s="295">
        <f>IF('BD Start'!G80=0,0,IF('BD Start'!G80-(-Actual!$N80)&lt;0,0,'BD Start'!G80-(-Actual!$N80)))</f>
        <v>0</v>
      </c>
      <c r="H80" s="295">
        <f>IF('BD Start'!H80=0,0,IF('BD Start'!H80-(-Actual!$H80)&lt;0,0,'BD Start'!H80-(-Actual!$H80)))</f>
        <v>0</v>
      </c>
      <c r="I80" s="295">
        <f>IF('BD Start'!I80=0,0,IF('BD Start'!I80-(-SUM(Actual!$O80:$P80))&lt;0,0,'BD Start'!I80-(-SUM(Actual!$O80:$P80))))</f>
        <v>0</v>
      </c>
      <c r="J80" s="295">
        <f>IF('BD Start'!J80=0,0,IF('BD Start'!J80-(-Actual!$AA80)&lt;0,0,'BD Start'!J80-(-Actual!$AA80)))</f>
        <v>0</v>
      </c>
      <c r="K80" s="295">
        <f>IF('BD Start'!K80=0,0,IF('BD Start'!K80-('DATA-CMD'!D80)&lt;0,0,'BD Start'!K80-('DATA-CMD'!D80)))</f>
        <v>0</v>
      </c>
      <c r="L80" s="295">
        <f>IF('BD Start'!L80=0,0,IF('BD Start'!L80-(Actual!$AB80)&lt;0,0,'BD Start'!L80-(Actual!$AB80)))</f>
        <v>0</v>
      </c>
      <c r="M80" s="295">
        <f>IF('BD Start'!M80&gt;0,IF(('BD Start'!M80-'DATA-CMD'!L80+TPCIL!O90)&gt;=125,125,IF(('BD Start'!M80-'DATA-CMD'!L80+TPCIL!O90)&lt;0,0,('BD Start'!M80-'DATA-CMD'!L80+TPCIL!O90))),0)</f>
        <v>0</v>
      </c>
      <c r="N80" s="295">
        <f>IF('BD Start'!N80=0,0,IF('BD Start'!N80-O80&lt;0,0,'BD Start'!N80-O80))</f>
        <v>0</v>
      </c>
      <c r="O80" s="299">
        <f>'DATA-CMD'!L80+TPCIL!E90+TPCIL!F90+TPCIL!G90+TPCIL!H90</f>
        <v>498.61</v>
      </c>
      <c r="P80" s="289">
        <f>'BD Start'!P80+'BD Start'!Q80-'DATA-CMD'!M80</f>
        <v>0</v>
      </c>
    </row>
    <row r="81" ht="23.25" spans="1:16">
      <c r="A81" s="293">
        <v>79</v>
      </c>
      <c r="B81" s="294" t="s">
        <v>92</v>
      </c>
      <c r="C81" s="295">
        <f>IF('BD Start'!C81=0,0,IF('BD Start'!C81-(-SUM(Actual!$I81:$J81))&lt;0,0,'BD Start'!C81-(-SUM(Actual!$I81:$J81))))</f>
        <v>0</v>
      </c>
      <c r="D81" s="295">
        <f>IF('BD Start'!D81=0,0,IF('BD Start'!D81-(-SUM(Actual!$K81:$L81))&lt;0,0,'BD Start'!D81-(-SUM(Actual!$K81:$L81))))</f>
        <v>0</v>
      </c>
      <c r="E81" s="295">
        <f>IF('BD Start'!E81=0,0,IF('BD Start'!E81-(-Actual!$M81)&lt;0,0,'BD Start'!E81-(-Actual!$M81)))</f>
        <v>0</v>
      </c>
      <c r="F81" s="295">
        <f>IF('BD Start'!F81=0,0,IF('BD Start'!F81-(-SUM(Actual!$B81:$G81))&lt;0,0,'BD Start'!F81-(-SUM(Actual!$B81:$G81))))</f>
        <v>0</v>
      </c>
      <c r="G81" s="295">
        <f>IF('BD Start'!G81=0,0,IF('BD Start'!G81-(-Actual!$N81)&lt;0,0,'BD Start'!G81-(-Actual!$N81)))</f>
        <v>0</v>
      </c>
      <c r="H81" s="295">
        <f>IF('BD Start'!H81=0,0,IF('BD Start'!H81-(-Actual!$H81)&lt;0,0,'BD Start'!H81-(-Actual!$H81)))</f>
        <v>0</v>
      </c>
      <c r="I81" s="295">
        <f>IF('BD Start'!I81=0,0,IF('BD Start'!I81-(-SUM(Actual!$O81:$P81))&lt;0,0,'BD Start'!I81-(-SUM(Actual!$O81:$P81))))</f>
        <v>0</v>
      </c>
      <c r="J81" s="295">
        <f>IF('BD Start'!J81=0,0,IF('BD Start'!J81-(-Actual!$AA81)&lt;0,0,'BD Start'!J81-(-Actual!$AA81)))</f>
        <v>0</v>
      </c>
      <c r="K81" s="295">
        <f>IF('BD Start'!K81=0,0,IF('BD Start'!K81-('DATA-CMD'!D81)&lt;0,0,'BD Start'!K81-('DATA-CMD'!D81)))</f>
        <v>0</v>
      </c>
      <c r="L81" s="295">
        <f>IF('BD Start'!L81=0,0,IF('BD Start'!L81-(Actual!$AB81)&lt;0,0,'BD Start'!L81-(Actual!$AB81)))</f>
        <v>0</v>
      </c>
      <c r="M81" s="295">
        <f>IF('BD Start'!M81&gt;0,IF(('BD Start'!M81-'DATA-CMD'!L81+TPCIL!O91)&gt;=125,125,IF(('BD Start'!M81-'DATA-CMD'!L81+TPCIL!O91)&lt;0,0,('BD Start'!M81-'DATA-CMD'!L81+TPCIL!O91))),0)</f>
        <v>0</v>
      </c>
      <c r="N81" s="295">
        <f>IF('BD Start'!N81=0,0,IF('BD Start'!N81-O81&lt;0,0,'BD Start'!N81-O81))</f>
        <v>0</v>
      </c>
      <c r="O81" s="299">
        <f>'DATA-CMD'!L81+TPCIL!E91+TPCIL!F91+TPCIL!G91+TPCIL!H91</f>
        <v>508.01</v>
      </c>
      <c r="P81" s="289">
        <f>'BD Start'!P81+'BD Start'!Q81-'DATA-CMD'!M81</f>
        <v>0</v>
      </c>
    </row>
    <row r="82" ht="23.25" spans="1:16">
      <c r="A82" s="293">
        <v>80</v>
      </c>
      <c r="B82" s="294" t="s">
        <v>93</v>
      </c>
      <c r="C82" s="295">
        <f>IF('BD Start'!C82=0,0,IF('BD Start'!C82-(-SUM(Actual!$I82:$J82))&lt;0,0,'BD Start'!C82-(-SUM(Actual!$I82:$J82))))</f>
        <v>0</v>
      </c>
      <c r="D82" s="295">
        <f>IF('BD Start'!D82=0,0,IF('BD Start'!D82-(-SUM(Actual!$K82:$L82))&lt;0,0,'BD Start'!D82-(-SUM(Actual!$K82:$L82))))</f>
        <v>0</v>
      </c>
      <c r="E82" s="295">
        <f>IF('BD Start'!E82=0,0,IF('BD Start'!E82-(-Actual!$M82)&lt;0,0,'BD Start'!E82-(-Actual!$M82)))</f>
        <v>0</v>
      </c>
      <c r="F82" s="295">
        <f>IF('BD Start'!F82=0,0,IF('BD Start'!F82-(-SUM(Actual!$B82:$G82))&lt;0,0,'BD Start'!F82-(-SUM(Actual!$B82:$G82))))</f>
        <v>0</v>
      </c>
      <c r="G82" s="295">
        <f>IF('BD Start'!G82=0,0,IF('BD Start'!G82-(-Actual!$N82)&lt;0,0,'BD Start'!G82-(-Actual!$N82)))</f>
        <v>0</v>
      </c>
      <c r="H82" s="295">
        <f>IF('BD Start'!H82=0,0,IF('BD Start'!H82-(-Actual!$H82)&lt;0,0,'BD Start'!H82-(-Actual!$H82)))</f>
        <v>0</v>
      </c>
      <c r="I82" s="295">
        <f>IF('BD Start'!I82=0,0,IF('BD Start'!I82-(-SUM(Actual!$O82:$P82))&lt;0,0,'BD Start'!I82-(-SUM(Actual!$O82:$P82))))</f>
        <v>0</v>
      </c>
      <c r="J82" s="295">
        <f>IF('BD Start'!J82=0,0,IF('BD Start'!J82-(-Actual!$AA82)&lt;0,0,'BD Start'!J82-(-Actual!$AA82)))</f>
        <v>0</v>
      </c>
      <c r="K82" s="295">
        <f>IF('BD Start'!K82=0,0,IF('BD Start'!K82-('DATA-CMD'!D82)&lt;0,0,'BD Start'!K82-('DATA-CMD'!D82)))</f>
        <v>0</v>
      </c>
      <c r="L82" s="295">
        <f>IF('BD Start'!L82=0,0,IF('BD Start'!L82-(Actual!$AB82)&lt;0,0,'BD Start'!L82-(Actual!$AB82)))</f>
        <v>0</v>
      </c>
      <c r="M82" s="295">
        <f>IF('BD Start'!M82&gt;0,IF(('BD Start'!M82-'DATA-CMD'!L82+TPCIL!O92)&gt;=125,125,IF(('BD Start'!M82-'DATA-CMD'!L82+TPCIL!O92)&lt;0,0,('BD Start'!M82-'DATA-CMD'!L82+TPCIL!O92))),0)</f>
        <v>0</v>
      </c>
      <c r="N82" s="295">
        <f>IF('BD Start'!N82=0,0,IF('BD Start'!N82-O82&lt;0,0,'BD Start'!N82-O82))</f>
        <v>0</v>
      </c>
      <c r="O82" s="299">
        <f>'DATA-CMD'!L82+TPCIL!E92+TPCIL!F92+TPCIL!G92+TPCIL!H92</f>
        <v>502.59</v>
      </c>
      <c r="P82" s="289">
        <f>'BD Start'!P82+'BD Start'!Q82-'DATA-CMD'!M82</f>
        <v>0</v>
      </c>
    </row>
    <row r="83" ht="23.25" spans="1:16">
      <c r="A83" s="293">
        <v>81</v>
      </c>
      <c r="B83" s="294" t="s">
        <v>94</v>
      </c>
      <c r="C83" s="295">
        <f>IF('BD Start'!C83=0,0,IF('BD Start'!C83-(-SUM(Actual!$I83:$J83))&lt;0,0,'BD Start'!C83-(-SUM(Actual!$I83:$J83))))</f>
        <v>0</v>
      </c>
      <c r="D83" s="295">
        <f>IF('BD Start'!D83=0,0,IF('BD Start'!D83-(-SUM(Actual!$K83:$L83))&lt;0,0,'BD Start'!D83-(-SUM(Actual!$K83:$L83))))</f>
        <v>0</v>
      </c>
      <c r="E83" s="295">
        <f>IF('BD Start'!E83=0,0,IF('BD Start'!E83-(-Actual!$M83)&lt;0,0,'BD Start'!E83-(-Actual!$M83)))</f>
        <v>0</v>
      </c>
      <c r="F83" s="295">
        <f>IF('BD Start'!F83=0,0,IF('BD Start'!F83-(-SUM(Actual!$B83:$G83))&lt;0,0,'BD Start'!F83-(-SUM(Actual!$B83:$G83))))</f>
        <v>0</v>
      </c>
      <c r="G83" s="295">
        <f>IF('BD Start'!G83=0,0,IF('BD Start'!G83-(-Actual!$N83)&lt;0,0,'BD Start'!G83-(-Actual!$N83)))</f>
        <v>0</v>
      </c>
      <c r="H83" s="295">
        <f>IF('BD Start'!H83=0,0,IF('BD Start'!H83-(-Actual!$H83)&lt;0,0,'BD Start'!H83-(-Actual!$H83)))</f>
        <v>0</v>
      </c>
      <c r="I83" s="295">
        <f>IF('BD Start'!I83=0,0,IF('BD Start'!I83-(-SUM(Actual!$O83:$P83))&lt;0,0,'BD Start'!I83-(-SUM(Actual!$O83:$P83))))</f>
        <v>0</v>
      </c>
      <c r="J83" s="295">
        <f>IF('BD Start'!J83=0,0,IF('BD Start'!J83-(-Actual!$AA83)&lt;0,0,'BD Start'!J83-(-Actual!$AA83)))</f>
        <v>0</v>
      </c>
      <c r="K83" s="295">
        <f>IF('BD Start'!K83=0,0,IF('BD Start'!K83-('DATA-CMD'!D83)&lt;0,0,'BD Start'!K83-('DATA-CMD'!D83)))</f>
        <v>0</v>
      </c>
      <c r="L83" s="295">
        <f>IF('BD Start'!L83=0,0,IF('BD Start'!L83-(Actual!$AB83)&lt;0,0,'BD Start'!L83-(Actual!$AB83)))</f>
        <v>0</v>
      </c>
      <c r="M83" s="295">
        <f>IF('BD Start'!M83&gt;0,IF(('BD Start'!M83-'DATA-CMD'!L83+TPCIL!O93)&gt;=125,125,IF(('BD Start'!M83-'DATA-CMD'!L83+TPCIL!O93)&lt;0,0,('BD Start'!M83-'DATA-CMD'!L83+TPCIL!O93))),0)</f>
        <v>0</v>
      </c>
      <c r="N83" s="295">
        <f>IF('BD Start'!N83=0,0,IF('BD Start'!N83-O83&lt;0,0,'BD Start'!N83-O83))</f>
        <v>0</v>
      </c>
      <c r="O83" s="299">
        <f>'DATA-CMD'!L83+TPCIL!E93+TPCIL!F93+TPCIL!G93+TPCIL!H93</f>
        <v>503.26</v>
      </c>
      <c r="P83" s="289">
        <f>'BD Start'!P83+'BD Start'!Q83-'DATA-CMD'!M83</f>
        <v>0</v>
      </c>
    </row>
    <row r="84" ht="23.25" spans="1:16">
      <c r="A84" s="293">
        <v>82</v>
      </c>
      <c r="B84" s="294" t="s">
        <v>95</v>
      </c>
      <c r="C84" s="295">
        <f>IF('BD Start'!C84=0,0,IF('BD Start'!C84-(-SUM(Actual!$I84:$J84))&lt;0,0,'BD Start'!C84-(-SUM(Actual!$I84:$J84))))</f>
        <v>0</v>
      </c>
      <c r="D84" s="295">
        <f>IF('BD Start'!D84=0,0,IF('BD Start'!D84-(-SUM(Actual!$K84:$L84))&lt;0,0,'BD Start'!D84-(-SUM(Actual!$K84:$L84))))</f>
        <v>0</v>
      </c>
      <c r="E84" s="295">
        <f>IF('BD Start'!E84=0,0,IF('BD Start'!E84-(-Actual!$M84)&lt;0,0,'BD Start'!E84-(-Actual!$M84)))</f>
        <v>0</v>
      </c>
      <c r="F84" s="295">
        <f>IF('BD Start'!F84=0,0,IF('BD Start'!F84-(-SUM(Actual!$B84:$G84))&lt;0,0,'BD Start'!F84-(-SUM(Actual!$B84:$G84))))</f>
        <v>0</v>
      </c>
      <c r="G84" s="295">
        <f>IF('BD Start'!G84=0,0,IF('BD Start'!G84-(-Actual!$N84)&lt;0,0,'BD Start'!G84-(-Actual!$N84)))</f>
        <v>0</v>
      </c>
      <c r="H84" s="295">
        <f>IF('BD Start'!H84=0,0,IF('BD Start'!H84-(-Actual!$H84)&lt;0,0,'BD Start'!H84-(-Actual!$H84)))</f>
        <v>0</v>
      </c>
      <c r="I84" s="295">
        <f>IF('BD Start'!I84=0,0,IF('BD Start'!I84-(-SUM(Actual!$O84:$P84))&lt;0,0,'BD Start'!I84-(-SUM(Actual!$O84:$P84))))</f>
        <v>0</v>
      </c>
      <c r="J84" s="295">
        <f>IF('BD Start'!J84=0,0,IF('BD Start'!J84-(-Actual!$AA84)&lt;0,0,'BD Start'!J84-(-Actual!$AA84)))</f>
        <v>0</v>
      </c>
      <c r="K84" s="295">
        <f>IF('BD Start'!K84=0,0,IF('BD Start'!K84-('DATA-CMD'!D84)&lt;0,0,'BD Start'!K84-('DATA-CMD'!D84)))</f>
        <v>0</v>
      </c>
      <c r="L84" s="295">
        <f>IF('BD Start'!L84=0,0,IF('BD Start'!L84-(Actual!$AB84)&lt;0,0,'BD Start'!L84-(Actual!$AB84)))</f>
        <v>0</v>
      </c>
      <c r="M84" s="295">
        <f>IF('BD Start'!M84&gt;0,IF(('BD Start'!M84-'DATA-CMD'!L84+TPCIL!O94)&gt;=125,125,IF(('BD Start'!M84-'DATA-CMD'!L84+TPCIL!O94)&lt;0,0,('BD Start'!M84-'DATA-CMD'!L84+TPCIL!O94))),0)</f>
        <v>0</v>
      </c>
      <c r="N84" s="295">
        <f>IF('BD Start'!N84=0,0,IF('BD Start'!N84-O84&lt;0,0,'BD Start'!N84-O84))</f>
        <v>0</v>
      </c>
      <c r="O84" s="299">
        <f>'DATA-CMD'!L84+TPCIL!E94+TPCIL!F94+TPCIL!G94+TPCIL!H94</f>
        <v>504.54</v>
      </c>
      <c r="P84" s="289">
        <f>'BD Start'!P84+'BD Start'!Q84-'DATA-CMD'!M84</f>
        <v>0</v>
      </c>
    </row>
    <row r="85" ht="23.25" spans="1:16">
      <c r="A85" s="293">
        <v>83</v>
      </c>
      <c r="B85" s="294" t="s">
        <v>96</v>
      </c>
      <c r="C85" s="295">
        <f>IF('BD Start'!C85=0,0,IF('BD Start'!C85-(-SUM(Actual!$I85:$J85))&lt;0,0,'BD Start'!C85-(-SUM(Actual!$I85:$J85))))</f>
        <v>2.27999999999997</v>
      </c>
      <c r="D85" s="295">
        <f>IF('BD Start'!D85=0,0,IF('BD Start'!D85-(-SUM(Actual!$K85:$L85))&lt;0,0,'BD Start'!D85-(-SUM(Actual!$K85:$L85))))</f>
        <v>5.28999999999996</v>
      </c>
      <c r="E85" s="295">
        <f>IF('BD Start'!E85=0,0,IF('BD Start'!E85-(-Actual!$M85)&lt;0,0,'BD Start'!E85-(-Actual!$M85)))</f>
        <v>0</v>
      </c>
      <c r="F85" s="295">
        <f>IF('BD Start'!F85=0,0,IF('BD Start'!F85-(-SUM(Actual!$B85:$G85))&lt;0,0,'BD Start'!F85-(-SUM(Actual!$B85:$G85))))</f>
        <v>0</v>
      </c>
      <c r="G85" s="295">
        <f>IF('BD Start'!G85=0,0,IF('BD Start'!G85-(-Actual!$N85)&lt;0,0,'BD Start'!G85-(-Actual!$N85)))</f>
        <v>0</v>
      </c>
      <c r="H85" s="295">
        <f>IF('BD Start'!H85=0,0,IF('BD Start'!H85-(-Actual!$H85)&lt;0,0,'BD Start'!H85-(-Actual!$H85)))</f>
        <v>0</v>
      </c>
      <c r="I85" s="295">
        <f>IF('BD Start'!I85=0,0,IF('BD Start'!I85-(-SUM(Actual!$O85:$P85))&lt;0,0,'BD Start'!I85-(-SUM(Actual!$O85:$P85))))</f>
        <v>0</v>
      </c>
      <c r="J85" s="295">
        <f>IF('BD Start'!J85=0,0,IF('BD Start'!J85-(-Actual!$AA85)&lt;0,0,'BD Start'!J85-(-Actual!$AA85)))</f>
        <v>0</v>
      </c>
      <c r="K85" s="295">
        <f>IF('BD Start'!K85=0,0,IF('BD Start'!K85-('DATA-CMD'!D85)&lt;0,0,'BD Start'!K85-('DATA-CMD'!D85)))</f>
        <v>0</v>
      </c>
      <c r="L85" s="295">
        <f>IF('BD Start'!L85=0,0,IF('BD Start'!L85-(Actual!$AB85)&lt;0,0,'BD Start'!L85-(Actual!$AB85)))</f>
        <v>0</v>
      </c>
      <c r="M85" s="295">
        <f>IF('BD Start'!M85&gt;0,IF(('BD Start'!M85-'DATA-CMD'!L85+TPCIL!O95)&gt;=125,125,IF(('BD Start'!M85-'DATA-CMD'!L85+TPCIL!O95)&lt;0,0,('BD Start'!M85-'DATA-CMD'!L85+TPCIL!O95))),0)</f>
        <v>0</v>
      </c>
      <c r="N85" s="295">
        <f>IF('BD Start'!N85=0,0,IF('BD Start'!N85-O85&lt;0,0,'BD Start'!N85-O85))</f>
        <v>0</v>
      </c>
      <c r="O85" s="299">
        <f>'DATA-CMD'!L85+TPCIL!E95+TPCIL!F95+TPCIL!G95+TPCIL!H95</f>
        <v>493.72</v>
      </c>
      <c r="P85" s="289">
        <f>'BD Start'!P85+'BD Start'!Q85-'DATA-CMD'!M85</f>
        <v>0</v>
      </c>
    </row>
    <row r="86" ht="23.25" spans="1:16">
      <c r="A86" s="293">
        <v>84</v>
      </c>
      <c r="B86" s="294" t="s">
        <v>97</v>
      </c>
      <c r="C86" s="295">
        <f>IF('BD Start'!C86=0,0,IF('BD Start'!C86-(-SUM(Actual!$I86:$J86))&lt;0,0,'BD Start'!C86-(-SUM(Actual!$I86:$J86))))</f>
        <v>42.03</v>
      </c>
      <c r="D86" s="295">
        <f>IF('BD Start'!D86=0,0,IF('BD Start'!D86-(-SUM(Actual!$K86:$L86))&lt;0,0,'BD Start'!D86-(-SUM(Actual!$K86:$L86))))</f>
        <v>70</v>
      </c>
      <c r="E86" s="295">
        <f>IF('BD Start'!E86=0,0,IF('BD Start'!E86-(-Actual!$M86)&lt;0,0,'BD Start'!E86-(-Actual!$M86)))</f>
        <v>29.3</v>
      </c>
      <c r="F86" s="295">
        <f>IF('BD Start'!F86=0,0,IF('BD Start'!F86-(-SUM(Actual!$B86:$G86))&lt;0,0,'BD Start'!F86-(-SUM(Actual!$B86:$G86))))</f>
        <v>0</v>
      </c>
      <c r="G86" s="295">
        <f>IF('BD Start'!G86=0,0,IF('BD Start'!G86-(-Actual!$N86)&lt;0,0,'BD Start'!G86-(-Actual!$N86)))</f>
        <v>0</v>
      </c>
      <c r="H86" s="295">
        <f>IF('BD Start'!H86=0,0,IF('BD Start'!H86-(-Actual!$H86)&lt;0,0,'BD Start'!H86-(-Actual!$H86)))</f>
        <v>0</v>
      </c>
      <c r="I86" s="295">
        <f>IF('BD Start'!I86=0,0,IF('BD Start'!I86-(-SUM(Actual!$O86:$P86))&lt;0,0,'BD Start'!I86-(-SUM(Actual!$O86:$P86))))</f>
        <v>0</v>
      </c>
      <c r="J86" s="295">
        <f>IF('BD Start'!J86=0,0,IF('BD Start'!J86-(-Actual!$AA86)&lt;0,0,'BD Start'!J86-(-Actual!$AA86)))</f>
        <v>0</v>
      </c>
      <c r="K86" s="295">
        <f>IF('BD Start'!K86=0,0,IF('BD Start'!K86-('DATA-CMD'!D86)&lt;0,0,'BD Start'!K86-('DATA-CMD'!D86)))</f>
        <v>0</v>
      </c>
      <c r="L86" s="295">
        <f>IF('BD Start'!L86=0,0,IF('BD Start'!L86-(Actual!$AB86)&lt;0,0,'BD Start'!L86-(Actual!$AB86)))</f>
        <v>0</v>
      </c>
      <c r="M86" s="295">
        <f>IF('BD Start'!M86&gt;0,IF(('BD Start'!M86-'DATA-CMD'!L86+TPCIL!O96)&gt;=125,125,IF(('BD Start'!M86-'DATA-CMD'!L86+TPCIL!O96)&lt;0,0,('BD Start'!M86-'DATA-CMD'!L86+TPCIL!O96))),0)</f>
        <v>0</v>
      </c>
      <c r="N86" s="295">
        <f>IF('BD Start'!N86=0,0,IF('BD Start'!N86-O86&lt;0,0,'BD Start'!N86-O86))</f>
        <v>0</v>
      </c>
      <c r="O86" s="299">
        <f>'DATA-CMD'!L86+TPCIL!E96+TPCIL!F96+TPCIL!G96+TPCIL!H96</f>
        <v>481.49</v>
      </c>
      <c r="P86" s="289">
        <f>'BD Start'!P86+'BD Start'!Q86-'DATA-CMD'!M86</f>
        <v>0</v>
      </c>
    </row>
    <row r="87" ht="23.25" spans="1:16">
      <c r="A87" s="293">
        <v>85</v>
      </c>
      <c r="B87" s="294" t="s">
        <v>98</v>
      </c>
      <c r="C87" s="295">
        <f>IF('BD Start'!C87=0,0,IF('BD Start'!C87-(-SUM(Actual!$I87:$J87))&lt;0,0,'BD Start'!C87-(-SUM(Actual!$I87:$J87))))</f>
        <v>59.16</v>
      </c>
      <c r="D87" s="295">
        <f>IF('BD Start'!D87=0,0,IF('BD Start'!D87-(-SUM(Actual!$K87:$L87))&lt;0,0,'BD Start'!D87-(-SUM(Actual!$K87:$L87))))</f>
        <v>137.86</v>
      </c>
      <c r="E87" s="295">
        <f>IF('BD Start'!E87=0,0,IF('BD Start'!E87-(-Actual!$M87)&lt;0,0,'BD Start'!E87-(-Actual!$M87)))</f>
        <v>50.55</v>
      </c>
      <c r="F87" s="295">
        <f>IF('BD Start'!F87=0,0,IF('BD Start'!F87-(-SUM(Actual!$B87:$G87))&lt;0,0,'BD Start'!F87-(-SUM(Actual!$B87:$G87))))</f>
        <v>0</v>
      </c>
      <c r="G87" s="295">
        <f>IF('BD Start'!G87=0,0,IF('BD Start'!G87-(-Actual!$N87)&lt;0,0,'BD Start'!G87-(-Actual!$N87)))</f>
        <v>0</v>
      </c>
      <c r="H87" s="295">
        <f>IF('BD Start'!H87=0,0,IF('BD Start'!H87-(-Actual!$H87)&lt;0,0,'BD Start'!H87-(-Actual!$H87)))</f>
        <v>0</v>
      </c>
      <c r="I87" s="295">
        <f>IF('BD Start'!I87=0,0,IF('BD Start'!I87-(-SUM(Actual!$O87:$P87))&lt;0,0,'BD Start'!I87-(-SUM(Actual!$O87:$P87))))</f>
        <v>0</v>
      </c>
      <c r="J87" s="295">
        <f>IF('BD Start'!J87=0,0,IF('BD Start'!J87-(-Actual!$AA87)&lt;0,0,'BD Start'!J87-(-Actual!$AA87)))</f>
        <v>0</v>
      </c>
      <c r="K87" s="295">
        <f>IF('BD Start'!K87=0,0,IF('BD Start'!K87-('DATA-CMD'!D87)&lt;0,0,'BD Start'!K87-('DATA-CMD'!D87)))</f>
        <v>0</v>
      </c>
      <c r="L87" s="295">
        <f>IF('BD Start'!L87=0,0,IF('BD Start'!L87-(Actual!$AB87)&lt;0,0,'BD Start'!L87-(Actual!$AB87)))</f>
        <v>0</v>
      </c>
      <c r="M87" s="295">
        <f>IF('BD Start'!M87&gt;0,IF(('BD Start'!M87-'DATA-CMD'!L87+TPCIL!O97)&gt;=125,125,IF(('BD Start'!M87-'DATA-CMD'!L87+TPCIL!O97)&lt;0,0,('BD Start'!M87-'DATA-CMD'!L87+TPCIL!O97))),0)</f>
        <v>0</v>
      </c>
      <c r="N87" s="295">
        <f>IF('BD Start'!N87=0,0,IF('BD Start'!N87-O87&lt;0,0,'BD Start'!N87-O87))</f>
        <v>0</v>
      </c>
      <c r="O87" s="299">
        <f>'DATA-CMD'!L87+TPCIL!E97+TPCIL!F97+TPCIL!G97+TPCIL!H97</f>
        <v>489.48</v>
      </c>
      <c r="P87" s="289">
        <f>'BD Start'!P87+'BD Start'!Q87-'DATA-CMD'!M87</f>
        <v>0</v>
      </c>
    </row>
    <row r="88" ht="23.25" spans="1:16">
      <c r="A88" s="293">
        <v>86</v>
      </c>
      <c r="B88" s="294" t="s">
        <v>99</v>
      </c>
      <c r="C88" s="295">
        <f>IF('BD Start'!C88=0,0,IF('BD Start'!C88-(-SUM(Actual!$I88:$J88))&lt;0,0,'BD Start'!C88-(-SUM(Actual!$I88:$J88))))</f>
        <v>61.53</v>
      </c>
      <c r="D88" s="295">
        <f>IF('BD Start'!D88=0,0,IF('BD Start'!D88-(-SUM(Actual!$K88:$L88))&lt;0,0,'BD Start'!D88-(-SUM(Actual!$K88:$L88))))</f>
        <v>149.99</v>
      </c>
      <c r="E88" s="295">
        <f>IF('BD Start'!E88=0,0,IF('BD Start'!E88-(-Actual!$M88)&lt;0,0,'BD Start'!E88-(-Actual!$M88)))</f>
        <v>57.49</v>
      </c>
      <c r="F88" s="295">
        <f>IF('BD Start'!F88=0,0,IF('BD Start'!F88-(-SUM(Actual!$B88:$G88))&lt;0,0,'BD Start'!F88-(-SUM(Actual!$B88:$G88))))</f>
        <v>54.9000000000001</v>
      </c>
      <c r="G88" s="295">
        <f>IF('BD Start'!G88=0,0,IF('BD Start'!G88-(-Actual!$N88)&lt;0,0,'BD Start'!G88-(-Actual!$N88)))</f>
        <v>0.70999999999998</v>
      </c>
      <c r="H88" s="295">
        <f>IF('BD Start'!H88=0,0,IF('BD Start'!H88-(-Actual!$H88)&lt;0,0,'BD Start'!H88-(-Actual!$H88)))</f>
        <v>0</v>
      </c>
      <c r="I88" s="295">
        <f>IF('BD Start'!I88=0,0,IF('BD Start'!I88-(-SUM(Actual!$O88:$P88))&lt;0,0,'BD Start'!I88-(-SUM(Actual!$O88:$P88))))</f>
        <v>0</v>
      </c>
      <c r="J88" s="295">
        <f>IF('BD Start'!J88=0,0,IF('BD Start'!J88-(-Actual!$AA88)&lt;0,0,'BD Start'!J88-(-Actual!$AA88)))</f>
        <v>0</v>
      </c>
      <c r="K88" s="295">
        <f>IF('BD Start'!K88=0,0,IF('BD Start'!K88-('DATA-CMD'!D88)&lt;0,0,'BD Start'!K88-('DATA-CMD'!D88)))</f>
        <v>0</v>
      </c>
      <c r="L88" s="295">
        <f>IF('BD Start'!L88=0,0,IF('BD Start'!L88-(Actual!$AB88)&lt;0,0,'BD Start'!L88-(Actual!$AB88)))</f>
        <v>0</v>
      </c>
      <c r="M88" s="295">
        <f>IF('BD Start'!M88&gt;0,IF(('BD Start'!M88-'DATA-CMD'!L88+TPCIL!O98)&gt;=125,125,IF(('BD Start'!M88-'DATA-CMD'!L88+TPCIL!O98)&lt;0,0,('BD Start'!M88-'DATA-CMD'!L88+TPCIL!O98))),0)</f>
        <v>0</v>
      </c>
      <c r="N88" s="295">
        <f>IF('BD Start'!N88=0,0,IF('BD Start'!N88-O88&lt;0,0,'BD Start'!N88-O88))</f>
        <v>0</v>
      </c>
      <c r="O88" s="299">
        <f>'DATA-CMD'!L88+TPCIL!E98+TPCIL!F98+TPCIL!G98+TPCIL!H98</f>
        <v>500.11</v>
      </c>
      <c r="P88" s="289">
        <f>'BD Start'!P88+'BD Start'!Q88-'DATA-CMD'!M88</f>
        <v>0</v>
      </c>
    </row>
    <row r="89" ht="23.25" spans="1:16">
      <c r="A89" s="293">
        <v>87</v>
      </c>
      <c r="B89" s="294" t="s">
        <v>100</v>
      </c>
      <c r="C89" s="295">
        <f>IF('BD Start'!C89=0,0,IF('BD Start'!C89-(-SUM(Actual!$I89:$J89))&lt;0,0,'BD Start'!C89-(-SUM(Actual!$I89:$J89))))</f>
        <v>65.5</v>
      </c>
      <c r="D89" s="295">
        <f>IF('BD Start'!D89=0,0,IF('BD Start'!D89-(-SUM(Actual!$K89:$L89))&lt;0,0,'BD Start'!D89-(-SUM(Actual!$K89:$L89))))</f>
        <v>155.85</v>
      </c>
      <c r="E89" s="295">
        <f>IF('BD Start'!E89=0,0,IF('BD Start'!E89-(-Actual!$M89)&lt;0,0,'BD Start'!E89-(-Actual!$M89)))</f>
        <v>60.13</v>
      </c>
      <c r="F89" s="295">
        <f>IF('BD Start'!F89=0,0,IF('BD Start'!F89-(-SUM(Actual!$B89:$G89))&lt;0,0,'BD Start'!F89-(-SUM(Actual!$B89:$G89))))</f>
        <v>64.5</v>
      </c>
      <c r="G89" s="295">
        <f>IF('BD Start'!G89=0,0,IF('BD Start'!G89-(-Actual!$N89)&lt;0,0,'BD Start'!G89-(-Actual!$N89)))</f>
        <v>54.85</v>
      </c>
      <c r="H89" s="295">
        <f>IF('BD Start'!H89=0,0,IF('BD Start'!H89-(-Actual!$H89)&lt;0,0,'BD Start'!H89-(-Actual!$H89)))</f>
        <v>8.93000000000001</v>
      </c>
      <c r="I89" s="295">
        <f>IF('BD Start'!I89=0,0,IF('BD Start'!I89-(-SUM(Actual!$O89:$P89))&lt;0,0,'BD Start'!I89-(-SUM(Actual!$O89:$P89))))</f>
        <v>0</v>
      </c>
      <c r="J89" s="295">
        <f>IF('BD Start'!J89=0,0,IF('BD Start'!J89-(-Actual!$AA89)&lt;0,0,'BD Start'!J89-(-Actual!$AA89)))</f>
        <v>0</v>
      </c>
      <c r="K89" s="295">
        <f>IF('BD Start'!K89=0,0,IF('BD Start'!K89-('DATA-CMD'!D89)&lt;0,0,'BD Start'!K89-('DATA-CMD'!D89)))</f>
        <v>0</v>
      </c>
      <c r="L89" s="295">
        <f>IF('BD Start'!L89=0,0,IF('BD Start'!L89-(Actual!$AB89)&lt;0,0,'BD Start'!L89-(Actual!$AB89)))</f>
        <v>0</v>
      </c>
      <c r="M89" s="295">
        <f>IF('BD Start'!M89&gt;0,IF(('BD Start'!M89-'DATA-CMD'!L89+TPCIL!O99)&gt;=125,125,IF(('BD Start'!M89-'DATA-CMD'!L89+TPCIL!O99)&lt;0,0,('BD Start'!M89-'DATA-CMD'!L89+TPCIL!O99))),0)</f>
        <v>0</v>
      </c>
      <c r="N89" s="295">
        <f>IF('BD Start'!N89=0,0,IF('BD Start'!N89-O89&lt;0,0,'BD Start'!N89-O89))</f>
        <v>0</v>
      </c>
      <c r="O89" s="299">
        <f>'DATA-CMD'!L89+TPCIL!E99+TPCIL!F99+TPCIL!G99+TPCIL!H99</f>
        <v>506.72</v>
      </c>
      <c r="P89" s="289">
        <f>'BD Start'!P89+'BD Start'!Q89-'DATA-CMD'!M89</f>
        <v>0</v>
      </c>
    </row>
    <row r="90" ht="23.25" spans="1:16">
      <c r="A90" s="293">
        <v>88</v>
      </c>
      <c r="B90" s="294" t="s">
        <v>101</v>
      </c>
      <c r="C90" s="295">
        <f>IF('BD Start'!C90=0,0,IF('BD Start'!C90-(-SUM(Actual!$I90:$J90))&lt;0,0,'BD Start'!C90-(-SUM(Actual!$I90:$J90))))</f>
        <v>63.2</v>
      </c>
      <c r="D90" s="295">
        <f>IF('BD Start'!D90=0,0,IF('BD Start'!D90-(-SUM(Actual!$K90:$L90))&lt;0,0,'BD Start'!D90-(-SUM(Actual!$K90:$L90))))</f>
        <v>153.92</v>
      </c>
      <c r="E90" s="295">
        <f>IF('BD Start'!E90=0,0,IF('BD Start'!E90-(-Actual!$M90)&lt;0,0,'BD Start'!E90-(-Actual!$M90)))</f>
        <v>62.49</v>
      </c>
      <c r="F90" s="295">
        <f>IF('BD Start'!F90=0,0,IF('BD Start'!F90-(-SUM(Actual!$B90:$G90))&lt;0,0,'BD Start'!F90-(-SUM(Actual!$B90:$G90))))</f>
        <v>67.6900000000001</v>
      </c>
      <c r="G90" s="295">
        <f>IF('BD Start'!G90=0,0,IF('BD Start'!G90-(-Actual!$N90)&lt;0,0,'BD Start'!G90-(-Actual!$N90)))</f>
        <v>147.11</v>
      </c>
      <c r="H90" s="295">
        <f>IF('BD Start'!H90=0,0,IF('BD Start'!H90-(-Actual!$H90)&lt;0,0,'BD Start'!H90-(-Actual!$H90)))</f>
        <v>61.11</v>
      </c>
      <c r="I90" s="295">
        <f>IF('BD Start'!I90=0,0,IF('BD Start'!I90-(-SUM(Actual!$O90:$P90))&lt;0,0,'BD Start'!I90-(-SUM(Actual!$O90:$P90))))</f>
        <v>18.4499999999998</v>
      </c>
      <c r="J90" s="295">
        <f>IF('BD Start'!J90=0,0,IF('BD Start'!J90-(-Actual!$AA90)&lt;0,0,'BD Start'!J90-(-Actual!$AA90)))</f>
        <v>0</v>
      </c>
      <c r="K90" s="295">
        <f>IF('BD Start'!K90=0,0,IF('BD Start'!K90-('DATA-CMD'!D90)&lt;0,0,'BD Start'!K90-('DATA-CMD'!D90)))</f>
        <v>0</v>
      </c>
      <c r="L90" s="295">
        <f>IF('BD Start'!L90=0,0,IF('BD Start'!L90-(Actual!$AB90)&lt;0,0,'BD Start'!L90-(Actual!$AB90)))</f>
        <v>0</v>
      </c>
      <c r="M90" s="295">
        <f>IF('BD Start'!M90&gt;0,IF(('BD Start'!M90-'DATA-CMD'!L90+TPCIL!O100)&gt;=125,125,IF(('BD Start'!M90-'DATA-CMD'!L90+TPCIL!O100)&lt;0,0,('BD Start'!M90-'DATA-CMD'!L90+TPCIL!O100))),0)</f>
        <v>0</v>
      </c>
      <c r="N90" s="295">
        <f>IF('BD Start'!N90=0,0,IF('BD Start'!N90-O90&lt;0,0,'BD Start'!N90-O90))</f>
        <v>0</v>
      </c>
      <c r="O90" s="299">
        <f>'DATA-CMD'!L90+TPCIL!E100+TPCIL!F100+TPCIL!G100+TPCIL!H100</f>
        <v>502.86</v>
      </c>
      <c r="P90" s="289">
        <f>'BD Start'!P90+'BD Start'!Q90-'DATA-CMD'!M90</f>
        <v>0</v>
      </c>
    </row>
    <row r="91" ht="23.25" spans="1:16">
      <c r="A91" s="293">
        <v>89</v>
      </c>
      <c r="B91" s="294" t="s">
        <v>102</v>
      </c>
      <c r="C91" s="295">
        <f>IF('BD Start'!C91=0,0,IF('BD Start'!C91-(-SUM(Actual!$I91:$J91))&lt;0,0,'BD Start'!C91-(-SUM(Actual!$I91:$J91))))</f>
        <v>61.74</v>
      </c>
      <c r="D91" s="295">
        <f>IF('BD Start'!D91=0,0,IF('BD Start'!D91-(-SUM(Actual!$K91:$L91))&lt;0,0,'BD Start'!D91-(-SUM(Actual!$K91:$L91))))</f>
        <v>151.38</v>
      </c>
      <c r="E91" s="295">
        <f>IF('BD Start'!E91=0,0,IF('BD Start'!E91-(-Actual!$M91)&lt;0,0,'BD Start'!E91-(-Actual!$M91)))</f>
        <v>60.93</v>
      </c>
      <c r="F91" s="295">
        <f>IF('BD Start'!F91=0,0,IF('BD Start'!F91-(-SUM(Actual!$B91:$G91))&lt;0,0,'BD Start'!F91-(-SUM(Actual!$B91:$G91))))</f>
        <v>58.98</v>
      </c>
      <c r="G91" s="295">
        <f>IF('BD Start'!G91=0,0,IF('BD Start'!G91-(-Actual!$N91)&lt;0,0,'BD Start'!G91-(-Actual!$N91)))</f>
        <v>162.75</v>
      </c>
      <c r="H91" s="295">
        <f>IF('BD Start'!H91=0,0,IF('BD Start'!H91-(-Actual!$H91)&lt;0,0,'BD Start'!H91-(-Actual!$H91)))</f>
        <v>136.83</v>
      </c>
      <c r="I91" s="295">
        <f>IF('BD Start'!I91=0,0,IF('BD Start'!I91-(-SUM(Actual!$O91:$P91))&lt;0,0,'BD Start'!I91-(-SUM(Actual!$O91:$P91))))</f>
        <v>154.21</v>
      </c>
      <c r="J91" s="295">
        <f>IF('BD Start'!J91=0,0,IF('BD Start'!J91-(-Actual!$AA91)&lt;0,0,'BD Start'!J91-(-Actual!$AA91)))</f>
        <v>0</v>
      </c>
      <c r="K91" s="295">
        <f>IF('BD Start'!K91=0,0,IF('BD Start'!K91-('DATA-CMD'!D91)&lt;0,0,'BD Start'!K91-('DATA-CMD'!D91)))</f>
        <v>0</v>
      </c>
      <c r="L91" s="295">
        <f>IF('BD Start'!L91=0,0,IF('BD Start'!L91-(Actual!$AB91)&lt;0,0,'BD Start'!L91-(Actual!$AB91)))</f>
        <v>0</v>
      </c>
      <c r="M91" s="295">
        <f>IF('BD Start'!M91&gt;0,IF(('BD Start'!M91-'DATA-CMD'!L91+TPCIL!O101)&gt;=125,125,IF(('BD Start'!M91-'DATA-CMD'!L91+TPCIL!O101)&lt;0,0,('BD Start'!M91-'DATA-CMD'!L91+TPCIL!O101))),0)</f>
        <v>0</v>
      </c>
      <c r="N91" s="295">
        <f>IF('BD Start'!N91=0,0,IF('BD Start'!N91-O91&lt;0,0,'BD Start'!N91-O91))</f>
        <v>0</v>
      </c>
      <c r="O91" s="299">
        <f>'DATA-CMD'!L91+TPCIL!E101+TPCIL!F101+TPCIL!G101+TPCIL!H101</f>
        <v>503.72</v>
      </c>
      <c r="P91" s="289">
        <f>'BD Start'!P91+'BD Start'!Q91-'DATA-CMD'!M91</f>
        <v>0</v>
      </c>
    </row>
    <row r="92" ht="23.25" spans="1:16">
      <c r="A92" s="293">
        <v>90</v>
      </c>
      <c r="B92" s="294" t="s">
        <v>103</v>
      </c>
      <c r="C92" s="295">
        <f>IF('BD Start'!C92=0,0,IF('BD Start'!C92-(-SUM(Actual!$I92:$J92))&lt;0,0,'BD Start'!C92-(-SUM(Actual!$I92:$J92))))</f>
        <v>59.94</v>
      </c>
      <c r="D92" s="295">
        <f>IF('BD Start'!D92=0,0,IF('BD Start'!D92-(-SUM(Actual!$K92:$L92))&lt;0,0,'BD Start'!D92-(-SUM(Actual!$K92:$L92))))</f>
        <v>151.88</v>
      </c>
      <c r="E92" s="295">
        <f>IF('BD Start'!E92=0,0,IF('BD Start'!E92-(-Actual!$M92)&lt;0,0,'BD Start'!E92-(-Actual!$M92)))</f>
        <v>66.16</v>
      </c>
      <c r="F92" s="295">
        <f>IF('BD Start'!F92=0,0,IF('BD Start'!F92-(-SUM(Actual!$B92:$G92))&lt;0,0,'BD Start'!F92-(-SUM(Actual!$B92:$G92))))</f>
        <v>56.25</v>
      </c>
      <c r="G92" s="295">
        <f>IF('BD Start'!G92=0,0,IF('BD Start'!G92-(-Actual!$N92)&lt;0,0,'BD Start'!G92-(-Actual!$N92)))</f>
        <v>154.15</v>
      </c>
      <c r="H92" s="295">
        <f>IF('BD Start'!H92=0,0,IF('BD Start'!H92-(-Actual!$H92)&lt;0,0,'BD Start'!H92-(-Actual!$H92)))</f>
        <v>164.4</v>
      </c>
      <c r="I92" s="295">
        <f>IF('BD Start'!I92=0,0,IF('BD Start'!I92-(-SUM(Actual!$O92:$P92))&lt;0,0,'BD Start'!I92-(-SUM(Actual!$O92:$P92))))</f>
        <v>222.73</v>
      </c>
      <c r="J92" s="295">
        <f>IF('BD Start'!J92=0,0,IF('BD Start'!J92-(-Actual!$AA92)&lt;0,0,'BD Start'!J92-(-Actual!$AA92)))</f>
        <v>0</v>
      </c>
      <c r="K92" s="295">
        <f>IF('BD Start'!K92=0,0,IF('BD Start'!K92-('DATA-CMD'!D92)&lt;0,0,'BD Start'!K92-('DATA-CMD'!D92)))</f>
        <v>0</v>
      </c>
      <c r="L92" s="295">
        <f>IF('BD Start'!L92=0,0,IF('BD Start'!L92-(Actual!$AB92)&lt;0,0,'BD Start'!L92-(Actual!$AB92)))</f>
        <v>0</v>
      </c>
      <c r="M92" s="295">
        <f>IF('BD Start'!M92&gt;0,IF(('BD Start'!M92-'DATA-CMD'!L92+TPCIL!O102)&gt;=125,125,IF(('BD Start'!M92-'DATA-CMD'!L92+TPCIL!O102)&lt;0,0,('BD Start'!M92-'DATA-CMD'!L92+TPCIL!O102))),0)</f>
        <v>0</v>
      </c>
      <c r="N92" s="295">
        <f>IF('BD Start'!N92=0,0,IF('BD Start'!N92-O92&lt;0,0,'BD Start'!N92-O92))</f>
        <v>0</v>
      </c>
      <c r="O92" s="299">
        <f>'DATA-CMD'!L92+TPCIL!E102+TPCIL!F102+TPCIL!G102+TPCIL!H102</f>
        <v>487.3</v>
      </c>
      <c r="P92" s="289">
        <f>'BD Start'!P92+'BD Start'!Q92-'DATA-CMD'!M92</f>
        <v>0</v>
      </c>
    </row>
    <row r="93" ht="23.25" spans="1:16">
      <c r="A93" s="293">
        <v>91</v>
      </c>
      <c r="B93" s="294" t="s">
        <v>104</v>
      </c>
      <c r="C93" s="295">
        <f>IF('BD Start'!C93=0,0,IF('BD Start'!C93-(-SUM(Actual!$I93:$J93))&lt;0,0,'BD Start'!C93-(-SUM(Actual!$I93:$J93))))</f>
        <v>55.87</v>
      </c>
      <c r="D93" s="295">
        <f>IF('BD Start'!D93=0,0,IF('BD Start'!D93-(-SUM(Actual!$K93:$L93))&lt;0,0,'BD Start'!D93-(-SUM(Actual!$K93:$L93))))</f>
        <v>151.55</v>
      </c>
      <c r="E93" s="295">
        <f>IF('BD Start'!E93=0,0,IF('BD Start'!E93-(-Actual!$M93)&lt;0,0,'BD Start'!E93-(-Actual!$M93)))</f>
        <v>64.09</v>
      </c>
      <c r="F93" s="295">
        <f>IF('BD Start'!F93=0,0,IF('BD Start'!F93-(-SUM(Actual!$B93:$G93))&lt;0,0,'BD Start'!F93-(-SUM(Actual!$B93:$G93))))</f>
        <v>59.3699999999999</v>
      </c>
      <c r="G93" s="295">
        <f>IF('BD Start'!G93=0,0,IF('BD Start'!G93-(-Actual!$N93)&lt;0,0,'BD Start'!G93-(-Actual!$N93)))</f>
        <v>155.07</v>
      </c>
      <c r="H93" s="295">
        <f>IF('BD Start'!H93=0,0,IF('BD Start'!H93-(-Actual!$H93)&lt;0,0,'BD Start'!H93-(-Actual!$H93)))</f>
        <v>171.28</v>
      </c>
      <c r="I93" s="295">
        <f>IF('BD Start'!I93=0,0,IF('BD Start'!I93-(-SUM(Actual!$O93:$P93))&lt;0,0,'BD Start'!I93-(-SUM(Actual!$O93:$P93))))</f>
        <v>214.02</v>
      </c>
      <c r="J93" s="295">
        <f>IF('BD Start'!J93=0,0,IF('BD Start'!J93-(-Actual!$AA93)&lt;0,0,'BD Start'!J93-(-Actual!$AA93)))</f>
        <v>0</v>
      </c>
      <c r="K93" s="295">
        <f>IF('BD Start'!K93=0,0,IF('BD Start'!K93-('DATA-CMD'!D93)&lt;0,0,'BD Start'!K93-('DATA-CMD'!D93)))</f>
        <v>0</v>
      </c>
      <c r="L93" s="295">
        <f>IF('BD Start'!L93=0,0,IF('BD Start'!L93-(Actual!$AB93)&lt;0,0,'BD Start'!L93-(Actual!$AB93)))</f>
        <v>0</v>
      </c>
      <c r="M93" s="295">
        <f>IF('BD Start'!M93&gt;0,IF(('BD Start'!M93-'DATA-CMD'!L93+TPCIL!O103)&gt;=125,125,IF(('BD Start'!M93-'DATA-CMD'!L93+TPCIL!O103)&lt;0,0,('BD Start'!M93-'DATA-CMD'!L93+TPCIL!O103))),0)</f>
        <v>0</v>
      </c>
      <c r="N93" s="295">
        <f>IF('BD Start'!N93=0,0,IF('BD Start'!N93-O93&lt;0,0,'BD Start'!N93-O93))</f>
        <v>0</v>
      </c>
      <c r="O93" s="299">
        <f>'DATA-CMD'!L93+TPCIL!E103+TPCIL!F103+TPCIL!G103+TPCIL!H103</f>
        <v>476.25</v>
      </c>
      <c r="P93" s="289">
        <f>'BD Start'!P93+'BD Start'!Q93-'DATA-CMD'!M93</f>
        <v>0</v>
      </c>
    </row>
    <row r="94" ht="23.25" spans="1:16">
      <c r="A94" s="293">
        <v>92</v>
      </c>
      <c r="B94" s="294" t="s">
        <v>105</v>
      </c>
      <c r="C94" s="295">
        <f>IF('BD Start'!C94=0,0,IF('BD Start'!C94-(-SUM(Actual!$I94:$J94))&lt;0,0,'BD Start'!C94-(-SUM(Actual!$I94:$J94))))</f>
        <v>60.5</v>
      </c>
      <c r="D94" s="295">
        <f>IF('BD Start'!D94=0,0,IF('BD Start'!D94-(-SUM(Actual!$K94:$L94))&lt;0,0,'BD Start'!D94-(-SUM(Actual!$K94:$L94))))</f>
        <v>151.91</v>
      </c>
      <c r="E94" s="295">
        <f>IF('BD Start'!E94=0,0,IF('BD Start'!E94-(-Actual!$M94)&lt;0,0,'BD Start'!E94-(-Actual!$M94)))</f>
        <v>63.37</v>
      </c>
      <c r="F94" s="295">
        <f>IF('BD Start'!F94=0,0,IF('BD Start'!F94-(-SUM(Actual!$B94:$G94))&lt;0,0,'BD Start'!F94-(-SUM(Actual!$B94:$G94))))</f>
        <v>56.0400000000002</v>
      </c>
      <c r="G94" s="295">
        <f>IF('BD Start'!G94=0,0,IF('BD Start'!G94-(-Actual!$N94)&lt;0,0,'BD Start'!G94-(-Actual!$N94)))</f>
        <v>157.63</v>
      </c>
      <c r="H94" s="295">
        <f>IF('BD Start'!H94=0,0,IF('BD Start'!H94-(-Actual!$H94)&lt;0,0,'BD Start'!H94-(-Actual!$H94)))</f>
        <v>167.41</v>
      </c>
      <c r="I94" s="295">
        <f>IF('BD Start'!I94=0,0,IF('BD Start'!I94-(-SUM(Actual!$O94:$P94))&lt;0,0,'BD Start'!I94-(-SUM(Actual!$O94:$P94))))</f>
        <v>220.09</v>
      </c>
      <c r="J94" s="295">
        <f>IF('BD Start'!J94=0,0,IF('BD Start'!J94-(-Actual!$AA94)&lt;0,0,'BD Start'!J94-(-Actual!$AA94)))</f>
        <v>0</v>
      </c>
      <c r="K94" s="295">
        <f>IF('BD Start'!K94=0,0,IF('BD Start'!K94-('DATA-CMD'!D94)&lt;0,0,'BD Start'!K94-('DATA-CMD'!D94)))</f>
        <v>72.28</v>
      </c>
      <c r="L94" s="295">
        <f>IF('BD Start'!L94=0,0,IF('BD Start'!L94-(Actual!$AB94)&lt;0,0,'BD Start'!L94-(Actual!$AB94)))</f>
        <v>0</v>
      </c>
      <c r="M94" s="295">
        <f>IF('BD Start'!M94&gt;0,IF(('BD Start'!M94-'DATA-CMD'!L94+TPCIL!O104)&gt;=125,125,IF(('BD Start'!M94-'DATA-CMD'!L94+TPCIL!O104)&lt;0,0,('BD Start'!M94-'DATA-CMD'!L94+TPCIL!O104))),0)</f>
        <v>0</v>
      </c>
      <c r="N94" s="295">
        <f>IF('BD Start'!N94=0,0,IF('BD Start'!N94-O94&lt;0,0,'BD Start'!N94-O94))</f>
        <v>0</v>
      </c>
      <c r="O94" s="299">
        <f>'DATA-CMD'!L94+TPCIL!E104+TPCIL!F104+TPCIL!G104+TPCIL!H104</f>
        <v>485.11</v>
      </c>
      <c r="P94" s="289">
        <f>'BD Start'!P94+'BD Start'!Q94-'DATA-CMD'!M94</f>
        <v>0</v>
      </c>
    </row>
    <row r="95" ht="23.25" spans="1:16">
      <c r="A95" s="293">
        <v>93</v>
      </c>
      <c r="B95" s="294" t="s">
        <v>106</v>
      </c>
      <c r="C95" s="295">
        <f>IF('BD Start'!C95=0,0,IF('BD Start'!C95-(-SUM(Actual!$I95:$J95))&lt;0,0,'BD Start'!C95-(-SUM(Actual!$I95:$J95))))</f>
        <v>60.68</v>
      </c>
      <c r="D95" s="295">
        <f>IF('BD Start'!D95=0,0,IF('BD Start'!D95-(-SUM(Actual!$K95:$L95))&lt;0,0,'BD Start'!D95-(-SUM(Actual!$K95:$L95))))</f>
        <v>154.29</v>
      </c>
      <c r="E95" s="295">
        <f>IF('BD Start'!E95=0,0,IF('BD Start'!E95-(-Actual!$M95)&lt;0,0,'BD Start'!E95-(-Actual!$M95)))</f>
        <v>62.95</v>
      </c>
      <c r="F95" s="295">
        <f>IF('BD Start'!F95=0,0,IF('BD Start'!F95-(-SUM(Actual!$B95:$G95))&lt;0,0,'BD Start'!F95-(-SUM(Actual!$B95:$G95))))</f>
        <v>56.9100000000001</v>
      </c>
      <c r="G95" s="295">
        <f>IF('BD Start'!G95=0,0,IF('BD Start'!G95-(-Actual!$N95)&lt;0,0,'BD Start'!G95-(-Actual!$N95)))</f>
        <v>154.19</v>
      </c>
      <c r="H95" s="295">
        <f>IF('BD Start'!H95=0,0,IF('BD Start'!H95-(-Actual!$H95)&lt;0,0,'BD Start'!H95-(-Actual!$H95)))</f>
        <v>168.41</v>
      </c>
      <c r="I95" s="295">
        <f>IF('BD Start'!I95=0,0,IF('BD Start'!I95-(-SUM(Actual!$O95:$P95))&lt;0,0,'BD Start'!I95-(-SUM(Actual!$O95:$P95))))</f>
        <v>345.54</v>
      </c>
      <c r="J95" s="295">
        <f>IF('BD Start'!J95=0,0,IF('BD Start'!J95-(-Actual!$AA95)&lt;0,0,'BD Start'!J95-(-Actual!$AA95)))</f>
        <v>0</v>
      </c>
      <c r="K95" s="295">
        <f>IF('BD Start'!K95=0,0,IF('BD Start'!K95-('DATA-CMD'!D95)&lt;0,0,'BD Start'!K95-('DATA-CMD'!D95)))</f>
        <v>153.79</v>
      </c>
      <c r="L95" s="295">
        <f>IF('BD Start'!L95=0,0,IF('BD Start'!L95-(Actual!$AB95)&lt;0,0,'BD Start'!L95-(Actual!$AB95)))</f>
        <v>0</v>
      </c>
      <c r="M95" s="295">
        <f>IF('BD Start'!M95&gt;0,IF(('BD Start'!M95-'DATA-CMD'!L95+TPCIL!O105)&gt;=125,125,IF(('BD Start'!M95-'DATA-CMD'!L95+TPCIL!O105)&lt;0,0,('BD Start'!M95-'DATA-CMD'!L95+TPCIL!O105))),0)</f>
        <v>0</v>
      </c>
      <c r="N95" s="295">
        <f>IF('BD Start'!N95=0,0,IF('BD Start'!N95-O95&lt;0,0,'BD Start'!N95-O95))</f>
        <v>0</v>
      </c>
      <c r="O95" s="299">
        <f>'DATA-CMD'!L95+TPCIL!E105+TPCIL!F105+TPCIL!G105+TPCIL!H105</f>
        <v>490.03</v>
      </c>
      <c r="P95" s="289">
        <f>'BD Start'!P95+'BD Start'!Q95-'DATA-CMD'!M95</f>
        <v>0</v>
      </c>
    </row>
    <row r="96" ht="23.25" spans="1:16">
      <c r="A96" s="293">
        <v>94</v>
      </c>
      <c r="B96" s="294" t="s">
        <v>107</v>
      </c>
      <c r="C96" s="295">
        <f>IF('BD Start'!C96=0,0,IF('BD Start'!C96-(-SUM(Actual!$I96:$J96))&lt;0,0,'BD Start'!C96-(-SUM(Actual!$I96:$J96))))</f>
        <v>66.78</v>
      </c>
      <c r="D96" s="295">
        <f>IF('BD Start'!D96=0,0,IF('BD Start'!D96-(-SUM(Actual!$K96:$L96))&lt;0,0,'BD Start'!D96-(-SUM(Actual!$K96:$L96))))</f>
        <v>153.56</v>
      </c>
      <c r="E96" s="295">
        <f>IF('BD Start'!E96=0,0,IF('BD Start'!E96-(-Actual!$M96)&lt;0,0,'BD Start'!E96-(-Actual!$M96)))</f>
        <v>63.47</v>
      </c>
      <c r="F96" s="295">
        <f>IF('BD Start'!F96=0,0,IF('BD Start'!F96-(-SUM(Actual!$B96:$G96))&lt;0,0,'BD Start'!F96-(-SUM(Actual!$B96:$G96))))</f>
        <v>63.3099999999999</v>
      </c>
      <c r="G96" s="295">
        <f>IF('BD Start'!G96=0,0,IF('BD Start'!G96-(-Actual!$N96)&lt;0,0,'BD Start'!G96-(-Actual!$N96)))</f>
        <v>157.53</v>
      </c>
      <c r="H96" s="295">
        <f>IF('BD Start'!H96=0,0,IF('BD Start'!H96-(-Actual!$H96)&lt;0,0,'BD Start'!H96-(-Actual!$H96)))</f>
        <v>170.52</v>
      </c>
      <c r="I96" s="295">
        <f>IF('BD Start'!I96=0,0,IF('BD Start'!I96-(-SUM(Actual!$O96:$P96))&lt;0,0,'BD Start'!I96-(-SUM(Actual!$O96:$P96))))</f>
        <v>398.94</v>
      </c>
      <c r="J96" s="295">
        <f>IF('BD Start'!J96=0,0,IF('BD Start'!J96-(-Actual!$AA96)&lt;0,0,'BD Start'!J96-(-Actual!$AA96)))</f>
        <v>0</v>
      </c>
      <c r="K96" s="295">
        <f>IF('BD Start'!K96=0,0,IF('BD Start'!K96-('DATA-CMD'!D96)&lt;0,0,'BD Start'!K96-('DATA-CMD'!D96)))</f>
        <v>204.26</v>
      </c>
      <c r="L96" s="295">
        <f>IF('BD Start'!L96=0,0,IF('BD Start'!L96-(Actual!$AB96)&lt;0,0,'BD Start'!L96-(Actual!$AB96)))</f>
        <v>0</v>
      </c>
      <c r="M96" s="295">
        <f>IF('BD Start'!M96&gt;0,IF(('BD Start'!M96-'DATA-CMD'!L96+TPCIL!O106)&gt;=125,125,IF(('BD Start'!M96-'DATA-CMD'!L96+TPCIL!O106)&lt;0,0,('BD Start'!M96-'DATA-CMD'!L96+TPCIL!O106))),0)</f>
        <v>0</v>
      </c>
      <c r="N96" s="295">
        <f>IF('BD Start'!N96=0,0,IF('BD Start'!N96-O96&lt;0,0,'BD Start'!N96-O96))</f>
        <v>0</v>
      </c>
      <c r="O96" s="299">
        <f>'DATA-CMD'!L96+TPCIL!E106+TPCIL!F106+TPCIL!G106+TPCIL!H106</f>
        <v>473.19</v>
      </c>
      <c r="P96" s="289">
        <f>'BD Start'!P96+'BD Start'!Q96-'DATA-CMD'!M96</f>
        <v>0</v>
      </c>
    </row>
    <row r="97" ht="23.25" spans="1:16">
      <c r="A97" s="293">
        <v>95</v>
      </c>
      <c r="B97" s="294" t="s">
        <v>108</v>
      </c>
      <c r="C97" s="295">
        <f>IF('BD Start'!C97=0,0,IF('BD Start'!C97-(-SUM(Actual!$I97:$J97))&lt;0,0,'BD Start'!C97-(-SUM(Actual!$I97:$J97))))</f>
        <v>61.15</v>
      </c>
      <c r="D97" s="295">
        <f>IF('BD Start'!D97=0,0,IF('BD Start'!D97-(-SUM(Actual!$K97:$L97))&lt;0,0,'BD Start'!D97-(-SUM(Actual!$K97:$L97))))</f>
        <v>152.84</v>
      </c>
      <c r="E97" s="295">
        <f>IF('BD Start'!E97=0,0,IF('BD Start'!E97-(-Actual!$M97)&lt;0,0,'BD Start'!E97-(-Actual!$M97)))</f>
        <v>63.91</v>
      </c>
      <c r="F97" s="295">
        <f>IF('BD Start'!F97=0,0,IF('BD Start'!F97-(-SUM(Actual!$B97:$G97))&lt;0,0,'BD Start'!F97-(-SUM(Actual!$B97:$G97))))</f>
        <v>69.2500000000001</v>
      </c>
      <c r="G97" s="295">
        <f>IF('BD Start'!G97=0,0,IF('BD Start'!G97-(-Actual!$N97)&lt;0,0,'BD Start'!G97-(-Actual!$N97)))</f>
        <v>153.77</v>
      </c>
      <c r="H97" s="295">
        <f>IF('BD Start'!H97=0,0,IF('BD Start'!H97-(-Actual!$H97)&lt;0,0,'BD Start'!H97-(-Actual!$H97)))</f>
        <v>171.51</v>
      </c>
      <c r="I97" s="295">
        <f>IF('BD Start'!I97=0,0,IF('BD Start'!I97-(-SUM(Actual!$O97:$P97))&lt;0,0,'BD Start'!I97-(-SUM(Actual!$O97:$P97))))</f>
        <v>387.06</v>
      </c>
      <c r="J97" s="295">
        <f>IF('BD Start'!J97=0,0,IF('BD Start'!J97-(-Actual!$AA97)&lt;0,0,'BD Start'!J97-(-Actual!$AA97)))</f>
        <v>0</v>
      </c>
      <c r="K97" s="295">
        <f>IF('BD Start'!K97=0,0,IF('BD Start'!K97-('DATA-CMD'!D97)&lt;0,0,'BD Start'!K97-('DATA-CMD'!D97)))</f>
        <v>204.29</v>
      </c>
      <c r="L97" s="295">
        <f>IF('BD Start'!L97=0,0,IF('BD Start'!L97-(Actual!$AB97)&lt;0,0,'BD Start'!L97-(Actual!$AB97)))</f>
        <v>0</v>
      </c>
      <c r="M97" s="295">
        <f>IF('BD Start'!M97&gt;0,IF(('BD Start'!M97-'DATA-CMD'!L97+TPCIL!O107)&gt;=125,125,IF(('BD Start'!M97-'DATA-CMD'!L97+TPCIL!O107)&lt;0,0,('BD Start'!M97-'DATA-CMD'!L97+TPCIL!O107))),0)</f>
        <v>0</v>
      </c>
      <c r="N97" s="295">
        <f>IF('BD Start'!N97=0,0,IF('BD Start'!N97-O97&lt;0,0,'BD Start'!N97-O97))</f>
        <v>0</v>
      </c>
      <c r="O97" s="299">
        <f>'DATA-CMD'!L97+TPCIL!E107+TPCIL!F107+TPCIL!G107+TPCIL!H107</f>
        <v>499.95</v>
      </c>
      <c r="P97" s="289">
        <f>'BD Start'!P97+'BD Start'!Q97-'DATA-CMD'!M97</f>
        <v>0</v>
      </c>
    </row>
    <row r="98" ht="23.25" spans="1:16">
      <c r="A98" s="293">
        <v>96</v>
      </c>
      <c r="B98" s="294" t="s">
        <v>109</v>
      </c>
      <c r="C98" s="295">
        <f>IF('BD Start'!C98=0,0,IF('BD Start'!C98-(-SUM(Actual!$I98:$J98))&lt;0,0,'BD Start'!C98-(-SUM(Actual!$I98:$J98))))</f>
        <v>63.89</v>
      </c>
      <c r="D98" s="295">
        <f>IF('BD Start'!D98=0,0,IF('BD Start'!D98-(-SUM(Actual!$K98:$L98))&lt;0,0,'BD Start'!D98-(-SUM(Actual!$K98:$L98))))</f>
        <v>151.62</v>
      </c>
      <c r="E98" s="295">
        <f>IF('BD Start'!E98=0,0,IF('BD Start'!E98-(-Actual!$M98)&lt;0,0,'BD Start'!E98-(-Actual!$M98)))</f>
        <v>64.74</v>
      </c>
      <c r="F98" s="295">
        <f>IF('BD Start'!F98=0,0,IF('BD Start'!F98-(-SUM(Actual!$B98:$G98))&lt;0,0,'BD Start'!F98-(-SUM(Actual!$B98:$G98))))</f>
        <v>72.8</v>
      </c>
      <c r="G98" s="295">
        <f>IF('BD Start'!G98=0,0,IF('BD Start'!G98-(-Actual!$N98)&lt;0,0,'BD Start'!G98-(-Actual!$N98)))</f>
        <v>153.73</v>
      </c>
      <c r="H98" s="295">
        <f>IF('BD Start'!H98=0,0,IF('BD Start'!H98-(-Actual!$H98)&lt;0,0,'BD Start'!H98-(-Actual!$H98)))</f>
        <v>164.3</v>
      </c>
      <c r="I98" s="295">
        <f>IF('BD Start'!I98=0,0,IF('BD Start'!I98-(-SUM(Actual!$O98:$P98))&lt;0,0,'BD Start'!I98-(-SUM(Actual!$O98:$P98))))</f>
        <v>386.01</v>
      </c>
      <c r="J98" s="295">
        <f>IF('BD Start'!J98=0,0,IF('BD Start'!J98-(-Actual!$AA98)&lt;0,0,'BD Start'!J98-(-Actual!$AA98)))</f>
        <v>0</v>
      </c>
      <c r="K98" s="295">
        <f>IF('BD Start'!K98=0,0,IF('BD Start'!K98-('DATA-CMD'!D98)&lt;0,0,'BD Start'!K98-('DATA-CMD'!D98)))</f>
        <v>205.93</v>
      </c>
      <c r="L98" s="295">
        <f>IF('BD Start'!L98=0,0,IF('BD Start'!L98-(Actual!$AB98)&lt;0,0,'BD Start'!L98-(Actual!$AB98)))</f>
        <v>0</v>
      </c>
      <c r="M98" s="295">
        <f>IF('BD Start'!M98&gt;0,IF(('BD Start'!M98-'DATA-CMD'!L98+TPCIL!O108)&gt;=125,125,IF(('BD Start'!M98-'DATA-CMD'!L98+TPCIL!O108)&lt;0,0,('BD Start'!M98-'DATA-CMD'!L98+TPCIL!O108))),0)</f>
        <v>0</v>
      </c>
      <c r="N98" s="295">
        <f>IF('BD Start'!N98=0,0,IF('BD Start'!N98-O98&lt;0,0,'BD Start'!N98-O98))</f>
        <v>0</v>
      </c>
      <c r="O98" s="299">
        <f>'DATA-CMD'!L98+TPCIL!E108+TPCIL!F108+TPCIL!G108+TPCIL!H108</f>
        <v>500.38</v>
      </c>
      <c r="P98" s="289">
        <f>'BD Start'!P98+'BD Start'!Q98-'DATA-CMD'!M98</f>
        <v>0</v>
      </c>
    </row>
    <row r="99" ht="23.25" spans="1:13">
      <c r="A99" s="300"/>
      <c r="B99" s="301"/>
      <c r="C99" s="302"/>
      <c r="D99" s="302"/>
      <c r="E99" s="302"/>
      <c r="F99" s="302"/>
      <c r="G99" s="302"/>
      <c r="H99" s="295"/>
      <c r="I99" s="302"/>
      <c r="J99" s="302"/>
      <c r="K99" s="302"/>
      <c r="L99" s="302"/>
      <c r="M99" s="295"/>
    </row>
    <row r="100" ht="25.5" spans="1:14">
      <c r="A100" s="293"/>
      <c r="B100" s="303" t="s">
        <v>130</v>
      </c>
      <c r="C100" s="304">
        <f t="shared" ref="C100:N100" si="0">SUM(C3:C98)/4000</f>
        <v>0.90982</v>
      </c>
      <c r="D100" s="304">
        <f t="shared" si="0"/>
        <v>2.7461925</v>
      </c>
      <c r="E100" s="304">
        <f t="shared" si="0"/>
        <v>1.1214475</v>
      </c>
      <c r="F100" s="304">
        <f t="shared" si="0"/>
        <v>0.3124825</v>
      </c>
      <c r="G100" s="304">
        <f t="shared" si="0"/>
        <v>1.8928125</v>
      </c>
      <c r="H100" s="304">
        <f t="shared" si="0"/>
        <v>2.6170925</v>
      </c>
      <c r="I100" s="304">
        <f t="shared" si="0"/>
        <v>4.4243425</v>
      </c>
      <c r="J100" s="304">
        <f t="shared" si="0"/>
        <v>0</v>
      </c>
      <c r="K100" s="304">
        <f t="shared" si="0"/>
        <v>1.2841425</v>
      </c>
      <c r="L100" s="304">
        <f t="shared" si="0"/>
        <v>0.68448</v>
      </c>
      <c r="M100" s="304">
        <f t="shared" si="0"/>
        <v>0</v>
      </c>
      <c r="N100" s="304">
        <f t="shared" si="0"/>
        <v>0.34669</v>
      </c>
    </row>
    <row r="102" ht="21" customHeight="1" spans="3:9">
      <c r="C102" s="305"/>
      <c r="D102" s="306"/>
      <c r="E102" s="307">
        <f>SUM('BD&amp;LR'!C3:C98)/4000</f>
        <v>14.70867</v>
      </c>
      <c r="I102" s="312"/>
    </row>
    <row r="103" ht="21" spans="3:13">
      <c r="C103" s="308"/>
      <c r="D103" s="306"/>
      <c r="E103" s="307">
        <f>SUM('BD&amp;LR'!D3:D98)/4000</f>
        <v>9.02326772375</v>
      </c>
      <c r="M103" s="312"/>
    </row>
    <row r="104" ht="21" spans="3:5">
      <c r="C104" s="308"/>
      <c r="D104" s="306"/>
      <c r="E104" s="307">
        <f>SUM(E102:E103)</f>
        <v>23.73193772375</v>
      </c>
    </row>
    <row r="106" ht="21" spans="3:5">
      <c r="C106" s="309"/>
      <c r="D106" s="306"/>
      <c r="E106" s="307"/>
    </row>
    <row r="109" ht="18" spans="2:14">
      <c r="B109" s="310" t="s">
        <v>115</v>
      </c>
      <c r="C109" s="311">
        <f t="shared" ref="C109:N109" si="1">MIN(C3:C98)</f>
        <v>0</v>
      </c>
      <c r="D109" s="311">
        <f t="shared" si="1"/>
        <v>0</v>
      </c>
      <c r="E109" s="311">
        <f t="shared" si="1"/>
        <v>0</v>
      </c>
      <c r="F109" s="311">
        <f t="shared" si="1"/>
        <v>0</v>
      </c>
      <c r="G109" s="311">
        <f t="shared" si="1"/>
        <v>0</v>
      </c>
      <c r="H109" s="311">
        <f t="shared" si="1"/>
        <v>0</v>
      </c>
      <c r="I109" s="311">
        <f t="shared" si="1"/>
        <v>0</v>
      </c>
      <c r="J109" s="311">
        <f t="shared" si="1"/>
        <v>0</v>
      </c>
      <c r="K109" s="311">
        <f t="shared" si="1"/>
        <v>0</v>
      </c>
      <c r="L109" s="311">
        <f t="shared" si="1"/>
        <v>0</v>
      </c>
      <c r="M109" s="311">
        <f t="shared" si="1"/>
        <v>0</v>
      </c>
      <c r="N109" s="311">
        <f t="shared" si="1"/>
        <v>0</v>
      </c>
    </row>
    <row r="110" ht="18" spans="2:14">
      <c r="B110" s="310" t="s">
        <v>116</v>
      </c>
      <c r="C110" s="311">
        <f t="shared" ref="C110:N110" si="2">MAX(C3:C98)</f>
        <v>75.48</v>
      </c>
      <c r="D110" s="311">
        <f t="shared" si="2"/>
        <v>174.39</v>
      </c>
      <c r="E110" s="311">
        <f t="shared" si="2"/>
        <v>71.86</v>
      </c>
      <c r="F110" s="311">
        <f t="shared" si="2"/>
        <v>72.8</v>
      </c>
      <c r="G110" s="311">
        <f t="shared" si="2"/>
        <v>162.75</v>
      </c>
      <c r="H110" s="311">
        <f t="shared" si="2"/>
        <v>225.31</v>
      </c>
      <c r="I110" s="311">
        <f t="shared" si="2"/>
        <v>621.88</v>
      </c>
      <c r="J110" s="311">
        <f t="shared" si="2"/>
        <v>0</v>
      </c>
      <c r="K110" s="311">
        <f t="shared" si="2"/>
        <v>208.06</v>
      </c>
      <c r="L110" s="311">
        <f t="shared" si="2"/>
        <v>268.34</v>
      </c>
      <c r="M110" s="311">
        <f t="shared" si="2"/>
        <v>0</v>
      </c>
      <c r="N110" s="311">
        <f t="shared" si="2"/>
        <v>157.48</v>
      </c>
    </row>
    <row r="113" spans="3:11">
      <c r="C113" s="312">
        <f>+C100+E100+H100+D100</f>
        <v>7.3945525</v>
      </c>
      <c r="D113" s="312"/>
      <c r="E113" s="312">
        <f>J100+L100</f>
        <v>0.68448</v>
      </c>
      <c r="K113" s="312" t="e">
        <f>J100+#REF!+L100</f>
        <v>#REF!</v>
      </c>
    </row>
    <row r="118" ht="18.75" spans="2:4">
      <c r="B118" s="7" t="s">
        <v>131</v>
      </c>
      <c r="C118" s="313" t="str">
        <f>'IND-GEN'!X3</f>
        <v>12/01/2026</v>
      </c>
      <c r="D118" s="313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7" t="s">
        <v>135</v>
      </c>
      <c r="C120" s="314">
        <f>C100+G100+D100+E100</f>
        <v>6.6702725</v>
      </c>
      <c r="D120" s="314">
        <f>(0)*24/1000</f>
        <v>0</v>
      </c>
    </row>
    <row r="121" ht="18.75" spans="2:4">
      <c r="B121" s="107" t="s">
        <v>136</v>
      </c>
      <c r="C121" s="314">
        <f>H100+F100+L100</f>
        <v>3.614055</v>
      </c>
      <c r="D121" s="314">
        <f>('BD Start'!H99)*24/1000</f>
        <v>0</v>
      </c>
    </row>
    <row r="122" ht="18.75" spans="2:4">
      <c r="B122" s="107" t="s">
        <v>137</v>
      </c>
      <c r="C122" s="314">
        <f>I100+J100</f>
        <v>4.4243425</v>
      </c>
      <c r="D122" s="314">
        <v>0</v>
      </c>
    </row>
    <row r="123" ht="18.75" spans="2:4">
      <c r="B123" s="7" t="s">
        <v>138</v>
      </c>
      <c r="C123" s="315">
        <f>SUM(C120:C122)</f>
        <v>14.70867</v>
      </c>
      <c r="D123" s="315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99"/>
  <sheetViews>
    <sheetView zoomScale="80" zoomScaleNormal="80" workbookViewId="0">
      <pane xSplit="2" ySplit="2" topLeftCell="C76" activePane="bottomRight" state="frozen"/>
      <selection/>
      <selection pane="topRight"/>
      <selection pane="bottomLeft"/>
      <selection pane="bottomRight" activeCell="I50" sqref="I50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69" customWidth="1"/>
    <col min="4" max="4" width="20.8857142857143" style="269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4"/>
    </row>
    <row r="2" ht="42.75" customHeight="1" spans="1:17">
      <c r="A2" s="271" t="s">
        <v>0</v>
      </c>
      <c r="B2" s="272" t="s">
        <v>1</v>
      </c>
      <c r="C2" s="273" t="s">
        <v>117</v>
      </c>
      <c r="D2" s="273" t="s">
        <v>118</v>
      </c>
      <c r="E2" s="274" t="s">
        <v>119</v>
      </c>
      <c r="F2" s="275" t="s">
        <v>120</v>
      </c>
      <c r="G2" s="274" t="s">
        <v>121</v>
      </c>
      <c r="H2" s="274" t="s">
        <v>122</v>
      </c>
      <c r="I2" s="274" t="s">
        <v>123</v>
      </c>
      <c r="J2" s="274" t="s">
        <v>124</v>
      </c>
      <c r="K2" s="274" t="s">
        <v>125</v>
      </c>
      <c r="L2" s="274" t="s">
        <v>126</v>
      </c>
      <c r="M2" s="274" t="s">
        <v>139</v>
      </c>
      <c r="N2" s="274" t="s">
        <v>140</v>
      </c>
      <c r="P2" s="275" t="s">
        <v>141</v>
      </c>
      <c r="Q2" s="275" t="s">
        <v>142</v>
      </c>
    </row>
    <row r="3" ht="23.25" spans="1:23">
      <c r="A3" s="272">
        <v>1</v>
      </c>
      <c r="B3" s="276" t="s">
        <v>14</v>
      </c>
      <c r="C3" s="277">
        <v>336</v>
      </c>
      <c r="D3" s="277">
        <v>403</v>
      </c>
      <c r="E3" s="277">
        <v>194</v>
      </c>
      <c r="F3" s="277">
        <v>578</v>
      </c>
      <c r="G3" s="277">
        <v>441</v>
      </c>
      <c r="H3" s="277">
        <v>460</v>
      </c>
      <c r="I3" s="277">
        <v>1430</v>
      </c>
      <c r="J3" s="277"/>
      <c r="K3" s="277">
        <v>750</v>
      </c>
      <c r="L3" s="277"/>
      <c r="M3" s="277"/>
      <c r="N3" s="277"/>
      <c r="V3" s="159">
        <v>0</v>
      </c>
      <c r="W3" s="159">
        <f t="shared" ref="W3:W42" si="0">N3+V3</f>
        <v>0</v>
      </c>
    </row>
    <row r="4" ht="23.25" spans="1:23">
      <c r="A4" s="272">
        <v>2</v>
      </c>
      <c r="B4" s="276" t="s">
        <v>15</v>
      </c>
      <c r="C4" s="277">
        <v>336</v>
      </c>
      <c r="D4" s="277">
        <v>403</v>
      </c>
      <c r="E4" s="277">
        <v>194</v>
      </c>
      <c r="F4" s="277">
        <v>578</v>
      </c>
      <c r="G4" s="277">
        <v>441</v>
      </c>
      <c r="H4" s="277">
        <v>460</v>
      </c>
      <c r="I4" s="277">
        <v>1430</v>
      </c>
      <c r="J4" s="277"/>
      <c r="K4" s="277">
        <v>750</v>
      </c>
      <c r="L4" s="277"/>
      <c r="M4" s="277"/>
      <c r="N4" s="277"/>
      <c r="V4" s="159">
        <v>0</v>
      </c>
      <c r="W4" s="159">
        <f t="shared" si="0"/>
        <v>0</v>
      </c>
    </row>
    <row r="5" ht="23.25" spans="1:26">
      <c r="A5" s="272">
        <v>3</v>
      </c>
      <c r="B5" s="276" t="s">
        <v>16</v>
      </c>
      <c r="C5" s="277">
        <v>336</v>
      </c>
      <c r="D5" s="277">
        <v>403</v>
      </c>
      <c r="E5" s="277">
        <v>194</v>
      </c>
      <c r="F5" s="277">
        <v>578</v>
      </c>
      <c r="G5" s="277">
        <v>441</v>
      </c>
      <c r="H5" s="277">
        <v>460</v>
      </c>
      <c r="I5" s="277">
        <v>1430</v>
      </c>
      <c r="J5" s="277"/>
      <c r="K5" s="277">
        <v>750</v>
      </c>
      <c r="L5" s="277"/>
      <c r="M5" s="277"/>
      <c r="N5" s="277"/>
      <c r="V5" s="159">
        <v>0</v>
      </c>
      <c r="W5" s="159">
        <f t="shared" si="0"/>
        <v>0</v>
      </c>
      <c r="Y5" s="1">
        <v>-24.62</v>
      </c>
      <c r="Z5" s="1">
        <f>K5-Y5</f>
        <v>774.62</v>
      </c>
    </row>
    <row r="6" ht="23.25" spans="1:26">
      <c r="A6" s="272">
        <v>4</v>
      </c>
      <c r="B6" s="276" t="s">
        <v>17</v>
      </c>
      <c r="C6" s="277">
        <v>336</v>
      </c>
      <c r="D6" s="277">
        <v>403</v>
      </c>
      <c r="E6" s="277">
        <v>194</v>
      </c>
      <c r="F6" s="277">
        <v>578</v>
      </c>
      <c r="G6" s="277">
        <v>441</v>
      </c>
      <c r="H6" s="277">
        <v>460</v>
      </c>
      <c r="I6" s="277">
        <v>1430</v>
      </c>
      <c r="J6" s="277"/>
      <c r="K6" s="277">
        <v>750</v>
      </c>
      <c r="L6" s="277"/>
      <c r="M6" s="277"/>
      <c r="N6" s="277"/>
      <c r="U6" s="1">
        <f>F6-T6</f>
        <v>578</v>
      </c>
      <c r="V6" s="159">
        <v>0</v>
      </c>
      <c r="W6" s="159">
        <f t="shared" si="0"/>
        <v>0</v>
      </c>
      <c r="Y6" s="1">
        <v>-86.7</v>
      </c>
      <c r="Z6" s="1">
        <f t="shared" ref="Z6:Z11" si="1">K6-Y6</f>
        <v>836.7</v>
      </c>
    </row>
    <row r="7" ht="24" customHeight="1" spans="1:26">
      <c r="A7" s="272">
        <v>5</v>
      </c>
      <c r="B7" s="276" t="s">
        <v>18</v>
      </c>
      <c r="C7" s="277">
        <v>336</v>
      </c>
      <c r="D7" s="277">
        <v>403</v>
      </c>
      <c r="E7" s="277">
        <v>194</v>
      </c>
      <c r="F7" s="277">
        <v>578</v>
      </c>
      <c r="G7" s="277">
        <v>441</v>
      </c>
      <c r="H7" s="277">
        <v>460</v>
      </c>
      <c r="I7" s="277">
        <v>1430</v>
      </c>
      <c r="J7" s="277"/>
      <c r="K7" s="277">
        <v>750</v>
      </c>
      <c r="L7" s="277"/>
      <c r="M7" s="277"/>
      <c r="N7" s="277"/>
      <c r="U7" s="1">
        <f>F7-T7</f>
        <v>578</v>
      </c>
      <c r="V7" s="159">
        <v>0</v>
      </c>
      <c r="W7" s="159">
        <f t="shared" si="0"/>
        <v>0</v>
      </c>
      <c r="Y7" s="1">
        <v>-127.42</v>
      </c>
      <c r="Z7" s="1">
        <f t="shared" si="1"/>
        <v>877.42</v>
      </c>
    </row>
    <row r="8" ht="23.25" spans="1:26">
      <c r="A8" s="272">
        <v>6</v>
      </c>
      <c r="B8" s="276" t="s">
        <v>19</v>
      </c>
      <c r="C8" s="277">
        <v>336</v>
      </c>
      <c r="D8" s="277">
        <v>403</v>
      </c>
      <c r="E8" s="277">
        <v>194</v>
      </c>
      <c r="F8" s="277">
        <v>578</v>
      </c>
      <c r="G8" s="277">
        <v>441</v>
      </c>
      <c r="H8" s="277">
        <v>460</v>
      </c>
      <c r="I8" s="277">
        <v>1430</v>
      </c>
      <c r="J8" s="277"/>
      <c r="K8" s="277">
        <v>750</v>
      </c>
      <c r="L8" s="277"/>
      <c r="M8" s="277"/>
      <c r="N8" s="277">
        <v>502</v>
      </c>
      <c r="U8" s="1">
        <f>F8-T8</f>
        <v>578</v>
      </c>
      <c r="V8" s="159">
        <v>0</v>
      </c>
      <c r="W8" s="159">
        <f t="shared" si="0"/>
        <v>502</v>
      </c>
      <c r="Y8" s="1">
        <v>-184.64</v>
      </c>
      <c r="Z8" s="1">
        <f t="shared" si="1"/>
        <v>934.64</v>
      </c>
    </row>
    <row r="9" ht="23.25" spans="1:26">
      <c r="A9" s="272">
        <v>7</v>
      </c>
      <c r="B9" s="276" t="s">
        <v>20</v>
      </c>
      <c r="C9" s="277">
        <v>336</v>
      </c>
      <c r="D9" s="277">
        <v>403</v>
      </c>
      <c r="E9" s="277">
        <v>194</v>
      </c>
      <c r="F9" s="277">
        <v>578</v>
      </c>
      <c r="G9" s="277">
        <v>441</v>
      </c>
      <c r="H9" s="277">
        <v>460</v>
      </c>
      <c r="I9" s="277">
        <v>1430</v>
      </c>
      <c r="J9" s="277"/>
      <c r="K9" s="277">
        <v>750</v>
      </c>
      <c r="L9" s="277">
        <v>671</v>
      </c>
      <c r="M9" s="277"/>
      <c r="N9" s="277">
        <v>502</v>
      </c>
      <c r="U9" s="1">
        <f>F9-T9</f>
        <v>578</v>
      </c>
      <c r="V9" s="159">
        <v>0</v>
      </c>
      <c r="W9" s="159">
        <f t="shared" si="0"/>
        <v>502</v>
      </c>
      <c r="Y9" s="1">
        <v>-190.22</v>
      </c>
      <c r="Z9" s="1">
        <f t="shared" si="1"/>
        <v>940.22</v>
      </c>
    </row>
    <row r="10" ht="23.25" spans="1:26">
      <c r="A10" s="272">
        <v>8</v>
      </c>
      <c r="B10" s="276" t="s">
        <v>21</v>
      </c>
      <c r="C10" s="277">
        <v>336</v>
      </c>
      <c r="D10" s="277">
        <v>403</v>
      </c>
      <c r="E10" s="277">
        <v>194</v>
      </c>
      <c r="F10" s="277">
        <v>578</v>
      </c>
      <c r="G10" s="277">
        <v>441</v>
      </c>
      <c r="H10" s="277">
        <v>460</v>
      </c>
      <c r="I10" s="277">
        <v>1430</v>
      </c>
      <c r="J10" s="277"/>
      <c r="K10" s="277">
        <v>750</v>
      </c>
      <c r="L10" s="277">
        <v>671</v>
      </c>
      <c r="M10" s="277"/>
      <c r="N10" s="277">
        <v>502</v>
      </c>
      <c r="V10" s="159">
        <v>0</v>
      </c>
      <c r="W10" s="159">
        <f t="shared" si="0"/>
        <v>502</v>
      </c>
      <c r="Y10" s="1">
        <v>-234.36</v>
      </c>
      <c r="Z10" s="1">
        <f t="shared" si="1"/>
        <v>984.36</v>
      </c>
    </row>
    <row r="11" ht="23.25" spans="1:26">
      <c r="A11" s="272">
        <v>9</v>
      </c>
      <c r="B11" s="276" t="s">
        <v>22</v>
      </c>
      <c r="C11" s="277">
        <v>336</v>
      </c>
      <c r="D11" s="277">
        <v>403</v>
      </c>
      <c r="E11" s="277">
        <v>194</v>
      </c>
      <c r="F11" s="277">
        <v>578</v>
      </c>
      <c r="G11" s="277">
        <v>441</v>
      </c>
      <c r="H11" s="277">
        <v>460</v>
      </c>
      <c r="I11" s="277">
        <v>1430</v>
      </c>
      <c r="J11" s="277"/>
      <c r="K11" s="277">
        <v>750</v>
      </c>
      <c r="L11" s="277">
        <v>671</v>
      </c>
      <c r="M11" s="277"/>
      <c r="N11" s="277">
        <v>502</v>
      </c>
      <c r="V11" s="159">
        <v>0</v>
      </c>
      <c r="W11" s="159">
        <f t="shared" si="0"/>
        <v>502</v>
      </c>
      <c r="Y11" s="1">
        <v>-246.05</v>
      </c>
      <c r="Z11" s="1">
        <f t="shared" si="1"/>
        <v>996.05</v>
      </c>
    </row>
    <row r="12" ht="23.25" spans="1:25">
      <c r="A12" s="272">
        <v>10</v>
      </c>
      <c r="B12" s="276" t="s">
        <v>23</v>
      </c>
      <c r="C12" s="277">
        <v>336</v>
      </c>
      <c r="D12" s="277">
        <v>403</v>
      </c>
      <c r="E12" s="277">
        <v>194</v>
      </c>
      <c r="F12" s="277">
        <v>578</v>
      </c>
      <c r="G12" s="277">
        <v>441</v>
      </c>
      <c r="H12" s="277">
        <v>460</v>
      </c>
      <c r="I12" s="277">
        <v>1430</v>
      </c>
      <c r="J12" s="277"/>
      <c r="K12" s="277">
        <v>750</v>
      </c>
      <c r="L12" s="277">
        <v>671</v>
      </c>
      <c r="M12" s="277"/>
      <c r="N12" s="277">
        <v>502</v>
      </c>
      <c r="V12" s="159">
        <v>0</v>
      </c>
      <c r="W12" s="159">
        <f t="shared" si="0"/>
        <v>502</v>
      </c>
      <c r="Y12" s="1">
        <v>-246.39</v>
      </c>
    </row>
    <row r="13" ht="23.25" spans="1:25">
      <c r="A13" s="272">
        <v>11</v>
      </c>
      <c r="B13" s="276" t="s">
        <v>24</v>
      </c>
      <c r="C13" s="277">
        <v>336</v>
      </c>
      <c r="D13" s="277">
        <v>403</v>
      </c>
      <c r="E13" s="277">
        <v>194</v>
      </c>
      <c r="F13" s="277">
        <v>578</v>
      </c>
      <c r="G13" s="277">
        <v>441</v>
      </c>
      <c r="H13" s="277">
        <v>460</v>
      </c>
      <c r="I13" s="277">
        <v>1430</v>
      </c>
      <c r="J13" s="277"/>
      <c r="K13" s="277">
        <v>750</v>
      </c>
      <c r="L13" s="277">
        <v>671</v>
      </c>
      <c r="M13" s="277"/>
      <c r="N13" s="277">
        <v>502</v>
      </c>
      <c r="V13" s="159">
        <v>0</v>
      </c>
      <c r="W13" s="159">
        <f t="shared" si="0"/>
        <v>502</v>
      </c>
      <c r="Y13" s="1">
        <v>-249.05</v>
      </c>
    </row>
    <row r="14" ht="23.25" spans="1:25">
      <c r="A14" s="272">
        <v>12</v>
      </c>
      <c r="B14" s="276" t="s">
        <v>25</v>
      </c>
      <c r="C14" s="277">
        <v>336</v>
      </c>
      <c r="D14" s="277">
        <v>403</v>
      </c>
      <c r="E14" s="277">
        <v>194</v>
      </c>
      <c r="F14" s="277">
        <v>578</v>
      </c>
      <c r="G14" s="277">
        <v>441</v>
      </c>
      <c r="H14" s="277">
        <v>460</v>
      </c>
      <c r="I14" s="277">
        <v>1430</v>
      </c>
      <c r="J14" s="277"/>
      <c r="K14" s="277">
        <v>750</v>
      </c>
      <c r="L14" s="277">
        <v>671</v>
      </c>
      <c r="M14" s="277"/>
      <c r="N14" s="277">
        <v>502</v>
      </c>
      <c r="V14" s="159">
        <v>0</v>
      </c>
      <c r="W14" s="159">
        <f t="shared" si="0"/>
        <v>502</v>
      </c>
      <c r="Y14" s="1">
        <v>-257.6</v>
      </c>
    </row>
    <row r="15" ht="23.25" spans="1:23">
      <c r="A15" s="272">
        <v>13</v>
      </c>
      <c r="B15" s="276" t="s">
        <v>26</v>
      </c>
      <c r="C15" s="277">
        <v>336</v>
      </c>
      <c r="D15" s="277">
        <v>403</v>
      </c>
      <c r="E15" s="277">
        <v>194</v>
      </c>
      <c r="F15" s="277">
        <v>578</v>
      </c>
      <c r="G15" s="277">
        <v>441</v>
      </c>
      <c r="H15" s="277">
        <v>460</v>
      </c>
      <c r="I15" s="277">
        <v>1430</v>
      </c>
      <c r="J15" s="277"/>
      <c r="K15" s="277">
        <v>750</v>
      </c>
      <c r="L15" s="277">
        <v>671</v>
      </c>
      <c r="M15" s="277"/>
      <c r="N15" s="277">
        <v>502</v>
      </c>
      <c r="V15" s="159">
        <v>0</v>
      </c>
      <c r="W15" s="159">
        <f t="shared" si="0"/>
        <v>502</v>
      </c>
    </row>
    <row r="16" ht="23.25" spans="1:23">
      <c r="A16" s="272">
        <v>14</v>
      </c>
      <c r="B16" s="276" t="s">
        <v>27</v>
      </c>
      <c r="C16" s="277">
        <v>336</v>
      </c>
      <c r="D16" s="277">
        <v>403</v>
      </c>
      <c r="E16" s="277">
        <v>194</v>
      </c>
      <c r="F16" s="277">
        <v>578</v>
      </c>
      <c r="G16" s="277">
        <v>441</v>
      </c>
      <c r="H16" s="277">
        <v>460</v>
      </c>
      <c r="I16" s="277">
        <v>1430</v>
      </c>
      <c r="J16" s="277"/>
      <c r="K16" s="277">
        <v>750</v>
      </c>
      <c r="L16" s="277">
        <v>671</v>
      </c>
      <c r="M16" s="277"/>
      <c r="N16" s="277">
        <v>502</v>
      </c>
      <c r="V16" s="159">
        <v>0</v>
      </c>
      <c r="W16" s="159">
        <f t="shared" si="0"/>
        <v>502</v>
      </c>
    </row>
    <row r="17" ht="23.25" spans="1:23">
      <c r="A17" s="272">
        <v>15</v>
      </c>
      <c r="B17" s="276" t="s">
        <v>28</v>
      </c>
      <c r="C17" s="277">
        <v>336</v>
      </c>
      <c r="D17" s="277">
        <v>403</v>
      </c>
      <c r="E17" s="277">
        <v>194</v>
      </c>
      <c r="F17" s="277">
        <v>578</v>
      </c>
      <c r="G17" s="277">
        <v>441</v>
      </c>
      <c r="H17" s="277">
        <v>460</v>
      </c>
      <c r="I17" s="277">
        <v>1430</v>
      </c>
      <c r="J17" s="277"/>
      <c r="K17" s="277">
        <v>750</v>
      </c>
      <c r="L17" s="277">
        <v>671</v>
      </c>
      <c r="M17" s="277"/>
      <c r="N17" s="277">
        <v>502</v>
      </c>
      <c r="V17" s="159">
        <v>0</v>
      </c>
      <c r="W17" s="159">
        <f t="shared" si="0"/>
        <v>502</v>
      </c>
    </row>
    <row r="18" ht="23.25" spans="1:23">
      <c r="A18" s="272">
        <v>16</v>
      </c>
      <c r="B18" s="276" t="s">
        <v>29</v>
      </c>
      <c r="C18" s="277">
        <v>336</v>
      </c>
      <c r="D18" s="277">
        <v>403</v>
      </c>
      <c r="E18" s="277">
        <v>194</v>
      </c>
      <c r="F18" s="277">
        <v>578</v>
      </c>
      <c r="G18" s="277">
        <v>441</v>
      </c>
      <c r="H18" s="277">
        <v>460</v>
      </c>
      <c r="I18" s="277">
        <v>1430</v>
      </c>
      <c r="J18" s="277"/>
      <c r="K18" s="277">
        <v>750</v>
      </c>
      <c r="L18" s="277">
        <v>671</v>
      </c>
      <c r="M18" s="277"/>
      <c r="N18" s="277"/>
      <c r="V18" s="159">
        <v>0</v>
      </c>
      <c r="W18" s="159">
        <f t="shared" si="0"/>
        <v>0</v>
      </c>
    </row>
    <row r="19" ht="23.25" spans="1:23">
      <c r="A19" s="272">
        <v>17</v>
      </c>
      <c r="B19" s="276" t="s">
        <v>30</v>
      </c>
      <c r="C19" s="277">
        <v>336</v>
      </c>
      <c r="D19" s="277">
        <v>403</v>
      </c>
      <c r="E19" s="277">
        <v>194</v>
      </c>
      <c r="F19" s="277">
        <v>578</v>
      </c>
      <c r="G19" s="277">
        <v>441</v>
      </c>
      <c r="H19" s="277">
        <v>460</v>
      </c>
      <c r="I19" s="277">
        <v>1430</v>
      </c>
      <c r="J19" s="277"/>
      <c r="K19" s="277">
        <v>750</v>
      </c>
      <c r="L19" s="277">
        <v>671</v>
      </c>
      <c r="M19" s="277"/>
      <c r="N19" s="277"/>
      <c r="V19" s="159">
        <v>0</v>
      </c>
      <c r="W19" s="159">
        <f t="shared" si="0"/>
        <v>0</v>
      </c>
    </row>
    <row r="20" ht="23.25" spans="1:23">
      <c r="A20" s="272">
        <v>18</v>
      </c>
      <c r="B20" s="276" t="s">
        <v>31</v>
      </c>
      <c r="C20" s="277">
        <v>336</v>
      </c>
      <c r="D20" s="277">
        <v>403</v>
      </c>
      <c r="E20" s="277">
        <v>194</v>
      </c>
      <c r="F20" s="277">
        <v>578</v>
      </c>
      <c r="G20" s="277">
        <v>441</v>
      </c>
      <c r="H20" s="277">
        <v>460</v>
      </c>
      <c r="I20" s="277">
        <v>1430</v>
      </c>
      <c r="J20" s="277"/>
      <c r="K20" s="277">
        <v>750</v>
      </c>
      <c r="L20" s="277"/>
      <c r="M20" s="277"/>
      <c r="N20" s="277"/>
      <c r="V20" s="159">
        <v>0</v>
      </c>
      <c r="W20" s="159">
        <f t="shared" si="0"/>
        <v>0</v>
      </c>
    </row>
    <row r="21" ht="23.25" spans="1:23">
      <c r="A21" s="272">
        <v>19</v>
      </c>
      <c r="B21" s="276" t="s">
        <v>32</v>
      </c>
      <c r="C21" s="277">
        <v>336</v>
      </c>
      <c r="D21" s="277">
        <v>403</v>
      </c>
      <c r="E21" s="277">
        <v>194</v>
      </c>
      <c r="F21" s="277">
        <v>578</v>
      </c>
      <c r="G21" s="277">
        <v>441</v>
      </c>
      <c r="H21" s="277">
        <v>460</v>
      </c>
      <c r="I21" s="277">
        <v>1430</v>
      </c>
      <c r="J21" s="277"/>
      <c r="K21" s="277">
        <v>750</v>
      </c>
      <c r="L21" s="277"/>
      <c r="M21" s="277"/>
      <c r="N21" s="277"/>
      <c r="V21" s="159">
        <v>0</v>
      </c>
      <c r="W21" s="159">
        <f t="shared" si="0"/>
        <v>0</v>
      </c>
    </row>
    <row r="22" ht="23.25" spans="1:23">
      <c r="A22" s="272">
        <v>20</v>
      </c>
      <c r="B22" s="276" t="s">
        <v>33</v>
      </c>
      <c r="C22" s="277">
        <v>336</v>
      </c>
      <c r="D22" s="277">
        <v>403</v>
      </c>
      <c r="E22" s="277">
        <v>194</v>
      </c>
      <c r="F22" s="277">
        <v>578</v>
      </c>
      <c r="G22" s="277">
        <v>441</v>
      </c>
      <c r="H22" s="277">
        <v>460</v>
      </c>
      <c r="I22" s="277">
        <v>1430</v>
      </c>
      <c r="J22" s="277"/>
      <c r="K22" s="277">
        <v>750</v>
      </c>
      <c r="L22" s="277"/>
      <c r="M22" s="277"/>
      <c r="N22" s="277"/>
      <c r="V22" s="159">
        <v>0</v>
      </c>
      <c r="W22" s="159">
        <f t="shared" si="0"/>
        <v>0</v>
      </c>
    </row>
    <row r="23" ht="23.25" spans="1:23">
      <c r="A23" s="272">
        <v>21</v>
      </c>
      <c r="B23" s="276" t="s">
        <v>34</v>
      </c>
      <c r="C23" s="277">
        <v>336</v>
      </c>
      <c r="D23" s="277">
        <v>403</v>
      </c>
      <c r="E23" s="277">
        <v>194</v>
      </c>
      <c r="F23" s="277">
        <v>578</v>
      </c>
      <c r="G23" s="277">
        <v>441</v>
      </c>
      <c r="H23" s="277">
        <v>460</v>
      </c>
      <c r="I23" s="277">
        <v>1430</v>
      </c>
      <c r="J23" s="277"/>
      <c r="K23" s="277">
        <v>750</v>
      </c>
      <c r="L23" s="277"/>
      <c r="M23" s="277"/>
      <c r="N23" s="277"/>
      <c r="V23" s="159">
        <v>0</v>
      </c>
      <c r="W23" s="159">
        <f t="shared" si="0"/>
        <v>0</v>
      </c>
    </row>
    <row r="24" ht="23.25" spans="1:23">
      <c r="A24" s="272">
        <v>22</v>
      </c>
      <c r="B24" s="276" t="s">
        <v>35</v>
      </c>
      <c r="C24" s="277">
        <v>336</v>
      </c>
      <c r="D24" s="277">
        <v>403</v>
      </c>
      <c r="E24" s="277">
        <v>194</v>
      </c>
      <c r="F24" s="277">
        <v>578</v>
      </c>
      <c r="G24" s="277">
        <v>441</v>
      </c>
      <c r="H24" s="277">
        <v>460</v>
      </c>
      <c r="I24" s="277"/>
      <c r="J24" s="277"/>
      <c r="K24" s="277"/>
      <c r="L24" s="277"/>
      <c r="M24" s="277"/>
      <c r="N24" s="277"/>
      <c r="V24" s="159">
        <v>0</v>
      </c>
      <c r="W24" s="159">
        <f t="shared" si="0"/>
        <v>0</v>
      </c>
    </row>
    <row r="25" ht="23.25" spans="1:23">
      <c r="A25" s="272">
        <v>23</v>
      </c>
      <c r="B25" s="276" t="s">
        <v>36</v>
      </c>
      <c r="C25" s="277">
        <v>336</v>
      </c>
      <c r="D25" s="277">
        <v>403</v>
      </c>
      <c r="E25" s="277">
        <v>194</v>
      </c>
      <c r="F25" s="277">
        <v>578</v>
      </c>
      <c r="G25" s="277">
        <v>441</v>
      </c>
      <c r="H25" s="277">
        <v>460</v>
      </c>
      <c r="I25" s="277"/>
      <c r="J25" s="277"/>
      <c r="K25" s="277"/>
      <c r="L25" s="277"/>
      <c r="M25" s="277"/>
      <c r="N25" s="277"/>
      <c r="V25" s="159">
        <v>0</v>
      </c>
      <c r="W25" s="159">
        <f t="shared" si="0"/>
        <v>0</v>
      </c>
    </row>
    <row r="26" ht="24" customHeight="1" spans="1:23">
      <c r="A26" s="272">
        <v>24</v>
      </c>
      <c r="B26" s="276" t="s">
        <v>37</v>
      </c>
      <c r="C26" s="277">
        <v>336</v>
      </c>
      <c r="D26" s="277">
        <v>403</v>
      </c>
      <c r="E26" s="277">
        <v>194</v>
      </c>
      <c r="F26" s="277">
        <v>578</v>
      </c>
      <c r="G26" s="277">
        <v>441</v>
      </c>
      <c r="H26" s="277">
        <v>460</v>
      </c>
      <c r="I26" s="277"/>
      <c r="J26" s="277"/>
      <c r="K26" s="277"/>
      <c r="L26" s="277"/>
      <c r="M26" s="277"/>
      <c r="N26" s="277"/>
      <c r="V26" s="159">
        <v>0</v>
      </c>
      <c r="W26" s="159">
        <f t="shared" si="0"/>
        <v>0</v>
      </c>
    </row>
    <row r="27" ht="23.25" spans="1:23">
      <c r="A27" s="272">
        <v>25</v>
      </c>
      <c r="B27" s="276" t="s">
        <v>38</v>
      </c>
      <c r="C27" s="277">
        <v>336</v>
      </c>
      <c r="D27" s="277">
        <v>403</v>
      </c>
      <c r="E27" s="277">
        <v>194</v>
      </c>
      <c r="F27" s="277">
        <v>578</v>
      </c>
      <c r="G27" s="277">
        <v>441</v>
      </c>
      <c r="H27" s="277">
        <v>460</v>
      </c>
      <c r="I27" s="277"/>
      <c r="J27" s="277"/>
      <c r="K27" s="277"/>
      <c r="L27" s="277"/>
      <c r="M27" s="277"/>
      <c r="N27" s="277"/>
      <c r="V27" s="159">
        <v>0</v>
      </c>
      <c r="W27" s="159">
        <f t="shared" si="0"/>
        <v>0</v>
      </c>
    </row>
    <row r="28" ht="23.25" spans="1:23">
      <c r="A28" s="272">
        <v>26</v>
      </c>
      <c r="B28" s="276" t="s">
        <v>39</v>
      </c>
      <c r="C28" s="277">
        <v>336</v>
      </c>
      <c r="D28" s="277">
        <v>403</v>
      </c>
      <c r="E28" s="277">
        <v>194</v>
      </c>
      <c r="F28" s="277"/>
      <c r="G28" s="277"/>
      <c r="H28" s="277"/>
      <c r="I28" s="277"/>
      <c r="J28" s="277"/>
      <c r="K28" s="277"/>
      <c r="L28" s="277"/>
      <c r="M28" s="277"/>
      <c r="N28" s="277"/>
      <c r="V28" s="159">
        <v>51</v>
      </c>
      <c r="W28" s="159">
        <f t="shared" si="0"/>
        <v>51</v>
      </c>
    </row>
    <row r="29" ht="23.25" spans="1:23">
      <c r="A29" s="272">
        <v>27</v>
      </c>
      <c r="B29" s="276" t="s">
        <v>40</v>
      </c>
      <c r="C29" s="277">
        <v>336</v>
      </c>
      <c r="D29" s="277">
        <v>403</v>
      </c>
      <c r="E29" s="277">
        <v>194</v>
      </c>
      <c r="F29" s="277"/>
      <c r="G29" s="277"/>
      <c r="H29" s="277"/>
      <c r="I29" s="277"/>
      <c r="J29" s="277"/>
      <c r="K29" s="277"/>
      <c r="L29" s="277"/>
      <c r="M29" s="277"/>
      <c r="N29" s="277"/>
      <c r="V29" s="159">
        <v>103</v>
      </c>
      <c r="W29" s="159">
        <f t="shared" si="0"/>
        <v>103</v>
      </c>
    </row>
    <row r="30" ht="23.25" spans="1:23">
      <c r="A30" s="272">
        <v>28</v>
      </c>
      <c r="B30" s="276" t="s">
        <v>41</v>
      </c>
      <c r="C30" s="277">
        <v>336</v>
      </c>
      <c r="D30" s="277">
        <v>403</v>
      </c>
      <c r="E30" s="277">
        <v>194</v>
      </c>
      <c r="F30" s="277">
        <v>578</v>
      </c>
      <c r="G30" s="277">
        <v>450</v>
      </c>
      <c r="H30" s="277">
        <v>460</v>
      </c>
      <c r="I30" s="277"/>
      <c r="J30" s="277"/>
      <c r="K30" s="277"/>
      <c r="L30" s="277"/>
      <c r="M30" s="277"/>
      <c r="N30" s="277"/>
      <c r="V30" s="159">
        <v>125</v>
      </c>
      <c r="W30" s="159">
        <f t="shared" si="0"/>
        <v>125</v>
      </c>
    </row>
    <row r="31" ht="23.25" spans="1:23">
      <c r="A31" s="272">
        <v>29</v>
      </c>
      <c r="B31" s="276" t="s">
        <v>42</v>
      </c>
      <c r="C31" s="277">
        <v>336</v>
      </c>
      <c r="D31" s="277">
        <v>403</v>
      </c>
      <c r="E31" s="277">
        <v>194</v>
      </c>
      <c r="F31" s="277">
        <v>578</v>
      </c>
      <c r="G31" s="277">
        <v>450</v>
      </c>
      <c r="H31" s="277">
        <v>460</v>
      </c>
      <c r="I31" s="277"/>
      <c r="J31" s="277"/>
      <c r="K31" s="277"/>
      <c r="L31" s="277"/>
      <c r="M31" s="277"/>
      <c r="N31" s="277"/>
      <c r="V31" s="159">
        <v>125</v>
      </c>
      <c r="W31" s="159">
        <f t="shared" si="0"/>
        <v>125</v>
      </c>
    </row>
    <row r="32" ht="23.25" spans="1:23">
      <c r="A32" s="272">
        <v>30</v>
      </c>
      <c r="B32" s="276" t="s">
        <v>43</v>
      </c>
      <c r="C32" s="277">
        <v>336</v>
      </c>
      <c r="D32" s="277">
        <v>403</v>
      </c>
      <c r="E32" s="277">
        <v>194</v>
      </c>
      <c r="F32" s="277">
        <v>578</v>
      </c>
      <c r="G32" s="277">
        <v>450</v>
      </c>
      <c r="H32" s="277">
        <v>460</v>
      </c>
      <c r="I32" s="277"/>
      <c r="J32" s="277"/>
      <c r="K32" s="277"/>
      <c r="L32" s="277"/>
      <c r="M32" s="277"/>
      <c r="N32" s="277"/>
      <c r="U32" s="278">
        <f t="shared" ref="U32:U41" si="2">J32-T32</f>
        <v>0</v>
      </c>
      <c r="V32" s="159">
        <v>125</v>
      </c>
      <c r="W32" s="159">
        <f t="shared" si="0"/>
        <v>125</v>
      </c>
    </row>
    <row r="33" ht="23.25" spans="1:23">
      <c r="A33" s="272">
        <v>31</v>
      </c>
      <c r="B33" s="276" t="s">
        <v>44</v>
      </c>
      <c r="C33" s="277">
        <v>336</v>
      </c>
      <c r="D33" s="277">
        <v>403</v>
      </c>
      <c r="E33" s="277">
        <v>194</v>
      </c>
      <c r="F33" s="277">
        <v>578</v>
      </c>
      <c r="G33" s="277">
        <v>450</v>
      </c>
      <c r="H33" s="277">
        <v>460</v>
      </c>
      <c r="I33" s="277"/>
      <c r="J33" s="277"/>
      <c r="K33" s="277"/>
      <c r="L33" s="277"/>
      <c r="M33" s="277"/>
      <c r="N33" s="277"/>
      <c r="U33" s="278">
        <f t="shared" si="2"/>
        <v>0</v>
      </c>
      <c r="V33" s="159">
        <v>125</v>
      </c>
      <c r="W33" s="159">
        <f t="shared" si="0"/>
        <v>125</v>
      </c>
    </row>
    <row r="34" ht="23.25" spans="1:28">
      <c r="A34" s="272">
        <v>32</v>
      </c>
      <c r="B34" s="276" t="s">
        <v>45</v>
      </c>
      <c r="C34" s="277">
        <v>336</v>
      </c>
      <c r="D34" s="277">
        <v>403</v>
      </c>
      <c r="E34" s="277">
        <v>194</v>
      </c>
      <c r="F34" s="277"/>
      <c r="G34" s="277"/>
      <c r="H34" s="277"/>
      <c r="I34" s="277"/>
      <c r="J34" s="277"/>
      <c r="K34" s="277"/>
      <c r="L34" s="277"/>
      <c r="M34" s="277"/>
      <c r="N34" s="277"/>
      <c r="U34" s="278">
        <f t="shared" si="2"/>
        <v>0</v>
      </c>
      <c r="V34" s="159">
        <v>125</v>
      </c>
      <c r="W34" s="159">
        <f t="shared" si="0"/>
        <v>125</v>
      </c>
      <c r="AA34" s="279">
        <v>-8.46</v>
      </c>
      <c r="AB34" s="1" t="e">
        <f>+#REF!-AA34</f>
        <v>#REF!</v>
      </c>
    </row>
    <row r="35" ht="23.25" spans="1:28">
      <c r="A35" s="272">
        <v>33</v>
      </c>
      <c r="B35" s="276" t="s">
        <v>46</v>
      </c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U35" s="278">
        <f t="shared" si="2"/>
        <v>0</v>
      </c>
      <c r="V35" s="159">
        <v>125</v>
      </c>
      <c r="W35" s="159">
        <f t="shared" si="0"/>
        <v>125</v>
      </c>
      <c r="AA35" s="279">
        <v>-56.19</v>
      </c>
      <c r="AB35" s="1" t="e">
        <f>+#REF!-AA35</f>
        <v>#REF!</v>
      </c>
    </row>
    <row r="36" ht="23.25" spans="1:28">
      <c r="A36" s="272">
        <v>34</v>
      </c>
      <c r="B36" s="276" t="s">
        <v>47</v>
      </c>
      <c r="C36" s="277"/>
      <c r="D36" s="277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U36" s="278">
        <f t="shared" si="2"/>
        <v>0</v>
      </c>
      <c r="V36" s="159">
        <v>125</v>
      </c>
      <c r="W36" s="159">
        <f t="shared" si="0"/>
        <v>125</v>
      </c>
      <c r="AA36" s="279">
        <v>-59.49</v>
      </c>
      <c r="AB36" s="1" t="e">
        <f>+#REF!-AA36</f>
        <v>#REF!</v>
      </c>
    </row>
    <row r="37" ht="23.25" spans="1:28">
      <c r="A37" s="272">
        <v>35</v>
      </c>
      <c r="B37" s="276" t="s">
        <v>48</v>
      </c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U37" s="278">
        <f t="shared" si="2"/>
        <v>0</v>
      </c>
      <c r="V37" s="159">
        <v>125</v>
      </c>
      <c r="W37" s="159">
        <f t="shared" si="0"/>
        <v>125</v>
      </c>
      <c r="AA37" s="279">
        <v>-55.03</v>
      </c>
      <c r="AB37" s="1" t="e">
        <f>+#REF!-AA37</f>
        <v>#REF!</v>
      </c>
    </row>
    <row r="38" ht="23.25" spans="1:28">
      <c r="A38" s="272">
        <v>36</v>
      </c>
      <c r="B38" s="276" t="s">
        <v>49</v>
      </c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U38" s="278">
        <f t="shared" si="2"/>
        <v>0</v>
      </c>
      <c r="V38" s="159">
        <v>125</v>
      </c>
      <c r="W38" s="159">
        <f t="shared" si="0"/>
        <v>125</v>
      </c>
      <c r="AA38" s="279">
        <v>-65.49</v>
      </c>
      <c r="AB38" s="1" t="e">
        <f>+#REF!-AA38</f>
        <v>#REF!</v>
      </c>
    </row>
    <row r="39" ht="23.25" spans="1:28">
      <c r="A39" s="272">
        <v>37</v>
      </c>
      <c r="B39" s="276" t="s">
        <v>50</v>
      </c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U39" s="278">
        <f t="shared" si="2"/>
        <v>0</v>
      </c>
      <c r="V39" s="159">
        <v>125</v>
      </c>
      <c r="W39" s="159">
        <f t="shared" si="0"/>
        <v>125</v>
      </c>
      <c r="AA39" s="279">
        <v>-93.33</v>
      </c>
      <c r="AB39" s="1" t="e">
        <f>+#REF!-AA39</f>
        <v>#REF!</v>
      </c>
    </row>
    <row r="40" ht="23.25" spans="1:28">
      <c r="A40" s="272">
        <v>38</v>
      </c>
      <c r="B40" s="276" t="s">
        <v>51</v>
      </c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U40" s="278">
        <f t="shared" si="2"/>
        <v>0</v>
      </c>
      <c r="V40" s="159">
        <v>125</v>
      </c>
      <c r="W40" s="159">
        <f t="shared" si="0"/>
        <v>125</v>
      </c>
      <c r="AA40" s="279">
        <v>-100.43</v>
      </c>
      <c r="AB40" s="1" t="e">
        <f>+#REF!-AA40</f>
        <v>#REF!</v>
      </c>
    </row>
    <row r="41" ht="23.25" spans="1:28">
      <c r="A41" s="272">
        <v>39</v>
      </c>
      <c r="B41" s="276" t="s">
        <v>52</v>
      </c>
      <c r="C41" s="277">
        <v>327</v>
      </c>
      <c r="D41" s="277">
        <v>405</v>
      </c>
      <c r="E41" s="277">
        <v>195</v>
      </c>
      <c r="F41" s="277">
        <v>540</v>
      </c>
      <c r="G41" s="277">
        <v>440</v>
      </c>
      <c r="H41" s="277"/>
      <c r="I41" s="277"/>
      <c r="J41" s="277"/>
      <c r="K41" s="277"/>
      <c r="L41" s="277"/>
      <c r="M41" s="277"/>
      <c r="N41" s="277"/>
      <c r="U41" s="278">
        <f t="shared" si="2"/>
        <v>0</v>
      </c>
      <c r="V41" s="159">
        <v>125</v>
      </c>
      <c r="W41" s="159">
        <f t="shared" si="0"/>
        <v>125</v>
      </c>
      <c r="AA41" s="279">
        <v>-96.54</v>
      </c>
      <c r="AB41" s="1" t="e">
        <f>+#REF!-AA41</f>
        <v>#REF!</v>
      </c>
    </row>
    <row r="42" ht="23.25" spans="1:28">
      <c r="A42" s="272">
        <v>40</v>
      </c>
      <c r="B42" s="276" t="s">
        <v>53</v>
      </c>
      <c r="C42" s="277">
        <v>327</v>
      </c>
      <c r="D42" s="277">
        <v>405</v>
      </c>
      <c r="E42" s="277">
        <v>195</v>
      </c>
      <c r="F42" s="277">
        <v>540</v>
      </c>
      <c r="G42" s="277">
        <v>440</v>
      </c>
      <c r="H42" s="277">
        <v>484</v>
      </c>
      <c r="I42" s="277"/>
      <c r="J42" s="277"/>
      <c r="K42" s="277"/>
      <c r="L42" s="277"/>
      <c r="M42" s="277"/>
      <c r="N42" s="277"/>
      <c r="U42" s="278"/>
      <c r="V42" s="159">
        <v>125</v>
      </c>
      <c r="W42" s="159">
        <f t="shared" si="0"/>
        <v>125</v>
      </c>
      <c r="AA42" s="279">
        <v>-110.34</v>
      </c>
      <c r="AB42" s="1" t="e">
        <f>+#REF!-AA42</f>
        <v>#REF!</v>
      </c>
    </row>
    <row r="43" ht="23.25" spans="1:23">
      <c r="A43" s="272">
        <v>41</v>
      </c>
      <c r="B43" s="276" t="s">
        <v>54</v>
      </c>
      <c r="C43" s="277">
        <v>327</v>
      </c>
      <c r="D43" s="277">
        <v>405</v>
      </c>
      <c r="E43" s="277">
        <v>195</v>
      </c>
      <c r="F43" s="277">
        <v>540</v>
      </c>
      <c r="G43" s="277">
        <v>440</v>
      </c>
      <c r="H43" s="277">
        <v>484</v>
      </c>
      <c r="I43" s="277"/>
      <c r="J43" s="277"/>
      <c r="K43" s="277"/>
      <c r="L43" s="277"/>
      <c r="M43" s="277"/>
      <c r="N43" s="277"/>
      <c r="U43" s="278"/>
      <c r="V43" s="159">
        <v>125</v>
      </c>
      <c r="W43" s="159">
        <f t="shared" ref="W43:W67" si="3">M43+V43</f>
        <v>125</v>
      </c>
    </row>
    <row r="44" ht="23.25" spans="1:23">
      <c r="A44" s="272">
        <v>42</v>
      </c>
      <c r="B44" s="276" t="s">
        <v>55</v>
      </c>
      <c r="C44" s="277">
        <v>327</v>
      </c>
      <c r="D44" s="277">
        <v>405</v>
      </c>
      <c r="E44" s="277">
        <v>195</v>
      </c>
      <c r="F44" s="277">
        <v>540</v>
      </c>
      <c r="G44" s="277">
        <v>440</v>
      </c>
      <c r="H44" s="277">
        <v>484</v>
      </c>
      <c r="I44" s="277"/>
      <c r="J44" s="277"/>
      <c r="K44" s="277"/>
      <c r="L44" s="277"/>
      <c r="M44" s="277"/>
      <c r="N44" s="277"/>
      <c r="U44" s="278"/>
      <c r="V44" s="159">
        <v>125</v>
      </c>
      <c r="W44" s="159">
        <f t="shared" si="3"/>
        <v>125</v>
      </c>
    </row>
    <row r="45" ht="23.25" spans="1:23">
      <c r="A45" s="272">
        <v>43</v>
      </c>
      <c r="B45" s="276" t="s">
        <v>56</v>
      </c>
      <c r="C45" s="277">
        <v>327</v>
      </c>
      <c r="D45" s="277">
        <v>405</v>
      </c>
      <c r="E45" s="277">
        <v>195</v>
      </c>
      <c r="F45" s="277">
        <v>540</v>
      </c>
      <c r="G45" s="277">
        <v>440</v>
      </c>
      <c r="H45" s="277">
        <v>484</v>
      </c>
      <c r="I45" s="277"/>
      <c r="J45" s="277"/>
      <c r="K45" s="277"/>
      <c r="L45" s="277"/>
      <c r="M45" s="277"/>
      <c r="N45" s="277"/>
      <c r="U45" s="278"/>
      <c r="V45" s="159">
        <v>103</v>
      </c>
      <c r="W45" s="159">
        <f t="shared" si="3"/>
        <v>103</v>
      </c>
    </row>
    <row r="46" ht="24" customHeight="1" spans="1:23">
      <c r="A46" s="272">
        <v>44</v>
      </c>
      <c r="B46" s="276" t="s">
        <v>57</v>
      </c>
      <c r="C46" s="277">
        <v>327</v>
      </c>
      <c r="D46" s="277">
        <v>405</v>
      </c>
      <c r="E46" s="277">
        <v>195</v>
      </c>
      <c r="F46" s="277">
        <v>540</v>
      </c>
      <c r="G46" s="277">
        <v>440</v>
      </c>
      <c r="H46" s="277">
        <v>484</v>
      </c>
      <c r="I46" s="277">
        <v>1423</v>
      </c>
      <c r="J46" s="277"/>
      <c r="K46" s="277"/>
      <c r="L46" s="277"/>
      <c r="M46" s="277"/>
      <c r="N46" s="277"/>
      <c r="U46" s="278"/>
      <c r="V46" s="159">
        <v>103</v>
      </c>
      <c r="W46" s="159">
        <f t="shared" si="3"/>
        <v>103</v>
      </c>
    </row>
    <row r="47" ht="23.25" spans="1:23">
      <c r="A47" s="272">
        <v>45</v>
      </c>
      <c r="B47" s="276" t="s">
        <v>58</v>
      </c>
      <c r="C47" s="277">
        <v>327</v>
      </c>
      <c r="D47" s="277">
        <v>405</v>
      </c>
      <c r="E47" s="277">
        <v>195</v>
      </c>
      <c r="F47" s="277">
        <v>540</v>
      </c>
      <c r="G47" s="277">
        <v>440</v>
      </c>
      <c r="H47" s="277">
        <v>484</v>
      </c>
      <c r="I47" s="277">
        <v>1423</v>
      </c>
      <c r="J47" s="277"/>
      <c r="K47" s="277"/>
      <c r="L47" s="277"/>
      <c r="M47" s="277"/>
      <c r="N47" s="277"/>
      <c r="U47" s="278"/>
      <c r="V47" s="159">
        <v>103</v>
      </c>
      <c r="W47" s="159">
        <f t="shared" si="3"/>
        <v>103</v>
      </c>
    </row>
    <row r="48" ht="23.25" spans="1:23">
      <c r="A48" s="272">
        <v>46</v>
      </c>
      <c r="B48" s="276" t="s">
        <v>59</v>
      </c>
      <c r="C48" s="277">
        <v>327</v>
      </c>
      <c r="D48" s="277">
        <v>405</v>
      </c>
      <c r="E48" s="277">
        <v>195</v>
      </c>
      <c r="F48" s="277">
        <v>540</v>
      </c>
      <c r="G48" s="277">
        <v>440</v>
      </c>
      <c r="H48" s="277">
        <v>484</v>
      </c>
      <c r="I48" s="277">
        <v>1423</v>
      </c>
      <c r="J48" s="277"/>
      <c r="K48" s="277"/>
      <c r="L48" s="277"/>
      <c r="M48" s="277"/>
      <c r="N48" s="277"/>
      <c r="U48" s="278"/>
      <c r="V48" s="159">
        <v>51</v>
      </c>
      <c r="W48" s="159">
        <f t="shared" si="3"/>
        <v>51</v>
      </c>
    </row>
    <row r="49" ht="23.25" spans="1:23">
      <c r="A49" s="272">
        <v>47</v>
      </c>
      <c r="B49" s="276" t="s">
        <v>60</v>
      </c>
      <c r="C49" s="277">
        <v>327</v>
      </c>
      <c r="D49" s="277">
        <v>405</v>
      </c>
      <c r="E49" s="277">
        <v>195</v>
      </c>
      <c r="F49" s="277">
        <v>540</v>
      </c>
      <c r="G49" s="277">
        <v>440</v>
      </c>
      <c r="H49" s="277">
        <v>484</v>
      </c>
      <c r="I49" s="277">
        <v>1423</v>
      </c>
      <c r="J49" s="277"/>
      <c r="K49" s="277"/>
      <c r="L49" s="277"/>
      <c r="M49" s="277"/>
      <c r="N49" s="277"/>
      <c r="U49" s="278"/>
      <c r="V49" s="159">
        <v>0</v>
      </c>
      <c r="W49" s="159">
        <f t="shared" si="3"/>
        <v>0</v>
      </c>
    </row>
    <row r="50" ht="23.25" spans="1:23">
      <c r="A50" s="272">
        <v>48</v>
      </c>
      <c r="B50" s="276" t="s">
        <v>61</v>
      </c>
      <c r="C50" s="277">
        <v>327</v>
      </c>
      <c r="D50" s="277">
        <v>405</v>
      </c>
      <c r="E50" s="277">
        <v>195</v>
      </c>
      <c r="F50" s="277">
        <v>540</v>
      </c>
      <c r="G50" s="277">
        <v>440</v>
      </c>
      <c r="H50" s="277">
        <v>484</v>
      </c>
      <c r="I50" s="277">
        <v>1423</v>
      </c>
      <c r="J50" s="277"/>
      <c r="K50" s="277"/>
      <c r="L50" s="277"/>
      <c r="M50" s="277"/>
      <c r="N50" s="277"/>
      <c r="U50" s="278"/>
      <c r="V50" s="159">
        <v>0</v>
      </c>
      <c r="W50" s="159">
        <f t="shared" si="3"/>
        <v>0</v>
      </c>
    </row>
    <row r="51" ht="23.25" spans="1:23">
      <c r="A51" s="272">
        <v>49</v>
      </c>
      <c r="B51" s="276" t="s">
        <v>62</v>
      </c>
      <c r="C51" s="277">
        <v>327</v>
      </c>
      <c r="D51" s="277">
        <v>405</v>
      </c>
      <c r="E51" s="277">
        <v>195</v>
      </c>
      <c r="F51" s="277">
        <v>540</v>
      </c>
      <c r="G51" s="277">
        <v>440</v>
      </c>
      <c r="H51" s="277">
        <v>484</v>
      </c>
      <c r="I51" s="277"/>
      <c r="J51" s="277"/>
      <c r="K51" s="277"/>
      <c r="L51" s="277"/>
      <c r="M51" s="277"/>
      <c r="N51" s="277"/>
      <c r="U51" s="278"/>
      <c r="V51" s="159">
        <v>0</v>
      </c>
      <c r="W51" s="159">
        <f t="shared" si="3"/>
        <v>0</v>
      </c>
    </row>
    <row r="52" ht="23.25" spans="1:23">
      <c r="A52" s="272">
        <v>50</v>
      </c>
      <c r="B52" s="276" t="s">
        <v>63</v>
      </c>
      <c r="C52" s="277">
        <v>327</v>
      </c>
      <c r="D52" s="277">
        <v>405</v>
      </c>
      <c r="E52" s="277">
        <v>195</v>
      </c>
      <c r="F52" s="277">
        <v>540</v>
      </c>
      <c r="G52" s="277">
        <v>440</v>
      </c>
      <c r="H52" s="277">
        <v>484</v>
      </c>
      <c r="I52" s="277"/>
      <c r="J52" s="277"/>
      <c r="K52" s="277"/>
      <c r="L52" s="277"/>
      <c r="M52" s="277"/>
      <c r="N52" s="277"/>
      <c r="U52" s="278"/>
      <c r="V52" s="159">
        <v>0</v>
      </c>
      <c r="W52" s="159">
        <f t="shared" si="3"/>
        <v>0</v>
      </c>
    </row>
    <row r="53" ht="23.25" spans="1:23">
      <c r="A53" s="272">
        <v>51</v>
      </c>
      <c r="B53" s="276" t="s">
        <v>64</v>
      </c>
      <c r="C53" s="277">
        <v>327</v>
      </c>
      <c r="D53" s="277">
        <v>405</v>
      </c>
      <c r="E53" s="277">
        <v>195</v>
      </c>
      <c r="F53" s="277">
        <v>540</v>
      </c>
      <c r="G53" s="277">
        <v>440</v>
      </c>
      <c r="H53" s="277">
        <v>484</v>
      </c>
      <c r="I53" s="277"/>
      <c r="J53" s="277"/>
      <c r="K53" s="277"/>
      <c r="L53" s="277"/>
      <c r="M53" s="277"/>
      <c r="N53" s="277"/>
      <c r="U53" s="278"/>
      <c r="V53" s="159">
        <v>0</v>
      </c>
      <c r="W53" s="159">
        <f t="shared" si="3"/>
        <v>0</v>
      </c>
    </row>
    <row r="54" ht="23.25" spans="1:23">
      <c r="A54" s="272">
        <v>52</v>
      </c>
      <c r="B54" s="276" t="s">
        <v>65</v>
      </c>
      <c r="C54" s="277">
        <v>327</v>
      </c>
      <c r="D54" s="277">
        <v>405</v>
      </c>
      <c r="E54" s="277">
        <v>195</v>
      </c>
      <c r="F54" s="277">
        <v>540</v>
      </c>
      <c r="G54" s="277">
        <v>440</v>
      </c>
      <c r="H54" s="277">
        <v>484</v>
      </c>
      <c r="I54" s="277"/>
      <c r="J54" s="277"/>
      <c r="K54" s="277"/>
      <c r="L54" s="277"/>
      <c r="M54" s="277"/>
      <c r="N54" s="277"/>
      <c r="U54" s="278"/>
      <c r="V54" s="159">
        <v>0</v>
      </c>
      <c r="W54" s="159">
        <f t="shared" si="3"/>
        <v>0</v>
      </c>
    </row>
    <row r="55" ht="23.25" spans="1:23">
      <c r="A55" s="272">
        <v>53</v>
      </c>
      <c r="B55" s="276" t="s">
        <v>66</v>
      </c>
      <c r="C55" s="277">
        <v>327</v>
      </c>
      <c r="D55" s="277">
        <v>405</v>
      </c>
      <c r="E55" s="277">
        <v>195</v>
      </c>
      <c r="F55" s="277">
        <v>540</v>
      </c>
      <c r="G55" s="277">
        <v>440</v>
      </c>
      <c r="H55" s="277">
        <v>484</v>
      </c>
      <c r="I55" s="277"/>
      <c r="J55" s="277"/>
      <c r="K55" s="277"/>
      <c r="L55" s="277"/>
      <c r="M55" s="277"/>
      <c r="N55" s="277"/>
      <c r="U55" s="278"/>
      <c r="V55" s="159">
        <v>0</v>
      </c>
      <c r="W55" s="159">
        <f t="shared" si="3"/>
        <v>0</v>
      </c>
    </row>
    <row r="56" ht="23.25" spans="1:23">
      <c r="A56" s="272">
        <v>54</v>
      </c>
      <c r="B56" s="276" t="s">
        <v>67</v>
      </c>
      <c r="C56" s="277">
        <v>327</v>
      </c>
      <c r="D56" s="277">
        <v>405</v>
      </c>
      <c r="E56" s="277">
        <v>195</v>
      </c>
      <c r="F56" s="277">
        <v>540</v>
      </c>
      <c r="G56" s="277">
        <v>440</v>
      </c>
      <c r="H56" s="277">
        <v>484</v>
      </c>
      <c r="I56" s="277"/>
      <c r="J56" s="277"/>
      <c r="K56" s="277"/>
      <c r="L56" s="277"/>
      <c r="M56" s="277"/>
      <c r="N56" s="277"/>
      <c r="U56" s="278"/>
      <c r="V56" s="159">
        <v>0</v>
      </c>
      <c r="W56" s="159">
        <f t="shared" si="3"/>
        <v>0</v>
      </c>
    </row>
    <row r="57" ht="23.25" spans="1:23">
      <c r="A57" s="272">
        <v>55</v>
      </c>
      <c r="B57" s="276" t="s">
        <v>68</v>
      </c>
      <c r="C57" s="277">
        <v>327</v>
      </c>
      <c r="D57" s="277">
        <v>405</v>
      </c>
      <c r="E57" s="277">
        <v>195</v>
      </c>
      <c r="F57" s="277">
        <v>540</v>
      </c>
      <c r="G57" s="277">
        <v>440</v>
      </c>
      <c r="H57" s="277">
        <v>484</v>
      </c>
      <c r="I57" s="277"/>
      <c r="J57" s="277"/>
      <c r="K57" s="277"/>
      <c r="L57" s="277"/>
      <c r="M57" s="277"/>
      <c r="N57" s="277"/>
      <c r="T57" s="278"/>
      <c r="U57" s="278"/>
      <c r="V57" s="159">
        <v>0</v>
      </c>
      <c r="W57" s="159">
        <f t="shared" si="3"/>
        <v>0</v>
      </c>
    </row>
    <row r="58" ht="23.25" spans="1:23">
      <c r="A58" s="272">
        <v>56</v>
      </c>
      <c r="B58" s="276" t="s">
        <v>69</v>
      </c>
      <c r="C58" s="277">
        <v>327</v>
      </c>
      <c r="D58" s="277">
        <v>405</v>
      </c>
      <c r="E58" s="277">
        <v>195</v>
      </c>
      <c r="F58" s="277">
        <v>540</v>
      </c>
      <c r="G58" s="277">
        <v>440</v>
      </c>
      <c r="H58" s="277">
        <v>484</v>
      </c>
      <c r="I58" s="277"/>
      <c r="J58" s="277"/>
      <c r="K58" s="277"/>
      <c r="L58" s="277"/>
      <c r="M58" s="277"/>
      <c r="N58" s="277"/>
      <c r="T58" s="278"/>
      <c r="U58" s="278"/>
      <c r="V58" s="159">
        <v>0</v>
      </c>
      <c r="W58" s="159">
        <f t="shared" si="3"/>
        <v>0</v>
      </c>
    </row>
    <row r="59" ht="23.25" spans="1:23">
      <c r="A59" s="272">
        <v>57</v>
      </c>
      <c r="B59" s="276" t="s">
        <v>70</v>
      </c>
      <c r="C59" s="277">
        <v>327</v>
      </c>
      <c r="D59" s="277">
        <v>405</v>
      </c>
      <c r="E59" s="277">
        <v>195</v>
      </c>
      <c r="F59" s="277">
        <v>540</v>
      </c>
      <c r="G59" s="277">
        <v>440</v>
      </c>
      <c r="H59" s="277">
        <v>484</v>
      </c>
      <c r="I59" s="277">
        <v>1423</v>
      </c>
      <c r="J59" s="277"/>
      <c r="K59" s="277"/>
      <c r="L59" s="277"/>
      <c r="M59" s="277"/>
      <c r="N59" s="277"/>
      <c r="T59" s="278"/>
      <c r="U59" s="278"/>
      <c r="V59" s="159">
        <v>0</v>
      </c>
      <c r="W59" s="159">
        <f t="shared" si="3"/>
        <v>0</v>
      </c>
    </row>
    <row r="60" ht="23.25" spans="1:23">
      <c r="A60" s="272">
        <v>58</v>
      </c>
      <c r="B60" s="276" t="s">
        <v>71</v>
      </c>
      <c r="C60" s="277">
        <v>327</v>
      </c>
      <c r="D60" s="277">
        <v>405</v>
      </c>
      <c r="E60" s="277">
        <v>195</v>
      </c>
      <c r="F60" s="277">
        <v>540</v>
      </c>
      <c r="G60" s="277">
        <v>440</v>
      </c>
      <c r="H60" s="277">
        <v>484</v>
      </c>
      <c r="I60" s="277">
        <v>1423</v>
      </c>
      <c r="J60" s="277"/>
      <c r="K60" s="277"/>
      <c r="L60" s="277"/>
      <c r="M60" s="277"/>
      <c r="N60" s="277"/>
      <c r="T60" s="278"/>
      <c r="U60" s="278"/>
      <c r="V60" s="159">
        <v>0</v>
      </c>
      <c r="W60" s="159">
        <f t="shared" si="3"/>
        <v>0</v>
      </c>
    </row>
    <row r="61" ht="23.25" spans="1:23">
      <c r="A61" s="272">
        <v>59</v>
      </c>
      <c r="B61" s="276" t="s">
        <v>72</v>
      </c>
      <c r="C61" s="277">
        <v>327</v>
      </c>
      <c r="D61" s="277">
        <v>405</v>
      </c>
      <c r="E61" s="277">
        <v>195</v>
      </c>
      <c r="F61" s="277">
        <v>540</v>
      </c>
      <c r="G61" s="277">
        <v>440</v>
      </c>
      <c r="H61" s="277"/>
      <c r="I61" s="277"/>
      <c r="J61" s="277"/>
      <c r="K61" s="277"/>
      <c r="L61" s="277"/>
      <c r="M61" s="277"/>
      <c r="N61" s="277"/>
      <c r="T61" s="278"/>
      <c r="U61" s="278"/>
      <c r="V61" s="159">
        <v>0</v>
      </c>
      <c r="W61" s="159">
        <f t="shared" si="3"/>
        <v>0</v>
      </c>
    </row>
    <row r="62" ht="23.25" spans="1:23">
      <c r="A62" s="272">
        <v>60</v>
      </c>
      <c r="B62" s="276" t="s">
        <v>73</v>
      </c>
      <c r="C62" s="277">
        <v>327</v>
      </c>
      <c r="D62" s="277">
        <v>405</v>
      </c>
      <c r="E62" s="277">
        <v>195</v>
      </c>
      <c r="F62" s="277"/>
      <c r="G62" s="277"/>
      <c r="H62" s="277"/>
      <c r="I62" s="277"/>
      <c r="J62" s="277"/>
      <c r="K62" s="277"/>
      <c r="L62" s="277"/>
      <c r="M62" s="277"/>
      <c r="N62" s="277"/>
      <c r="T62" s="278"/>
      <c r="U62" s="278"/>
      <c r="V62" s="159">
        <v>0</v>
      </c>
      <c r="W62" s="159">
        <f t="shared" si="3"/>
        <v>0</v>
      </c>
    </row>
    <row r="63" ht="23.25" spans="1:23">
      <c r="A63" s="272">
        <v>61</v>
      </c>
      <c r="B63" s="276" t="s">
        <v>74</v>
      </c>
      <c r="C63" s="277">
        <v>327</v>
      </c>
      <c r="D63" s="277">
        <v>405</v>
      </c>
      <c r="E63" s="277">
        <v>195</v>
      </c>
      <c r="F63" s="277"/>
      <c r="G63" s="277"/>
      <c r="H63" s="277"/>
      <c r="I63" s="277"/>
      <c r="J63" s="277"/>
      <c r="K63" s="277"/>
      <c r="L63" s="277"/>
      <c r="M63" s="277"/>
      <c r="N63" s="277"/>
      <c r="T63" s="278"/>
      <c r="U63" s="278"/>
      <c r="V63" s="159">
        <v>0</v>
      </c>
      <c r="W63" s="159">
        <f t="shared" si="3"/>
        <v>0</v>
      </c>
    </row>
    <row r="64" ht="23.25" spans="1:23">
      <c r="A64" s="272">
        <v>62</v>
      </c>
      <c r="B64" s="276" t="s">
        <v>75</v>
      </c>
      <c r="C64" s="277">
        <v>327</v>
      </c>
      <c r="D64" s="277">
        <v>405</v>
      </c>
      <c r="E64" s="277">
        <v>195</v>
      </c>
      <c r="F64" s="277"/>
      <c r="G64" s="277"/>
      <c r="H64" s="277"/>
      <c r="I64" s="277"/>
      <c r="J64" s="277"/>
      <c r="K64" s="277"/>
      <c r="L64" s="277"/>
      <c r="M64" s="277"/>
      <c r="N64" s="277"/>
      <c r="T64" s="278"/>
      <c r="U64" s="278"/>
      <c r="V64" s="159">
        <v>0</v>
      </c>
      <c r="W64" s="159">
        <f t="shared" si="3"/>
        <v>0</v>
      </c>
    </row>
    <row r="65" ht="23.25" spans="1:23">
      <c r="A65" s="272">
        <v>63</v>
      </c>
      <c r="B65" s="276" t="s">
        <v>76</v>
      </c>
      <c r="C65" s="277">
        <v>327</v>
      </c>
      <c r="D65" s="277">
        <v>405</v>
      </c>
      <c r="E65" s="277">
        <v>195</v>
      </c>
      <c r="F65" s="277"/>
      <c r="G65" s="277"/>
      <c r="H65" s="277"/>
      <c r="I65" s="277"/>
      <c r="J65" s="277"/>
      <c r="K65" s="277"/>
      <c r="L65" s="277"/>
      <c r="M65" s="277"/>
      <c r="N65" s="277"/>
      <c r="U65" s="278"/>
      <c r="V65" s="159">
        <v>0</v>
      </c>
      <c r="W65" s="159">
        <f t="shared" si="3"/>
        <v>0</v>
      </c>
    </row>
    <row r="66" ht="23.25" spans="1:23">
      <c r="A66" s="272">
        <v>64</v>
      </c>
      <c r="B66" s="276" t="s">
        <v>77</v>
      </c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159"/>
      <c r="U66" s="278"/>
      <c r="V66" s="159">
        <v>0</v>
      </c>
      <c r="W66" s="159">
        <f t="shared" si="3"/>
        <v>0</v>
      </c>
    </row>
    <row r="67" ht="23.25" spans="1:23">
      <c r="A67" s="272">
        <v>65</v>
      </c>
      <c r="B67" s="276" t="s">
        <v>78</v>
      </c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U67" s="278"/>
      <c r="V67" s="159">
        <v>0</v>
      </c>
      <c r="W67" s="159">
        <f t="shared" si="3"/>
        <v>0</v>
      </c>
    </row>
    <row r="68" ht="23.25" spans="1:23">
      <c r="A68" s="272">
        <v>66</v>
      </c>
      <c r="B68" s="276" t="s">
        <v>79</v>
      </c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U68" s="278"/>
      <c r="V68" s="159">
        <v>51</v>
      </c>
      <c r="W68" s="159">
        <f t="shared" ref="W68:W98" si="4">N68+V68</f>
        <v>51</v>
      </c>
    </row>
    <row r="69" ht="23.25" spans="1:23">
      <c r="A69" s="272">
        <v>67</v>
      </c>
      <c r="B69" s="276" t="s">
        <v>80</v>
      </c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U69" s="278"/>
      <c r="V69" s="159">
        <v>103</v>
      </c>
      <c r="W69" s="159">
        <f t="shared" si="4"/>
        <v>103</v>
      </c>
    </row>
    <row r="70" ht="30" customHeight="1" spans="1:23">
      <c r="A70" s="272">
        <v>68</v>
      </c>
      <c r="B70" s="276" t="s">
        <v>81</v>
      </c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V70" s="159">
        <v>125</v>
      </c>
      <c r="W70" s="159">
        <f t="shared" si="4"/>
        <v>125</v>
      </c>
    </row>
    <row r="71" ht="23.25" spans="1:23">
      <c r="A71" s="272">
        <v>69</v>
      </c>
      <c r="B71" s="276" t="s">
        <v>82</v>
      </c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V71" s="159">
        <v>125</v>
      </c>
      <c r="W71" s="159">
        <f t="shared" si="4"/>
        <v>125</v>
      </c>
    </row>
    <row r="72" ht="23.25" spans="1:23">
      <c r="A72" s="272">
        <v>70</v>
      </c>
      <c r="B72" s="276" t="s">
        <v>83</v>
      </c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V72" s="159">
        <v>125</v>
      </c>
      <c r="W72" s="159">
        <f t="shared" si="4"/>
        <v>125</v>
      </c>
    </row>
    <row r="73" ht="23.25" spans="1:23">
      <c r="A73" s="272">
        <v>71</v>
      </c>
      <c r="B73" s="276" t="s">
        <v>84</v>
      </c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T73" s="279"/>
      <c r="U73" s="1">
        <f>540-T73</f>
        <v>540</v>
      </c>
      <c r="V73" s="159">
        <v>125</v>
      </c>
      <c r="W73" s="159">
        <f t="shared" si="4"/>
        <v>125</v>
      </c>
    </row>
    <row r="74" ht="23.25" spans="1:23">
      <c r="A74" s="272">
        <v>72</v>
      </c>
      <c r="B74" s="276" t="s">
        <v>85</v>
      </c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T74" s="279"/>
      <c r="U74" s="1">
        <f>540-T74</f>
        <v>540</v>
      </c>
      <c r="V74" s="159">
        <v>125</v>
      </c>
      <c r="W74" s="159">
        <f t="shared" si="4"/>
        <v>125</v>
      </c>
    </row>
    <row r="75" ht="23.25" spans="1:23">
      <c r="A75" s="272">
        <v>73</v>
      </c>
      <c r="B75" s="276" t="s">
        <v>86</v>
      </c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T75" s="279"/>
      <c r="U75" s="1">
        <f>540-T75</f>
        <v>540</v>
      </c>
      <c r="V75" s="159">
        <v>125</v>
      </c>
      <c r="W75" s="159">
        <f t="shared" si="4"/>
        <v>125</v>
      </c>
    </row>
    <row r="76" ht="23.25" spans="1:23">
      <c r="A76" s="272">
        <v>74</v>
      </c>
      <c r="B76" s="276" t="s">
        <v>87</v>
      </c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T76" s="279"/>
      <c r="U76" s="1">
        <f>540-T76</f>
        <v>540</v>
      </c>
      <c r="V76" s="159">
        <v>125</v>
      </c>
      <c r="W76" s="159">
        <f t="shared" si="4"/>
        <v>125</v>
      </c>
    </row>
    <row r="77" ht="23.25" spans="1:23">
      <c r="A77" s="272">
        <v>75</v>
      </c>
      <c r="B77" s="276" t="s">
        <v>88</v>
      </c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T77" s="279"/>
      <c r="U77" s="1">
        <f>540-T77</f>
        <v>540</v>
      </c>
      <c r="V77" s="159">
        <v>125</v>
      </c>
      <c r="W77" s="159">
        <f t="shared" si="4"/>
        <v>125</v>
      </c>
    </row>
    <row r="78" ht="23.25" spans="1:23">
      <c r="A78" s="272">
        <v>76</v>
      </c>
      <c r="B78" s="276" t="s">
        <v>89</v>
      </c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V78" s="159">
        <v>125</v>
      </c>
      <c r="W78" s="159">
        <f t="shared" si="4"/>
        <v>125</v>
      </c>
    </row>
    <row r="79" ht="23.25" spans="1:23">
      <c r="A79" s="272">
        <v>77</v>
      </c>
      <c r="B79" s="276" t="s">
        <v>90</v>
      </c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V79" s="159">
        <v>125</v>
      </c>
      <c r="W79" s="159">
        <f t="shared" si="4"/>
        <v>125</v>
      </c>
    </row>
    <row r="80" ht="23.25" spans="1:23">
      <c r="A80" s="272">
        <v>78</v>
      </c>
      <c r="B80" s="276" t="s">
        <v>91</v>
      </c>
      <c r="C80" s="277"/>
      <c r="D80" s="277"/>
      <c r="E80" s="277"/>
      <c r="F80" s="277"/>
      <c r="G80" s="277"/>
      <c r="H80" s="277"/>
      <c r="I80" s="284"/>
      <c r="J80" s="277"/>
      <c r="K80" s="277"/>
      <c r="L80" s="277"/>
      <c r="M80" s="277"/>
      <c r="N80" s="277"/>
      <c r="V80" s="159">
        <v>125</v>
      </c>
      <c r="W80" s="159">
        <f t="shared" si="4"/>
        <v>125</v>
      </c>
    </row>
    <row r="81" ht="23.25" spans="1:23">
      <c r="A81" s="272">
        <v>79</v>
      </c>
      <c r="B81" s="276" t="s">
        <v>92</v>
      </c>
      <c r="C81" s="277"/>
      <c r="D81" s="277"/>
      <c r="E81" s="277"/>
      <c r="F81" s="277"/>
      <c r="G81" s="277"/>
      <c r="H81" s="277"/>
      <c r="I81" s="284"/>
      <c r="J81" s="277"/>
      <c r="K81" s="277"/>
      <c r="L81" s="277"/>
      <c r="M81" s="277"/>
      <c r="N81" s="277"/>
      <c r="V81" s="159">
        <v>125</v>
      </c>
      <c r="W81" s="159">
        <f t="shared" si="4"/>
        <v>125</v>
      </c>
    </row>
    <row r="82" s="120" customFormat="1" ht="23.25" spans="1:23">
      <c r="A82" s="280">
        <v>80</v>
      </c>
      <c r="B82" s="274" t="s">
        <v>93</v>
      </c>
      <c r="C82" s="277"/>
      <c r="D82" s="277"/>
      <c r="E82" s="277"/>
      <c r="F82" s="277"/>
      <c r="G82" s="277"/>
      <c r="H82" s="277"/>
      <c r="I82" s="285"/>
      <c r="J82" s="277"/>
      <c r="K82" s="277"/>
      <c r="L82" s="277"/>
      <c r="M82" s="277"/>
      <c r="N82" s="277"/>
      <c r="P82" s="1"/>
      <c r="Q82" s="1"/>
      <c r="V82" s="287">
        <v>125</v>
      </c>
      <c r="W82" s="159">
        <f t="shared" si="4"/>
        <v>125</v>
      </c>
    </row>
    <row r="83" ht="23.25" spans="1:23">
      <c r="A83" s="272">
        <v>81</v>
      </c>
      <c r="B83" s="276" t="s">
        <v>94</v>
      </c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V83" s="159">
        <v>125</v>
      </c>
      <c r="W83" s="159">
        <f t="shared" si="4"/>
        <v>125</v>
      </c>
    </row>
    <row r="84" ht="24" customHeight="1" spans="1:23">
      <c r="A84" s="272">
        <v>82</v>
      </c>
      <c r="B84" s="276" t="s">
        <v>95</v>
      </c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V84" s="159">
        <v>74</v>
      </c>
      <c r="W84" s="159">
        <f t="shared" si="4"/>
        <v>74</v>
      </c>
    </row>
    <row r="85" ht="23.25" spans="1:23">
      <c r="A85" s="272">
        <v>83</v>
      </c>
      <c r="B85" s="276" t="s">
        <v>96</v>
      </c>
      <c r="C85" s="277">
        <v>345</v>
      </c>
      <c r="D85" s="277">
        <v>389</v>
      </c>
      <c r="E85" s="277">
        <v>187</v>
      </c>
      <c r="F85" s="277"/>
      <c r="G85" s="277"/>
      <c r="H85" s="277"/>
      <c r="I85" s="277"/>
      <c r="J85" s="277"/>
      <c r="K85" s="277"/>
      <c r="L85" s="277"/>
      <c r="M85" s="277"/>
      <c r="N85" s="277"/>
      <c r="V85" s="159">
        <v>51</v>
      </c>
      <c r="W85" s="159">
        <f t="shared" si="4"/>
        <v>51</v>
      </c>
    </row>
    <row r="86" ht="23.25" spans="1:23">
      <c r="A86" s="272">
        <v>84</v>
      </c>
      <c r="B86" s="276" t="s">
        <v>97</v>
      </c>
      <c r="C86" s="277">
        <v>345</v>
      </c>
      <c r="D86" s="277">
        <v>389</v>
      </c>
      <c r="E86" s="277">
        <v>187</v>
      </c>
      <c r="F86" s="277"/>
      <c r="G86" s="277"/>
      <c r="H86" s="277"/>
      <c r="I86" s="277"/>
      <c r="J86" s="277"/>
      <c r="K86" s="277"/>
      <c r="L86" s="277"/>
      <c r="M86" s="277"/>
      <c r="N86" s="277"/>
      <c r="O86" s="90"/>
      <c r="V86" s="159">
        <v>51</v>
      </c>
      <c r="W86" s="159">
        <f t="shared" si="4"/>
        <v>51</v>
      </c>
    </row>
    <row r="87" ht="23.25" spans="1:23">
      <c r="A87" s="272">
        <v>85</v>
      </c>
      <c r="B87" s="276" t="s">
        <v>98</v>
      </c>
      <c r="C87" s="277">
        <v>345</v>
      </c>
      <c r="D87" s="277">
        <v>389</v>
      </c>
      <c r="E87" s="277">
        <v>187</v>
      </c>
      <c r="F87" s="277">
        <v>759</v>
      </c>
      <c r="G87" s="277"/>
      <c r="H87" s="277"/>
      <c r="I87" s="277"/>
      <c r="J87" s="277"/>
      <c r="K87" s="277"/>
      <c r="L87" s="277"/>
      <c r="M87" s="277"/>
      <c r="N87" s="277"/>
      <c r="O87" s="90"/>
      <c r="V87" s="159">
        <v>51</v>
      </c>
      <c r="W87" s="159">
        <f t="shared" si="4"/>
        <v>51</v>
      </c>
    </row>
    <row r="88" ht="23.25" spans="1:23">
      <c r="A88" s="272">
        <v>86</v>
      </c>
      <c r="B88" s="276" t="s">
        <v>99</v>
      </c>
      <c r="C88" s="277">
        <v>345</v>
      </c>
      <c r="D88" s="277">
        <v>389</v>
      </c>
      <c r="E88" s="277">
        <v>187</v>
      </c>
      <c r="F88" s="277">
        <v>759</v>
      </c>
      <c r="G88" s="277">
        <v>468</v>
      </c>
      <c r="H88" s="277"/>
      <c r="I88" s="277"/>
      <c r="J88" s="277"/>
      <c r="K88" s="277"/>
      <c r="L88" s="277"/>
      <c r="M88" s="277"/>
      <c r="N88" s="277"/>
      <c r="O88" s="90"/>
      <c r="V88" s="159">
        <v>0</v>
      </c>
      <c r="W88" s="159">
        <f t="shared" si="4"/>
        <v>0</v>
      </c>
    </row>
    <row r="89" ht="23.25" spans="1:23">
      <c r="A89" s="272">
        <v>87</v>
      </c>
      <c r="B89" s="276" t="s">
        <v>100</v>
      </c>
      <c r="C89" s="277">
        <v>345</v>
      </c>
      <c r="D89" s="277">
        <v>389</v>
      </c>
      <c r="E89" s="277">
        <v>187</v>
      </c>
      <c r="F89" s="277">
        <v>759</v>
      </c>
      <c r="G89" s="277">
        <v>468</v>
      </c>
      <c r="H89" s="277">
        <v>426</v>
      </c>
      <c r="I89" s="277"/>
      <c r="J89" s="277"/>
      <c r="K89" s="277"/>
      <c r="L89" s="277"/>
      <c r="M89" s="277"/>
      <c r="N89" s="277"/>
      <c r="O89" s="90"/>
      <c r="V89" s="159">
        <v>0</v>
      </c>
      <c r="W89" s="159">
        <f t="shared" si="4"/>
        <v>0</v>
      </c>
    </row>
    <row r="90" ht="23.25" spans="1:23">
      <c r="A90" s="272">
        <v>88</v>
      </c>
      <c r="B90" s="276" t="s">
        <v>101</v>
      </c>
      <c r="C90" s="277">
        <v>345</v>
      </c>
      <c r="D90" s="277">
        <v>389</v>
      </c>
      <c r="E90" s="277">
        <v>187</v>
      </c>
      <c r="F90" s="277">
        <v>759</v>
      </c>
      <c r="G90" s="277">
        <v>468</v>
      </c>
      <c r="H90" s="277">
        <v>426</v>
      </c>
      <c r="I90" s="277">
        <v>1228</v>
      </c>
      <c r="J90" s="277"/>
      <c r="K90" s="277"/>
      <c r="L90" s="277"/>
      <c r="M90" s="277"/>
      <c r="N90" s="277"/>
      <c r="O90" s="90"/>
      <c r="V90" s="159">
        <v>0</v>
      </c>
      <c r="W90" s="159">
        <f t="shared" si="4"/>
        <v>0</v>
      </c>
    </row>
    <row r="91" ht="23.25" spans="1:23">
      <c r="A91" s="272">
        <v>89</v>
      </c>
      <c r="B91" s="276" t="s">
        <v>102</v>
      </c>
      <c r="C91" s="277">
        <v>345</v>
      </c>
      <c r="D91" s="277">
        <v>389</v>
      </c>
      <c r="E91" s="277">
        <v>187</v>
      </c>
      <c r="F91" s="277">
        <v>759</v>
      </c>
      <c r="G91" s="277">
        <v>468</v>
      </c>
      <c r="H91" s="277">
        <v>426</v>
      </c>
      <c r="I91" s="277">
        <v>1228</v>
      </c>
      <c r="J91" s="277"/>
      <c r="K91" s="277"/>
      <c r="L91" s="277"/>
      <c r="M91" s="277"/>
      <c r="N91" s="277"/>
      <c r="O91" s="90"/>
      <c r="V91" s="159">
        <v>0</v>
      </c>
      <c r="W91" s="159">
        <f t="shared" si="4"/>
        <v>0</v>
      </c>
    </row>
    <row r="92" ht="23.25" spans="1:23">
      <c r="A92" s="272">
        <v>90</v>
      </c>
      <c r="B92" s="276" t="s">
        <v>103</v>
      </c>
      <c r="C92" s="277">
        <v>345</v>
      </c>
      <c r="D92" s="277">
        <v>389</v>
      </c>
      <c r="E92" s="277">
        <v>187</v>
      </c>
      <c r="F92" s="277">
        <v>759</v>
      </c>
      <c r="G92" s="277">
        <v>468</v>
      </c>
      <c r="H92" s="277">
        <v>426</v>
      </c>
      <c r="I92" s="277">
        <v>1228</v>
      </c>
      <c r="J92" s="277"/>
      <c r="K92" s="277"/>
      <c r="L92" s="277"/>
      <c r="M92" s="277"/>
      <c r="N92" s="277"/>
      <c r="O92" s="90"/>
      <c r="V92" s="159">
        <v>0</v>
      </c>
      <c r="W92" s="159">
        <f t="shared" si="4"/>
        <v>0</v>
      </c>
    </row>
    <row r="93" ht="23.25" spans="1:23">
      <c r="A93" s="272">
        <v>91</v>
      </c>
      <c r="B93" s="276" t="s">
        <v>104</v>
      </c>
      <c r="C93" s="277">
        <v>345</v>
      </c>
      <c r="D93" s="277">
        <v>389</v>
      </c>
      <c r="E93" s="277">
        <v>187</v>
      </c>
      <c r="F93" s="277">
        <v>759</v>
      </c>
      <c r="G93" s="277">
        <v>468</v>
      </c>
      <c r="H93" s="277">
        <v>426</v>
      </c>
      <c r="I93" s="277">
        <v>1228</v>
      </c>
      <c r="J93" s="277"/>
      <c r="K93" s="277"/>
      <c r="L93" s="277"/>
      <c r="M93" s="277"/>
      <c r="N93" s="277"/>
      <c r="O93" s="90"/>
      <c r="V93" s="159">
        <v>0</v>
      </c>
      <c r="W93" s="159">
        <f t="shared" si="4"/>
        <v>0</v>
      </c>
    </row>
    <row r="94" ht="23.25" spans="1:23">
      <c r="A94" s="272">
        <v>92</v>
      </c>
      <c r="B94" s="276" t="s">
        <v>105</v>
      </c>
      <c r="C94" s="277">
        <v>345</v>
      </c>
      <c r="D94" s="277">
        <v>389</v>
      </c>
      <c r="E94" s="277">
        <v>187</v>
      </c>
      <c r="F94" s="277">
        <v>759</v>
      </c>
      <c r="G94" s="277">
        <v>468</v>
      </c>
      <c r="H94" s="277">
        <v>426</v>
      </c>
      <c r="I94" s="277">
        <v>1228</v>
      </c>
      <c r="J94" s="277"/>
      <c r="K94" s="277">
        <v>750</v>
      </c>
      <c r="L94" s="277"/>
      <c r="M94" s="277"/>
      <c r="N94" s="277"/>
      <c r="O94" s="90"/>
      <c r="V94" s="159">
        <v>0</v>
      </c>
      <c r="W94" s="159">
        <f t="shared" si="4"/>
        <v>0</v>
      </c>
    </row>
    <row r="95" ht="23.25" spans="1:23">
      <c r="A95" s="272">
        <v>93</v>
      </c>
      <c r="B95" s="276" t="s">
        <v>106</v>
      </c>
      <c r="C95" s="277">
        <v>345</v>
      </c>
      <c r="D95" s="277">
        <v>389</v>
      </c>
      <c r="E95" s="277">
        <v>187</v>
      </c>
      <c r="F95" s="277">
        <v>759</v>
      </c>
      <c r="G95" s="277">
        <v>468</v>
      </c>
      <c r="H95" s="277">
        <v>426</v>
      </c>
      <c r="I95" s="277">
        <v>1228</v>
      </c>
      <c r="J95" s="277"/>
      <c r="K95" s="277">
        <v>750</v>
      </c>
      <c r="L95" s="277"/>
      <c r="M95" s="277"/>
      <c r="N95" s="277"/>
      <c r="O95" s="90"/>
      <c r="V95" s="159">
        <v>0</v>
      </c>
      <c r="W95" s="159">
        <f t="shared" si="4"/>
        <v>0</v>
      </c>
    </row>
    <row r="96" ht="23.25" spans="1:23">
      <c r="A96" s="272">
        <v>94</v>
      </c>
      <c r="B96" s="276" t="s">
        <v>107</v>
      </c>
      <c r="C96" s="277">
        <v>345</v>
      </c>
      <c r="D96" s="277">
        <v>389</v>
      </c>
      <c r="E96" s="277">
        <v>187</v>
      </c>
      <c r="F96" s="277">
        <v>759</v>
      </c>
      <c r="G96" s="277">
        <v>468</v>
      </c>
      <c r="H96" s="277">
        <v>426</v>
      </c>
      <c r="I96" s="277">
        <v>1228</v>
      </c>
      <c r="J96" s="277"/>
      <c r="K96" s="277">
        <v>750</v>
      </c>
      <c r="L96" s="277"/>
      <c r="M96" s="277"/>
      <c r="N96" s="277"/>
      <c r="O96" s="90"/>
      <c r="V96" s="159">
        <v>0</v>
      </c>
      <c r="W96" s="159">
        <f t="shared" si="4"/>
        <v>0</v>
      </c>
    </row>
    <row r="97" ht="23.25" spans="1:23">
      <c r="A97" s="272">
        <v>95</v>
      </c>
      <c r="B97" s="276" t="s">
        <v>108</v>
      </c>
      <c r="C97" s="277">
        <v>345</v>
      </c>
      <c r="D97" s="277">
        <v>389</v>
      </c>
      <c r="E97" s="277">
        <v>187</v>
      </c>
      <c r="F97" s="277">
        <v>759</v>
      </c>
      <c r="G97" s="277">
        <v>468</v>
      </c>
      <c r="H97" s="277">
        <v>426</v>
      </c>
      <c r="I97" s="277">
        <v>1228</v>
      </c>
      <c r="J97" s="277"/>
      <c r="K97" s="277">
        <v>750</v>
      </c>
      <c r="L97" s="277"/>
      <c r="M97" s="277"/>
      <c r="N97" s="277"/>
      <c r="O97" s="286"/>
      <c r="V97" s="159">
        <v>0</v>
      </c>
      <c r="W97" s="159">
        <f t="shared" si="4"/>
        <v>0</v>
      </c>
    </row>
    <row r="98" ht="23.25" spans="1:23">
      <c r="A98" s="272">
        <v>96</v>
      </c>
      <c r="B98" s="276" t="s">
        <v>109</v>
      </c>
      <c r="C98" s="277">
        <v>345</v>
      </c>
      <c r="D98" s="277">
        <v>389</v>
      </c>
      <c r="E98" s="277">
        <v>187</v>
      </c>
      <c r="F98" s="277">
        <v>759</v>
      </c>
      <c r="G98" s="277">
        <v>468</v>
      </c>
      <c r="H98" s="277">
        <v>426</v>
      </c>
      <c r="I98" s="277">
        <v>1228</v>
      </c>
      <c r="J98" s="277"/>
      <c r="K98" s="277">
        <v>750</v>
      </c>
      <c r="L98" s="277"/>
      <c r="M98" s="277"/>
      <c r="N98" s="277"/>
      <c r="V98" s="159">
        <v>0</v>
      </c>
      <c r="W98" s="159">
        <f t="shared" si="4"/>
        <v>0</v>
      </c>
    </row>
    <row r="99" ht="67.5" customHeight="1" spans="1:8">
      <c r="A99" s="281" t="s">
        <v>143</v>
      </c>
      <c r="B99" s="281"/>
      <c r="C99" s="282"/>
      <c r="D99" s="282"/>
      <c r="F99" s="283"/>
      <c r="G99" s="282"/>
      <c r="H99" s="282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F60" sqref="F60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44" customWidth="1"/>
    <col min="12" max="12" width="14.4380952380952" style="122" customWidth="1"/>
    <col min="13" max="13" width="10.552380952381" style="245" customWidth="1"/>
    <col min="14" max="14" width="13.3333333333333" style="1" customWidth="1"/>
    <col min="15" max="15" width="12.6666666666667" style="122" customWidth="1"/>
    <col min="16" max="16" width="9.66666666666667" style="122" customWidth="1"/>
    <col min="17" max="17" width="9.78095238095238" style="122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2" t="s">
        <v>144</v>
      </c>
      <c r="R1" s="122"/>
      <c r="S1" s="122"/>
      <c r="T1" s="122"/>
      <c r="U1" s="122"/>
      <c r="V1" s="122"/>
      <c r="W1" s="122"/>
      <c r="X1" s="122"/>
    </row>
    <row r="2" ht="75" customHeight="1" spans="1:24">
      <c r="A2" s="246" t="s">
        <v>145</v>
      </c>
      <c r="B2" s="246" t="s">
        <v>146</v>
      </c>
      <c r="C2" s="247" t="s">
        <v>147</v>
      </c>
      <c r="D2" s="247" t="s">
        <v>148</v>
      </c>
      <c r="E2" s="247" t="s">
        <v>149</v>
      </c>
      <c r="F2" s="247" t="s">
        <v>150</v>
      </c>
      <c r="G2" s="247" t="s">
        <v>151</v>
      </c>
      <c r="H2" s="248" t="s">
        <v>152</v>
      </c>
      <c r="I2" s="247" t="s">
        <v>153</v>
      </c>
      <c r="J2" s="247" t="s">
        <v>154</v>
      </c>
      <c r="K2" s="252" t="s">
        <v>155</v>
      </c>
      <c r="L2" s="247" t="s">
        <v>156</v>
      </c>
      <c r="M2" s="253" t="s">
        <v>157</v>
      </c>
      <c r="N2" s="254"/>
      <c r="O2" s="255" t="s">
        <v>158</v>
      </c>
      <c r="P2" s="247" t="s">
        <v>159</v>
      </c>
      <c r="Q2" s="247" t="s">
        <v>160</v>
      </c>
      <c r="R2" s="247" t="s">
        <v>161</v>
      </c>
      <c r="S2" s="247" t="s">
        <v>162</v>
      </c>
      <c r="T2" s="247" t="s">
        <v>163</v>
      </c>
      <c r="U2" s="260" t="s">
        <v>164</v>
      </c>
      <c r="V2" s="260" t="s">
        <v>165</v>
      </c>
      <c r="W2" s="260" t="s">
        <v>166</v>
      </c>
      <c r="X2" s="27" t="s">
        <v>167</v>
      </c>
    </row>
    <row r="3" ht="16.5" spans="1:27">
      <c r="A3" s="78">
        <v>1</v>
      </c>
      <c r="B3" s="78" t="s">
        <v>14</v>
      </c>
      <c r="C3" s="249">
        <f>Entitlement!BC7</f>
        <v>1625.01</v>
      </c>
      <c r="D3" s="250">
        <f>(Entitlement!L7+Entitlement!Q7+Entitlement!T7+Entitlement!W7+Entitlement!Z7+Entitlement!AC7+Entitlement!AF7+Entitlement!AI7+Entitlement!AL7+Entitlement!AO7+Entitlement!AR7+Entitlement!AU7+Entitlement!AX7+Entitlement!BA7)</f>
        <v>17.44</v>
      </c>
      <c r="E3" s="251">
        <f>C3-D3</f>
        <v>1607.57</v>
      </c>
      <c r="F3" s="251">
        <f>ISGS!Q13</f>
        <v>216.14</v>
      </c>
      <c r="G3" s="251">
        <f>E3-F3</f>
        <v>1391.43</v>
      </c>
      <c r="H3" s="251">
        <f>G3*(1-TPCIL!$L$11)+F3</f>
        <v>1540.642217</v>
      </c>
      <c r="I3" s="31">
        <f>H3+X3</f>
        <v>1540.642217</v>
      </c>
      <c r="J3" s="250">
        <f>ISGS!V13</f>
        <v>520.33</v>
      </c>
      <c r="K3" s="256">
        <f>I3-J3</f>
        <v>1020.312217</v>
      </c>
      <c r="L3" s="257">
        <f>(TPCIL!I13-TPCIL!C13)+(TPCIL!P13-TPCIL!D13)</f>
        <v>0.000544999999988249</v>
      </c>
      <c r="M3" s="258">
        <f>+L3+K3</f>
        <v>1020.312762</v>
      </c>
      <c r="N3" s="159"/>
      <c r="O3" s="259">
        <f>IF(ISGS!G13-Entitlement!K7*(1-TPCIL!$L$11)&lt;0,0,ISGS!G13-Entitlement!K7*(1-TPCIL!$L$11))</f>
        <v>0</v>
      </c>
      <c r="P3" s="259">
        <f>IF(ISGS!O13-Entitlement!AH7*(1-TPCIL!$L$11)&lt;0,0,ISGS!O13-Entitlement!AH7*(1-TPCIL!$L$11))</f>
        <v>0</v>
      </c>
      <c r="Q3" s="259">
        <f>IF(ISGS!P13-Entitlement!AK7*(1-TPCIL!$L$11)&lt;0,0,ISGS!P13-Entitlement!AK7*(1-TPCIL!$L$11))</f>
        <v>0</v>
      </c>
      <c r="R3" s="259">
        <f>IF(ISGS!U13-Entitlement!AZ7*(1-TPCIL!$L$11)&lt;0,0,ISGS!U13-Entitlement!AZ7*(1-TPCIL!$L$11))</f>
        <v>0</v>
      </c>
      <c r="S3" s="259">
        <f>IF(ISGS!Q13-Entitlement!AN7&lt;0,0,ISGS!Q13-Entitlement!AN7)</f>
        <v>0</v>
      </c>
      <c r="T3" s="259">
        <f>IF(ISGS!R13-Entitlement!AQ7*(1-TPCIL!$L$11)&lt;0,0,ISGS!R13-Entitlement!AQ7*(1-TPCIL!$L$11))</f>
        <v>0</v>
      </c>
      <c r="U3" s="259">
        <f>IF(ISGS!S13-Entitlement!AT7*(1-TPCIL!$L$11)&lt;0,0,ISGS!S13-Entitlement!AT7*(1-TPCIL!$L$11))</f>
        <v>0</v>
      </c>
      <c r="V3" s="259">
        <f>IF(ISGS!K13-Entitlement!V7*(1-TPCIL!$L$11)&lt;0,0,ISGS!K13-Entitlement!V7*(1-TPCIL!$L$11))</f>
        <v>0</v>
      </c>
      <c r="W3" s="259"/>
      <c r="X3" s="259">
        <f t="shared" ref="X3:X66" si="0">SUM(O3:W3)</f>
        <v>0</v>
      </c>
      <c r="AA3" s="159"/>
    </row>
    <row r="4" ht="16.5" spans="1:27">
      <c r="A4" s="78">
        <v>2</v>
      </c>
      <c r="B4" s="78" t="s">
        <v>15</v>
      </c>
      <c r="C4" s="249">
        <f>Entitlement!BC8</f>
        <v>1625.01</v>
      </c>
      <c r="D4" s="250">
        <f>(Entitlement!L8+Entitlement!Q8+Entitlement!T8+Entitlement!W8+Entitlement!Z8+Entitlement!AC8+Entitlement!AF8+Entitlement!AI8+Entitlement!AL8+Entitlement!AO8+Entitlement!AR8+Entitlement!AU8+Entitlement!AX8+Entitlement!BA8)</f>
        <v>17.44</v>
      </c>
      <c r="E4" s="251">
        <f t="shared" ref="E4:E35" si="1">C4-D4</f>
        <v>1607.57</v>
      </c>
      <c r="F4" s="251">
        <f>ISGS!Q14</f>
        <v>216.14</v>
      </c>
      <c r="G4" s="251">
        <f t="shared" ref="G4:G35" si="2">E4-F4</f>
        <v>1391.43</v>
      </c>
      <c r="H4" s="251">
        <f>G4*(1-TPCIL!$L$11)+F4</f>
        <v>1540.642217</v>
      </c>
      <c r="I4" s="31">
        <f t="shared" ref="I4:I35" si="3">H4+X4</f>
        <v>1540.642217</v>
      </c>
      <c r="J4" s="250">
        <f>ISGS!V14</f>
        <v>520.37</v>
      </c>
      <c r="K4" s="256">
        <f t="shared" ref="K4:K35" si="4">I4-J4</f>
        <v>1020.272217</v>
      </c>
      <c r="L4" s="257">
        <f>(TPCIL!I14-TPCIL!C14)+(TPCIL!P14-TPCIL!D14)</f>
        <v>0.000544999999988249</v>
      </c>
      <c r="M4" s="258">
        <f t="shared" ref="M4:M35" si="5">+L4+K4</f>
        <v>1020.272762</v>
      </c>
      <c r="N4" s="159"/>
      <c r="O4" s="259">
        <f>IF(ISGS!G14-Entitlement!K8*(1-TPCIL!$L$11)&lt;0,0,ISGS!G14-Entitlement!K8*(1-TPCIL!$L$11))</f>
        <v>0</v>
      </c>
      <c r="P4" s="259">
        <f>IF(ISGS!O14-Entitlement!AH8*(1-TPCIL!$L$11)&lt;0,0,ISGS!O14-Entitlement!AH8*(1-TPCIL!$L$11))</f>
        <v>0</v>
      </c>
      <c r="Q4" s="259">
        <f>IF(ISGS!P14-Entitlement!AK8*(1-TPCIL!$L$11)&lt;0,0,ISGS!P14-Entitlement!AK8*(1-TPCIL!$L$11))</f>
        <v>0</v>
      </c>
      <c r="R4" s="259">
        <f>IF(ISGS!U14-Entitlement!AZ8*(1-TPCIL!$L$11)&lt;0,0,ISGS!U14-Entitlement!AZ8*(1-TPCIL!$L$11))</f>
        <v>0</v>
      </c>
      <c r="S4" s="259">
        <f>IF(ISGS!Q14-Entitlement!AN8&lt;0,0,ISGS!Q14-Entitlement!AN8)</f>
        <v>0</v>
      </c>
      <c r="T4" s="259">
        <f>IF(ISGS!R14-Entitlement!AQ8*(1-TPCIL!$L$11)&lt;0,0,ISGS!R14-Entitlement!AQ8*(1-TPCIL!$L$11))</f>
        <v>0</v>
      </c>
      <c r="U4" s="259">
        <f>IF(ISGS!S14-Entitlement!AT8&lt;0,0,ISGS!S14-Entitlement!AT8)</f>
        <v>0</v>
      </c>
      <c r="V4" s="259">
        <f>IF(ISGS!K14-Entitlement!V8*(1-TPCIL!$L$11)&lt;0,0,ISGS!K14-Entitlement!V8*(1-TPCIL!$L$11))</f>
        <v>0</v>
      </c>
      <c r="W4" s="259"/>
      <c r="X4" s="259">
        <f t="shared" si="0"/>
        <v>0</v>
      </c>
      <c r="AA4" s="159"/>
    </row>
    <row r="5" ht="16.5" spans="1:27">
      <c r="A5" s="78">
        <v>3</v>
      </c>
      <c r="B5" s="78" t="s">
        <v>16</v>
      </c>
      <c r="C5" s="249">
        <f>Entitlement!BC9</f>
        <v>1625.01</v>
      </c>
      <c r="D5" s="250">
        <f>(Entitlement!L9+Entitlement!Q9+Entitlement!T9+Entitlement!W9+Entitlement!Z9+Entitlement!AC9+Entitlement!AF9+Entitlement!AI9+Entitlement!AL9+Entitlement!AO9+Entitlement!AR9+Entitlement!AU9+Entitlement!AX9+Entitlement!BA9)</f>
        <v>17.44</v>
      </c>
      <c r="E5" s="251">
        <f t="shared" si="1"/>
        <v>1607.57</v>
      </c>
      <c r="F5" s="251">
        <f>ISGS!Q15</f>
        <v>216.14</v>
      </c>
      <c r="G5" s="251">
        <f t="shared" si="2"/>
        <v>1391.43</v>
      </c>
      <c r="H5" s="251">
        <f>G5*(1-TPCIL!$L$11)+F5</f>
        <v>1540.642217</v>
      </c>
      <c r="I5" s="31">
        <f t="shared" si="3"/>
        <v>1540.642217</v>
      </c>
      <c r="J5" s="250">
        <f>ISGS!V15</f>
        <v>520.37</v>
      </c>
      <c r="K5" s="256">
        <f t="shared" si="4"/>
        <v>1020.272217</v>
      </c>
      <c r="L5" s="257">
        <f>(TPCIL!I15-TPCIL!C15)+(TPCIL!P15-TPCIL!D15)</f>
        <v>0.000544999999988249</v>
      </c>
      <c r="M5" s="258">
        <f t="shared" si="5"/>
        <v>1020.272762</v>
      </c>
      <c r="N5" s="159"/>
      <c r="O5" s="259">
        <f>IF(ISGS!G15-Entitlement!K9*(1-TPCIL!$L$11)&lt;0,0,ISGS!G15-Entitlement!K9*(1-TPCIL!$L$11))</f>
        <v>0</v>
      </c>
      <c r="P5" s="259">
        <f>IF(ISGS!O15-Entitlement!AH9*(1-TPCIL!$L$11)&lt;0,0,ISGS!O15-Entitlement!AH9*(1-TPCIL!$L$11))</f>
        <v>0</v>
      </c>
      <c r="Q5" s="259">
        <f>IF(ISGS!P15-Entitlement!AK9*(1-TPCIL!$L$11)&lt;0,0,ISGS!P15-Entitlement!AK9*(1-TPCIL!$L$11))</f>
        <v>0</v>
      </c>
      <c r="R5" s="259">
        <f>IF(ISGS!U15-Entitlement!AZ9*(1-TPCIL!$L$11)&lt;0,0,ISGS!U15-Entitlement!AZ9*(1-TPCIL!$L$11))</f>
        <v>0</v>
      </c>
      <c r="S5" s="259">
        <f>IF(ISGS!Q15-Entitlement!AN9&lt;0,0,ISGS!Q15-Entitlement!AN9)</f>
        <v>0</v>
      </c>
      <c r="T5" s="259">
        <f>IF(ISGS!R15-Entitlement!AQ9*(1-TPCIL!$L$11)&lt;0,0,ISGS!R15-Entitlement!AQ9*(1-TPCIL!$L$11))</f>
        <v>0</v>
      </c>
      <c r="U5" s="259">
        <f>IF(ISGS!S15-Entitlement!AT9&lt;0,0,ISGS!S15-Entitlement!AT9)</f>
        <v>0</v>
      </c>
      <c r="V5" s="259">
        <f>IF(ISGS!K15-Entitlement!V9*(1-TPCIL!$L$11)&lt;0,0,ISGS!K15-Entitlement!V9*(1-TPCIL!$L$11))</f>
        <v>0</v>
      </c>
      <c r="W5" s="259"/>
      <c r="X5" s="259">
        <f t="shared" si="0"/>
        <v>0</v>
      </c>
      <c r="AA5" s="159"/>
    </row>
    <row r="6" ht="16.5" spans="1:27">
      <c r="A6" s="78">
        <v>4</v>
      </c>
      <c r="B6" s="78" t="s">
        <v>17</v>
      </c>
      <c r="C6" s="249">
        <f>Entitlement!BC10</f>
        <v>1625.01</v>
      </c>
      <c r="D6" s="250">
        <f>(Entitlement!L10+Entitlement!Q10+Entitlement!T10+Entitlement!W10+Entitlement!Z10+Entitlement!AC10+Entitlement!AF10+Entitlement!AI10+Entitlement!AL10+Entitlement!AO10+Entitlement!AR10+Entitlement!AU10+Entitlement!AX10+Entitlement!BA10)</f>
        <v>17.44</v>
      </c>
      <c r="E6" s="251">
        <f t="shared" si="1"/>
        <v>1607.57</v>
      </c>
      <c r="F6" s="251">
        <f>ISGS!Q16</f>
        <v>216.14</v>
      </c>
      <c r="G6" s="251">
        <f t="shared" si="2"/>
        <v>1391.43</v>
      </c>
      <c r="H6" s="251">
        <f>G6*(1-TPCIL!$L$11)+F6</f>
        <v>1540.642217</v>
      </c>
      <c r="I6" s="31">
        <f t="shared" si="3"/>
        <v>1540.642217</v>
      </c>
      <c r="J6" s="250">
        <f>ISGS!V16</f>
        <v>520.37</v>
      </c>
      <c r="K6" s="256">
        <f t="shared" si="4"/>
        <v>1020.272217</v>
      </c>
      <c r="L6" s="257">
        <f>(TPCIL!I16-TPCIL!C16)+(TPCIL!P16-TPCIL!D16)</f>
        <v>0.000544999999988249</v>
      </c>
      <c r="M6" s="258">
        <f t="shared" si="5"/>
        <v>1020.272762</v>
      </c>
      <c r="N6" s="159"/>
      <c r="O6" s="259">
        <f>IF(ISGS!G16-Entitlement!K10*(1-TPCIL!$L$11)&lt;0,0,ISGS!G16-Entitlement!K10*(1-TPCIL!$L$11))</f>
        <v>0</v>
      </c>
      <c r="P6" s="259">
        <f>IF(ISGS!O16-Entitlement!AH10*(1-TPCIL!$L$11)&lt;0,0,ISGS!O16-Entitlement!AH10*(1-TPCIL!$L$11))</f>
        <v>0</v>
      </c>
      <c r="Q6" s="259">
        <f>IF(ISGS!P16-Entitlement!AK10*(1-TPCIL!$L$11)&lt;0,0,ISGS!P16-Entitlement!AK10*(1-TPCIL!$L$11))</f>
        <v>0</v>
      </c>
      <c r="R6" s="259">
        <f>IF(ISGS!U16-Entitlement!AZ10*(1-TPCIL!$L$11)&lt;0,0,ISGS!U16-Entitlement!AZ10*(1-TPCIL!$L$11))</f>
        <v>0</v>
      </c>
      <c r="S6" s="259">
        <f>IF(ISGS!Q16-Entitlement!AN10&lt;0,0,ISGS!Q16-Entitlement!AN10)</f>
        <v>0</v>
      </c>
      <c r="T6" s="259">
        <f>IF(ISGS!R16-Entitlement!AQ10*(1-TPCIL!$L$11)&lt;0,0,ISGS!R16-Entitlement!AQ10*(1-TPCIL!$L$11))</f>
        <v>0</v>
      </c>
      <c r="U6" s="259">
        <f>IF(ISGS!S16-Entitlement!AT10&lt;0,0,ISGS!S16-Entitlement!AT10)</f>
        <v>0</v>
      </c>
      <c r="V6" s="259">
        <f>IF(ISGS!K16-Entitlement!V10*(1-TPCIL!$L$11)&lt;0,0,ISGS!K16-Entitlement!V10*(1-TPCIL!$L$11))</f>
        <v>0</v>
      </c>
      <c r="W6" s="259"/>
      <c r="X6" s="259">
        <f t="shared" si="0"/>
        <v>0</v>
      </c>
      <c r="AA6" s="159"/>
    </row>
    <row r="7" ht="16.5" spans="1:27">
      <c r="A7" s="78">
        <v>5</v>
      </c>
      <c r="B7" s="78" t="s">
        <v>18</v>
      </c>
      <c r="C7" s="249">
        <f>Entitlement!BC11</f>
        <v>1625.01</v>
      </c>
      <c r="D7" s="250">
        <f>(Entitlement!L11+Entitlement!Q11+Entitlement!T11+Entitlement!W11+Entitlement!Z11+Entitlement!AC11+Entitlement!AF11+Entitlement!AI11+Entitlement!AL11+Entitlement!AO11+Entitlement!AR11+Entitlement!AU11+Entitlement!AX11+Entitlement!BA11)</f>
        <v>17.44</v>
      </c>
      <c r="E7" s="251">
        <f t="shared" si="1"/>
        <v>1607.57</v>
      </c>
      <c r="F7" s="251">
        <f>ISGS!Q17</f>
        <v>216.14</v>
      </c>
      <c r="G7" s="251">
        <f t="shared" si="2"/>
        <v>1391.43</v>
      </c>
      <c r="H7" s="251">
        <f>G7*(1-TPCIL!$L$11)+F7</f>
        <v>1540.642217</v>
      </c>
      <c r="I7" s="31">
        <f t="shared" si="3"/>
        <v>1540.642217</v>
      </c>
      <c r="J7" s="250">
        <f>ISGS!V17</f>
        <v>520.37</v>
      </c>
      <c r="K7" s="256">
        <f t="shared" si="4"/>
        <v>1020.272217</v>
      </c>
      <c r="L7" s="257">
        <f>(TPCIL!I17-TPCIL!C17)+(TPCIL!P17-TPCIL!D17)</f>
        <v>0.000544999999988249</v>
      </c>
      <c r="M7" s="258">
        <f t="shared" si="5"/>
        <v>1020.272762</v>
      </c>
      <c r="N7" s="159"/>
      <c r="O7" s="259">
        <f>IF(ISGS!G17-Entitlement!K11*(1-TPCIL!$L$11)&lt;0,0,ISGS!G17-Entitlement!K11*(1-TPCIL!$L$11))</f>
        <v>0</v>
      </c>
      <c r="P7" s="259">
        <f>IF(ISGS!O17-Entitlement!AH11*(1-TPCIL!$L$11)&lt;0,0,ISGS!O17-Entitlement!AH11*(1-TPCIL!$L$11))</f>
        <v>0</v>
      </c>
      <c r="Q7" s="259">
        <f>IF(ISGS!P17-Entitlement!AK11*(1-TPCIL!$L$11)&lt;0,0,ISGS!P17-Entitlement!AK11*(1-TPCIL!$L$11))</f>
        <v>0</v>
      </c>
      <c r="R7" s="259">
        <f>IF(ISGS!U17-Entitlement!AZ11*(1-TPCIL!$L$11)&lt;0,0,ISGS!U17-Entitlement!AZ11*(1-TPCIL!$L$11))</f>
        <v>0</v>
      </c>
      <c r="S7" s="259">
        <f>IF(ISGS!Q17-Entitlement!AN11&lt;0,0,ISGS!Q17-Entitlement!AN11)</f>
        <v>0</v>
      </c>
      <c r="T7" s="259">
        <f>IF(ISGS!R17-Entitlement!AQ11*(1-TPCIL!$L$11)&lt;0,0,ISGS!R17-Entitlement!AQ11*(1-TPCIL!$L$11))</f>
        <v>0</v>
      </c>
      <c r="U7" s="259">
        <f>IF(ISGS!S17-Entitlement!AT11&lt;0,0,ISGS!S17-Entitlement!AT11)</f>
        <v>0</v>
      </c>
      <c r="V7" s="259">
        <f>IF(ISGS!K17-Entitlement!V11*(1-TPCIL!$L$11)&lt;0,0,ISGS!K17-Entitlement!V11*(1-TPCIL!$L$11))</f>
        <v>0</v>
      </c>
      <c r="W7" s="259"/>
      <c r="X7" s="259">
        <f t="shared" si="0"/>
        <v>0</v>
      </c>
      <c r="AA7" s="159"/>
    </row>
    <row r="8" ht="16.5" spans="1:27">
      <c r="A8" s="78">
        <v>6</v>
      </c>
      <c r="B8" s="78" t="s">
        <v>19</v>
      </c>
      <c r="C8" s="249">
        <f>Entitlement!BC12</f>
        <v>1625.01</v>
      </c>
      <c r="D8" s="250">
        <f>(Entitlement!L12+Entitlement!Q12+Entitlement!T12+Entitlement!W12+Entitlement!Z12+Entitlement!AC12+Entitlement!AF12+Entitlement!AI12+Entitlement!AL12+Entitlement!AO12+Entitlement!AR12+Entitlement!AU12+Entitlement!AX12+Entitlement!BA12)</f>
        <v>17.44</v>
      </c>
      <c r="E8" s="251">
        <f t="shared" si="1"/>
        <v>1607.57</v>
      </c>
      <c r="F8" s="251">
        <f>ISGS!Q18</f>
        <v>216.14</v>
      </c>
      <c r="G8" s="251">
        <f t="shared" si="2"/>
        <v>1391.43</v>
      </c>
      <c r="H8" s="251">
        <f>G8*(1-TPCIL!$L$11)+F8</f>
        <v>1540.642217</v>
      </c>
      <c r="I8" s="31">
        <f t="shared" si="3"/>
        <v>1540.642217</v>
      </c>
      <c r="J8" s="250">
        <f>ISGS!V18</f>
        <v>520.37</v>
      </c>
      <c r="K8" s="256">
        <f t="shared" si="4"/>
        <v>1020.272217</v>
      </c>
      <c r="L8" s="257">
        <f>(TPCIL!I18-TPCIL!C18)+(TPCIL!P18-TPCIL!D18)</f>
        <v>0.000544999999988249</v>
      </c>
      <c r="M8" s="258">
        <f t="shared" si="5"/>
        <v>1020.272762</v>
      </c>
      <c r="N8" s="159"/>
      <c r="O8" s="259">
        <f>IF(ISGS!G18-Entitlement!K12*(1-TPCIL!$L$11)&lt;0,0,ISGS!G18-Entitlement!K12*(1-TPCIL!$L$11))</f>
        <v>0</v>
      </c>
      <c r="P8" s="259">
        <f>IF(ISGS!O18-Entitlement!AH12*(1-TPCIL!$L$11)&lt;0,0,ISGS!O18-Entitlement!AH12*(1-TPCIL!$L$11))</f>
        <v>0</v>
      </c>
      <c r="Q8" s="259">
        <f>IF(ISGS!P18-Entitlement!AK12*(1-TPCIL!$L$11)&lt;0,0,ISGS!P18-Entitlement!AK12*(1-TPCIL!$L$11))</f>
        <v>0</v>
      </c>
      <c r="R8" s="259">
        <f>IF(ISGS!U18-Entitlement!AZ12*(1-TPCIL!$L$11)&lt;0,0,ISGS!U18-Entitlement!AZ12*(1-TPCIL!$L$11))</f>
        <v>0</v>
      </c>
      <c r="S8" s="259">
        <f>IF(ISGS!Q18-Entitlement!AN12&lt;0,0,ISGS!Q18-Entitlement!AN12)</f>
        <v>0</v>
      </c>
      <c r="T8" s="259">
        <f>IF(ISGS!R18-Entitlement!AQ12*(1-TPCIL!$L$11)&lt;0,0,ISGS!R18-Entitlement!AQ12*(1-TPCIL!$L$11))</f>
        <v>0</v>
      </c>
      <c r="U8" s="259">
        <f>IF(ISGS!S18-Entitlement!AT12&lt;0,0,ISGS!S18-Entitlement!AT12)</f>
        <v>0</v>
      </c>
      <c r="V8" s="259">
        <f>IF(ISGS!K18-Entitlement!V12*(1-TPCIL!$L$11)&lt;0,0,ISGS!K18-Entitlement!V12*(1-TPCIL!$L$11))</f>
        <v>0</v>
      </c>
      <c r="W8" s="259"/>
      <c r="X8" s="259">
        <f t="shared" si="0"/>
        <v>0</v>
      </c>
      <c r="AA8" s="159"/>
    </row>
    <row r="9" ht="16.5" spans="1:27">
      <c r="A9" s="78">
        <v>7</v>
      </c>
      <c r="B9" s="78" t="s">
        <v>20</v>
      </c>
      <c r="C9" s="249">
        <f>Entitlement!BC13</f>
        <v>1625.44</v>
      </c>
      <c r="D9" s="250">
        <f>(Entitlement!L13+Entitlement!Q13+Entitlement!T13+Entitlement!W13+Entitlement!Z13+Entitlement!AC13+Entitlement!AF13+Entitlement!AI13+Entitlement!AL13+Entitlement!AO13+Entitlement!AR13+Entitlement!AU13+Entitlement!AX13+Entitlement!BA13)</f>
        <v>17.44</v>
      </c>
      <c r="E9" s="251">
        <f t="shared" si="1"/>
        <v>1608</v>
      </c>
      <c r="F9" s="251">
        <f>ISGS!Q19</f>
        <v>216.14</v>
      </c>
      <c r="G9" s="251">
        <f t="shared" si="2"/>
        <v>1391.86</v>
      </c>
      <c r="H9" s="251">
        <f>G9*(1-TPCIL!$L$11)+F9</f>
        <v>1541.051534</v>
      </c>
      <c r="I9" s="31">
        <f t="shared" si="3"/>
        <v>1541.051534</v>
      </c>
      <c r="J9" s="250">
        <f>ISGS!V19</f>
        <v>510.11</v>
      </c>
      <c r="K9" s="256">
        <f t="shared" si="4"/>
        <v>1030.941534</v>
      </c>
      <c r="L9" s="257">
        <f>(TPCIL!I19-TPCIL!C19)+(TPCIL!P19-TPCIL!D19)</f>
        <v>98.760545</v>
      </c>
      <c r="M9" s="258">
        <f t="shared" si="5"/>
        <v>1129.702079</v>
      </c>
      <c r="N9" s="159"/>
      <c r="O9" s="259">
        <f>IF(ISGS!G19-Entitlement!K13*(1-TPCIL!$L$11)&lt;0,0,ISGS!G19-Entitlement!K13*(1-TPCIL!$L$11))</f>
        <v>0</v>
      </c>
      <c r="P9" s="259">
        <f>IF(ISGS!O19-Entitlement!AH13*(1-TPCIL!$L$11)&lt;0,0,ISGS!O19-Entitlement!AH13*(1-TPCIL!$L$11))</f>
        <v>0</v>
      </c>
      <c r="Q9" s="259">
        <f>IF(ISGS!P19-Entitlement!AK13*(1-TPCIL!$L$11)&lt;0,0,ISGS!P19-Entitlement!AK13*(1-TPCIL!$L$11))</f>
        <v>0</v>
      </c>
      <c r="R9" s="259">
        <f>IF(ISGS!U19-Entitlement!AZ13*(1-TPCIL!$L$11)&lt;0,0,ISGS!U19-Entitlement!AZ13*(1-TPCIL!$L$11))</f>
        <v>0</v>
      </c>
      <c r="S9" s="259">
        <f>IF(ISGS!Q19-Entitlement!AN13&lt;0,0,ISGS!Q19-Entitlement!AN13)</f>
        <v>0</v>
      </c>
      <c r="T9" s="259">
        <f>IF(ISGS!R19-Entitlement!AQ13*(1-TPCIL!$L$11)&lt;0,0,ISGS!R19-Entitlement!AQ13*(1-TPCIL!$L$11))</f>
        <v>0</v>
      </c>
      <c r="U9" s="259">
        <f>IF(ISGS!S19-Entitlement!AT13&lt;0,0,ISGS!S19-Entitlement!AT13)</f>
        <v>0</v>
      </c>
      <c r="V9" s="259">
        <f>IF(ISGS!K19-Entitlement!V13*(1-TPCIL!$L$11)&lt;0,0,ISGS!K19-Entitlement!V13*(1-TPCIL!$L$11))</f>
        <v>0</v>
      </c>
      <c r="W9" s="259"/>
      <c r="X9" s="259">
        <f t="shared" si="0"/>
        <v>0</v>
      </c>
      <c r="AA9" s="159"/>
    </row>
    <row r="10" ht="16.5" spans="1:27">
      <c r="A10" s="78">
        <v>8</v>
      </c>
      <c r="B10" s="78" t="s">
        <v>21</v>
      </c>
      <c r="C10" s="249">
        <f>Entitlement!BC14</f>
        <v>1625.44</v>
      </c>
      <c r="D10" s="250">
        <f>(Entitlement!L14+Entitlement!Q14+Entitlement!T14+Entitlement!W14+Entitlement!Z14+Entitlement!AC14+Entitlement!AF14+Entitlement!AI14+Entitlement!AL14+Entitlement!AO14+Entitlement!AR14+Entitlement!AU14+Entitlement!AX14+Entitlement!BA14)</f>
        <v>17.44</v>
      </c>
      <c r="E10" s="251">
        <f t="shared" si="1"/>
        <v>1608</v>
      </c>
      <c r="F10" s="251">
        <f>ISGS!Q20</f>
        <v>216.14</v>
      </c>
      <c r="G10" s="251">
        <f t="shared" si="2"/>
        <v>1391.86</v>
      </c>
      <c r="H10" s="251">
        <f>G10*(1-TPCIL!$L$11)+F10</f>
        <v>1541.051534</v>
      </c>
      <c r="I10" s="31">
        <f t="shared" si="3"/>
        <v>1541.051534</v>
      </c>
      <c r="J10" s="250">
        <f>ISGS!V20</f>
        <v>495.69</v>
      </c>
      <c r="K10" s="256">
        <f t="shared" si="4"/>
        <v>1045.361534</v>
      </c>
      <c r="L10" s="257">
        <f>(TPCIL!I20-TPCIL!C20)+(TPCIL!P20-TPCIL!D20)</f>
        <v>98.760545</v>
      </c>
      <c r="M10" s="258">
        <f t="shared" si="5"/>
        <v>1144.122079</v>
      </c>
      <c r="N10" s="159"/>
      <c r="O10" s="259">
        <f>IF(ISGS!G20-Entitlement!K14*(1-TPCIL!$L$11)&lt;0,0,ISGS!G20-Entitlement!K14*(1-TPCIL!$L$11))</f>
        <v>0</v>
      </c>
      <c r="P10" s="259">
        <f>IF(ISGS!O20-Entitlement!AH14*(1-TPCIL!$L$11)&lt;0,0,ISGS!O20-Entitlement!AH14*(1-TPCIL!$L$11))</f>
        <v>0</v>
      </c>
      <c r="Q10" s="259">
        <f>IF(ISGS!P20-Entitlement!AK14*(1-TPCIL!$L$11)&lt;0,0,ISGS!P20-Entitlement!AK14*(1-TPCIL!$L$11))</f>
        <v>0</v>
      </c>
      <c r="R10" s="259">
        <f>IF(ISGS!U20-Entitlement!AZ14*(1-TPCIL!$L$11)&lt;0,0,ISGS!U20-Entitlement!AZ14*(1-TPCIL!$L$11))</f>
        <v>0</v>
      </c>
      <c r="S10" s="259">
        <f>IF(ISGS!Q20-Entitlement!AN14&lt;0,0,ISGS!Q20-Entitlement!AN14)</f>
        <v>0</v>
      </c>
      <c r="T10" s="259">
        <f>IF(ISGS!R20-Entitlement!AQ14*(1-TPCIL!$L$11)&lt;0,0,ISGS!R20-Entitlement!AQ14*(1-TPCIL!$L$11))</f>
        <v>0</v>
      </c>
      <c r="U10" s="259">
        <f>IF(ISGS!S20-Entitlement!AT14&lt;0,0,ISGS!S20-Entitlement!AT14)</f>
        <v>0</v>
      </c>
      <c r="V10" s="259">
        <f>IF(ISGS!K20-Entitlement!V14*(1-TPCIL!$L$11)&lt;0,0,ISGS!K20-Entitlement!V14*(1-TPCIL!$L$11))</f>
        <v>0</v>
      </c>
      <c r="W10" s="259"/>
      <c r="X10" s="259">
        <f t="shared" si="0"/>
        <v>0</v>
      </c>
      <c r="AA10" s="159"/>
    </row>
    <row r="11" ht="16.5" spans="1:27">
      <c r="A11" s="78">
        <v>9</v>
      </c>
      <c r="B11" s="78" t="s">
        <v>22</v>
      </c>
      <c r="C11" s="249">
        <f>Entitlement!BC15</f>
        <v>1625.44</v>
      </c>
      <c r="D11" s="250">
        <f>(Entitlement!L15+Entitlement!Q15+Entitlement!T15+Entitlement!W15+Entitlement!Z15+Entitlement!AC15+Entitlement!AF15+Entitlement!AI15+Entitlement!AL15+Entitlement!AO15+Entitlement!AR15+Entitlement!AU15+Entitlement!AX15+Entitlement!BA15)</f>
        <v>17.44</v>
      </c>
      <c r="E11" s="251">
        <f t="shared" si="1"/>
        <v>1608</v>
      </c>
      <c r="F11" s="251">
        <f>ISGS!Q21</f>
        <v>216.14</v>
      </c>
      <c r="G11" s="251">
        <f t="shared" si="2"/>
        <v>1391.86</v>
      </c>
      <c r="H11" s="251">
        <f>G11*(1-TPCIL!$L$11)+F11</f>
        <v>1541.051534</v>
      </c>
      <c r="I11" s="31">
        <f t="shared" si="3"/>
        <v>1541.051534</v>
      </c>
      <c r="J11" s="250">
        <f>ISGS!V21</f>
        <v>495.69</v>
      </c>
      <c r="K11" s="256">
        <f t="shared" si="4"/>
        <v>1045.361534</v>
      </c>
      <c r="L11" s="257">
        <f>(TPCIL!I21-TPCIL!C21)+(TPCIL!P21-TPCIL!D21)</f>
        <v>98.760545</v>
      </c>
      <c r="M11" s="258">
        <f t="shared" si="5"/>
        <v>1144.122079</v>
      </c>
      <c r="N11" s="159"/>
      <c r="O11" s="259">
        <f>IF(ISGS!G21-Entitlement!K15*(1-TPCIL!$L$11)&lt;0,0,ISGS!G21-Entitlement!K15*(1-TPCIL!$L$11))</f>
        <v>0</v>
      </c>
      <c r="P11" s="259">
        <f>IF(ISGS!O21-Entitlement!AH15*(1-TPCIL!$L$11)&lt;0,0,ISGS!O21-Entitlement!AH15*(1-TPCIL!$L$11))</f>
        <v>0</v>
      </c>
      <c r="Q11" s="259">
        <f>IF(ISGS!P21-Entitlement!AK15*(1-TPCIL!$L$11)&lt;0,0,ISGS!P21-Entitlement!AK15*(1-TPCIL!$L$11))</f>
        <v>0</v>
      </c>
      <c r="R11" s="259">
        <f>IF(ISGS!U21-Entitlement!AZ15*(1-TPCIL!$L$11)&lt;0,0,ISGS!U21-Entitlement!AZ15*(1-TPCIL!$L$11))</f>
        <v>0</v>
      </c>
      <c r="S11" s="259">
        <f>IF(ISGS!Q21-Entitlement!AN15&lt;0,0,ISGS!Q21-Entitlement!AN15)</f>
        <v>0</v>
      </c>
      <c r="T11" s="259">
        <f>IF(ISGS!R21-Entitlement!AQ15*(1-TPCIL!$L$11)&lt;0,0,ISGS!R21-Entitlement!AQ15*(1-TPCIL!$L$11))</f>
        <v>0</v>
      </c>
      <c r="U11" s="259">
        <f>IF(ISGS!S21-Entitlement!AT15&lt;0,0,ISGS!S21-Entitlement!AT15)</f>
        <v>0</v>
      </c>
      <c r="V11" s="259">
        <f>IF(ISGS!K21-Entitlement!V15*(1-TPCIL!$L$11)&lt;0,0,ISGS!K21-Entitlement!V15*(1-TPCIL!$L$11))</f>
        <v>0</v>
      </c>
      <c r="W11" s="259"/>
      <c r="X11" s="259">
        <f t="shared" si="0"/>
        <v>0</v>
      </c>
      <c r="AA11" s="159"/>
    </row>
    <row r="12" ht="16.5" spans="1:27">
      <c r="A12" s="78">
        <v>10</v>
      </c>
      <c r="B12" s="78" t="s">
        <v>23</v>
      </c>
      <c r="C12" s="249">
        <f>Entitlement!BC16</f>
        <v>1625.44</v>
      </c>
      <c r="D12" s="250">
        <f>(Entitlement!L16+Entitlement!Q16+Entitlement!T16+Entitlement!W16+Entitlement!Z16+Entitlement!AC16+Entitlement!AF16+Entitlement!AI16+Entitlement!AL16+Entitlement!AO16+Entitlement!AR16+Entitlement!AU16+Entitlement!AX16+Entitlement!BA16)</f>
        <v>17.44</v>
      </c>
      <c r="E12" s="251">
        <f t="shared" si="1"/>
        <v>1608</v>
      </c>
      <c r="F12" s="251">
        <f>ISGS!Q22</f>
        <v>216.14</v>
      </c>
      <c r="G12" s="251">
        <f t="shared" si="2"/>
        <v>1391.86</v>
      </c>
      <c r="H12" s="251">
        <f>G12*(1-TPCIL!$L$11)+F12</f>
        <v>1541.051534</v>
      </c>
      <c r="I12" s="31">
        <f t="shared" si="3"/>
        <v>1541.051534</v>
      </c>
      <c r="J12" s="250">
        <f>ISGS!V22</f>
        <v>495.69</v>
      </c>
      <c r="K12" s="256">
        <f t="shared" si="4"/>
        <v>1045.361534</v>
      </c>
      <c r="L12" s="257">
        <f>(TPCIL!I22-TPCIL!C22)+(TPCIL!P22-TPCIL!D22)</f>
        <v>98.760545</v>
      </c>
      <c r="M12" s="258">
        <f t="shared" si="5"/>
        <v>1144.122079</v>
      </c>
      <c r="N12" s="159"/>
      <c r="O12" s="259">
        <f>IF(ISGS!G22-Entitlement!K16*(1-TPCIL!$L$11)&lt;0,0,ISGS!G22-Entitlement!K16*(1-TPCIL!$L$11))</f>
        <v>0</v>
      </c>
      <c r="P12" s="259">
        <f>IF(ISGS!O22-Entitlement!AH16*(1-TPCIL!$L$11)&lt;0,0,ISGS!O22-Entitlement!AH16*(1-TPCIL!$L$11))</f>
        <v>0</v>
      </c>
      <c r="Q12" s="259">
        <f>IF(ISGS!P22-Entitlement!AK16*(1-TPCIL!$L$11)&lt;0,0,ISGS!P22-Entitlement!AK16*(1-TPCIL!$L$11))</f>
        <v>0</v>
      </c>
      <c r="R12" s="259">
        <f>IF(ISGS!U22-Entitlement!AZ16*(1-TPCIL!$L$11)&lt;0,0,ISGS!U22-Entitlement!AZ16*(1-TPCIL!$L$11))</f>
        <v>0</v>
      </c>
      <c r="S12" s="259">
        <f>IF(ISGS!Q22-Entitlement!AN16&lt;0,0,ISGS!Q22-Entitlement!AN16)</f>
        <v>0</v>
      </c>
      <c r="T12" s="259">
        <f>IF(ISGS!R22-Entitlement!AQ16*(1-TPCIL!$L$11)&lt;0,0,ISGS!R22-Entitlement!AQ16*(1-TPCIL!$L$11))</f>
        <v>0</v>
      </c>
      <c r="U12" s="259">
        <f>IF(ISGS!S22-Entitlement!AT16&lt;0,0,ISGS!S22-Entitlement!AT16)</f>
        <v>0</v>
      </c>
      <c r="V12" s="259">
        <f>IF(ISGS!K22-Entitlement!V16*(1-TPCIL!$L$11)&lt;0,0,ISGS!K22-Entitlement!V16*(1-TPCIL!$L$11))</f>
        <v>0</v>
      </c>
      <c r="W12" s="259"/>
      <c r="X12" s="259">
        <f t="shared" si="0"/>
        <v>0</v>
      </c>
      <c r="AA12" s="159"/>
    </row>
    <row r="13" ht="16.5" spans="1:27">
      <c r="A13" s="78">
        <v>11</v>
      </c>
      <c r="B13" s="78" t="s">
        <v>24</v>
      </c>
      <c r="C13" s="249">
        <f>Entitlement!BC17</f>
        <v>1625.44</v>
      </c>
      <c r="D13" s="250">
        <f>(Entitlement!L17+Entitlement!Q17+Entitlement!T17+Entitlement!W17+Entitlement!Z17+Entitlement!AC17+Entitlement!AF17+Entitlement!AI17+Entitlement!AL17+Entitlement!AO17+Entitlement!AR17+Entitlement!AU17+Entitlement!AX17+Entitlement!BA17)</f>
        <v>17.44</v>
      </c>
      <c r="E13" s="251">
        <f t="shared" si="1"/>
        <v>1608</v>
      </c>
      <c r="F13" s="251">
        <f>ISGS!Q23</f>
        <v>216.14</v>
      </c>
      <c r="G13" s="251">
        <f t="shared" si="2"/>
        <v>1391.86</v>
      </c>
      <c r="H13" s="251">
        <f>G13*(1-TPCIL!$L$11)+F13</f>
        <v>1541.051534</v>
      </c>
      <c r="I13" s="31">
        <f t="shared" si="3"/>
        <v>1541.051534</v>
      </c>
      <c r="J13" s="250">
        <f>ISGS!V23</f>
        <v>495.69</v>
      </c>
      <c r="K13" s="256">
        <f t="shared" si="4"/>
        <v>1045.361534</v>
      </c>
      <c r="L13" s="257">
        <f>(TPCIL!I23-TPCIL!C23)+(TPCIL!P23-TPCIL!D23)</f>
        <v>98.760545</v>
      </c>
      <c r="M13" s="258">
        <f t="shared" si="5"/>
        <v>1144.122079</v>
      </c>
      <c r="N13" s="159"/>
      <c r="O13" s="259">
        <f>IF(ISGS!G23-Entitlement!K17*(1-TPCIL!$L$11)&lt;0,0,ISGS!G23-Entitlement!K17*(1-TPCIL!$L$11))</f>
        <v>0</v>
      </c>
      <c r="P13" s="259">
        <f>IF(ISGS!O23-Entitlement!AH17*(1-TPCIL!$L$11)&lt;0,0,ISGS!O23-Entitlement!AH17*(1-TPCIL!$L$11))</f>
        <v>0</v>
      </c>
      <c r="Q13" s="259">
        <f>IF(ISGS!P23-Entitlement!AK17*(1-TPCIL!$L$11)&lt;0,0,ISGS!P23-Entitlement!AK17*(1-TPCIL!$L$11))</f>
        <v>0</v>
      </c>
      <c r="R13" s="259">
        <f>IF(ISGS!U23-Entitlement!AZ17*(1-TPCIL!$L$11)&lt;0,0,ISGS!U23-Entitlement!AZ17*(1-TPCIL!$L$11))</f>
        <v>0</v>
      </c>
      <c r="S13" s="259">
        <f>IF(ISGS!Q23-Entitlement!AN17&lt;0,0,ISGS!Q23-Entitlement!AN17)</f>
        <v>0</v>
      </c>
      <c r="T13" s="259">
        <f>IF(ISGS!R23-Entitlement!AQ17*(1-TPCIL!$L$11)&lt;0,0,ISGS!R23-Entitlement!AQ17*(1-TPCIL!$L$11))</f>
        <v>0</v>
      </c>
      <c r="U13" s="259">
        <f>IF(ISGS!S23-Entitlement!AT17&lt;0,0,ISGS!S23-Entitlement!AT17)</f>
        <v>0</v>
      </c>
      <c r="V13" s="259">
        <f>IF(ISGS!K23-Entitlement!V17*(1-TPCIL!$L$11)&lt;0,0,ISGS!K23-Entitlement!V17*(1-TPCIL!$L$11))</f>
        <v>0</v>
      </c>
      <c r="W13" s="259"/>
      <c r="X13" s="259">
        <f t="shared" si="0"/>
        <v>0</v>
      </c>
      <c r="AA13" s="159"/>
    </row>
    <row r="14" ht="16.5" spans="1:27">
      <c r="A14" s="78">
        <v>12</v>
      </c>
      <c r="B14" s="78" t="s">
        <v>25</v>
      </c>
      <c r="C14" s="249">
        <f>Entitlement!BC18</f>
        <v>1625.44</v>
      </c>
      <c r="D14" s="250">
        <f>(Entitlement!L18+Entitlement!Q18+Entitlement!T18+Entitlement!W18+Entitlement!Z18+Entitlement!AC18+Entitlement!AF18+Entitlement!AI18+Entitlement!AL18+Entitlement!AO18+Entitlement!AR18+Entitlement!AU18+Entitlement!AX18+Entitlement!BA18)</f>
        <v>17.44</v>
      </c>
      <c r="E14" s="251">
        <f t="shared" si="1"/>
        <v>1608</v>
      </c>
      <c r="F14" s="251">
        <f>ISGS!Q24</f>
        <v>216.14</v>
      </c>
      <c r="G14" s="251">
        <f t="shared" si="2"/>
        <v>1391.86</v>
      </c>
      <c r="H14" s="251">
        <f>G14*(1-TPCIL!$L$11)+F14</f>
        <v>1541.051534</v>
      </c>
      <c r="I14" s="31">
        <f t="shared" si="3"/>
        <v>1541.051534</v>
      </c>
      <c r="J14" s="250">
        <f>ISGS!V24</f>
        <v>495.69</v>
      </c>
      <c r="K14" s="256">
        <f t="shared" si="4"/>
        <v>1045.361534</v>
      </c>
      <c r="L14" s="257">
        <f>(TPCIL!I24-TPCIL!C24)+(TPCIL!P24-TPCIL!D24)</f>
        <v>98.760545</v>
      </c>
      <c r="M14" s="258">
        <f t="shared" si="5"/>
        <v>1144.122079</v>
      </c>
      <c r="N14" s="159"/>
      <c r="O14" s="259">
        <f>IF(ISGS!G24-Entitlement!K18*(1-TPCIL!$L$11)&lt;0,0,ISGS!G24-Entitlement!K18*(1-TPCIL!$L$11))</f>
        <v>0</v>
      </c>
      <c r="P14" s="259">
        <f>IF(ISGS!O24-Entitlement!AH18*(1-TPCIL!$L$11)&lt;0,0,ISGS!O24-Entitlement!AH18*(1-TPCIL!$L$11))</f>
        <v>0</v>
      </c>
      <c r="Q14" s="259">
        <f>IF(ISGS!P24-Entitlement!AK18*(1-TPCIL!$L$11)&lt;0,0,ISGS!P24-Entitlement!AK18*(1-TPCIL!$L$11))</f>
        <v>0</v>
      </c>
      <c r="R14" s="259">
        <f>IF(ISGS!U24-Entitlement!AZ18*(1-TPCIL!$L$11)&lt;0,0,ISGS!U24-Entitlement!AZ18*(1-TPCIL!$L$11))</f>
        <v>0</v>
      </c>
      <c r="S14" s="259">
        <f>IF(ISGS!Q24-Entitlement!AN18&lt;0,0,ISGS!Q24-Entitlement!AN18)</f>
        <v>0</v>
      </c>
      <c r="T14" s="259">
        <f>IF(ISGS!R24-Entitlement!AQ18*(1-TPCIL!$L$11)&lt;0,0,ISGS!R24-Entitlement!AQ18*(1-TPCIL!$L$11))</f>
        <v>0</v>
      </c>
      <c r="U14" s="259">
        <f>IF(ISGS!S24-Entitlement!AT18&lt;0,0,ISGS!S24-Entitlement!AT18)</f>
        <v>0</v>
      </c>
      <c r="V14" s="259">
        <f>IF(ISGS!K24-Entitlement!V18*(1-TPCIL!$L$11)&lt;0,0,ISGS!K24-Entitlement!V18*(1-TPCIL!$L$11))</f>
        <v>0</v>
      </c>
      <c r="W14" s="259"/>
      <c r="X14" s="259">
        <f t="shared" si="0"/>
        <v>0</v>
      </c>
      <c r="AA14" s="159"/>
    </row>
    <row r="15" ht="16.5" spans="1:27">
      <c r="A15" s="78">
        <v>13</v>
      </c>
      <c r="B15" s="78" t="s">
        <v>26</v>
      </c>
      <c r="C15" s="249">
        <f>Entitlement!BC19</f>
        <v>1625.44</v>
      </c>
      <c r="D15" s="250">
        <f>(Entitlement!L19+Entitlement!Q19+Entitlement!T19+Entitlement!W19+Entitlement!Z19+Entitlement!AC19+Entitlement!AF19+Entitlement!AI19+Entitlement!AL19+Entitlement!AO19+Entitlement!AR19+Entitlement!AU19+Entitlement!AX19+Entitlement!BA19)</f>
        <v>17.44</v>
      </c>
      <c r="E15" s="251">
        <f t="shared" si="1"/>
        <v>1608</v>
      </c>
      <c r="F15" s="251">
        <f>ISGS!Q25</f>
        <v>216.14</v>
      </c>
      <c r="G15" s="251">
        <f t="shared" si="2"/>
        <v>1391.86</v>
      </c>
      <c r="H15" s="251">
        <f>G15*(1-TPCIL!$L$11)+F15</f>
        <v>1541.051534</v>
      </c>
      <c r="I15" s="31">
        <f t="shared" si="3"/>
        <v>1541.051534</v>
      </c>
      <c r="J15" s="250">
        <f>ISGS!V25</f>
        <v>493.75</v>
      </c>
      <c r="K15" s="256">
        <f t="shared" si="4"/>
        <v>1047.301534</v>
      </c>
      <c r="L15" s="257">
        <f>(TPCIL!I25-TPCIL!C25)+(TPCIL!P25-TPCIL!D25)</f>
        <v>98.760545</v>
      </c>
      <c r="M15" s="258">
        <f t="shared" si="5"/>
        <v>1146.062079</v>
      </c>
      <c r="N15" s="159"/>
      <c r="O15" s="259">
        <f>IF(ISGS!G25-Entitlement!K19*(1-TPCIL!$L$11)&lt;0,0,ISGS!G25-Entitlement!K19*(1-TPCIL!$L$11))</f>
        <v>0</v>
      </c>
      <c r="P15" s="259">
        <f>IF(ISGS!O25-Entitlement!AH19*(1-TPCIL!$L$11)&lt;0,0,ISGS!O25-Entitlement!AH19*(1-TPCIL!$L$11))</f>
        <v>0</v>
      </c>
      <c r="Q15" s="259">
        <f>IF(ISGS!P25-Entitlement!AK19*(1-TPCIL!$L$11)&lt;0,0,ISGS!P25-Entitlement!AK19*(1-TPCIL!$L$11))</f>
        <v>0</v>
      </c>
      <c r="R15" s="259">
        <f>IF(ISGS!U25-Entitlement!AZ19*(1-TPCIL!$L$11)&lt;0,0,ISGS!U25-Entitlement!AZ19*(1-TPCIL!$L$11))</f>
        <v>0</v>
      </c>
      <c r="S15" s="259">
        <f>IF(ISGS!Q25-Entitlement!AN19&lt;0,0,ISGS!Q25-Entitlement!AN19)</f>
        <v>0</v>
      </c>
      <c r="T15" s="259">
        <f>IF(ISGS!R25-Entitlement!AQ19*(1-TPCIL!$L$11)&lt;0,0,ISGS!R25-Entitlement!AQ19*(1-TPCIL!$L$11))</f>
        <v>0</v>
      </c>
      <c r="U15" s="259">
        <f>IF(ISGS!S25-Entitlement!AT19&lt;0,0,ISGS!S25-Entitlement!AT19)</f>
        <v>0</v>
      </c>
      <c r="V15" s="259">
        <f>IF(ISGS!K25-Entitlement!V19*(1-TPCIL!$L$11)&lt;0,0,ISGS!K25-Entitlement!V19*(1-TPCIL!$L$11))</f>
        <v>0</v>
      </c>
      <c r="W15" s="259"/>
      <c r="X15" s="259">
        <f t="shared" si="0"/>
        <v>0</v>
      </c>
      <c r="AA15" s="159"/>
    </row>
    <row r="16" ht="16.5" spans="1:27">
      <c r="A16" s="78">
        <v>14</v>
      </c>
      <c r="B16" s="78" t="s">
        <v>27</v>
      </c>
      <c r="C16" s="249">
        <f>Entitlement!BC20</f>
        <v>1625.44</v>
      </c>
      <c r="D16" s="250">
        <f>(Entitlement!L20+Entitlement!Q20+Entitlement!T20+Entitlement!W20+Entitlement!Z20+Entitlement!AC20+Entitlement!AF20+Entitlement!AI20+Entitlement!AL20+Entitlement!AO20+Entitlement!AR20+Entitlement!AU20+Entitlement!AX20+Entitlement!BA20)</f>
        <v>17.44</v>
      </c>
      <c r="E16" s="251">
        <f t="shared" si="1"/>
        <v>1608</v>
      </c>
      <c r="F16" s="251">
        <f>ISGS!Q26</f>
        <v>216.14</v>
      </c>
      <c r="G16" s="251">
        <f t="shared" si="2"/>
        <v>1391.86</v>
      </c>
      <c r="H16" s="251">
        <f>G16*(1-TPCIL!$L$11)+F16</f>
        <v>1541.051534</v>
      </c>
      <c r="I16" s="31">
        <f t="shared" si="3"/>
        <v>1541.051534</v>
      </c>
      <c r="J16" s="250">
        <f>ISGS!V26</f>
        <v>493.75</v>
      </c>
      <c r="K16" s="256">
        <f t="shared" si="4"/>
        <v>1047.301534</v>
      </c>
      <c r="L16" s="257">
        <f>(TPCIL!I26-TPCIL!C26)+(TPCIL!P26-TPCIL!D26)</f>
        <v>98.760545</v>
      </c>
      <c r="M16" s="258">
        <f t="shared" si="5"/>
        <v>1146.062079</v>
      </c>
      <c r="N16" s="159"/>
      <c r="O16" s="259">
        <f>IF(ISGS!G26-Entitlement!K20*(1-TPCIL!$L$11)&lt;0,0,ISGS!G26-Entitlement!K20*(1-TPCIL!$L$11))</f>
        <v>0</v>
      </c>
      <c r="P16" s="259">
        <f>IF(ISGS!O26-Entitlement!AH20*(1-TPCIL!$L$11)&lt;0,0,ISGS!O26-Entitlement!AH20*(1-TPCIL!$L$11))</f>
        <v>0</v>
      </c>
      <c r="Q16" s="259">
        <f>IF(ISGS!P26-Entitlement!AK20*(1-TPCIL!$L$11)&lt;0,0,ISGS!P26-Entitlement!AK20*(1-TPCIL!$L$11))</f>
        <v>0</v>
      </c>
      <c r="R16" s="259">
        <f>IF(ISGS!U26-Entitlement!AZ20*(1-TPCIL!$L$11)&lt;0,0,ISGS!U26-Entitlement!AZ20*(1-TPCIL!$L$11))</f>
        <v>0</v>
      </c>
      <c r="S16" s="259">
        <f>IF(ISGS!Q26-Entitlement!AN20&lt;0,0,ISGS!Q26-Entitlement!AN20)</f>
        <v>0</v>
      </c>
      <c r="T16" s="259">
        <f>IF(ISGS!R26-Entitlement!AQ20*(1-TPCIL!$L$11)&lt;0,0,ISGS!R26-Entitlement!AQ20*(1-TPCIL!$L$11))</f>
        <v>0</v>
      </c>
      <c r="U16" s="259">
        <f>IF(ISGS!S26-Entitlement!AT20&lt;0,0,ISGS!S26-Entitlement!AT20)</f>
        <v>0</v>
      </c>
      <c r="V16" s="259">
        <f>IF(ISGS!K26-Entitlement!V20*(1-TPCIL!$L$11)&lt;0,0,ISGS!K26-Entitlement!V20*(1-TPCIL!$L$11))</f>
        <v>0</v>
      </c>
      <c r="W16" s="259"/>
      <c r="X16" s="259">
        <f t="shared" si="0"/>
        <v>0</v>
      </c>
      <c r="AA16" s="159"/>
    </row>
    <row r="17" ht="16.5" spans="1:27">
      <c r="A17" s="78">
        <v>15</v>
      </c>
      <c r="B17" s="78" t="s">
        <v>28</v>
      </c>
      <c r="C17" s="249">
        <f>Entitlement!BC21</f>
        <v>1625.66</v>
      </c>
      <c r="D17" s="250">
        <f>(Entitlement!L21+Entitlement!Q21+Entitlement!T21+Entitlement!W21+Entitlement!Z21+Entitlement!AC21+Entitlement!AF21+Entitlement!AI21+Entitlement!AL21+Entitlement!AO21+Entitlement!AR21+Entitlement!AU21+Entitlement!AX21+Entitlement!BA21)</f>
        <v>17.44</v>
      </c>
      <c r="E17" s="251">
        <f t="shared" si="1"/>
        <v>1608.22</v>
      </c>
      <c r="F17" s="251">
        <f>ISGS!Q27</f>
        <v>216.14</v>
      </c>
      <c r="G17" s="251">
        <f t="shared" si="2"/>
        <v>1392.08</v>
      </c>
      <c r="H17" s="251">
        <f>G17*(1-TPCIL!$L$11)+F17</f>
        <v>1541.260952</v>
      </c>
      <c r="I17" s="31">
        <f t="shared" si="3"/>
        <v>1541.260952</v>
      </c>
      <c r="J17" s="250">
        <f>ISGS!V27</f>
        <v>515.37</v>
      </c>
      <c r="K17" s="256">
        <f t="shared" si="4"/>
        <v>1025.890952</v>
      </c>
      <c r="L17" s="257">
        <f>(TPCIL!I27-TPCIL!C27)+(TPCIL!P27-TPCIL!D27)</f>
        <v>98.760545</v>
      </c>
      <c r="M17" s="258">
        <f t="shared" si="5"/>
        <v>1124.651497</v>
      </c>
      <c r="N17" s="159"/>
      <c r="O17" s="259">
        <f>IF(ISGS!G27-Entitlement!K21*(1-TPCIL!$L$11)&lt;0,0,ISGS!G27-Entitlement!K21*(1-TPCIL!$L$11))</f>
        <v>0</v>
      </c>
      <c r="P17" s="259">
        <f>IF(ISGS!O27-Entitlement!AH21*(1-TPCIL!$L$11)&lt;0,0,ISGS!O27-Entitlement!AH21*(1-TPCIL!$L$11))</f>
        <v>0</v>
      </c>
      <c r="Q17" s="259">
        <f>IF(ISGS!P27-Entitlement!AK21*(1-TPCIL!$L$11)&lt;0,0,ISGS!P27-Entitlement!AK21*(1-TPCIL!$L$11))</f>
        <v>0</v>
      </c>
      <c r="R17" s="259">
        <f>IF(ISGS!U27-Entitlement!AZ21*(1-TPCIL!$L$11)&lt;0,0,ISGS!U27-Entitlement!AZ21*(1-TPCIL!$L$11))</f>
        <v>0</v>
      </c>
      <c r="S17" s="259">
        <f>IF(ISGS!Q27-Entitlement!AN21&lt;0,0,ISGS!Q27-Entitlement!AN21)</f>
        <v>0</v>
      </c>
      <c r="T17" s="259">
        <f>IF(ISGS!R27-Entitlement!AQ21*(1-TPCIL!$L$11)&lt;0,0,ISGS!R27-Entitlement!AQ21*(1-TPCIL!$L$11))</f>
        <v>0</v>
      </c>
      <c r="U17" s="259">
        <f>IF(ISGS!S27-Entitlement!AT21&lt;0,0,ISGS!S27-Entitlement!AT21)</f>
        <v>0</v>
      </c>
      <c r="V17" s="259">
        <f>IF(ISGS!K27-Entitlement!V21*(1-TPCIL!$L$11)&lt;0,0,ISGS!K27-Entitlement!V21*(1-TPCIL!$L$11))</f>
        <v>0</v>
      </c>
      <c r="W17" s="259"/>
      <c r="X17" s="259">
        <f t="shared" si="0"/>
        <v>0</v>
      </c>
      <c r="AA17" s="159"/>
    </row>
    <row r="18" ht="16.5" spans="1:27">
      <c r="A18" s="78">
        <v>16</v>
      </c>
      <c r="B18" s="78" t="s">
        <v>29</v>
      </c>
      <c r="C18" s="249">
        <f>Entitlement!BC22</f>
        <v>1625.66</v>
      </c>
      <c r="D18" s="250">
        <f>(Entitlement!L22+Entitlement!Q22+Entitlement!T22+Entitlement!W22+Entitlement!Z22+Entitlement!AC22+Entitlement!AF22+Entitlement!AI22+Entitlement!AL22+Entitlement!AO22+Entitlement!AR22+Entitlement!AU22+Entitlement!AX22+Entitlement!BA22)</f>
        <v>17.44</v>
      </c>
      <c r="E18" s="251">
        <f t="shared" si="1"/>
        <v>1608.22</v>
      </c>
      <c r="F18" s="251">
        <f>ISGS!Q28</f>
        <v>216.14</v>
      </c>
      <c r="G18" s="251">
        <f t="shared" si="2"/>
        <v>1392.08</v>
      </c>
      <c r="H18" s="251">
        <f>G18*(1-TPCIL!$L$11)+F18</f>
        <v>1541.260952</v>
      </c>
      <c r="I18" s="31">
        <f t="shared" si="3"/>
        <v>1541.260952</v>
      </c>
      <c r="J18" s="250">
        <f>ISGS!V28</f>
        <v>515.37</v>
      </c>
      <c r="K18" s="256">
        <f t="shared" si="4"/>
        <v>1025.890952</v>
      </c>
      <c r="L18" s="257">
        <f>(TPCIL!I28-TPCIL!C28)+(TPCIL!P28-TPCIL!D28)</f>
        <v>98.760545</v>
      </c>
      <c r="M18" s="258">
        <f t="shared" si="5"/>
        <v>1124.651497</v>
      </c>
      <c r="N18" s="159"/>
      <c r="O18" s="259">
        <f>IF(ISGS!G28-Entitlement!K22*(1-TPCIL!$L$11)&lt;0,0,ISGS!G28-Entitlement!K22*(1-TPCIL!$L$11))</f>
        <v>0</v>
      </c>
      <c r="P18" s="259">
        <f>IF(ISGS!O28-Entitlement!AH22*(1-TPCIL!$L$11)&lt;0,0,ISGS!O28-Entitlement!AH22*(1-TPCIL!$L$11))</f>
        <v>0</v>
      </c>
      <c r="Q18" s="259">
        <f>IF(ISGS!P28-Entitlement!AK22*(1-TPCIL!$L$11)&lt;0,0,ISGS!P28-Entitlement!AK22*(1-TPCIL!$L$11))</f>
        <v>0</v>
      </c>
      <c r="R18" s="259">
        <f>IF(ISGS!U28-Entitlement!AZ22*(1-TPCIL!$L$11)&lt;0,0,ISGS!U28-Entitlement!AZ22*(1-TPCIL!$L$11))</f>
        <v>0</v>
      </c>
      <c r="S18" s="259">
        <f>IF(ISGS!Q28-Entitlement!AN22&lt;0,0,ISGS!Q28-Entitlement!AN22)</f>
        <v>0</v>
      </c>
      <c r="T18" s="259">
        <f>IF(ISGS!R28-Entitlement!AQ22*(1-TPCIL!$L$11)&lt;0,0,ISGS!R28-Entitlement!AQ22*(1-TPCIL!$L$11))</f>
        <v>0</v>
      </c>
      <c r="U18" s="259">
        <f>IF(ISGS!S28-Entitlement!AT22&lt;0,0,ISGS!S28-Entitlement!AT22)</f>
        <v>0</v>
      </c>
      <c r="V18" s="259">
        <f>IF(ISGS!K28-Entitlement!V22*(1-TPCIL!$L$11)&lt;0,0,ISGS!K28-Entitlement!V22*(1-TPCIL!$L$11))</f>
        <v>0</v>
      </c>
      <c r="W18" s="259"/>
      <c r="X18" s="259">
        <f t="shared" si="0"/>
        <v>0</v>
      </c>
      <c r="AA18" s="159"/>
    </row>
    <row r="19" ht="16.5" spans="1:27">
      <c r="A19" s="78">
        <v>17</v>
      </c>
      <c r="B19" s="78" t="s">
        <v>30</v>
      </c>
      <c r="C19" s="249">
        <f>Entitlement!BC23</f>
        <v>1625.66</v>
      </c>
      <c r="D19" s="250">
        <f>(Entitlement!L23+Entitlement!Q23+Entitlement!T23+Entitlement!W23+Entitlement!Z23+Entitlement!AC23+Entitlement!AF23+Entitlement!AI23+Entitlement!AL23+Entitlement!AO23+Entitlement!AR23+Entitlement!AU23+Entitlement!AX23+Entitlement!BA23)</f>
        <v>17.44</v>
      </c>
      <c r="E19" s="251">
        <f t="shared" si="1"/>
        <v>1608.22</v>
      </c>
      <c r="F19" s="251">
        <f>ISGS!Q29</f>
        <v>216.14</v>
      </c>
      <c r="G19" s="251">
        <f t="shared" si="2"/>
        <v>1392.08</v>
      </c>
      <c r="H19" s="251">
        <f>G19*(1-TPCIL!$L$11)+F19</f>
        <v>1541.260952</v>
      </c>
      <c r="I19" s="31">
        <f t="shared" si="3"/>
        <v>1541.260952</v>
      </c>
      <c r="J19" s="250">
        <f>ISGS!V29</f>
        <v>520.37</v>
      </c>
      <c r="K19" s="256">
        <f t="shared" si="4"/>
        <v>1020.890952</v>
      </c>
      <c r="L19" s="257">
        <f>(TPCIL!I29-TPCIL!C29)+(TPCIL!P29-TPCIL!D29)</f>
        <v>0.000544999999988249</v>
      </c>
      <c r="M19" s="258">
        <f t="shared" si="5"/>
        <v>1020.891497</v>
      </c>
      <c r="N19" s="159"/>
      <c r="O19" s="259">
        <f>IF(ISGS!G29-Entitlement!K23*(1-TPCIL!$L$11)&lt;0,0,ISGS!G29-Entitlement!K23*(1-TPCIL!$L$11))</f>
        <v>0</v>
      </c>
      <c r="P19" s="259">
        <f>IF(ISGS!O29-Entitlement!AH23*(1-TPCIL!$L$11)&lt;0,0,ISGS!O29-Entitlement!AH23*(1-TPCIL!$L$11))</f>
        <v>0</v>
      </c>
      <c r="Q19" s="259">
        <f>IF(ISGS!P29-Entitlement!AK23*(1-TPCIL!$L$11)&lt;0,0,ISGS!P29-Entitlement!AK23*(1-TPCIL!$L$11))</f>
        <v>0</v>
      </c>
      <c r="R19" s="259">
        <f>IF(ISGS!U29-Entitlement!AZ23*(1-TPCIL!$L$11)&lt;0,0,ISGS!U29-Entitlement!AZ23*(1-TPCIL!$L$11))</f>
        <v>0</v>
      </c>
      <c r="S19" s="259">
        <f>IF(ISGS!Q29-Entitlement!AN23&lt;0,0,ISGS!Q29-Entitlement!AN23)</f>
        <v>0</v>
      </c>
      <c r="T19" s="259">
        <f>IF(ISGS!R29-Entitlement!AQ23*(1-TPCIL!$L$11)&lt;0,0,ISGS!R29-Entitlement!AQ23*(1-TPCIL!$L$11))</f>
        <v>0</v>
      </c>
      <c r="U19" s="259">
        <f>IF(ISGS!S29-Entitlement!AT23&lt;0,0,ISGS!S29-Entitlement!AT23)</f>
        <v>0</v>
      </c>
      <c r="V19" s="259">
        <f>IF(ISGS!K29-Entitlement!V23*(1-TPCIL!$L$11)&lt;0,0,ISGS!K29-Entitlement!V23*(1-TPCIL!$L$11))</f>
        <v>0</v>
      </c>
      <c r="W19" s="259"/>
      <c r="X19" s="259">
        <f t="shared" si="0"/>
        <v>0</v>
      </c>
      <c r="AA19" s="159"/>
    </row>
    <row r="20" ht="16.5" spans="1:27">
      <c r="A20" s="78">
        <v>18</v>
      </c>
      <c r="B20" s="78" t="s">
        <v>31</v>
      </c>
      <c r="C20" s="249">
        <f>Entitlement!BC24</f>
        <v>1625.66</v>
      </c>
      <c r="D20" s="250">
        <f>(Entitlement!L24+Entitlement!Q24+Entitlement!T24+Entitlement!W24+Entitlement!Z24+Entitlement!AC24+Entitlement!AF24+Entitlement!AI24+Entitlement!AL24+Entitlement!AO24+Entitlement!AR24+Entitlement!AU24+Entitlement!AX24+Entitlement!BA24)</f>
        <v>17.44</v>
      </c>
      <c r="E20" s="251">
        <f t="shared" si="1"/>
        <v>1608.22</v>
      </c>
      <c r="F20" s="251">
        <f>ISGS!Q30</f>
        <v>216.14</v>
      </c>
      <c r="G20" s="251">
        <f t="shared" si="2"/>
        <v>1392.08</v>
      </c>
      <c r="H20" s="251">
        <f>G20*(1-TPCIL!$L$11)+F20</f>
        <v>1541.260952</v>
      </c>
      <c r="I20" s="31">
        <f t="shared" si="3"/>
        <v>1541.260952</v>
      </c>
      <c r="J20" s="250">
        <f>ISGS!V30</f>
        <v>520.37</v>
      </c>
      <c r="K20" s="256">
        <f t="shared" si="4"/>
        <v>1020.890952</v>
      </c>
      <c r="L20" s="257">
        <f>(TPCIL!I30-TPCIL!C30)+(TPCIL!P30-TPCIL!D30)</f>
        <v>0.000544999999988249</v>
      </c>
      <c r="M20" s="258">
        <f t="shared" si="5"/>
        <v>1020.891497</v>
      </c>
      <c r="N20" s="159"/>
      <c r="O20" s="259">
        <f>IF(ISGS!G30-Entitlement!K24*(1-TPCIL!$L$11)&lt;0,0,ISGS!G30-Entitlement!K24*(1-TPCIL!$L$11))</f>
        <v>0</v>
      </c>
      <c r="P20" s="259">
        <f>IF(ISGS!O30-Entitlement!AH24*(1-TPCIL!$L$11)&lt;0,0,ISGS!O30-Entitlement!AH24*(1-TPCIL!$L$11))</f>
        <v>0</v>
      </c>
      <c r="Q20" s="259">
        <f>IF(ISGS!P30-Entitlement!AK24*(1-TPCIL!$L$11)&lt;0,0,ISGS!P30-Entitlement!AK24*(1-TPCIL!$L$11))</f>
        <v>0</v>
      </c>
      <c r="R20" s="259">
        <f>IF(ISGS!U30-Entitlement!AZ24*(1-TPCIL!$L$11)&lt;0,0,ISGS!U30-Entitlement!AZ24*(1-TPCIL!$L$11))</f>
        <v>0</v>
      </c>
      <c r="S20" s="259">
        <f>IF(ISGS!Q30-Entitlement!AN24&lt;0,0,ISGS!Q30-Entitlement!AN24)</f>
        <v>0</v>
      </c>
      <c r="T20" s="259">
        <f>IF(ISGS!R30-Entitlement!AQ24*(1-TPCIL!$L$11)&lt;0,0,ISGS!R30-Entitlement!AQ24*(1-TPCIL!$L$11))</f>
        <v>0</v>
      </c>
      <c r="U20" s="259">
        <f>IF(ISGS!S30-Entitlement!AT24&lt;0,0,ISGS!S30-Entitlement!AT24)</f>
        <v>0</v>
      </c>
      <c r="V20" s="259">
        <f>IF(ISGS!K30-Entitlement!V24*(1-TPCIL!$L$11)&lt;0,0,ISGS!K30-Entitlement!V24*(1-TPCIL!$L$11))</f>
        <v>0</v>
      </c>
      <c r="W20" s="259"/>
      <c r="X20" s="259">
        <f t="shared" si="0"/>
        <v>0</v>
      </c>
      <c r="AA20" s="159"/>
    </row>
    <row r="21" ht="16.5" spans="1:27">
      <c r="A21" s="78">
        <v>19</v>
      </c>
      <c r="B21" s="78" t="s">
        <v>32</v>
      </c>
      <c r="C21" s="249">
        <f>Entitlement!BC25</f>
        <v>1625.66</v>
      </c>
      <c r="D21" s="250">
        <f>(Entitlement!L25+Entitlement!Q25+Entitlement!T25+Entitlement!W25+Entitlement!Z25+Entitlement!AC25+Entitlement!AF25+Entitlement!AI25+Entitlement!AL25+Entitlement!AO25+Entitlement!AR25+Entitlement!AU25+Entitlement!AX25+Entitlement!BA25)</f>
        <v>17.44</v>
      </c>
      <c r="E21" s="251">
        <f t="shared" si="1"/>
        <v>1608.22</v>
      </c>
      <c r="F21" s="251">
        <f>ISGS!Q31</f>
        <v>216.14</v>
      </c>
      <c r="G21" s="251">
        <f t="shared" si="2"/>
        <v>1392.08</v>
      </c>
      <c r="H21" s="251">
        <f>G21*(1-TPCIL!$L$11)+F21</f>
        <v>1541.260952</v>
      </c>
      <c r="I21" s="31">
        <f t="shared" si="3"/>
        <v>1541.260952</v>
      </c>
      <c r="J21" s="250">
        <f>ISGS!V31</f>
        <v>895.34</v>
      </c>
      <c r="K21" s="256">
        <f t="shared" si="4"/>
        <v>645.920952</v>
      </c>
      <c r="L21" s="257">
        <f>(TPCIL!I31-TPCIL!C31)+(TPCIL!P31-TPCIL!D31)</f>
        <v>0.000544999999988249</v>
      </c>
      <c r="M21" s="258">
        <f t="shared" si="5"/>
        <v>645.921497</v>
      </c>
      <c r="N21" s="159"/>
      <c r="O21" s="259">
        <f>IF(ISGS!G31-Entitlement!K25*(1-TPCIL!$L$11)&lt;0,0,ISGS!G31-Entitlement!K25*(1-TPCIL!$L$11))</f>
        <v>0</v>
      </c>
      <c r="P21" s="259">
        <f>IF(ISGS!O31-Entitlement!AH25*(1-TPCIL!$L$11)&lt;0,0,ISGS!O31-Entitlement!AH25*(1-TPCIL!$L$11))</f>
        <v>0</v>
      </c>
      <c r="Q21" s="259">
        <f>IF(ISGS!P31-Entitlement!AK25*(1-TPCIL!$L$11)&lt;0,0,ISGS!P31-Entitlement!AK25*(1-TPCIL!$L$11))</f>
        <v>0</v>
      </c>
      <c r="R21" s="259">
        <f>IF(ISGS!U31-Entitlement!AZ25*(1-TPCIL!$L$11)&lt;0,0,ISGS!U31-Entitlement!AZ25*(1-TPCIL!$L$11))</f>
        <v>0</v>
      </c>
      <c r="S21" s="259">
        <f>IF(ISGS!Q31-Entitlement!AN25&lt;0,0,ISGS!Q31-Entitlement!AN25)</f>
        <v>0</v>
      </c>
      <c r="T21" s="259">
        <f>IF(ISGS!R31-Entitlement!AQ25*(1-TPCIL!$L$11)&lt;0,0,ISGS!R31-Entitlement!AQ25*(1-TPCIL!$L$11))</f>
        <v>0</v>
      </c>
      <c r="U21" s="259">
        <f>IF(ISGS!S31-Entitlement!AT25&lt;0,0,ISGS!S31-Entitlement!AT25)</f>
        <v>0</v>
      </c>
      <c r="V21" s="259">
        <f>IF(ISGS!K31-Entitlement!V25*(1-TPCIL!$L$11)&lt;0,0,ISGS!K31-Entitlement!V25*(1-TPCIL!$L$11))</f>
        <v>0</v>
      </c>
      <c r="W21" s="259"/>
      <c r="X21" s="259">
        <f t="shared" si="0"/>
        <v>0</v>
      </c>
      <c r="AA21" s="159"/>
    </row>
    <row r="22" ht="16.5" spans="1:27">
      <c r="A22" s="78">
        <v>20</v>
      </c>
      <c r="B22" s="78" t="s">
        <v>33</v>
      </c>
      <c r="C22" s="249">
        <f>Entitlement!BC26</f>
        <v>1625.66</v>
      </c>
      <c r="D22" s="250">
        <f>(Entitlement!L26+Entitlement!Q26+Entitlement!T26+Entitlement!W26+Entitlement!Z26+Entitlement!AC26+Entitlement!AF26+Entitlement!AI26+Entitlement!AL26+Entitlement!AO26+Entitlement!AR26+Entitlement!AU26+Entitlement!AX26+Entitlement!BA26)</f>
        <v>17.44</v>
      </c>
      <c r="E22" s="251">
        <f t="shared" si="1"/>
        <v>1608.22</v>
      </c>
      <c r="F22" s="251">
        <f>ISGS!Q32</f>
        <v>216.14</v>
      </c>
      <c r="G22" s="251">
        <f t="shared" si="2"/>
        <v>1392.08</v>
      </c>
      <c r="H22" s="251">
        <f>G22*(1-TPCIL!$L$11)+F22</f>
        <v>1541.260952</v>
      </c>
      <c r="I22" s="31">
        <f t="shared" si="3"/>
        <v>1541.265943</v>
      </c>
      <c r="J22" s="250">
        <f>ISGS!V32</f>
        <v>940.18</v>
      </c>
      <c r="K22" s="256">
        <f t="shared" si="4"/>
        <v>601.085943</v>
      </c>
      <c r="L22" s="257">
        <f>(TPCIL!I32-TPCIL!C32)+(TPCIL!P32-TPCIL!D32)</f>
        <v>0.000544999999988249</v>
      </c>
      <c r="M22" s="258">
        <f t="shared" si="5"/>
        <v>601.086488</v>
      </c>
      <c r="N22" s="159"/>
      <c r="O22" s="259">
        <f>IF(ISGS!G32-Entitlement!K26*(1-TPCIL!$L$11)&lt;0,0,ISGS!G32-Entitlement!K26*(1-TPCIL!$L$11))</f>
        <v>0</v>
      </c>
      <c r="P22" s="259">
        <f>IF(ISGS!O32-Entitlement!AH26*(1-TPCIL!$L$11)&lt;0,0,ISGS!O32-Entitlement!AH26*(1-TPCIL!$L$11))</f>
        <v>0</v>
      </c>
      <c r="Q22" s="259">
        <f>IF(ISGS!P32-Entitlement!AK26*(1-TPCIL!$L$11)&lt;0,0,ISGS!P32-Entitlement!AK26*(1-TPCIL!$L$11))</f>
        <v>0</v>
      </c>
      <c r="R22" s="259">
        <f>IF(ISGS!U32-Entitlement!AZ26*(1-TPCIL!$L$11)&lt;0,0,ISGS!U32-Entitlement!AZ26*(1-TPCIL!$L$11))</f>
        <v>0</v>
      </c>
      <c r="S22" s="259">
        <f>IF(ISGS!Q32-Entitlement!AN26&lt;0,0,ISGS!Q32-Entitlement!AN26)</f>
        <v>0</v>
      </c>
      <c r="T22" s="259">
        <f>IF(ISGS!R32-Entitlement!AQ26*(1-TPCIL!$L$11)&lt;0,0,ISGS!R32-Entitlement!AQ26*(1-TPCIL!$L$11))</f>
        <v>0</v>
      </c>
      <c r="U22" s="259">
        <f>IF(ISGS!S32-Entitlement!AT26&lt;0,0,ISGS!S32-Entitlement!AT26)</f>
        <v>0</v>
      </c>
      <c r="V22" s="259">
        <f>IF(ISGS!K32-Entitlement!V26*(1-TPCIL!$L$11)&lt;0,0,ISGS!K32-Entitlement!V26*(1-TPCIL!$L$11))</f>
        <v>0.00499099999999686</v>
      </c>
      <c r="W22" s="259"/>
      <c r="X22" s="259">
        <f t="shared" si="0"/>
        <v>0.00499099999999686</v>
      </c>
      <c r="AA22" s="159"/>
    </row>
    <row r="23" ht="16.5" spans="1:27">
      <c r="A23" s="78">
        <v>21</v>
      </c>
      <c r="B23" s="78" t="s">
        <v>34</v>
      </c>
      <c r="C23" s="249">
        <f>Entitlement!BC27</f>
        <v>1625.66</v>
      </c>
      <c r="D23" s="250">
        <f>(Entitlement!L27+Entitlement!Q27+Entitlement!T27+Entitlement!W27+Entitlement!Z27+Entitlement!AC27+Entitlement!AF27+Entitlement!AI27+Entitlement!AL27+Entitlement!AO27+Entitlement!AR27+Entitlement!AU27+Entitlement!AX27+Entitlement!BA27)</f>
        <v>17.44</v>
      </c>
      <c r="E23" s="251">
        <f t="shared" si="1"/>
        <v>1608.22</v>
      </c>
      <c r="F23" s="251">
        <f>ISGS!Q33</f>
        <v>216.14</v>
      </c>
      <c r="G23" s="251">
        <f t="shared" si="2"/>
        <v>1392.08</v>
      </c>
      <c r="H23" s="251">
        <f>G23*(1-TPCIL!$L$11)+F23</f>
        <v>1541.260952</v>
      </c>
      <c r="I23" s="31">
        <f t="shared" si="3"/>
        <v>1541.265943</v>
      </c>
      <c r="J23" s="250">
        <f>ISGS!V33</f>
        <v>1143.27</v>
      </c>
      <c r="K23" s="256">
        <f t="shared" si="4"/>
        <v>397.995943</v>
      </c>
      <c r="L23" s="257">
        <f>(TPCIL!I33-TPCIL!C33)+(TPCIL!P33-TPCIL!D33)</f>
        <v>0.000544999999988249</v>
      </c>
      <c r="M23" s="258">
        <f t="shared" si="5"/>
        <v>397.996488</v>
      </c>
      <c r="N23" s="159"/>
      <c r="O23" s="259">
        <f>IF(ISGS!G33-Entitlement!K27*(1-TPCIL!$L$11)&lt;0,0,ISGS!G33-Entitlement!K27*(1-TPCIL!$L$11))</f>
        <v>0</v>
      </c>
      <c r="P23" s="259">
        <f>IF(ISGS!O33-Entitlement!AH27*(1-TPCIL!$L$11)&lt;0,0,ISGS!O33-Entitlement!AH27*(1-TPCIL!$L$11))</f>
        <v>0</v>
      </c>
      <c r="Q23" s="259">
        <f>IF(ISGS!P33-Entitlement!AK27*(1-TPCIL!$L$11)&lt;0,0,ISGS!P33-Entitlement!AK27*(1-TPCIL!$L$11))</f>
        <v>0</v>
      </c>
      <c r="R23" s="259">
        <f>IF(ISGS!U33-Entitlement!AZ27*(1-TPCIL!$L$11)&lt;0,0,ISGS!U33-Entitlement!AZ27*(1-TPCIL!$L$11))</f>
        <v>0</v>
      </c>
      <c r="S23" s="259">
        <f>IF(ISGS!Q33-Entitlement!AN27&lt;0,0,ISGS!Q33-Entitlement!AN27)</f>
        <v>0</v>
      </c>
      <c r="T23" s="259">
        <f>IF(ISGS!R33-Entitlement!AQ27*(1-TPCIL!$L$11)&lt;0,0,ISGS!R33-Entitlement!AQ27*(1-TPCIL!$L$11))</f>
        <v>0</v>
      </c>
      <c r="U23" s="259">
        <f>IF(ISGS!S33-Entitlement!AT27&lt;0,0,ISGS!S33-Entitlement!AT27)</f>
        <v>0</v>
      </c>
      <c r="V23" s="259">
        <f>IF(ISGS!K33-Entitlement!V27*(1-TPCIL!$L$11)&lt;0,0,ISGS!K33-Entitlement!V27*(1-TPCIL!$L$11))</f>
        <v>0.00499099999999686</v>
      </c>
      <c r="W23" s="259"/>
      <c r="X23" s="259">
        <f t="shared" si="0"/>
        <v>0.00499099999999686</v>
      </c>
      <c r="AA23" s="159"/>
    </row>
    <row r="24" ht="16.5" spans="1:27">
      <c r="A24" s="78">
        <v>22</v>
      </c>
      <c r="B24" s="78" t="s">
        <v>35</v>
      </c>
      <c r="C24" s="249">
        <f>Entitlement!BC28</f>
        <v>1625.66</v>
      </c>
      <c r="D24" s="250">
        <f>(Entitlement!L28+Entitlement!Q28+Entitlement!T28+Entitlement!W28+Entitlement!Z28+Entitlement!AC28+Entitlement!AF28+Entitlement!AI28+Entitlement!AL28+Entitlement!AO28+Entitlement!AR28+Entitlement!AU28+Entitlement!AX28+Entitlement!BA28)</f>
        <v>17.44</v>
      </c>
      <c r="E24" s="251">
        <f t="shared" si="1"/>
        <v>1608.22</v>
      </c>
      <c r="F24" s="251">
        <f>ISGS!Q34</f>
        <v>216.14</v>
      </c>
      <c r="G24" s="251">
        <f t="shared" si="2"/>
        <v>1392.08</v>
      </c>
      <c r="H24" s="251">
        <f>G24*(1-TPCIL!$L$11)+F24</f>
        <v>1541.260952</v>
      </c>
      <c r="I24" s="31">
        <f t="shared" si="3"/>
        <v>1541.265943</v>
      </c>
      <c r="J24" s="250">
        <f>ISGS!V34</f>
        <v>1186.8</v>
      </c>
      <c r="K24" s="256">
        <f t="shared" si="4"/>
        <v>354.465943</v>
      </c>
      <c r="L24" s="257">
        <f>(TPCIL!I34-TPCIL!C34)+(TPCIL!P34-TPCIL!D34)</f>
        <v>0.000544999999988249</v>
      </c>
      <c r="M24" s="258">
        <f t="shared" si="5"/>
        <v>354.466488</v>
      </c>
      <c r="N24" s="159"/>
      <c r="O24" s="259">
        <f>IF(ISGS!G34-Entitlement!K28*(1-TPCIL!$L$11)&lt;0,0,ISGS!G34-Entitlement!K28*(1-TPCIL!$L$11))</f>
        <v>0</v>
      </c>
      <c r="P24" s="259">
        <f>IF(ISGS!O34-Entitlement!AH28*(1-TPCIL!$L$11)&lt;0,0,ISGS!O34-Entitlement!AH28*(1-TPCIL!$L$11))</f>
        <v>0</v>
      </c>
      <c r="Q24" s="259">
        <f>IF(ISGS!P34-Entitlement!AK28*(1-TPCIL!$L$11)&lt;0,0,ISGS!P34-Entitlement!AK28*(1-TPCIL!$L$11))</f>
        <v>0</v>
      </c>
      <c r="R24" s="259">
        <f>IF(ISGS!U34-Entitlement!AZ28*(1-TPCIL!$L$11)&lt;0,0,ISGS!U34-Entitlement!AZ28*(1-TPCIL!$L$11))</f>
        <v>0</v>
      </c>
      <c r="S24" s="259">
        <f>IF(ISGS!Q34-Entitlement!AN28&lt;0,0,ISGS!Q34-Entitlement!AN28)</f>
        <v>0</v>
      </c>
      <c r="T24" s="259">
        <f>IF(ISGS!R34-Entitlement!AQ28*(1-TPCIL!$L$11)&lt;0,0,ISGS!R34-Entitlement!AQ28*(1-TPCIL!$L$11))</f>
        <v>0</v>
      </c>
      <c r="U24" s="259">
        <f>IF(ISGS!S34-Entitlement!AT28&lt;0,0,ISGS!S34-Entitlement!AT28)</f>
        <v>0</v>
      </c>
      <c r="V24" s="259">
        <f>IF(ISGS!K34-Entitlement!V28*(1-TPCIL!$L$11)&lt;0,0,ISGS!K34-Entitlement!V28*(1-TPCIL!$L$11))</f>
        <v>0.00499099999999686</v>
      </c>
      <c r="W24" s="259"/>
      <c r="X24" s="259">
        <f t="shared" si="0"/>
        <v>0.00499099999999686</v>
      </c>
      <c r="AA24" s="159"/>
    </row>
    <row r="25" ht="16.5" spans="1:27">
      <c r="A25" s="78">
        <v>23</v>
      </c>
      <c r="B25" s="78" t="s">
        <v>36</v>
      </c>
      <c r="C25" s="249">
        <f>Entitlement!BC29</f>
        <v>1625.66</v>
      </c>
      <c r="D25" s="250">
        <f>(Entitlement!L29+Entitlement!Q29+Entitlement!T29+Entitlement!W29+Entitlement!Z29+Entitlement!AC29+Entitlement!AF29+Entitlement!AI29+Entitlement!AL29+Entitlement!AO29+Entitlement!AR29+Entitlement!AU29+Entitlement!AX29+Entitlement!BA29)</f>
        <v>17.44</v>
      </c>
      <c r="E25" s="251">
        <f t="shared" si="1"/>
        <v>1608.22</v>
      </c>
      <c r="F25" s="251">
        <f>ISGS!Q35</f>
        <v>216.14</v>
      </c>
      <c r="G25" s="251">
        <f t="shared" si="2"/>
        <v>1392.08</v>
      </c>
      <c r="H25" s="251">
        <f>G25*(1-TPCIL!$L$11)+F25</f>
        <v>1541.260952</v>
      </c>
      <c r="I25" s="31">
        <f t="shared" si="3"/>
        <v>1541.269772</v>
      </c>
      <c r="J25" s="250">
        <f>ISGS!V35</f>
        <v>1385.66</v>
      </c>
      <c r="K25" s="256">
        <f t="shared" si="4"/>
        <v>155.609772</v>
      </c>
      <c r="L25" s="257">
        <f>(TPCIL!I35-TPCIL!C35)+(TPCIL!P35-TPCIL!D35)</f>
        <v>0.000544999999988249</v>
      </c>
      <c r="M25" s="258">
        <f t="shared" si="5"/>
        <v>155.610317</v>
      </c>
      <c r="N25" s="159"/>
      <c r="O25" s="259">
        <f>IF(ISGS!G35-Entitlement!K29*(1-TPCIL!$L$11)&lt;0,0,ISGS!G35-Entitlement!K29*(1-TPCIL!$L$11))</f>
        <v>0</v>
      </c>
      <c r="P25" s="259">
        <f>IF(ISGS!O35-Entitlement!AH29*(1-TPCIL!$L$11)&lt;0,0,ISGS!O35-Entitlement!AH29*(1-TPCIL!$L$11))</f>
        <v>0.00382899999999609</v>
      </c>
      <c r="Q25" s="259">
        <f>IF(ISGS!P35-Entitlement!AK29*(1-TPCIL!$L$11)&lt;0,0,ISGS!P35-Entitlement!AK29*(1-TPCIL!$L$11))</f>
        <v>0</v>
      </c>
      <c r="R25" s="259">
        <f>IF(ISGS!U35-Entitlement!AZ29*(1-TPCIL!$L$11)&lt;0,0,ISGS!U35-Entitlement!AZ29*(1-TPCIL!$L$11))</f>
        <v>0</v>
      </c>
      <c r="S25" s="259">
        <f>IF(ISGS!Q35-Entitlement!AN29&lt;0,0,ISGS!Q35-Entitlement!AN29)</f>
        <v>0</v>
      </c>
      <c r="T25" s="259">
        <f>IF(ISGS!R35-Entitlement!AQ29*(1-TPCIL!$L$11)&lt;0,0,ISGS!R35-Entitlement!AQ29*(1-TPCIL!$L$11))</f>
        <v>0</v>
      </c>
      <c r="U25" s="259">
        <f>IF(ISGS!S35-Entitlement!AT29&lt;0,0,ISGS!S35-Entitlement!AT29)</f>
        <v>0</v>
      </c>
      <c r="V25" s="259">
        <f>IF(ISGS!K35-Entitlement!V29*(1-TPCIL!$L$11)&lt;0,0,ISGS!K35-Entitlement!V29*(1-TPCIL!$L$11))</f>
        <v>0.00499099999999686</v>
      </c>
      <c r="W25" s="259"/>
      <c r="X25" s="259">
        <f t="shared" si="0"/>
        <v>0.00881999999999294</v>
      </c>
      <c r="Z25" s="154"/>
      <c r="AA25" s="159"/>
    </row>
    <row r="26" ht="16.5" spans="1:27">
      <c r="A26" s="78">
        <v>24</v>
      </c>
      <c r="B26" s="78" t="s">
        <v>37</v>
      </c>
      <c r="C26" s="249">
        <f>Entitlement!BC30</f>
        <v>1627.9</v>
      </c>
      <c r="D26" s="250">
        <f>(Entitlement!L30+Entitlement!Q30+Entitlement!T30+Entitlement!W30+Entitlement!Z30+Entitlement!AC30+Entitlement!AF30+Entitlement!AI30+Entitlement!AL30+Entitlement!AO30+Entitlement!AR30+Entitlement!AU30+Entitlement!AX30+Entitlement!BA30)</f>
        <v>17.44</v>
      </c>
      <c r="E26" s="251">
        <f t="shared" si="1"/>
        <v>1610.46</v>
      </c>
      <c r="F26" s="251">
        <f>ISGS!Q36</f>
        <v>216.14</v>
      </c>
      <c r="G26" s="251">
        <f t="shared" si="2"/>
        <v>1394.32</v>
      </c>
      <c r="H26" s="251">
        <f>G26*(1-TPCIL!$L$11)+F26</f>
        <v>1543.393208</v>
      </c>
      <c r="I26" s="31">
        <f t="shared" si="3"/>
        <v>1543.397037</v>
      </c>
      <c r="J26" s="250">
        <f>ISGS!V36</f>
        <v>1429.91</v>
      </c>
      <c r="K26" s="256">
        <f t="shared" si="4"/>
        <v>113.487037</v>
      </c>
      <c r="L26" s="257">
        <f>(TPCIL!I36-TPCIL!C36)+(TPCIL!P36-TPCIL!D36)</f>
        <v>0.000544999999988249</v>
      </c>
      <c r="M26" s="258">
        <f t="shared" si="5"/>
        <v>113.487582</v>
      </c>
      <c r="N26" s="159"/>
      <c r="O26" s="259">
        <f>IF(ISGS!G36-Entitlement!K30*(1-TPCIL!$L$11)&lt;0,0,ISGS!G36-Entitlement!K30*(1-TPCIL!$L$11))</f>
        <v>0</v>
      </c>
      <c r="P26" s="259">
        <f>IF(ISGS!O36-Entitlement!AH30*(1-TPCIL!$L$11)&lt;0,0,ISGS!O36-Entitlement!AH30*(1-TPCIL!$L$11))</f>
        <v>0.00382899999999609</v>
      </c>
      <c r="Q26" s="259">
        <f>IF(ISGS!P36-Entitlement!AK30*(1-TPCIL!$L$11)&lt;0,0,ISGS!P36-Entitlement!AK30*(1-TPCIL!$L$11))</f>
        <v>0</v>
      </c>
      <c r="R26" s="259">
        <f>IF(ISGS!U36-Entitlement!AZ30*(1-TPCIL!$L$11)&lt;0,0,ISGS!U36-Entitlement!AZ30*(1-TPCIL!$L$11))</f>
        <v>0</v>
      </c>
      <c r="S26" s="259">
        <f>IF(ISGS!Q36-Entitlement!AN30&lt;0,0,ISGS!Q36-Entitlement!AN30)</f>
        <v>0</v>
      </c>
      <c r="T26" s="259">
        <f>IF(ISGS!R36-Entitlement!AQ30*(1-TPCIL!$L$11)&lt;0,0,ISGS!R36-Entitlement!AQ30*(1-TPCIL!$L$11))</f>
        <v>0</v>
      </c>
      <c r="U26" s="259">
        <f>IF(ISGS!S36-Entitlement!AT30&lt;0,0,ISGS!S36-Entitlement!AT30)</f>
        <v>0</v>
      </c>
      <c r="V26" s="259">
        <f>IF(ISGS!K36-Entitlement!V30*(1-TPCIL!$L$11)&lt;0,0,ISGS!K36-Entitlement!V30*(1-TPCIL!$L$11))</f>
        <v>0</v>
      </c>
      <c r="W26" s="259"/>
      <c r="X26" s="259">
        <f t="shared" si="0"/>
        <v>0.00382899999999609</v>
      </c>
      <c r="Z26" s="154"/>
      <c r="AA26" s="159"/>
    </row>
    <row r="27" ht="16.5" spans="1:27">
      <c r="A27" s="78">
        <v>25</v>
      </c>
      <c r="B27" s="78" t="s">
        <v>38</v>
      </c>
      <c r="C27" s="249">
        <f>Entitlement!BC31</f>
        <v>1627.9</v>
      </c>
      <c r="D27" s="250">
        <f>(Entitlement!L31+Entitlement!Q31+Entitlement!T31+Entitlement!W31+Entitlement!Z31+Entitlement!AC31+Entitlement!AF31+Entitlement!AI31+Entitlement!AL31+Entitlement!AO31+Entitlement!AR31+Entitlement!AU31+Entitlement!AX31+Entitlement!BA31)</f>
        <v>17.44</v>
      </c>
      <c r="E27" s="251">
        <f t="shared" si="1"/>
        <v>1610.46</v>
      </c>
      <c r="F27" s="251">
        <f>ISGS!Q37</f>
        <v>216.14</v>
      </c>
      <c r="G27" s="251">
        <f t="shared" si="2"/>
        <v>1394.32</v>
      </c>
      <c r="H27" s="251">
        <f>G27*(1-TPCIL!$L$11)+F27</f>
        <v>1543.393208</v>
      </c>
      <c r="I27" s="31">
        <f t="shared" si="3"/>
        <v>1543.397037</v>
      </c>
      <c r="J27" s="250">
        <f>ISGS!V37</f>
        <v>1517.79</v>
      </c>
      <c r="K27" s="256">
        <f t="shared" si="4"/>
        <v>25.607037</v>
      </c>
      <c r="L27" s="257">
        <f>(TPCIL!I37-TPCIL!C37)+(TPCIL!P37-TPCIL!D37)</f>
        <v>0.000544999999988249</v>
      </c>
      <c r="M27" s="258">
        <f t="shared" si="5"/>
        <v>25.607582</v>
      </c>
      <c r="N27" s="159"/>
      <c r="O27" s="259">
        <f>IF(ISGS!G37-Entitlement!K31*(1-TPCIL!$L$11)&lt;0,0,ISGS!G37-Entitlement!K31*(1-TPCIL!$L$11))</f>
        <v>0</v>
      </c>
      <c r="P27" s="259">
        <f>IF(ISGS!O37-Entitlement!AH31*(1-TPCIL!$L$11)&lt;0,0,ISGS!O37-Entitlement!AH31*(1-TPCIL!$L$11))</f>
        <v>0.00382899999999609</v>
      </c>
      <c r="Q27" s="259">
        <f>IF(ISGS!P37-Entitlement!AK31*(1-TPCIL!$L$11)&lt;0,0,ISGS!P37-Entitlement!AK31*(1-TPCIL!$L$11))</f>
        <v>0</v>
      </c>
      <c r="R27" s="259">
        <f>IF(ISGS!U37-Entitlement!AZ31*(1-TPCIL!$L$11)&lt;0,0,ISGS!U37-Entitlement!AZ31*(1-TPCIL!$L$11))</f>
        <v>0</v>
      </c>
      <c r="S27" s="259">
        <f>IF(ISGS!Q37-Entitlement!AN31&lt;0,0,ISGS!Q37-Entitlement!AN31)</f>
        <v>0</v>
      </c>
      <c r="T27" s="259">
        <f>IF(ISGS!R37-Entitlement!AQ31*(1-TPCIL!$L$11)&lt;0,0,ISGS!R37-Entitlement!AQ31*(1-TPCIL!$L$11))</f>
        <v>0</v>
      </c>
      <c r="U27" s="259">
        <f>IF(ISGS!S37-Entitlement!AT31&lt;0,0,ISGS!S37-Entitlement!AT31)</f>
        <v>0</v>
      </c>
      <c r="V27" s="259">
        <f>IF(ISGS!K37-Entitlement!V31*(1-TPCIL!$L$11)&lt;0,0,ISGS!K37-Entitlement!V31*(1-TPCIL!$L$11))</f>
        <v>0</v>
      </c>
      <c r="W27" s="259"/>
      <c r="X27" s="259">
        <f t="shared" si="0"/>
        <v>0.00382899999999609</v>
      </c>
      <c r="AA27" s="159"/>
    </row>
    <row r="28" ht="16.5" spans="1:27">
      <c r="A28" s="78">
        <v>26</v>
      </c>
      <c r="B28" s="78" t="s">
        <v>39</v>
      </c>
      <c r="C28" s="249">
        <f>Entitlement!BC32</f>
        <v>1627.9</v>
      </c>
      <c r="D28" s="250">
        <f>(Entitlement!L32+Entitlement!Q32+Entitlement!T32+Entitlement!W32+Entitlement!Z32+Entitlement!AC32+Entitlement!AF32+Entitlement!AI32+Entitlement!AL32+Entitlement!AO32+Entitlement!AR32+Entitlement!AU32+Entitlement!AX32+Entitlement!BA32)</f>
        <v>17.44</v>
      </c>
      <c r="E28" s="251">
        <f t="shared" si="1"/>
        <v>1610.46</v>
      </c>
      <c r="F28" s="251">
        <f>ISGS!Q38</f>
        <v>216.14</v>
      </c>
      <c r="G28" s="251">
        <f t="shared" si="2"/>
        <v>1394.32</v>
      </c>
      <c r="H28" s="251">
        <f>G28*(1-TPCIL!$L$11)+F28</f>
        <v>1543.393208</v>
      </c>
      <c r="I28" s="31">
        <f t="shared" si="3"/>
        <v>1543.397037</v>
      </c>
      <c r="J28" s="250">
        <f>ISGS!V38</f>
        <v>1543.36</v>
      </c>
      <c r="K28" s="256">
        <f t="shared" si="4"/>
        <v>0.0370370000000548</v>
      </c>
      <c r="L28" s="257">
        <f>(TPCIL!I38-TPCIL!C38)+(TPCIL!P38-TPCIL!D38)</f>
        <v>0.000544999999988249</v>
      </c>
      <c r="M28" s="258">
        <f t="shared" si="5"/>
        <v>0.0375820000000431</v>
      </c>
      <c r="N28" s="159"/>
      <c r="O28" s="259">
        <f>IF(ISGS!G38-Entitlement!K32*(1-TPCIL!$L$11)&lt;0,0,ISGS!G38-Entitlement!K32*(1-TPCIL!$L$11))</f>
        <v>0</v>
      </c>
      <c r="P28" s="259">
        <f>IF(ISGS!O38-Entitlement!AH32*(1-TPCIL!$L$11)&lt;0,0,ISGS!O38-Entitlement!AH32*(1-TPCIL!$L$11))</f>
        <v>0.00382899999999609</v>
      </c>
      <c r="Q28" s="259">
        <f>IF(ISGS!P38-Entitlement!AK32*(1-TPCIL!$L$11)&lt;0,0,ISGS!P38-Entitlement!AK32*(1-TPCIL!$L$11))</f>
        <v>0</v>
      </c>
      <c r="R28" s="259">
        <f>IF(ISGS!U38-Entitlement!AZ32*(1-TPCIL!$L$11)&lt;0,0,ISGS!U38-Entitlement!AZ32*(1-TPCIL!$L$11))</f>
        <v>0</v>
      </c>
      <c r="S28" s="259">
        <f>IF(ISGS!Q38-Entitlement!AN32&lt;0,0,ISGS!Q38-Entitlement!AN32)</f>
        <v>0</v>
      </c>
      <c r="T28" s="259">
        <f>IF(ISGS!R38-Entitlement!AQ32*(1-TPCIL!$L$11)&lt;0,0,ISGS!R38-Entitlement!AQ32*(1-TPCIL!$L$11))</f>
        <v>0</v>
      </c>
      <c r="U28" s="259">
        <f>IF(ISGS!S38-Entitlement!AT32&lt;0,0,ISGS!S38-Entitlement!AT32)</f>
        <v>0</v>
      </c>
      <c r="V28" s="259">
        <f>IF(ISGS!K38-Entitlement!V32*(1-TPCIL!$L$11)&lt;0,0,ISGS!K38-Entitlement!V32*(1-TPCIL!$L$11))</f>
        <v>0</v>
      </c>
      <c r="W28" s="259"/>
      <c r="X28" s="259">
        <f t="shared" si="0"/>
        <v>0.00382899999999609</v>
      </c>
      <c r="AA28" s="159"/>
    </row>
    <row r="29" ht="16.5" spans="1:27">
      <c r="A29" s="78">
        <v>27</v>
      </c>
      <c r="B29" s="78" t="s">
        <v>40</v>
      </c>
      <c r="C29" s="249">
        <f>Entitlement!BC33</f>
        <v>1610.46</v>
      </c>
      <c r="D29" s="250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51">
        <f t="shared" si="1"/>
        <v>1610.46</v>
      </c>
      <c r="F29" s="251">
        <f>ISGS!Q39</f>
        <v>216.14</v>
      </c>
      <c r="G29" s="251">
        <f t="shared" si="2"/>
        <v>1394.32</v>
      </c>
      <c r="H29" s="251">
        <f>G29*(1-TPCIL!$L$11)+F29</f>
        <v>1543.393208</v>
      </c>
      <c r="I29" s="31">
        <f t="shared" si="3"/>
        <v>1543.397037</v>
      </c>
      <c r="J29" s="250">
        <f>ISGS!V39</f>
        <v>1543.36</v>
      </c>
      <c r="K29" s="256">
        <f t="shared" si="4"/>
        <v>0.0370370000000548</v>
      </c>
      <c r="L29" s="257">
        <f>(TPCIL!I39-TPCIL!C39)+(TPCIL!P39-TPCIL!D39)</f>
        <v>0.000544999999988249</v>
      </c>
      <c r="M29" s="258">
        <f t="shared" si="5"/>
        <v>0.0375820000000431</v>
      </c>
      <c r="N29" s="159"/>
      <c r="O29" s="259">
        <f>IF(ISGS!G39-Entitlement!K33*(1-TPCIL!$L$11)&lt;0,0,ISGS!G39-Entitlement!K33*(1-TPCIL!$L$11))</f>
        <v>0</v>
      </c>
      <c r="P29" s="259">
        <f>IF(ISGS!O39-Entitlement!AH33*(1-TPCIL!$L$11)&lt;0,0,ISGS!O39-Entitlement!AH33*(1-TPCIL!$L$11))</f>
        <v>0.00382899999999609</v>
      </c>
      <c r="Q29" s="259">
        <f>IF(ISGS!P39-Entitlement!AK33*(1-TPCIL!$L$11)&lt;0,0,ISGS!P39-Entitlement!AK33*(1-TPCIL!$L$11))</f>
        <v>0</v>
      </c>
      <c r="R29" s="259">
        <f>IF(ISGS!U39-Entitlement!AZ33*(1-TPCIL!$L$11)&lt;0,0,ISGS!U39-Entitlement!AZ33*(1-TPCIL!$L$11))</f>
        <v>0</v>
      </c>
      <c r="S29" s="259">
        <f>IF(ISGS!Q39-Entitlement!AN33&lt;0,0,ISGS!Q39-Entitlement!AN33)</f>
        <v>0</v>
      </c>
      <c r="T29" s="259">
        <f>IF(ISGS!R39-Entitlement!AQ33*(1-TPCIL!$L$11)&lt;0,0,ISGS!R39-Entitlement!AQ33*(1-TPCIL!$L$11))</f>
        <v>0</v>
      </c>
      <c r="U29" s="259">
        <f>IF(ISGS!S39-Entitlement!AT33&lt;0,0,ISGS!S39-Entitlement!AT33)</f>
        <v>0</v>
      </c>
      <c r="V29" s="259">
        <f>IF(ISGS!K39-Entitlement!V33*(1-TPCIL!$L$11)&lt;0,0,ISGS!K39-Entitlement!V33*(1-TPCIL!$L$11))</f>
        <v>0</v>
      </c>
      <c r="W29" s="259"/>
      <c r="X29" s="259">
        <f t="shared" si="0"/>
        <v>0.00382899999999609</v>
      </c>
      <c r="AA29" s="159"/>
    </row>
    <row r="30" ht="16.5" spans="1:27">
      <c r="A30" s="78">
        <v>28</v>
      </c>
      <c r="B30" s="78" t="s">
        <v>41</v>
      </c>
      <c r="C30" s="249">
        <f>Entitlement!BC34</f>
        <v>1610.46</v>
      </c>
      <c r="D30" s="250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51">
        <f t="shared" si="1"/>
        <v>1610.46</v>
      </c>
      <c r="F30" s="251">
        <f>ISGS!Q40</f>
        <v>216.14</v>
      </c>
      <c r="G30" s="251">
        <f t="shared" si="2"/>
        <v>1394.32</v>
      </c>
      <c r="H30" s="251">
        <f>G30*(1-TPCIL!$L$11)+F30</f>
        <v>1543.393208</v>
      </c>
      <c r="I30" s="31">
        <f t="shared" si="3"/>
        <v>1543.397037</v>
      </c>
      <c r="J30" s="250">
        <f>ISGS!V40</f>
        <v>1543.36</v>
      </c>
      <c r="K30" s="256">
        <f t="shared" si="4"/>
        <v>0.0370370000000548</v>
      </c>
      <c r="L30" s="257">
        <f>(TPCIL!I40-TPCIL!C40)+(TPCIL!P40-TPCIL!D40)</f>
        <v>0.000544999999988249</v>
      </c>
      <c r="M30" s="258">
        <f t="shared" si="5"/>
        <v>0.0375820000000431</v>
      </c>
      <c r="N30" s="159"/>
      <c r="O30" s="259">
        <f>IF(ISGS!G40-Entitlement!K34*(1-TPCIL!$L$11)&lt;0,0,ISGS!G40-Entitlement!K34*(1-TPCIL!$L$11))</f>
        <v>0</v>
      </c>
      <c r="P30" s="259">
        <f>IF(ISGS!O40-Entitlement!AH34*(1-TPCIL!$L$11)&lt;0,0,ISGS!O40-Entitlement!AH34*(1-TPCIL!$L$11))</f>
        <v>0.00382899999999609</v>
      </c>
      <c r="Q30" s="259">
        <f>IF(ISGS!P40-Entitlement!AK34*(1-TPCIL!$L$11)&lt;0,0,ISGS!P40-Entitlement!AK34*(1-TPCIL!$L$11))</f>
        <v>0</v>
      </c>
      <c r="R30" s="259">
        <f>IF(ISGS!U40-Entitlement!AZ34*(1-TPCIL!$L$11)&lt;0,0,ISGS!U40-Entitlement!AZ34*(1-TPCIL!$L$11))</f>
        <v>0</v>
      </c>
      <c r="S30" s="259">
        <f>IF(ISGS!Q40-Entitlement!AN34&lt;0,0,ISGS!Q40-Entitlement!AN34)</f>
        <v>0</v>
      </c>
      <c r="T30" s="259">
        <f>IF(ISGS!R40-Entitlement!AQ34*(1-TPCIL!$L$11)&lt;0,0,ISGS!R40-Entitlement!AQ34*(1-TPCIL!$L$11))</f>
        <v>0</v>
      </c>
      <c r="U30" s="259">
        <f>IF(ISGS!S40-Entitlement!AT34&lt;0,0,ISGS!S40-Entitlement!AT34)</f>
        <v>0</v>
      </c>
      <c r="V30" s="259">
        <f>IF(ISGS!K40-Entitlement!V34*(1-TPCIL!$L$11)&lt;0,0,ISGS!K40-Entitlement!V34*(1-TPCIL!$L$11))</f>
        <v>0</v>
      </c>
      <c r="W30" s="259"/>
      <c r="X30" s="259">
        <f t="shared" si="0"/>
        <v>0.00382899999999609</v>
      </c>
      <c r="AA30" s="159"/>
    </row>
    <row r="31" ht="16.5" spans="1:27">
      <c r="A31" s="78">
        <v>29</v>
      </c>
      <c r="B31" s="78" t="s">
        <v>42</v>
      </c>
      <c r="C31" s="249">
        <f>Entitlement!BC35</f>
        <v>1608.95</v>
      </c>
      <c r="D31" s="250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51">
        <f t="shared" si="1"/>
        <v>1608.95</v>
      </c>
      <c r="F31" s="251">
        <f>ISGS!Q41</f>
        <v>216.14</v>
      </c>
      <c r="G31" s="251">
        <f t="shared" si="2"/>
        <v>1392.81</v>
      </c>
      <c r="H31" s="251">
        <f>G31*(1-TPCIL!$L$11)+F31</f>
        <v>1541.955839</v>
      </c>
      <c r="I31" s="31">
        <f t="shared" si="3"/>
        <v>1541.961975</v>
      </c>
      <c r="J31" s="250">
        <f>ISGS!V41</f>
        <v>1541.92</v>
      </c>
      <c r="K31" s="256">
        <f t="shared" si="4"/>
        <v>0.0419749999996384</v>
      </c>
      <c r="L31" s="257">
        <f>(TPCIL!I41-TPCIL!C41)+(TPCIL!P41-TPCIL!D41)</f>
        <v>0.000544999999988249</v>
      </c>
      <c r="M31" s="258">
        <f t="shared" si="5"/>
        <v>0.0425199999996266</v>
      </c>
      <c r="N31" s="159"/>
      <c r="O31" s="259">
        <f>IF(ISGS!G41-Entitlement!K35*(1-TPCIL!$L$11)&lt;0,0,ISGS!G41-Entitlement!K35*(1-TPCIL!$L$11))</f>
        <v>0</v>
      </c>
      <c r="P31" s="259">
        <f>IF(ISGS!O41-Entitlement!AH35*(1-TPCIL!$L$11)&lt;0,0,ISGS!O41-Entitlement!AH35*(1-TPCIL!$L$11))</f>
        <v>0.00382899999999609</v>
      </c>
      <c r="Q31" s="259">
        <f>IF(ISGS!P41-Entitlement!AK35*(1-TPCIL!$L$11)&lt;0,0,ISGS!P41-Entitlement!AK35*(1-TPCIL!$L$11))</f>
        <v>0</v>
      </c>
      <c r="R31" s="259">
        <f>IF(ISGS!U41-Entitlement!AZ35*(1-TPCIL!$L$11)&lt;0,0,ISGS!U41-Entitlement!AZ35*(1-TPCIL!$L$11))</f>
        <v>0</v>
      </c>
      <c r="S31" s="259">
        <f>IF(ISGS!Q41-Entitlement!AN35&lt;0,0,ISGS!Q41-Entitlement!AN35)</f>
        <v>0</v>
      </c>
      <c r="T31" s="259">
        <f>IF(ISGS!R41-Entitlement!AQ35*(1-TPCIL!$L$11)&lt;0,0,ISGS!R41-Entitlement!AQ35*(1-TPCIL!$L$11))</f>
        <v>0</v>
      </c>
      <c r="U31" s="259">
        <f>IF(ISGS!S41-Entitlement!AT35&lt;0,0,ISGS!S41-Entitlement!AT35)</f>
        <v>0</v>
      </c>
      <c r="V31" s="259">
        <f>IF(ISGS!K41-Entitlement!V35*(1-TPCIL!$L$11)&lt;0,0,ISGS!K41-Entitlement!V35*(1-TPCIL!$L$11))</f>
        <v>0.00230700000000184</v>
      </c>
      <c r="W31" s="259"/>
      <c r="X31" s="259">
        <f t="shared" si="0"/>
        <v>0.00613599999999792</v>
      </c>
      <c r="AA31" s="159"/>
    </row>
    <row r="32" ht="16.5" spans="1:27">
      <c r="A32" s="78">
        <v>30</v>
      </c>
      <c r="B32" s="78" t="s">
        <v>43</v>
      </c>
      <c r="C32" s="249">
        <f>Entitlement!BC36</f>
        <v>1608.95</v>
      </c>
      <c r="D32" s="250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51">
        <f t="shared" si="1"/>
        <v>1608.95</v>
      </c>
      <c r="F32" s="251">
        <f>ISGS!Q42</f>
        <v>216.14</v>
      </c>
      <c r="G32" s="251">
        <f t="shared" si="2"/>
        <v>1392.81</v>
      </c>
      <c r="H32" s="251">
        <f>G32*(1-TPCIL!$L$11)+F32</f>
        <v>1541.955839</v>
      </c>
      <c r="I32" s="31">
        <f t="shared" si="3"/>
        <v>1541.961975</v>
      </c>
      <c r="J32" s="250">
        <f>ISGS!V42</f>
        <v>1541.92</v>
      </c>
      <c r="K32" s="256">
        <f t="shared" si="4"/>
        <v>0.0419749999996384</v>
      </c>
      <c r="L32" s="257">
        <f>(TPCIL!I42-TPCIL!C42)+(TPCIL!P42-TPCIL!D42)</f>
        <v>0.000544999999988249</v>
      </c>
      <c r="M32" s="258">
        <f t="shared" si="5"/>
        <v>0.0425199999996266</v>
      </c>
      <c r="N32" s="159"/>
      <c r="O32" s="259">
        <f>IF(ISGS!G42-Entitlement!K36*(1-TPCIL!$L$11)&lt;0,0,ISGS!G42-Entitlement!K36*(1-TPCIL!$L$11))</f>
        <v>0</v>
      </c>
      <c r="P32" s="259">
        <f>IF(ISGS!O42-Entitlement!AH36*(1-TPCIL!$L$11)&lt;0,0,ISGS!O42-Entitlement!AH36*(1-TPCIL!$L$11))</f>
        <v>0.00382899999999609</v>
      </c>
      <c r="Q32" s="259">
        <f>IF(ISGS!P42-Entitlement!AK36*(1-TPCIL!$L$11)&lt;0,0,ISGS!P42-Entitlement!AK36*(1-TPCIL!$L$11))</f>
        <v>0</v>
      </c>
      <c r="R32" s="259">
        <f>IF(ISGS!U42-Entitlement!AZ36*(1-TPCIL!$L$11)&lt;0,0,ISGS!U42-Entitlement!AZ36*(1-TPCIL!$L$11))</f>
        <v>0</v>
      </c>
      <c r="S32" s="259">
        <f>IF(ISGS!Q42-Entitlement!AN36&lt;0,0,ISGS!Q42-Entitlement!AN36)</f>
        <v>0</v>
      </c>
      <c r="T32" s="259">
        <f>IF(ISGS!R42-Entitlement!AQ36*(1-TPCIL!$L$11)&lt;0,0,ISGS!R42-Entitlement!AQ36*(1-TPCIL!$L$11))</f>
        <v>0</v>
      </c>
      <c r="U32" s="259">
        <f>IF(ISGS!S42-Entitlement!AT36&lt;0,0,ISGS!S42-Entitlement!AT36)</f>
        <v>0</v>
      </c>
      <c r="V32" s="259">
        <f>IF(ISGS!K42-Entitlement!V36*(1-TPCIL!$L$11)&lt;0,0,ISGS!K42-Entitlement!V36*(1-TPCIL!$L$11))</f>
        <v>0.00230700000000184</v>
      </c>
      <c r="W32" s="259"/>
      <c r="X32" s="259">
        <f t="shared" si="0"/>
        <v>0.00613599999999792</v>
      </c>
      <c r="AA32" s="159"/>
    </row>
    <row r="33" ht="16.5" spans="1:27">
      <c r="A33" s="78">
        <v>31</v>
      </c>
      <c r="B33" s="78" t="s">
        <v>44</v>
      </c>
      <c r="C33" s="249">
        <f>Entitlement!BC37</f>
        <v>1613.52</v>
      </c>
      <c r="D33" s="250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51">
        <f t="shared" si="1"/>
        <v>1613.52</v>
      </c>
      <c r="F33" s="251">
        <f>ISGS!Q43</f>
        <v>216.14</v>
      </c>
      <c r="G33" s="251">
        <f t="shared" si="2"/>
        <v>1397.38</v>
      </c>
      <c r="H33" s="251">
        <f>G33*(1-TPCIL!$L$11)+F33</f>
        <v>1546.306022</v>
      </c>
      <c r="I33" s="31">
        <f t="shared" si="3"/>
        <v>1546.312158</v>
      </c>
      <c r="J33" s="250">
        <f>ISGS!V43</f>
        <v>1544.61</v>
      </c>
      <c r="K33" s="256">
        <f t="shared" si="4"/>
        <v>1.70215800000028</v>
      </c>
      <c r="L33" s="257">
        <f>(TPCIL!I43-TPCIL!C43)+(TPCIL!P43-TPCIL!D43)</f>
        <v>0.000544999999988249</v>
      </c>
      <c r="M33" s="258">
        <f t="shared" si="5"/>
        <v>1.70270300000027</v>
      </c>
      <c r="N33" s="159"/>
      <c r="O33" s="259">
        <f>IF(ISGS!G43-Entitlement!K37*(1-TPCIL!$L$11)&lt;0,0,ISGS!G43-Entitlement!K37*(1-TPCIL!$L$11))</f>
        <v>0</v>
      </c>
      <c r="P33" s="259">
        <f>IF(ISGS!O43-Entitlement!AH37*(1-TPCIL!$L$11)&lt;0,0,ISGS!O43-Entitlement!AH37*(1-TPCIL!$L$11))</f>
        <v>0.00382899999999609</v>
      </c>
      <c r="Q33" s="259">
        <f>IF(ISGS!P43-Entitlement!AK37*(1-TPCIL!$L$11)&lt;0,0,ISGS!P43-Entitlement!AK37*(1-TPCIL!$L$11))</f>
        <v>0</v>
      </c>
      <c r="R33" s="259">
        <f>IF(ISGS!U43-Entitlement!AZ37*(1-TPCIL!$L$11)&lt;0,0,ISGS!U43-Entitlement!AZ37*(1-TPCIL!$L$11))</f>
        <v>0</v>
      </c>
      <c r="S33" s="259">
        <f>IF(ISGS!Q43-Entitlement!AN37&lt;0,0,ISGS!Q43-Entitlement!AN37)</f>
        <v>0</v>
      </c>
      <c r="T33" s="259">
        <f>IF(ISGS!R43-Entitlement!AQ37*(1-TPCIL!$L$11)&lt;0,0,ISGS!R43-Entitlement!AQ37*(1-TPCIL!$L$11))</f>
        <v>0</v>
      </c>
      <c r="U33" s="259">
        <f>IF(ISGS!S43-Entitlement!AT37&lt;0,0,ISGS!S43-Entitlement!AT37)</f>
        <v>0</v>
      </c>
      <c r="V33" s="259">
        <f>IF(ISGS!K43-Entitlement!V37*(1-TPCIL!$L$11)&lt;0,0,ISGS!K43-Entitlement!V37*(1-TPCIL!$L$11))</f>
        <v>0.00230700000000184</v>
      </c>
      <c r="W33" s="259"/>
      <c r="X33" s="259">
        <f t="shared" si="0"/>
        <v>0.00613599999999792</v>
      </c>
      <c r="AA33" s="159"/>
    </row>
    <row r="34" ht="16.5" spans="1:27">
      <c r="A34" s="78">
        <v>32</v>
      </c>
      <c r="B34" s="78" t="s">
        <v>45</v>
      </c>
      <c r="C34" s="249">
        <f>Entitlement!BC38</f>
        <v>1617.21</v>
      </c>
      <c r="D34" s="250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51">
        <f t="shared" si="1"/>
        <v>1617.21</v>
      </c>
      <c r="F34" s="251">
        <f>ISGS!Q44</f>
        <v>216.14</v>
      </c>
      <c r="G34" s="251">
        <f t="shared" si="2"/>
        <v>1401.07</v>
      </c>
      <c r="H34" s="251">
        <f>G34*(1-TPCIL!$L$11)+F34</f>
        <v>1549.818533</v>
      </c>
      <c r="I34" s="31">
        <f t="shared" si="3"/>
        <v>1549.824669</v>
      </c>
      <c r="J34" s="250">
        <f>ISGS!V44</f>
        <v>1548.25</v>
      </c>
      <c r="K34" s="256">
        <f t="shared" si="4"/>
        <v>1.57466900000009</v>
      </c>
      <c r="L34" s="257">
        <f>(TPCIL!I44-TPCIL!C44)+(TPCIL!P44-TPCIL!D44)</f>
        <v>0.000544999999988249</v>
      </c>
      <c r="M34" s="258">
        <f t="shared" si="5"/>
        <v>1.57521400000007</v>
      </c>
      <c r="N34" s="159"/>
      <c r="O34" s="259">
        <f>IF(ISGS!G44-Entitlement!K38*(1-TPCIL!$L$11)&lt;0,0,ISGS!G44-Entitlement!K38*(1-TPCIL!$L$11))</f>
        <v>0</v>
      </c>
      <c r="P34" s="259">
        <f>IF(ISGS!O44-Entitlement!AH38*(1-TPCIL!$L$11)&lt;0,0,ISGS!O44-Entitlement!AH38*(1-TPCIL!$L$11))</f>
        <v>0.00382899999999609</v>
      </c>
      <c r="Q34" s="259">
        <f>IF(ISGS!P44-Entitlement!AK38*(1-TPCIL!$L$11)&lt;0,0,ISGS!P44-Entitlement!AK38*(1-TPCIL!$L$11))</f>
        <v>0</v>
      </c>
      <c r="R34" s="259">
        <f>IF(ISGS!U44-Entitlement!AZ38*(1-TPCIL!$L$11)&lt;0,0,ISGS!U44-Entitlement!AZ38*(1-TPCIL!$L$11))</f>
        <v>0</v>
      </c>
      <c r="S34" s="259">
        <f>IF(ISGS!Q44-Entitlement!AN38&lt;0,0,ISGS!Q44-Entitlement!AN38)</f>
        <v>0</v>
      </c>
      <c r="T34" s="259">
        <f>IF(ISGS!R44-Entitlement!AQ38*(1-TPCIL!$L$11)&lt;0,0,ISGS!R44-Entitlement!AQ38*(1-TPCIL!$L$11))</f>
        <v>0</v>
      </c>
      <c r="U34" s="259">
        <f>IF(ISGS!S44-Entitlement!AT38&lt;0,0,ISGS!S44-Entitlement!AT38)</f>
        <v>0</v>
      </c>
      <c r="V34" s="259">
        <f>IF(ISGS!K44-Entitlement!V38*(1-TPCIL!$L$11)&lt;0,0,ISGS!K44-Entitlement!V38*(1-TPCIL!$L$11))</f>
        <v>0.00230700000000184</v>
      </c>
      <c r="W34" s="259"/>
      <c r="X34" s="259">
        <f t="shared" si="0"/>
        <v>0.00613599999999792</v>
      </c>
      <c r="AA34" s="159"/>
    </row>
    <row r="35" ht="16.5" spans="1:27">
      <c r="A35" s="78">
        <v>33</v>
      </c>
      <c r="B35" s="78" t="s">
        <v>46</v>
      </c>
      <c r="C35" s="249">
        <f>Entitlement!BC39</f>
        <v>1619.98</v>
      </c>
      <c r="D35" s="250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51">
        <f t="shared" si="1"/>
        <v>1619.98</v>
      </c>
      <c r="F35" s="251">
        <f>ISGS!Q45</f>
        <v>216.14</v>
      </c>
      <c r="G35" s="251">
        <f t="shared" si="2"/>
        <v>1403.84</v>
      </c>
      <c r="H35" s="251">
        <f>G35*(1-TPCIL!$L$11)+F35</f>
        <v>1552.455296</v>
      </c>
      <c r="I35" s="31">
        <f t="shared" si="3"/>
        <v>1552.461432</v>
      </c>
      <c r="J35" s="250">
        <f>ISGS!V45</f>
        <v>1551.74</v>
      </c>
      <c r="K35" s="256">
        <f t="shared" si="4"/>
        <v>0.72143200000005</v>
      </c>
      <c r="L35" s="257">
        <f>(TPCIL!I45-TPCIL!C45)+(TPCIL!P45-TPCIL!D45)</f>
        <v>0.000544999999988249</v>
      </c>
      <c r="M35" s="258">
        <f t="shared" si="5"/>
        <v>0.721977000000038</v>
      </c>
      <c r="N35" s="159"/>
      <c r="O35" s="259">
        <f>IF(ISGS!G45-Entitlement!K39*(1-TPCIL!$L$11)&lt;0,0,ISGS!G45-Entitlement!K39*(1-TPCIL!$L$11))</f>
        <v>0</v>
      </c>
      <c r="P35" s="259">
        <f>IF(ISGS!O45-Entitlement!AH39*(1-TPCIL!$L$11)&lt;0,0,ISGS!O45-Entitlement!AH39*(1-TPCIL!$L$11))</f>
        <v>0.00382899999999609</v>
      </c>
      <c r="Q35" s="259">
        <f>IF(ISGS!P45-Entitlement!AK39*(1-TPCIL!$L$11)&lt;0,0,ISGS!P45-Entitlement!AK39*(1-TPCIL!$L$11))</f>
        <v>0</v>
      </c>
      <c r="R35" s="259">
        <f>IF(ISGS!U45-Entitlement!AZ39*(1-TPCIL!$L$11)&lt;0,0,ISGS!U45-Entitlement!AZ39*(1-TPCIL!$L$11))</f>
        <v>0</v>
      </c>
      <c r="S35" s="259">
        <f>IF(ISGS!Q45-Entitlement!AN39&lt;0,0,ISGS!Q45-Entitlement!AN39)</f>
        <v>0</v>
      </c>
      <c r="T35" s="259">
        <f>IF(ISGS!R45-Entitlement!AQ39*(1-TPCIL!$L$11)&lt;0,0,ISGS!R45-Entitlement!AQ39*(1-TPCIL!$L$11))</f>
        <v>0</v>
      </c>
      <c r="U35" s="259">
        <f>IF(ISGS!S45-Entitlement!AT39&lt;0,0,ISGS!S45-Entitlement!AT39)</f>
        <v>0</v>
      </c>
      <c r="V35" s="259">
        <f>IF(ISGS!K45-Entitlement!V39*(1-TPCIL!$L$11)&lt;0,0,ISGS!K45-Entitlement!V39*(1-TPCIL!$L$11))</f>
        <v>0.00230700000000184</v>
      </c>
      <c r="W35" s="259"/>
      <c r="X35" s="259">
        <f t="shared" si="0"/>
        <v>0.00613599999999792</v>
      </c>
      <c r="AA35" s="159"/>
    </row>
    <row r="36" ht="16.5" spans="1:27">
      <c r="A36" s="78">
        <v>34</v>
      </c>
      <c r="B36" s="78" t="s">
        <v>47</v>
      </c>
      <c r="C36" s="249">
        <f>Entitlement!BC40</f>
        <v>1619.98</v>
      </c>
      <c r="D36" s="250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51">
        <f t="shared" ref="E36:E67" si="6">C36-D36</f>
        <v>1619.98</v>
      </c>
      <c r="F36" s="251">
        <f>ISGS!Q46</f>
        <v>216.14</v>
      </c>
      <c r="G36" s="251">
        <f t="shared" ref="G36:G67" si="7">E36-F36</f>
        <v>1403.84</v>
      </c>
      <c r="H36" s="251">
        <f>G36*(1-TPCIL!$L$11)+F36</f>
        <v>1552.455296</v>
      </c>
      <c r="I36" s="31">
        <f t="shared" ref="I36:I67" si="8">H36+X36</f>
        <v>1552.461432</v>
      </c>
      <c r="J36" s="250">
        <f>ISGS!V46</f>
        <v>1552.43</v>
      </c>
      <c r="K36" s="256">
        <f t="shared" ref="K36:K67" si="9">I36-J36</f>
        <v>0.0314319999999952</v>
      </c>
      <c r="L36" s="257">
        <f>(TPCIL!I46-TPCIL!C46)+(TPCIL!P46-TPCIL!D46)</f>
        <v>0.000544999999988249</v>
      </c>
      <c r="M36" s="258">
        <f t="shared" ref="M36:M67" si="10">+L36+K36</f>
        <v>0.0319769999999835</v>
      </c>
      <c r="N36" s="159"/>
      <c r="O36" s="259">
        <f>IF(ISGS!G46-Entitlement!K40*(1-TPCIL!$L$11)&lt;0,0,ISGS!G46-Entitlement!K40*(1-TPCIL!$L$11))</f>
        <v>0</v>
      </c>
      <c r="P36" s="259">
        <f>IF(ISGS!O46-Entitlement!AH40*(1-TPCIL!$L$11)&lt;0,0,ISGS!O46-Entitlement!AH40*(1-TPCIL!$L$11))</f>
        <v>0.00382899999999609</v>
      </c>
      <c r="Q36" s="259">
        <f>IF(ISGS!P46-Entitlement!AK40*(1-TPCIL!$L$11)&lt;0,0,ISGS!P46-Entitlement!AK40*(1-TPCIL!$L$11))</f>
        <v>0</v>
      </c>
      <c r="R36" s="259">
        <f>IF(ISGS!U46-Entitlement!AZ40*(1-TPCIL!$L$11)&lt;0,0,ISGS!U46-Entitlement!AZ40*(1-TPCIL!$L$11))</f>
        <v>0</v>
      </c>
      <c r="S36" s="259">
        <f>IF(ISGS!Q46-Entitlement!AN40&lt;0,0,ISGS!Q46-Entitlement!AN40)</f>
        <v>0</v>
      </c>
      <c r="T36" s="259">
        <f>IF(ISGS!R46-Entitlement!AQ40*(1-TPCIL!$L$11)&lt;0,0,ISGS!R46-Entitlement!AQ40*(1-TPCIL!$L$11))</f>
        <v>0</v>
      </c>
      <c r="U36" s="259">
        <f>IF(ISGS!S46-Entitlement!AT40&lt;0,0,ISGS!S46-Entitlement!AT40)</f>
        <v>0</v>
      </c>
      <c r="V36" s="259">
        <f>IF(ISGS!K46-Entitlement!V40*(1-TPCIL!$L$11)&lt;0,0,ISGS!K46-Entitlement!V40*(1-TPCIL!$L$11))</f>
        <v>0.00230700000000184</v>
      </c>
      <c r="W36" s="259"/>
      <c r="X36" s="259">
        <f t="shared" si="0"/>
        <v>0.00613599999999792</v>
      </c>
      <c r="AA36" s="159"/>
    </row>
    <row r="37" ht="16.5" spans="1:27">
      <c r="A37" s="78">
        <v>35</v>
      </c>
      <c r="B37" s="78" t="s">
        <v>48</v>
      </c>
      <c r="C37" s="249">
        <f>Entitlement!BC41</f>
        <v>1620.44</v>
      </c>
      <c r="D37" s="250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51">
        <f t="shared" si="6"/>
        <v>1620.44</v>
      </c>
      <c r="F37" s="251">
        <f>ISGS!Q47</f>
        <v>216.14</v>
      </c>
      <c r="G37" s="251">
        <f t="shared" si="7"/>
        <v>1404.3</v>
      </c>
      <c r="H37" s="251">
        <f>G37*(1-TPCIL!$L$11)+F37</f>
        <v>1552.89317</v>
      </c>
      <c r="I37" s="31">
        <f t="shared" si="8"/>
        <v>1552.899306</v>
      </c>
      <c r="J37" s="250">
        <f>ISGS!V47</f>
        <v>1552.86</v>
      </c>
      <c r="K37" s="256">
        <f t="shared" si="9"/>
        <v>0.0393060000003516</v>
      </c>
      <c r="L37" s="257">
        <f>(TPCIL!I47-TPCIL!C47)+(TPCIL!P47-TPCIL!D47)</f>
        <v>0.000544999999988249</v>
      </c>
      <c r="M37" s="258">
        <f t="shared" si="10"/>
        <v>0.0398510000003398</v>
      </c>
      <c r="N37" s="159"/>
      <c r="O37" s="259">
        <f>IF(ISGS!G47-Entitlement!K41*(1-TPCIL!$L$11)&lt;0,0,ISGS!G47-Entitlement!K41*(1-TPCIL!$L$11))</f>
        <v>0</v>
      </c>
      <c r="P37" s="259">
        <f>IF(ISGS!O47-Entitlement!AH41*(1-TPCIL!$L$11)&lt;0,0,ISGS!O47-Entitlement!AH41*(1-TPCIL!$L$11))</f>
        <v>0.00382899999999609</v>
      </c>
      <c r="Q37" s="259">
        <f>IF(ISGS!P47-Entitlement!AK41*(1-TPCIL!$L$11)&lt;0,0,ISGS!P47-Entitlement!AK41*(1-TPCIL!$L$11))</f>
        <v>0</v>
      </c>
      <c r="R37" s="259">
        <f>IF(ISGS!U47-Entitlement!AZ41*(1-TPCIL!$L$11)&lt;0,0,ISGS!U47-Entitlement!AZ41*(1-TPCIL!$L$11))</f>
        <v>0</v>
      </c>
      <c r="S37" s="259">
        <f>IF(ISGS!Q47-Entitlement!AN41&lt;0,0,ISGS!Q47-Entitlement!AN41)</f>
        <v>0</v>
      </c>
      <c r="T37" s="259">
        <f>IF(ISGS!R47-Entitlement!AQ41*(1-TPCIL!$L$11)&lt;0,0,ISGS!R47-Entitlement!AQ41*(1-TPCIL!$L$11))</f>
        <v>0</v>
      </c>
      <c r="U37" s="259">
        <f>IF(ISGS!S47-Entitlement!AT41&lt;0,0,ISGS!S47-Entitlement!AT41)</f>
        <v>0</v>
      </c>
      <c r="V37" s="259">
        <f>IF(ISGS!K47-Entitlement!V41*(1-TPCIL!$L$11)&lt;0,0,ISGS!K47-Entitlement!V41*(1-TPCIL!$L$11))</f>
        <v>0.00230700000000184</v>
      </c>
      <c r="W37" s="259"/>
      <c r="X37" s="259">
        <f t="shared" si="0"/>
        <v>0.00613599999999792</v>
      </c>
      <c r="AA37" s="159"/>
    </row>
    <row r="38" ht="16.5" spans="1:27">
      <c r="A38" s="78">
        <v>36</v>
      </c>
      <c r="B38" s="78" t="s">
        <v>49</v>
      </c>
      <c r="C38" s="249">
        <f>Entitlement!BC42</f>
        <v>1620.44</v>
      </c>
      <c r="D38" s="250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51">
        <f t="shared" si="6"/>
        <v>1620.44</v>
      </c>
      <c r="F38" s="251">
        <f>ISGS!Q48</f>
        <v>216.14</v>
      </c>
      <c r="G38" s="251">
        <f t="shared" si="7"/>
        <v>1404.3</v>
      </c>
      <c r="H38" s="251">
        <f>G38*(1-TPCIL!$L$11)+F38</f>
        <v>1552.89317</v>
      </c>
      <c r="I38" s="31">
        <f t="shared" si="8"/>
        <v>1552.899306</v>
      </c>
      <c r="J38" s="250">
        <f>ISGS!V48</f>
        <v>1552.87</v>
      </c>
      <c r="K38" s="256">
        <f t="shared" si="9"/>
        <v>0.0293060000003607</v>
      </c>
      <c r="L38" s="257">
        <f>(TPCIL!I48-TPCIL!C48)+(TPCIL!P48-TPCIL!D48)</f>
        <v>0.000544999999988249</v>
      </c>
      <c r="M38" s="258">
        <f t="shared" si="10"/>
        <v>0.0298510000003489</v>
      </c>
      <c r="N38" s="159"/>
      <c r="O38" s="259">
        <f>IF(ISGS!G48-Entitlement!K42*(1-TPCIL!$L$11)&lt;0,0,ISGS!G48-Entitlement!K42*(1-TPCIL!$L$11))</f>
        <v>0</v>
      </c>
      <c r="P38" s="259">
        <f>IF(ISGS!O48-Entitlement!AH42*(1-TPCIL!$L$11)&lt;0,0,ISGS!O48-Entitlement!AH42*(1-TPCIL!$L$11))</f>
        <v>0.00382899999999609</v>
      </c>
      <c r="Q38" s="259">
        <f>IF(ISGS!P48-Entitlement!AK42*(1-TPCIL!$L$11)&lt;0,0,ISGS!P48-Entitlement!AK42*(1-TPCIL!$L$11))</f>
        <v>0</v>
      </c>
      <c r="R38" s="259">
        <f>IF(ISGS!U48-Entitlement!AZ42*(1-TPCIL!$L$11)&lt;0,0,ISGS!U48-Entitlement!AZ42*(1-TPCIL!$L$11))</f>
        <v>0</v>
      </c>
      <c r="S38" s="259">
        <f>IF(ISGS!Q48-Entitlement!AN42&lt;0,0,ISGS!Q48-Entitlement!AN42)</f>
        <v>0</v>
      </c>
      <c r="T38" s="259">
        <f>IF(ISGS!R48-Entitlement!AQ42*(1-TPCIL!$L$11)&lt;0,0,ISGS!R48-Entitlement!AQ42*(1-TPCIL!$L$11))</f>
        <v>0</v>
      </c>
      <c r="U38" s="259">
        <f>IF(ISGS!S48-Entitlement!AT42&lt;0,0,ISGS!S48-Entitlement!AT42)</f>
        <v>0</v>
      </c>
      <c r="V38" s="259">
        <f>IF(ISGS!K48-Entitlement!V42*(1-TPCIL!$L$11)&lt;0,0,ISGS!K48-Entitlement!V42*(1-TPCIL!$L$11))</f>
        <v>0.00230700000000184</v>
      </c>
      <c r="W38" s="259"/>
      <c r="X38" s="259">
        <f t="shared" si="0"/>
        <v>0.00613599999999792</v>
      </c>
      <c r="AA38" s="159"/>
    </row>
    <row r="39" ht="16.5" spans="1:27">
      <c r="A39" s="78">
        <v>37</v>
      </c>
      <c r="B39" s="78" t="s">
        <v>50</v>
      </c>
      <c r="C39" s="249">
        <f>Entitlement!BC43</f>
        <v>1620.77</v>
      </c>
      <c r="D39" s="250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51">
        <f t="shared" si="6"/>
        <v>1620.77</v>
      </c>
      <c r="F39" s="251">
        <f>ISGS!Q49</f>
        <v>216.14</v>
      </c>
      <c r="G39" s="251">
        <f t="shared" si="7"/>
        <v>1404.63</v>
      </c>
      <c r="H39" s="251">
        <f>G39*(1-TPCIL!$L$11)+F39</f>
        <v>1553.207297</v>
      </c>
      <c r="I39" s="31">
        <f t="shared" si="8"/>
        <v>1553.213433</v>
      </c>
      <c r="J39" s="250">
        <f>ISGS!V49</f>
        <v>1553.14</v>
      </c>
      <c r="K39" s="256">
        <f t="shared" si="9"/>
        <v>0.0734329999997954</v>
      </c>
      <c r="L39" s="257">
        <f>(TPCIL!I49-TPCIL!C49)+(TPCIL!P49-TPCIL!D49)</f>
        <v>0.000544999999988249</v>
      </c>
      <c r="M39" s="258">
        <f t="shared" si="10"/>
        <v>0.0739779999997836</v>
      </c>
      <c r="N39" s="159"/>
      <c r="O39" s="259">
        <f>IF(ISGS!G49-Entitlement!K43*(1-TPCIL!$L$11)&lt;0,0,ISGS!G49-Entitlement!K43*(1-TPCIL!$L$11))</f>
        <v>0</v>
      </c>
      <c r="P39" s="259">
        <f>IF(ISGS!O49-Entitlement!AH43*(1-TPCIL!$L$11)&lt;0,0,ISGS!O49-Entitlement!AH43*(1-TPCIL!$L$11))</f>
        <v>0.00382899999999609</v>
      </c>
      <c r="Q39" s="259">
        <f>IF(ISGS!P49-Entitlement!AK43*(1-TPCIL!$L$11)&lt;0,0,ISGS!P49-Entitlement!AK43*(1-TPCIL!$L$11))</f>
        <v>0</v>
      </c>
      <c r="R39" s="259">
        <f>IF(ISGS!U49-Entitlement!AZ43*(1-TPCIL!$L$11)&lt;0,0,ISGS!U49-Entitlement!AZ43*(1-TPCIL!$L$11))</f>
        <v>0</v>
      </c>
      <c r="S39" s="259">
        <f>IF(ISGS!Q49-Entitlement!AN43&lt;0,0,ISGS!Q49-Entitlement!AN43)</f>
        <v>0</v>
      </c>
      <c r="T39" s="259">
        <f>IF(ISGS!R49-Entitlement!AQ43*(1-TPCIL!$L$11)&lt;0,0,ISGS!R49-Entitlement!AQ43*(1-TPCIL!$L$11))</f>
        <v>0</v>
      </c>
      <c r="U39" s="259">
        <f>IF(ISGS!S49-Entitlement!AT43&lt;0,0,ISGS!S49-Entitlement!AT43)</f>
        <v>0</v>
      </c>
      <c r="V39" s="259">
        <f>IF(ISGS!K49-Entitlement!V43*(1-TPCIL!$L$11)&lt;0,0,ISGS!K49-Entitlement!V43*(1-TPCIL!$L$11))</f>
        <v>0.00230700000000184</v>
      </c>
      <c r="W39" s="259"/>
      <c r="X39" s="259">
        <f t="shared" si="0"/>
        <v>0.00613599999999792</v>
      </c>
      <c r="AA39" s="159"/>
    </row>
    <row r="40" ht="16.5" spans="1:27">
      <c r="A40" s="78">
        <v>38</v>
      </c>
      <c r="B40" s="78" t="s">
        <v>51</v>
      </c>
      <c r="C40" s="249">
        <f>Entitlement!BC44</f>
        <v>1620.77</v>
      </c>
      <c r="D40" s="250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51">
        <f t="shared" si="6"/>
        <v>1620.77</v>
      </c>
      <c r="F40" s="251">
        <f>ISGS!Q50</f>
        <v>216.14</v>
      </c>
      <c r="G40" s="251">
        <f t="shared" si="7"/>
        <v>1404.63</v>
      </c>
      <c r="H40" s="251">
        <f>G40*(1-TPCIL!$L$11)+F40</f>
        <v>1553.207297</v>
      </c>
      <c r="I40" s="31">
        <f t="shared" si="8"/>
        <v>1553.213433</v>
      </c>
      <c r="J40" s="250">
        <f>ISGS!V50</f>
        <v>1553.18</v>
      </c>
      <c r="K40" s="256">
        <f t="shared" si="9"/>
        <v>0.0334329999998317</v>
      </c>
      <c r="L40" s="257">
        <f>(TPCIL!I50-TPCIL!C50)+(TPCIL!P50-TPCIL!D50)</f>
        <v>0.000544999999988249</v>
      </c>
      <c r="M40" s="258">
        <f t="shared" si="10"/>
        <v>0.03397799999982</v>
      </c>
      <c r="N40" s="159"/>
      <c r="O40" s="259">
        <f>IF(ISGS!G50-Entitlement!K44*(1-TPCIL!$L$11)&lt;0,0,ISGS!G50-Entitlement!K44*(1-TPCIL!$L$11))</f>
        <v>0</v>
      </c>
      <c r="P40" s="259">
        <f>IF(ISGS!O50-Entitlement!AH44*(1-TPCIL!$L$11)&lt;0,0,ISGS!O50-Entitlement!AH44*(1-TPCIL!$L$11))</f>
        <v>0.00382899999999609</v>
      </c>
      <c r="Q40" s="259">
        <f>IF(ISGS!P50-Entitlement!AK44*(1-TPCIL!$L$11)&lt;0,0,ISGS!P50-Entitlement!AK44*(1-TPCIL!$L$11))</f>
        <v>0</v>
      </c>
      <c r="R40" s="259">
        <f>IF(ISGS!U50-Entitlement!AZ44*(1-TPCIL!$L$11)&lt;0,0,ISGS!U50-Entitlement!AZ44*(1-TPCIL!$L$11))</f>
        <v>0</v>
      </c>
      <c r="S40" s="259">
        <f>IF(ISGS!Q50-Entitlement!AN44&lt;0,0,ISGS!Q50-Entitlement!AN44)</f>
        <v>0</v>
      </c>
      <c r="T40" s="259">
        <f>IF(ISGS!R50-Entitlement!AQ44*(1-TPCIL!$L$11)&lt;0,0,ISGS!R50-Entitlement!AQ44*(1-TPCIL!$L$11))</f>
        <v>0</v>
      </c>
      <c r="U40" s="259">
        <f>IF(ISGS!S50-Entitlement!AT44&lt;0,0,ISGS!S50-Entitlement!AT44)</f>
        <v>0</v>
      </c>
      <c r="V40" s="259">
        <f>IF(ISGS!K50-Entitlement!V44*(1-TPCIL!$L$11)&lt;0,0,ISGS!K50-Entitlement!V44*(1-TPCIL!$L$11))</f>
        <v>0.00230700000000184</v>
      </c>
      <c r="W40" s="259"/>
      <c r="X40" s="259">
        <f t="shared" si="0"/>
        <v>0.00613599999999792</v>
      </c>
      <c r="AA40" s="159"/>
    </row>
    <row r="41" ht="16.5" spans="1:27">
      <c r="A41" s="78">
        <v>39</v>
      </c>
      <c r="B41" s="78" t="s">
        <v>52</v>
      </c>
      <c r="C41" s="249">
        <f>Entitlement!BC45</f>
        <v>1620.77</v>
      </c>
      <c r="D41" s="250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51">
        <f t="shared" si="6"/>
        <v>1620.77</v>
      </c>
      <c r="F41" s="251">
        <f>ISGS!Q51</f>
        <v>216.14</v>
      </c>
      <c r="G41" s="251">
        <f t="shared" si="7"/>
        <v>1404.63</v>
      </c>
      <c r="H41" s="251">
        <f>G41*(1-TPCIL!$L$11)+F41</f>
        <v>1553.207297</v>
      </c>
      <c r="I41" s="31">
        <f t="shared" si="8"/>
        <v>1553.213433</v>
      </c>
      <c r="J41" s="250">
        <f>ISGS!V51</f>
        <v>1553.18</v>
      </c>
      <c r="K41" s="256">
        <f t="shared" si="9"/>
        <v>0.0334329999998317</v>
      </c>
      <c r="L41" s="257">
        <f>(TPCIL!I51-TPCIL!C51)+(TPCIL!P51-TPCIL!D51)</f>
        <v>0.000544999999988249</v>
      </c>
      <c r="M41" s="258">
        <f t="shared" si="10"/>
        <v>0.03397799999982</v>
      </c>
      <c r="N41" s="159"/>
      <c r="O41" s="259">
        <f>IF(ISGS!G51-Entitlement!K45*(1-TPCIL!$L$11)&lt;0,0,ISGS!G51-Entitlement!K45*(1-TPCIL!$L$11))</f>
        <v>0</v>
      </c>
      <c r="P41" s="259">
        <f>IF(ISGS!O51-Entitlement!AH45*(1-TPCIL!$L$11)&lt;0,0,ISGS!O51-Entitlement!AH45*(1-TPCIL!$L$11))</f>
        <v>0.00382899999999609</v>
      </c>
      <c r="Q41" s="259">
        <f>IF(ISGS!P51-Entitlement!AK45*(1-TPCIL!$L$11)&lt;0,0,ISGS!P51-Entitlement!AK45*(1-TPCIL!$L$11))</f>
        <v>0</v>
      </c>
      <c r="R41" s="259">
        <f>IF(ISGS!U51-Entitlement!AZ45*(1-TPCIL!$L$11)&lt;0,0,ISGS!U51-Entitlement!AZ45*(1-TPCIL!$L$11))</f>
        <v>0</v>
      </c>
      <c r="S41" s="259">
        <f>IF(ISGS!Q51-Entitlement!AN45&lt;0,0,ISGS!Q51-Entitlement!AN45)</f>
        <v>0</v>
      </c>
      <c r="T41" s="259">
        <f>IF(ISGS!R51-Entitlement!AQ45*(1-TPCIL!$L$11)&lt;0,0,ISGS!R51-Entitlement!AQ45*(1-TPCIL!$L$11))</f>
        <v>0</v>
      </c>
      <c r="U41" s="259">
        <f>IF(ISGS!S51-Entitlement!AT45&lt;0,0,ISGS!S51-Entitlement!AT45)</f>
        <v>0</v>
      </c>
      <c r="V41" s="259">
        <f>IF(ISGS!K51-Entitlement!V45*(1-TPCIL!$L$11)&lt;0,0,ISGS!K51-Entitlement!V45*(1-TPCIL!$L$11))</f>
        <v>0.00230700000000184</v>
      </c>
      <c r="W41" s="259"/>
      <c r="X41" s="259">
        <f t="shared" si="0"/>
        <v>0.00613599999999792</v>
      </c>
      <c r="AA41" s="159"/>
    </row>
    <row r="42" ht="16.5" spans="1:27">
      <c r="A42" s="78">
        <v>40</v>
      </c>
      <c r="B42" s="78" t="s">
        <v>53</v>
      </c>
      <c r="C42" s="249">
        <f>Entitlement!BC46</f>
        <v>1622.47</v>
      </c>
      <c r="D42" s="250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51">
        <f t="shared" si="6"/>
        <v>1622.47</v>
      </c>
      <c r="F42" s="251">
        <f>ISGS!Q52</f>
        <v>216.14</v>
      </c>
      <c r="G42" s="251">
        <f t="shared" si="7"/>
        <v>1406.33</v>
      </c>
      <c r="H42" s="251">
        <f>G42*(1-TPCIL!$L$11)+F42</f>
        <v>1554.825527</v>
      </c>
      <c r="I42" s="31">
        <f t="shared" si="8"/>
        <v>1554.829356</v>
      </c>
      <c r="J42" s="250">
        <f>ISGS!V52</f>
        <v>1554.7</v>
      </c>
      <c r="K42" s="256">
        <f t="shared" si="9"/>
        <v>0.129355999999916</v>
      </c>
      <c r="L42" s="257">
        <f>(TPCIL!I52-TPCIL!C52)+(TPCIL!P52-TPCIL!D52)</f>
        <v>0.000544999999988249</v>
      </c>
      <c r="M42" s="258">
        <f t="shared" si="10"/>
        <v>0.129900999999904</v>
      </c>
      <c r="N42" s="159"/>
      <c r="O42" s="259">
        <f>IF(ISGS!G52-Entitlement!K46*(1-TPCIL!$L$11)&lt;0,0,ISGS!G52-Entitlement!K46*(1-TPCIL!$L$11))</f>
        <v>0</v>
      </c>
      <c r="P42" s="259">
        <f>IF(ISGS!O52-Entitlement!AH46*(1-TPCIL!$L$11)&lt;0,0,ISGS!O52-Entitlement!AH46*(1-TPCIL!$L$11))</f>
        <v>0.00382899999999609</v>
      </c>
      <c r="Q42" s="259">
        <f>IF(ISGS!P52-Entitlement!AK46*(1-TPCIL!$L$11)&lt;0,0,ISGS!P52-Entitlement!AK46*(1-TPCIL!$L$11))</f>
        <v>0</v>
      </c>
      <c r="R42" s="259">
        <f>IF(ISGS!U52-Entitlement!AZ46*(1-TPCIL!$L$11)&lt;0,0,ISGS!U52-Entitlement!AZ46*(1-TPCIL!$L$11))</f>
        <v>0</v>
      </c>
      <c r="S42" s="259">
        <f>IF(ISGS!Q52-Entitlement!AN46&lt;0,0,ISGS!Q52-Entitlement!AN46)</f>
        <v>0</v>
      </c>
      <c r="T42" s="259">
        <f>IF(ISGS!R52-Entitlement!AQ46*(1-TPCIL!$L$11)&lt;0,0,ISGS!R52-Entitlement!AQ46*(1-TPCIL!$L$11))</f>
        <v>0</v>
      </c>
      <c r="U42" s="259">
        <f>IF(ISGS!S52-Entitlement!AT46&lt;0,0,ISGS!S52-Entitlement!AT46)</f>
        <v>0</v>
      </c>
      <c r="V42" s="259">
        <f>IF(ISGS!K52-Entitlement!V46*(1-TPCIL!$L$11)&lt;0,0,ISGS!K52-Entitlement!V46*(1-TPCIL!$L$11))</f>
        <v>0</v>
      </c>
      <c r="W42" s="259"/>
      <c r="X42" s="259">
        <f t="shared" si="0"/>
        <v>0.00382899999999609</v>
      </c>
      <c r="AA42" s="159"/>
    </row>
    <row r="43" ht="16.5" spans="1:27">
      <c r="A43" s="78">
        <v>41</v>
      </c>
      <c r="B43" s="78" t="s">
        <v>54</v>
      </c>
      <c r="C43" s="249">
        <f>Entitlement!BC47</f>
        <v>1622.47</v>
      </c>
      <c r="D43" s="250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51">
        <f t="shared" si="6"/>
        <v>1622.47</v>
      </c>
      <c r="F43" s="251">
        <f>ISGS!Q53</f>
        <v>216.14</v>
      </c>
      <c r="G43" s="251">
        <f t="shared" si="7"/>
        <v>1406.33</v>
      </c>
      <c r="H43" s="251">
        <f>G43*(1-TPCIL!$L$11)+F43</f>
        <v>1554.825527</v>
      </c>
      <c r="I43" s="31">
        <f t="shared" si="8"/>
        <v>1554.829356</v>
      </c>
      <c r="J43" s="250">
        <f>ISGS!V53</f>
        <v>1554.79</v>
      </c>
      <c r="K43" s="256">
        <f t="shared" si="9"/>
        <v>0.0393559999999979</v>
      </c>
      <c r="L43" s="257">
        <f>(TPCIL!I53-TPCIL!C53)+(TPCIL!P53-TPCIL!D53)</f>
        <v>0.000544999999988249</v>
      </c>
      <c r="M43" s="258">
        <f t="shared" si="10"/>
        <v>0.0399009999999862</v>
      </c>
      <c r="N43" s="159"/>
      <c r="O43" s="259">
        <f>IF(ISGS!G53-Entitlement!K47*(1-TPCIL!$L$11)&lt;0,0,ISGS!G53-Entitlement!K47*(1-TPCIL!$L$11))</f>
        <v>0</v>
      </c>
      <c r="P43" s="259">
        <f>IF(ISGS!O53-Entitlement!AH47*(1-TPCIL!$L$11)&lt;0,0,ISGS!O53-Entitlement!AH47*(1-TPCIL!$L$11))</f>
        <v>0.00382899999999609</v>
      </c>
      <c r="Q43" s="259">
        <f>IF(ISGS!P53-Entitlement!AK47*(1-TPCIL!$L$11)&lt;0,0,ISGS!P53-Entitlement!AK47*(1-TPCIL!$L$11))</f>
        <v>0</v>
      </c>
      <c r="R43" s="259">
        <f>IF(ISGS!U53-Entitlement!AZ47*(1-TPCIL!$L$11)&lt;0,0,ISGS!U53-Entitlement!AZ47*(1-TPCIL!$L$11))</f>
        <v>0</v>
      </c>
      <c r="S43" s="259">
        <f>IF(ISGS!Q53-Entitlement!AN47&lt;0,0,ISGS!Q53-Entitlement!AN47)</f>
        <v>0</v>
      </c>
      <c r="T43" s="259">
        <f>IF(ISGS!R53-Entitlement!AQ47*(1-TPCIL!$L$11)&lt;0,0,ISGS!R53-Entitlement!AQ47*(1-TPCIL!$L$11))</f>
        <v>0</v>
      </c>
      <c r="U43" s="259">
        <f>IF(ISGS!S53-Entitlement!AT47&lt;0,0,ISGS!S53-Entitlement!AT47)</f>
        <v>0</v>
      </c>
      <c r="V43" s="259">
        <f>IF(ISGS!K53-Entitlement!V47*(1-TPCIL!$L$11)&lt;0,0,ISGS!K53-Entitlement!V47*(1-TPCIL!$L$11))</f>
        <v>0</v>
      </c>
      <c r="W43" s="259"/>
      <c r="X43" s="259">
        <f t="shared" si="0"/>
        <v>0.00382899999999609</v>
      </c>
      <c r="AA43" s="159"/>
    </row>
    <row r="44" ht="16.5" spans="1:27">
      <c r="A44" s="78">
        <v>42</v>
      </c>
      <c r="B44" s="78" t="s">
        <v>55</v>
      </c>
      <c r="C44" s="249">
        <f>Entitlement!BC48</f>
        <v>1625.3</v>
      </c>
      <c r="D44" s="250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51">
        <f t="shared" si="6"/>
        <v>1625.3</v>
      </c>
      <c r="F44" s="251">
        <f>ISGS!Q54</f>
        <v>216.14</v>
      </c>
      <c r="G44" s="251">
        <f t="shared" si="7"/>
        <v>1409.16</v>
      </c>
      <c r="H44" s="251">
        <f>G44*(1-TPCIL!$L$11)+F44</f>
        <v>1557.519404</v>
      </c>
      <c r="I44" s="31">
        <f t="shared" si="8"/>
        <v>1557.523233</v>
      </c>
      <c r="J44" s="250">
        <f>ISGS!V54</f>
        <v>1557.27</v>
      </c>
      <c r="K44" s="256">
        <f t="shared" si="9"/>
        <v>0.253232999999682</v>
      </c>
      <c r="L44" s="257">
        <f>(TPCIL!I54-TPCIL!C54)+(TPCIL!P54-TPCIL!D54)</f>
        <v>0.000544999999988249</v>
      </c>
      <c r="M44" s="258">
        <f t="shared" si="10"/>
        <v>0.25377799999967</v>
      </c>
      <c r="N44" s="159"/>
      <c r="O44" s="259">
        <f>IF(ISGS!G54-Entitlement!K48*(1-TPCIL!$L$11)&lt;0,0,ISGS!G54-Entitlement!K48*(1-TPCIL!$L$11))</f>
        <v>0</v>
      </c>
      <c r="P44" s="259">
        <f>IF(ISGS!O54-Entitlement!AH48*(1-TPCIL!$L$11)&lt;0,0,ISGS!O54-Entitlement!AH48*(1-TPCIL!$L$11))</f>
        <v>0.00382899999999609</v>
      </c>
      <c r="Q44" s="259">
        <f>IF(ISGS!P54-Entitlement!AK48*(1-TPCIL!$L$11)&lt;0,0,ISGS!P54-Entitlement!AK48*(1-TPCIL!$L$11))</f>
        <v>0</v>
      </c>
      <c r="R44" s="259">
        <f>IF(ISGS!U54-Entitlement!AZ48*(1-TPCIL!$L$11)&lt;0,0,ISGS!U54-Entitlement!AZ48*(1-TPCIL!$L$11))</f>
        <v>0</v>
      </c>
      <c r="S44" s="259">
        <f>IF(ISGS!Q54-Entitlement!AN48&lt;0,0,ISGS!Q54-Entitlement!AN48)</f>
        <v>0</v>
      </c>
      <c r="T44" s="259">
        <f>IF(ISGS!R54-Entitlement!AQ48*(1-TPCIL!$L$11)&lt;0,0,ISGS!R54-Entitlement!AQ48*(1-TPCIL!$L$11))</f>
        <v>0</v>
      </c>
      <c r="U44" s="259">
        <f>IF(ISGS!S54-Entitlement!AT48&lt;0,0,ISGS!S54-Entitlement!AT48)</f>
        <v>0</v>
      </c>
      <c r="V44" s="259">
        <f>IF(ISGS!K54-Entitlement!V48*(1-TPCIL!$L$11)&lt;0,0,ISGS!K54-Entitlement!V48*(1-TPCIL!$L$11))</f>
        <v>0</v>
      </c>
      <c r="W44" s="259"/>
      <c r="X44" s="259">
        <f t="shared" si="0"/>
        <v>0.00382899999999609</v>
      </c>
      <c r="AA44" s="159"/>
    </row>
    <row r="45" ht="16.5" spans="1:27">
      <c r="A45" s="78">
        <v>43</v>
      </c>
      <c r="B45" s="78" t="s">
        <v>56</v>
      </c>
      <c r="C45" s="249">
        <f>Entitlement!BC49</f>
        <v>1625.3</v>
      </c>
      <c r="D45" s="250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51">
        <f t="shared" si="6"/>
        <v>1625.3</v>
      </c>
      <c r="F45" s="251">
        <f>ISGS!Q55</f>
        <v>216.14</v>
      </c>
      <c r="G45" s="251">
        <f t="shared" si="7"/>
        <v>1409.16</v>
      </c>
      <c r="H45" s="251">
        <f>G45*(1-TPCIL!$L$11)+F45</f>
        <v>1557.519404</v>
      </c>
      <c r="I45" s="31">
        <f t="shared" si="8"/>
        <v>1557.523233</v>
      </c>
      <c r="J45" s="250">
        <f>ISGS!V55</f>
        <v>1557.49</v>
      </c>
      <c r="K45" s="256">
        <f t="shared" si="9"/>
        <v>0.0332329999996546</v>
      </c>
      <c r="L45" s="257">
        <f>(TPCIL!I55-TPCIL!C55)+(TPCIL!P55-TPCIL!D55)</f>
        <v>0.000544999999988249</v>
      </c>
      <c r="M45" s="258">
        <f t="shared" si="10"/>
        <v>0.0337779999996428</v>
      </c>
      <c r="N45" s="159"/>
      <c r="O45" s="259">
        <f>IF(ISGS!G55-Entitlement!K49*(1-TPCIL!$L$11)&lt;0,0,ISGS!G55-Entitlement!K49*(1-TPCIL!$L$11))</f>
        <v>0</v>
      </c>
      <c r="P45" s="259">
        <f>IF(ISGS!O55-Entitlement!AH49*(1-TPCIL!$L$11)&lt;0,0,ISGS!O55-Entitlement!AH49*(1-TPCIL!$L$11))</f>
        <v>0.00382899999999609</v>
      </c>
      <c r="Q45" s="259">
        <f>IF(ISGS!P55-Entitlement!AK49*(1-TPCIL!$L$11)&lt;0,0,ISGS!P55-Entitlement!AK49*(1-TPCIL!$L$11))</f>
        <v>0</v>
      </c>
      <c r="R45" s="259">
        <f>IF(ISGS!U55-Entitlement!AZ49*(1-TPCIL!$L$11)&lt;0,0,ISGS!U55-Entitlement!AZ49*(1-TPCIL!$L$11))</f>
        <v>0</v>
      </c>
      <c r="S45" s="259">
        <f>IF(ISGS!Q55-Entitlement!AN49&lt;0,0,ISGS!Q55-Entitlement!AN49)</f>
        <v>0</v>
      </c>
      <c r="T45" s="259">
        <f>IF(ISGS!R55-Entitlement!AQ49*(1-TPCIL!$L$11)&lt;0,0,ISGS!R55-Entitlement!AQ49*(1-TPCIL!$L$11))</f>
        <v>0</v>
      </c>
      <c r="U45" s="259">
        <f>IF(ISGS!S55-Entitlement!AT49&lt;0,0,ISGS!S55-Entitlement!AT49)</f>
        <v>0</v>
      </c>
      <c r="V45" s="259">
        <f>IF(ISGS!K55-Entitlement!V49*(1-TPCIL!$L$11)&lt;0,0,ISGS!K55-Entitlement!V49*(1-TPCIL!$L$11))</f>
        <v>0</v>
      </c>
      <c r="W45" s="259"/>
      <c r="X45" s="259">
        <f t="shared" si="0"/>
        <v>0.00382899999999609</v>
      </c>
      <c r="AA45" s="159"/>
    </row>
    <row r="46" ht="16.5" spans="1:27">
      <c r="A46" s="78">
        <v>44</v>
      </c>
      <c r="B46" s="78" t="s">
        <v>57</v>
      </c>
      <c r="C46" s="249">
        <f>Entitlement!BC50</f>
        <v>1625.3</v>
      </c>
      <c r="D46" s="250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51">
        <f t="shared" si="6"/>
        <v>1625.3</v>
      </c>
      <c r="F46" s="251">
        <f>ISGS!Q56</f>
        <v>216.14</v>
      </c>
      <c r="G46" s="251">
        <f t="shared" si="7"/>
        <v>1409.16</v>
      </c>
      <c r="H46" s="251">
        <f>G46*(1-TPCIL!$L$11)+F46</f>
        <v>1557.519404</v>
      </c>
      <c r="I46" s="31">
        <f t="shared" si="8"/>
        <v>1557.523233</v>
      </c>
      <c r="J46" s="250">
        <f>ISGS!V56</f>
        <v>1557.49</v>
      </c>
      <c r="K46" s="256">
        <f t="shared" si="9"/>
        <v>0.0332329999996546</v>
      </c>
      <c r="L46" s="257">
        <f>(TPCIL!I56-TPCIL!C56)+(TPCIL!P56-TPCIL!D56)</f>
        <v>0.000544999999988249</v>
      </c>
      <c r="M46" s="258">
        <f t="shared" si="10"/>
        <v>0.0337779999996428</v>
      </c>
      <c r="N46" s="159"/>
      <c r="O46" s="259">
        <f>IF(ISGS!G56-Entitlement!K50*(1-TPCIL!$L$11)&lt;0,0,ISGS!G56-Entitlement!K50*(1-TPCIL!$L$11))</f>
        <v>0</v>
      </c>
      <c r="P46" s="259">
        <f>IF(ISGS!O56-Entitlement!AH50*(1-TPCIL!$L$11)&lt;0,0,ISGS!O56-Entitlement!AH50*(1-TPCIL!$L$11))</f>
        <v>0.00382899999999609</v>
      </c>
      <c r="Q46" s="259">
        <f>IF(ISGS!P56-Entitlement!AK50*(1-TPCIL!$L$11)&lt;0,0,ISGS!P56-Entitlement!AK50*(1-TPCIL!$L$11))</f>
        <v>0</v>
      </c>
      <c r="R46" s="259">
        <f>IF(ISGS!U56-Entitlement!AZ50*(1-TPCIL!$L$11)&lt;0,0,ISGS!U56-Entitlement!AZ50*(1-TPCIL!$L$11))</f>
        <v>0</v>
      </c>
      <c r="S46" s="259">
        <f>IF(ISGS!Q56-Entitlement!AN50&lt;0,0,ISGS!Q56-Entitlement!AN50)</f>
        <v>0</v>
      </c>
      <c r="T46" s="259">
        <f>IF(ISGS!R56-Entitlement!AQ50*(1-TPCIL!$L$11)&lt;0,0,ISGS!R56-Entitlement!AQ50*(1-TPCIL!$L$11))</f>
        <v>0</v>
      </c>
      <c r="U46" s="259">
        <f>IF(ISGS!S56-Entitlement!AT50&lt;0,0,ISGS!S56-Entitlement!AT50)</f>
        <v>0</v>
      </c>
      <c r="V46" s="259">
        <f>IF(ISGS!K56-Entitlement!V50*(1-TPCIL!$L$11)&lt;0,0,ISGS!K56-Entitlement!V50*(1-TPCIL!$L$11))</f>
        <v>0</v>
      </c>
      <c r="W46" s="259"/>
      <c r="X46" s="259">
        <f t="shared" si="0"/>
        <v>0.00382899999999609</v>
      </c>
      <c r="AA46" s="159"/>
    </row>
    <row r="47" ht="16.5" spans="1:27">
      <c r="A47" s="78">
        <v>45</v>
      </c>
      <c r="B47" s="78" t="s">
        <v>58</v>
      </c>
      <c r="C47" s="249">
        <f>Entitlement!BC51</f>
        <v>1625.3</v>
      </c>
      <c r="D47" s="250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51">
        <f t="shared" si="6"/>
        <v>1625.3</v>
      </c>
      <c r="F47" s="251">
        <f>ISGS!Q57</f>
        <v>216.14</v>
      </c>
      <c r="G47" s="251">
        <f t="shared" si="7"/>
        <v>1409.16</v>
      </c>
      <c r="H47" s="251">
        <f>G47*(1-TPCIL!$L$11)+F47</f>
        <v>1557.519404</v>
      </c>
      <c r="I47" s="31">
        <f t="shared" si="8"/>
        <v>1557.523233</v>
      </c>
      <c r="J47" s="250">
        <f>ISGS!V57</f>
        <v>1406.3</v>
      </c>
      <c r="K47" s="256">
        <f t="shared" si="9"/>
        <v>151.223233</v>
      </c>
      <c r="L47" s="257">
        <f>(TPCIL!I57-TPCIL!C57)+(TPCIL!P57-TPCIL!D57)</f>
        <v>0.000544999999988249</v>
      </c>
      <c r="M47" s="258">
        <f t="shared" si="10"/>
        <v>151.223778</v>
      </c>
      <c r="N47" s="159"/>
      <c r="O47" s="259">
        <f>IF(ISGS!G57-Entitlement!K51*(1-TPCIL!$L$11)&lt;0,0,ISGS!G57-Entitlement!K51*(1-TPCIL!$L$11))</f>
        <v>0</v>
      </c>
      <c r="P47" s="259">
        <f>IF(ISGS!O57-Entitlement!AH51*(1-TPCIL!$L$11)&lt;0,0,ISGS!O57-Entitlement!AH51*(1-TPCIL!$L$11))</f>
        <v>0.00382899999999609</v>
      </c>
      <c r="Q47" s="259">
        <f>IF(ISGS!P57-Entitlement!AK51*(1-TPCIL!$L$11)&lt;0,0,ISGS!P57-Entitlement!AK51*(1-TPCIL!$L$11))</f>
        <v>0</v>
      </c>
      <c r="R47" s="259">
        <f>IF(ISGS!U57-Entitlement!AZ51*(1-TPCIL!$L$11)&lt;0,0,ISGS!U57-Entitlement!AZ51*(1-TPCIL!$L$11))</f>
        <v>0</v>
      </c>
      <c r="S47" s="259">
        <f>IF(ISGS!Q57-Entitlement!AN51&lt;0,0,ISGS!Q57-Entitlement!AN51)</f>
        <v>0</v>
      </c>
      <c r="T47" s="259">
        <f>IF(ISGS!R57-Entitlement!AQ51*(1-TPCIL!$L$11)&lt;0,0,ISGS!R57-Entitlement!AQ51*(1-TPCIL!$L$11))</f>
        <v>0</v>
      </c>
      <c r="U47" s="259">
        <f>IF(ISGS!S57-Entitlement!AT51&lt;0,0,ISGS!S57-Entitlement!AT51)</f>
        <v>0</v>
      </c>
      <c r="V47" s="259">
        <f>IF(ISGS!K57-Entitlement!V51*(1-TPCIL!$L$11)&lt;0,0,ISGS!K57-Entitlement!V51*(1-TPCIL!$L$11))</f>
        <v>0</v>
      </c>
      <c r="W47" s="259"/>
      <c r="X47" s="259">
        <f t="shared" si="0"/>
        <v>0.00382899999999609</v>
      </c>
      <c r="AA47" s="159"/>
    </row>
    <row r="48" ht="16.5" spans="1:27">
      <c r="A48" s="78">
        <v>46</v>
      </c>
      <c r="B48" s="78" t="s">
        <v>59</v>
      </c>
      <c r="C48" s="249">
        <f>Entitlement!BC52</f>
        <v>1625.3</v>
      </c>
      <c r="D48" s="250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51">
        <f t="shared" si="6"/>
        <v>1625.3</v>
      </c>
      <c r="F48" s="251">
        <f>ISGS!Q58</f>
        <v>216.14</v>
      </c>
      <c r="G48" s="251">
        <f t="shared" si="7"/>
        <v>1409.16</v>
      </c>
      <c r="H48" s="251">
        <f>G48*(1-TPCIL!$L$11)+F48</f>
        <v>1557.519404</v>
      </c>
      <c r="I48" s="31">
        <f t="shared" si="8"/>
        <v>1557.523233</v>
      </c>
      <c r="J48" s="250">
        <f>ISGS!V58</f>
        <v>1330.12</v>
      </c>
      <c r="K48" s="256">
        <f t="shared" si="9"/>
        <v>227.403233</v>
      </c>
      <c r="L48" s="257">
        <f>(TPCIL!I58-TPCIL!C58)+(TPCIL!P58-TPCIL!D58)</f>
        <v>0.000544999999988249</v>
      </c>
      <c r="M48" s="258">
        <f t="shared" si="10"/>
        <v>227.403778</v>
      </c>
      <c r="N48" s="159"/>
      <c r="O48" s="259">
        <f>IF(ISGS!G58-Entitlement!K52*(1-TPCIL!$L$11)&lt;0,0,ISGS!G58-Entitlement!K52*(1-TPCIL!$L$11))</f>
        <v>0</v>
      </c>
      <c r="P48" s="259">
        <f>IF(ISGS!O58-Entitlement!AH52*(1-TPCIL!$L$11)&lt;0,0,ISGS!O58-Entitlement!AH52*(1-TPCIL!$L$11))</f>
        <v>0.00382899999999609</v>
      </c>
      <c r="Q48" s="259">
        <f>IF(ISGS!P58-Entitlement!AK52*(1-TPCIL!$L$11)&lt;0,0,ISGS!P58-Entitlement!AK52*(1-TPCIL!$L$11))</f>
        <v>0</v>
      </c>
      <c r="R48" s="259">
        <f>IF(ISGS!U58-Entitlement!AZ52*(1-TPCIL!$L$11)&lt;0,0,ISGS!U58-Entitlement!AZ52*(1-TPCIL!$L$11))</f>
        <v>0</v>
      </c>
      <c r="S48" s="259">
        <f>IF(ISGS!Q58-Entitlement!AN52&lt;0,0,ISGS!Q58-Entitlement!AN52)</f>
        <v>0</v>
      </c>
      <c r="T48" s="259">
        <f>IF(ISGS!R58-Entitlement!AQ52*(1-TPCIL!$L$11)&lt;0,0,ISGS!R58-Entitlement!AQ52*(1-TPCIL!$L$11))</f>
        <v>0</v>
      </c>
      <c r="U48" s="259">
        <f>IF(ISGS!S58-Entitlement!AT52&lt;0,0,ISGS!S58-Entitlement!AT52)</f>
        <v>0</v>
      </c>
      <c r="V48" s="259">
        <f>IF(ISGS!K58-Entitlement!V52*(1-TPCIL!$L$11)&lt;0,0,ISGS!K58-Entitlement!V52*(1-TPCIL!$L$11))</f>
        <v>0</v>
      </c>
      <c r="W48" s="259"/>
      <c r="X48" s="259">
        <f t="shared" si="0"/>
        <v>0.00382899999999609</v>
      </c>
      <c r="AA48" s="159"/>
    </row>
    <row r="49" ht="16.5" spans="1:27">
      <c r="A49" s="78">
        <v>47</v>
      </c>
      <c r="B49" s="78" t="s">
        <v>60</v>
      </c>
      <c r="C49" s="249">
        <f>Entitlement!BC53</f>
        <v>1625.3</v>
      </c>
      <c r="D49" s="250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51">
        <f t="shared" si="6"/>
        <v>1625.3</v>
      </c>
      <c r="F49" s="251">
        <f>ISGS!Q59</f>
        <v>216.14</v>
      </c>
      <c r="G49" s="251">
        <f t="shared" si="7"/>
        <v>1409.16</v>
      </c>
      <c r="H49" s="251">
        <f>G49*(1-TPCIL!$L$11)+F49</f>
        <v>1557.519404</v>
      </c>
      <c r="I49" s="31">
        <f t="shared" si="8"/>
        <v>1557.523233</v>
      </c>
      <c r="J49" s="250">
        <f>ISGS!V59</f>
        <v>1206.39</v>
      </c>
      <c r="K49" s="256">
        <f t="shared" si="9"/>
        <v>351.133233</v>
      </c>
      <c r="L49" s="257">
        <f>(TPCIL!I59-TPCIL!C59)+(TPCIL!P59-TPCIL!D59)</f>
        <v>0.000544999999988249</v>
      </c>
      <c r="M49" s="258">
        <f t="shared" si="10"/>
        <v>351.133778</v>
      </c>
      <c r="N49" s="159"/>
      <c r="O49" s="259">
        <f>IF(ISGS!G59-Entitlement!K53*(1-TPCIL!$L$11)&lt;0,0,ISGS!G59-Entitlement!K53*(1-TPCIL!$L$11))</f>
        <v>0</v>
      </c>
      <c r="P49" s="259">
        <f>IF(ISGS!O59-Entitlement!AH53*(1-TPCIL!$L$11)&lt;0,0,ISGS!O59-Entitlement!AH53*(1-TPCIL!$L$11))</f>
        <v>0.00382899999999609</v>
      </c>
      <c r="Q49" s="259">
        <f>IF(ISGS!P59-Entitlement!AK53*(1-TPCIL!$L$11)&lt;0,0,ISGS!P59-Entitlement!AK53*(1-TPCIL!$L$11))</f>
        <v>0</v>
      </c>
      <c r="R49" s="259">
        <f>IF(ISGS!U59-Entitlement!AZ53*(1-TPCIL!$L$11)&lt;0,0,ISGS!U59-Entitlement!AZ53*(1-TPCIL!$L$11))</f>
        <v>0</v>
      </c>
      <c r="S49" s="259">
        <f>IF(ISGS!Q59-Entitlement!AN53&lt;0,0,ISGS!Q59-Entitlement!AN53)</f>
        <v>0</v>
      </c>
      <c r="T49" s="259">
        <f>IF(ISGS!R59-Entitlement!AQ53*(1-TPCIL!$L$11)&lt;0,0,ISGS!R59-Entitlement!AQ53*(1-TPCIL!$L$11))</f>
        <v>0</v>
      </c>
      <c r="U49" s="259">
        <f>IF(ISGS!S59-Entitlement!AT53&lt;0,0,ISGS!S59-Entitlement!AT53)</f>
        <v>0</v>
      </c>
      <c r="V49" s="259">
        <f>IF(ISGS!K59-Entitlement!V53*(1-TPCIL!$L$11)&lt;0,0,ISGS!K59-Entitlement!V53*(1-TPCIL!$L$11))</f>
        <v>0</v>
      </c>
      <c r="W49" s="259"/>
      <c r="X49" s="259">
        <f t="shared" si="0"/>
        <v>0.00382899999999609</v>
      </c>
      <c r="AA49" s="159"/>
    </row>
    <row r="50" ht="16.5" spans="1:27">
      <c r="A50" s="78">
        <v>48</v>
      </c>
      <c r="B50" s="78" t="s">
        <v>61</v>
      </c>
      <c r="C50" s="249">
        <f>Entitlement!BC54</f>
        <v>1625.3</v>
      </c>
      <c r="D50" s="250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51">
        <f t="shared" si="6"/>
        <v>1625.3</v>
      </c>
      <c r="F50" s="251">
        <f>ISGS!Q60</f>
        <v>216.14</v>
      </c>
      <c r="G50" s="251">
        <f t="shared" si="7"/>
        <v>1409.16</v>
      </c>
      <c r="H50" s="251">
        <f>G50*(1-TPCIL!$L$11)+F50</f>
        <v>1557.519404</v>
      </c>
      <c r="I50" s="31">
        <f t="shared" si="8"/>
        <v>1557.523233</v>
      </c>
      <c r="J50" s="250">
        <f>ISGS!V60</f>
        <v>1206.39</v>
      </c>
      <c r="K50" s="256">
        <f t="shared" si="9"/>
        <v>351.133233</v>
      </c>
      <c r="L50" s="257">
        <f>(TPCIL!I60-TPCIL!C60)+(TPCIL!P60-TPCIL!D60)</f>
        <v>0.000544999999988249</v>
      </c>
      <c r="M50" s="258">
        <f t="shared" si="10"/>
        <v>351.133778</v>
      </c>
      <c r="N50" s="159"/>
      <c r="O50" s="259">
        <f>IF(ISGS!G60-Entitlement!K54*(1-TPCIL!$L$11)&lt;0,0,ISGS!G60-Entitlement!K54*(1-TPCIL!$L$11))</f>
        <v>0</v>
      </c>
      <c r="P50" s="259">
        <f>IF(ISGS!O60-Entitlement!AH54*(1-TPCIL!$L$11)&lt;0,0,ISGS!O60-Entitlement!AH54*(1-TPCIL!$L$11))</f>
        <v>0.00382899999999609</v>
      </c>
      <c r="Q50" s="259">
        <f>IF(ISGS!P60-Entitlement!AK54*(1-TPCIL!$L$11)&lt;0,0,ISGS!P60-Entitlement!AK54*(1-TPCIL!$L$11))</f>
        <v>0</v>
      </c>
      <c r="R50" s="259">
        <f>IF(ISGS!U60-Entitlement!AZ54*(1-TPCIL!$L$11)&lt;0,0,ISGS!U60-Entitlement!AZ54*(1-TPCIL!$L$11))</f>
        <v>0</v>
      </c>
      <c r="S50" s="259">
        <f>IF(ISGS!Q60-Entitlement!AN54&lt;0,0,ISGS!Q60-Entitlement!AN54)</f>
        <v>0</v>
      </c>
      <c r="T50" s="259">
        <f>IF(ISGS!R60-Entitlement!AQ54*(1-TPCIL!$L$11)&lt;0,0,ISGS!R60-Entitlement!AQ54*(1-TPCIL!$L$11))</f>
        <v>0</v>
      </c>
      <c r="U50" s="259">
        <f>IF(ISGS!S60-Entitlement!AT54&lt;0,0,ISGS!S60-Entitlement!AT54)</f>
        <v>0</v>
      </c>
      <c r="V50" s="259">
        <f>IF(ISGS!K60-Entitlement!V54*(1-TPCIL!$L$11)&lt;0,0,ISGS!K60-Entitlement!V54*(1-TPCIL!$L$11))</f>
        <v>0</v>
      </c>
      <c r="W50" s="259"/>
      <c r="X50" s="259">
        <f t="shared" si="0"/>
        <v>0.00382899999999609</v>
      </c>
      <c r="AA50" s="159"/>
    </row>
    <row r="51" ht="16.5" spans="1:27">
      <c r="A51" s="78">
        <v>49</v>
      </c>
      <c r="B51" s="78" t="s">
        <v>62</v>
      </c>
      <c r="C51" s="249">
        <f>Entitlement!BC55</f>
        <v>1625.3</v>
      </c>
      <c r="D51" s="250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51">
        <f t="shared" si="6"/>
        <v>1625.3</v>
      </c>
      <c r="F51" s="251">
        <f>ISGS!Q61</f>
        <v>216.14</v>
      </c>
      <c r="G51" s="251">
        <f t="shared" si="7"/>
        <v>1409.16</v>
      </c>
      <c r="H51" s="251">
        <f>G51*(1-TPCIL!$L$11)+F51</f>
        <v>1557.519404</v>
      </c>
      <c r="I51" s="31">
        <f t="shared" si="8"/>
        <v>1557.523233</v>
      </c>
      <c r="J51" s="250">
        <f>ISGS!V61</f>
        <v>1206.39</v>
      </c>
      <c r="K51" s="256">
        <f t="shared" si="9"/>
        <v>351.133233</v>
      </c>
      <c r="L51" s="257">
        <f>(TPCIL!I61-TPCIL!C61)+(TPCIL!P61-TPCIL!D61)</f>
        <v>0.000544999999988249</v>
      </c>
      <c r="M51" s="258">
        <f t="shared" si="10"/>
        <v>351.133778</v>
      </c>
      <c r="N51" s="159"/>
      <c r="O51" s="259">
        <f>IF(ISGS!G61-Entitlement!K55*(1-TPCIL!$L$11)&lt;0,0,ISGS!G61-Entitlement!K55*(1-TPCIL!$L$11))</f>
        <v>0</v>
      </c>
      <c r="P51" s="259">
        <f>IF(ISGS!O61-Entitlement!AH55*(1-TPCIL!$L$11)&lt;0,0,ISGS!O61-Entitlement!AH55*(1-TPCIL!$L$11))</f>
        <v>0.00382899999999609</v>
      </c>
      <c r="Q51" s="259">
        <f>IF(ISGS!P61-Entitlement!AK55*(1-TPCIL!$L$11)&lt;0,0,ISGS!P61-Entitlement!AK55*(1-TPCIL!$L$11))</f>
        <v>0</v>
      </c>
      <c r="R51" s="259">
        <f>IF(ISGS!U61-Entitlement!AZ55*(1-TPCIL!$L$11)&lt;0,0,ISGS!U61-Entitlement!AZ55*(1-TPCIL!$L$11))</f>
        <v>0</v>
      </c>
      <c r="S51" s="259">
        <f>IF(ISGS!Q61-Entitlement!AN55&lt;0,0,ISGS!Q61-Entitlement!AN55)</f>
        <v>0</v>
      </c>
      <c r="T51" s="259">
        <f>IF(ISGS!R61-Entitlement!AQ55*(1-TPCIL!$L$11)&lt;0,0,ISGS!R61-Entitlement!AQ55*(1-TPCIL!$L$11))</f>
        <v>0</v>
      </c>
      <c r="U51" s="259">
        <f>IF(ISGS!S61-Entitlement!AT55&lt;0,0,ISGS!S61-Entitlement!AT55)</f>
        <v>0</v>
      </c>
      <c r="V51" s="259">
        <f>IF(ISGS!K61-Entitlement!V55*(1-TPCIL!$L$11)&lt;0,0,ISGS!K61-Entitlement!V55*(1-TPCIL!$L$11))</f>
        <v>0</v>
      </c>
      <c r="W51" s="259"/>
      <c r="X51" s="259">
        <f t="shared" si="0"/>
        <v>0.00382899999999609</v>
      </c>
      <c r="AA51" s="159"/>
    </row>
    <row r="52" ht="16.5" spans="1:27">
      <c r="A52" s="78">
        <v>50</v>
      </c>
      <c r="B52" s="78" t="s">
        <v>63</v>
      </c>
      <c r="C52" s="249">
        <f>Entitlement!BC56</f>
        <v>1625.3</v>
      </c>
      <c r="D52" s="250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51">
        <f t="shared" si="6"/>
        <v>1625.3</v>
      </c>
      <c r="F52" s="251">
        <f>ISGS!Q62</f>
        <v>216.14</v>
      </c>
      <c r="G52" s="251">
        <f t="shared" si="7"/>
        <v>1409.16</v>
      </c>
      <c r="H52" s="251">
        <f>G52*(1-TPCIL!$L$11)+F52</f>
        <v>1557.519404</v>
      </c>
      <c r="I52" s="31">
        <f t="shared" si="8"/>
        <v>1557.523233</v>
      </c>
      <c r="J52" s="250">
        <f>ISGS!V62</f>
        <v>1206.39</v>
      </c>
      <c r="K52" s="256">
        <f t="shared" si="9"/>
        <v>351.133233</v>
      </c>
      <c r="L52" s="257">
        <f>(TPCIL!I62-TPCIL!C62)+(TPCIL!P62-TPCIL!D62)</f>
        <v>0.000544999999988249</v>
      </c>
      <c r="M52" s="258">
        <f t="shared" si="10"/>
        <v>351.133778</v>
      </c>
      <c r="N52" s="159"/>
      <c r="O52" s="259">
        <f>IF(ISGS!G62-Entitlement!K56*(1-TPCIL!$L$11)&lt;0,0,ISGS!G62-Entitlement!K56*(1-TPCIL!$L$11))</f>
        <v>0</v>
      </c>
      <c r="P52" s="259">
        <f>IF(ISGS!O62-Entitlement!AH56*(1-TPCIL!$L$11)&lt;0,0,ISGS!O62-Entitlement!AH56*(1-TPCIL!$L$11))</f>
        <v>0.00382899999999609</v>
      </c>
      <c r="Q52" s="259">
        <f>IF(ISGS!P62-Entitlement!AK56*(1-TPCIL!$L$11)&lt;0,0,ISGS!P62-Entitlement!AK56*(1-TPCIL!$L$11))</f>
        <v>0</v>
      </c>
      <c r="R52" s="259">
        <f>IF(ISGS!U62-Entitlement!AZ56*(1-TPCIL!$L$11)&lt;0,0,ISGS!U62-Entitlement!AZ56*(1-TPCIL!$L$11))</f>
        <v>0</v>
      </c>
      <c r="S52" s="259">
        <f>IF(ISGS!Q62-Entitlement!AN56&lt;0,0,ISGS!Q62-Entitlement!AN56)</f>
        <v>0</v>
      </c>
      <c r="T52" s="259">
        <f>IF(ISGS!R62-Entitlement!AQ56*(1-TPCIL!$L$11)&lt;0,0,ISGS!R62-Entitlement!AQ56*(1-TPCIL!$L$11))</f>
        <v>0</v>
      </c>
      <c r="U52" s="259">
        <f>IF(ISGS!S62-Entitlement!AT56&lt;0,0,ISGS!S62-Entitlement!AT56)</f>
        <v>0</v>
      </c>
      <c r="V52" s="259">
        <f>IF(ISGS!K62-Entitlement!V56*(1-TPCIL!$L$11)&lt;0,0,ISGS!K62-Entitlement!V56*(1-TPCIL!$L$11))</f>
        <v>0</v>
      </c>
      <c r="W52" s="259"/>
      <c r="X52" s="259">
        <f t="shared" si="0"/>
        <v>0.00382899999999609</v>
      </c>
      <c r="AA52" s="159"/>
    </row>
    <row r="53" ht="16.5" spans="1:27">
      <c r="A53" s="78">
        <v>51</v>
      </c>
      <c r="B53" s="78" t="s">
        <v>64</v>
      </c>
      <c r="C53" s="249">
        <f>Entitlement!BC57</f>
        <v>1624.43</v>
      </c>
      <c r="D53" s="250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51">
        <f t="shared" si="6"/>
        <v>1624.43</v>
      </c>
      <c r="F53" s="251">
        <f>ISGS!Q63</f>
        <v>216.14</v>
      </c>
      <c r="G53" s="251">
        <f t="shared" si="7"/>
        <v>1408.29</v>
      </c>
      <c r="H53" s="251">
        <f>G53*(1-TPCIL!$L$11)+F53</f>
        <v>1556.691251</v>
      </c>
      <c r="I53" s="31">
        <f t="shared" si="8"/>
        <v>1556.69508</v>
      </c>
      <c r="J53" s="250">
        <f>ISGS!V63</f>
        <v>1205.56</v>
      </c>
      <c r="K53" s="256">
        <f t="shared" si="9"/>
        <v>351.13508</v>
      </c>
      <c r="L53" s="257">
        <f>(TPCIL!I63-TPCIL!C63)+(TPCIL!P63-TPCIL!D63)</f>
        <v>0.000544999999988249</v>
      </c>
      <c r="M53" s="258">
        <f t="shared" si="10"/>
        <v>351.135625</v>
      </c>
      <c r="N53" s="159"/>
      <c r="O53" s="259">
        <f>IF(ISGS!G63-Entitlement!K57*(1-TPCIL!$L$11)&lt;0,0,ISGS!G63-Entitlement!K57*(1-TPCIL!$L$11))</f>
        <v>0</v>
      </c>
      <c r="P53" s="259">
        <f>IF(ISGS!O63-Entitlement!AH57*(1-TPCIL!$L$11)&lt;0,0,ISGS!O63-Entitlement!AH57*(1-TPCIL!$L$11))</f>
        <v>0.00382899999999609</v>
      </c>
      <c r="Q53" s="259">
        <f>IF(ISGS!P63-Entitlement!AK57*(1-TPCIL!$L$11)&lt;0,0,ISGS!P63-Entitlement!AK57*(1-TPCIL!$L$11))</f>
        <v>0</v>
      </c>
      <c r="R53" s="259">
        <f>IF(ISGS!U63-Entitlement!AZ57*(1-TPCIL!$L$11)&lt;0,0,ISGS!U63-Entitlement!AZ57*(1-TPCIL!$L$11))</f>
        <v>0</v>
      </c>
      <c r="S53" s="259">
        <f>IF(ISGS!Q63-Entitlement!AN57&lt;0,0,ISGS!Q63-Entitlement!AN57)</f>
        <v>0</v>
      </c>
      <c r="T53" s="259">
        <f>IF(ISGS!R63-Entitlement!AQ57*(1-TPCIL!$L$11)&lt;0,0,ISGS!R63-Entitlement!AQ57*(1-TPCIL!$L$11))</f>
        <v>0</v>
      </c>
      <c r="U53" s="259">
        <f>IF(ISGS!S63-Entitlement!AT57&lt;0,0,ISGS!S63-Entitlement!AT57)</f>
        <v>0</v>
      </c>
      <c r="V53" s="259">
        <f>IF(ISGS!K63-Entitlement!V57*(1-TPCIL!$L$11)&lt;0,0,ISGS!K63-Entitlement!V57*(1-TPCIL!$L$11))</f>
        <v>0</v>
      </c>
      <c r="W53" s="259"/>
      <c r="X53" s="259">
        <f t="shared" si="0"/>
        <v>0.00382899999999609</v>
      </c>
      <c r="AA53" s="159"/>
    </row>
    <row r="54" ht="16.5" spans="1:27">
      <c r="A54" s="78">
        <v>52</v>
      </c>
      <c r="B54" s="78" t="s">
        <v>65</v>
      </c>
      <c r="C54" s="249">
        <f>Entitlement!BC58</f>
        <v>1621.18</v>
      </c>
      <c r="D54" s="250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51">
        <f t="shared" si="6"/>
        <v>1621.18</v>
      </c>
      <c r="F54" s="251">
        <f>ISGS!Q64</f>
        <v>216.14</v>
      </c>
      <c r="G54" s="251">
        <f t="shared" si="7"/>
        <v>1405.04</v>
      </c>
      <c r="H54" s="251">
        <f>G54*(1-TPCIL!$L$11)+F54</f>
        <v>1553.597576</v>
      </c>
      <c r="I54" s="31">
        <f t="shared" si="8"/>
        <v>1553.597576</v>
      </c>
      <c r="J54" s="250">
        <f>ISGS!V64</f>
        <v>846.56</v>
      </c>
      <c r="K54" s="256">
        <f t="shared" si="9"/>
        <v>707.037576</v>
      </c>
      <c r="L54" s="257">
        <f>(TPCIL!I64-TPCIL!C64)+(TPCIL!P64-TPCIL!D64)</f>
        <v>0.000544999999988249</v>
      </c>
      <c r="M54" s="258">
        <f t="shared" si="10"/>
        <v>707.038121</v>
      </c>
      <c r="N54" s="159"/>
      <c r="O54" s="259">
        <f>IF(ISGS!G64-Entitlement!K58*(1-TPCIL!$L$11)&lt;0,0,ISGS!G64-Entitlement!K58*(1-TPCIL!$L$11))</f>
        <v>0</v>
      </c>
      <c r="P54" s="259">
        <f>IF(ISGS!O64-Entitlement!AH58*(1-TPCIL!$L$11)&lt;0,0,ISGS!O64-Entitlement!AH58*(1-TPCIL!$L$11))</f>
        <v>0</v>
      </c>
      <c r="Q54" s="259">
        <f>IF(ISGS!P64-Entitlement!AK58*(1-TPCIL!$L$11)&lt;0,0,ISGS!P64-Entitlement!AK58*(1-TPCIL!$L$11))</f>
        <v>0</v>
      </c>
      <c r="R54" s="259">
        <f>IF(ISGS!U64-Entitlement!AZ58*(1-TPCIL!$L$11)&lt;0,0,ISGS!U64-Entitlement!AZ58*(1-TPCIL!$L$11))</f>
        <v>0</v>
      </c>
      <c r="S54" s="259">
        <f>IF(ISGS!Q64-Entitlement!AN58&lt;0,0,ISGS!Q64-Entitlement!AN58)</f>
        <v>0</v>
      </c>
      <c r="T54" s="259">
        <f>IF(ISGS!R64-Entitlement!AQ58*(1-TPCIL!$L$11)&lt;0,0,ISGS!R64-Entitlement!AQ58*(1-TPCIL!$L$11))</f>
        <v>0</v>
      </c>
      <c r="U54" s="259">
        <f>IF(ISGS!S64-Entitlement!AT58&lt;0,0,ISGS!S64-Entitlement!AT58)</f>
        <v>0</v>
      </c>
      <c r="V54" s="259">
        <f>IF(ISGS!K64-Entitlement!V58*(1-TPCIL!$L$11)&lt;0,0,ISGS!K64-Entitlement!V58*(1-TPCIL!$L$11))</f>
        <v>0</v>
      </c>
      <c r="W54" s="259"/>
      <c r="X54" s="259">
        <f t="shared" si="0"/>
        <v>0</v>
      </c>
      <c r="AA54" s="159"/>
    </row>
    <row r="55" ht="18.75" customHeight="1" spans="1:27">
      <c r="A55" s="78">
        <v>53</v>
      </c>
      <c r="B55" s="78" t="s">
        <v>66</v>
      </c>
      <c r="C55" s="249">
        <f>Entitlement!BC59</f>
        <v>1621.18</v>
      </c>
      <c r="D55" s="250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51">
        <f t="shared" si="6"/>
        <v>1621.18</v>
      </c>
      <c r="F55" s="251">
        <f>ISGS!Q65</f>
        <v>216.14</v>
      </c>
      <c r="G55" s="251">
        <f t="shared" si="7"/>
        <v>1405.04</v>
      </c>
      <c r="H55" s="251">
        <f>G55*(1-TPCIL!$L$11)+F55</f>
        <v>1553.597576</v>
      </c>
      <c r="I55" s="31">
        <f t="shared" si="8"/>
        <v>1553.597576</v>
      </c>
      <c r="J55" s="250">
        <f>ISGS!V65</f>
        <v>615.92</v>
      </c>
      <c r="K55" s="256">
        <f t="shared" si="9"/>
        <v>937.677576</v>
      </c>
      <c r="L55" s="257">
        <f>(TPCIL!I65-TPCIL!C65)+(TPCIL!P65-TPCIL!D65)</f>
        <v>0.000544999999988249</v>
      </c>
      <c r="M55" s="258">
        <f t="shared" si="10"/>
        <v>937.678121</v>
      </c>
      <c r="N55" s="159"/>
      <c r="O55" s="259">
        <f>IF(ISGS!G65-Entitlement!K59*(1-TPCIL!$L$11)&lt;0,0,ISGS!G65-Entitlement!K59*(1-TPCIL!$L$11))</f>
        <v>0</v>
      </c>
      <c r="P55" s="259">
        <f>IF(ISGS!O65-Entitlement!AH59*(1-TPCIL!$L$11)&lt;0,0,ISGS!O65-Entitlement!AH59*(1-TPCIL!$L$11))</f>
        <v>0</v>
      </c>
      <c r="Q55" s="259">
        <f>IF(ISGS!P65-Entitlement!AK59*(1-TPCIL!$L$11)&lt;0,0,ISGS!P65-Entitlement!AK59*(1-TPCIL!$L$11))</f>
        <v>0</v>
      </c>
      <c r="R55" s="259">
        <f>IF(ISGS!U65-Entitlement!AZ59*(1-TPCIL!$L$11)&lt;0,0,ISGS!U65-Entitlement!AZ59*(1-TPCIL!$L$11))</f>
        <v>0</v>
      </c>
      <c r="S55" s="259">
        <f>IF(ISGS!Q65-Entitlement!AN59&lt;0,0,ISGS!Q65-Entitlement!AN59)</f>
        <v>0</v>
      </c>
      <c r="T55" s="259">
        <f>IF(ISGS!R65-Entitlement!AQ59*(1-TPCIL!$L$11)&lt;0,0,ISGS!R65-Entitlement!AQ59*(1-TPCIL!$L$11))</f>
        <v>0</v>
      </c>
      <c r="U55" s="259">
        <f>IF(ISGS!S65-Entitlement!AT59&lt;0,0,ISGS!S65-Entitlement!AT59)</f>
        <v>0</v>
      </c>
      <c r="V55" s="259">
        <f>IF(ISGS!K65-Entitlement!V59*(1-TPCIL!$L$11)&lt;0,0,ISGS!K65-Entitlement!V59*(1-TPCIL!$L$11))</f>
        <v>0</v>
      </c>
      <c r="W55" s="259"/>
      <c r="X55" s="259">
        <f t="shared" si="0"/>
        <v>0</v>
      </c>
      <c r="AA55" s="159"/>
    </row>
    <row r="56" ht="16.5" spans="1:27">
      <c r="A56" s="78">
        <v>54</v>
      </c>
      <c r="B56" s="78" t="s">
        <v>67</v>
      </c>
      <c r="C56" s="249">
        <f>Entitlement!BC60</f>
        <v>1621.18</v>
      </c>
      <c r="D56" s="250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51">
        <f t="shared" si="6"/>
        <v>1621.18</v>
      </c>
      <c r="F56" s="251">
        <f>ISGS!Q66</f>
        <v>216.14</v>
      </c>
      <c r="G56" s="251">
        <f t="shared" si="7"/>
        <v>1405.04</v>
      </c>
      <c r="H56" s="251">
        <f>G56*(1-TPCIL!$L$11)+F56</f>
        <v>1553.597576</v>
      </c>
      <c r="I56" s="31">
        <f t="shared" si="8"/>
        <v>1553.597576</v>
      </c>
      <c r="J56" s="250">
        <f>ISGS!V66</f>
        <v>519.54</v>
      </c>
      <c r="K56" s="256">
        <f t="shared" si="9"/>
        <v>1034.057576</v>
      </c>
      <c r="L56" s="257">
        <f>(TPCIL!I66-TPCIL!C66)+(TPCIL!P66-TPCIL!D66)</f>
        <v>0.000544999999988249</v>
      </c>
      <c r="M56" s="258">
        <f t="shared" si="10"/>
        <v>1034.058121</v>
      </c>
      <c r="N56" s="159"/>
      <c r="O56" s="259">
        <f>IF(ISGS!G66-Entitlement!K60*(1-TPCIL!$L$11)&lt;0,0,ISGS!G66-Entitlement!K60*(1-TPCIL!$L$11))</f>
        <v>0</v>
      </c>
      <c r="P56" s="259">
        <f>IF(ISGS!O66-Entitlement!AH60*(1-TPCIL!$L$11)&lt;0,0,ISGS!O66-Entitlement!AH60*(1-TPCIL!$L$11))</f>
        <v>0</v>
      </c>
      <c r="Q56" s="259">
        <f>IF(ISGS!P66-Entitlement!AK60*(1-TPCIL!$L$11)&lt;0,0,ISGS!P66-Entitlement!AK60*(1-TPCIL!$L$11))</f>
        <v>0</v>
      </c>
      <c r="R56" s="259">
        <f>IF(ISGS!U66-Entitlement!AZ60*(1-TPCIL!$L$11)&lt;0,0,ISGS!U66-Entitlement!AZ60*(1-TPCIL!$L$11))</f>
        <v>0</v>
      </c>
      <c r="S56" s="259">
        <f>IF(ISGS!Q66-Entitlement!AN60&lt;0,0,ISGS!Q66-Entitlement!AN60)</f>
        <v>0</v>
      </c>
      <c r="T56" s="259">
        <f>IF(ISGS!R66-Entitlement!AQ60*(1-TPCIL!$L$11)&lt;0,0,ISGS!R66-Entitlement!AQ60*(1-TPCIL!$L$11))</f>
        <v>0</v>
      </c>
      <c r="U56" s="259">
        <f>IF(ISGS!S66-Entitlement!AT60&lt;0,0,ISGS!S66-Entitlement!AT60)</f>
        <v>0</v>
      </c>
      <c r="V56" s="259">
        <f>IF(ISGS!K66-Entitlement!V60*(1-TPCIL!$L$11)&lt;0,0,ISGS!K66-Entitlement!V60*(1-TPCIL!$L$11))</f>
        <v>0</v>
      </c>
      <c r="W56" s="259"/>
      <c r="X56" s="259">
        <f t="shared" si="0"/>
        <v>0</v>
      </c>
      <c r="AA56" s="159"/>
    </row>
    <row r="57" ht="16.5" spans="1:27">
      <c r="A57" s="78">
        <v>55</v>
      </c>
      <c r="B57" s="78" t="s">
        <v>68</v>
      </c>
      <c r="C57" s="249">
        <f>Entitlement!BC61</f>
        <v>1621.18</v>
      </c>
      <c r="D57" s="250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51">
        <f t="shared" si="6"/>
        <v>1621.18</v>
      </c>
      <c r="F57" s="251">
        <f>ISGS!Q67</f>
        <v>216.14</v>
      </c>
      <c r="G57" s="251">
        <f t="shared" si="7"/>
        <v>1405.04</v>
      </c>
      <c r="H57" s="251">
        <f>G57*(1-TPCIL!$L$11)+F57</f>
        <v>1553.597576</v>
      </c>
      <c r="I57" s="31">
        <f t="shared" si="8"/>
        <v>1553.597576</v>
      </c>
      <c r="J57" s="250">
        <f>ISGS!V67</f>
        <v>631.31</v>
      </c>
      <c r="K57" s="256">
        <f t="shared" si="9"/>
        <v>922.287576</v>
      </c>
      <c r="L57" s="257">
        <f>(TPCIL!I67-TPCIL!C67)+(TPCIL!P67-TPCIL!D67)</f>
        <v>0.000544999999988249</v>
      </c>
      <c r="M57" s="258">
        <f t="shared" si="10"/>
        <v>922.288121</v>
      </c>
      <c r="N57" s="159"/>
      <c r="O57" s="259">
        <f>IF(ISGS!G67-Entitlement!K61*(1-TPCIL!$L$11)&lt;0,0,ISGS!G67-Entitlement!K61*(1-TPCIL!$L$11))</f>
        <v>0</v>
      </c>
      <c r="P57" s="259">
        <f>IF(ISGS!O67-Entitlement!AH61*(1-TPCIL!$L$11)&lt;0,0,ISGS!O67-Entitlement!AH61*(1-TPCIL!$L$11))</f>
        <v>0</v>
      </c>
      <c r="Q57" s="259">
        <f>IF(ISGS!P67-Entitlement!AK61*(1-TPCIL!$L$11)&lt;0,0,ISGS!P67-Entitlement!AK61*(1-TPCIL!$L$11))</f>
        <v>0</v>
      </c>
      <c r="R57" s="259">
        <f>IF(ISGS!U67-Entitlement!AZ61*(1-TPCIL!$L$11)&lt;0,0,ISGS!U67-Entitlement!AZ61*(1-TPCIL!$L$11))</f>
        <v>0</v>
      </c>
      <c r="S57" s="259">
        <f>IF(ISGS!Q67-Entitlement!AN61&lt;0,0,ISGS!Q67-Entitlement!AN61)</f>
        <v>0</v>
      </c>
      <c r="T57" s="259">
        <f>IF(ISGS!R67-Entitlement!AQ61*(1-TPCIL!$L$11)&lt;0,0,ISGS!R67-Entitlement!AQ61*(1-TPCIL!$L$11))</f>
        <v>0</v>
      </c>
      <c r="U57" s="259">
        <f>IF(ISGS!S67-Entitlement!AT61&lt;0,0,ISGS!S67-Entitlement!AT61)</f>
        <v>0</v>
      </c>
      <c r="V57" s="259">
        <f>IF(ISGS!K67-Entitlement!V61*(1-TPCIL!$L$11)&lt;0,0,ISGS!K67-Entitlement!V61*(1-TPCIL!$L$11))</f>
        <v>0</v>
      </c>
      <c r="W57" s="259"/>
      <c r="X57" s="259">
        <f t="shared" si="0"/>
        <v>0</v>
      </c>
      <c r="AA57" s="159"/>
    </row>
    <row r="58" ht="16.5" spans="1:27">
      <c r="A58" s="78">
        <v>56</v>
      </c>
      <c r="B58" s="78" t="s">
        <v>69</v>
      </c>
      <c r="C58" s="249">
        <f>Entitlement!BC62</f>
        <v>1621.18</v>
      </c>
      <c r="D58" s="250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51">
        <f t="shared" si="6"/>
        <v>1621.18</v>
      </c>
      <c r="F58" s="251">
        <f>ISGS!Q68</f>
        <v>216.14</v>
      </c>
      <c r="G58" s="251">
        <f t="shared" si="7"/>
        <v>1405.04</v>
      </c>
      <c r="H58" s="251">
        <f>G58*(1-TPCIL!$L$11)+F58</f>
        <v>1553.597576</v>
      </c>
      <c r="I58" s="31">
        <f t="shared" si="8"/>
        <v>1553.597576</v>
      </c>
      <c r="J58" s="250">
        <f>ISGS!V68</f>
        <v>837.15</v>
      </c>
      <c r="K58" s="256">
        <f t="shared" si="9"/>
        <v>716.447576</v>
      </c>
      <c r="L58" s="257">
        <f>(TPCIL!I68-TPCIL!C68)+(TPCIL!P68-TPCIL!D68)</f>
        <v>0.000544999999988249</v>
      </c>
      <c r="M58" s="258">
        <f t="shared" si="10"/>
        <v>716.448121</v>
      </c>
      <c r="N58" s="159"/>
      <c r="O58" s="259">
        <f>IF(ISGS!G68-Entitlement!K62*(1-TPCIL!$L$11)&lt;0,0,ISGS!G68-Entitlement!K62*(1-TPCIL!$L$11))</f>
        <v>0</v>
      </c>
      <c r="P58" s="259">
        <f>IF(ISGS!O68-Entitlement!AH62*(1-TPCIL!$L$11)&lt;0,0,ISGS!O68-Entitlement!AH62*(1-TPCIL!$L$11))</f>
        <v>0</v>
      </c>
      <c r="Q58" s="259">
        <f>IF(ISGS!P68-Entitlement!AK62*(1-TPCIL!$L$11)&lt;0,0,ISGS!P68-Entitlement!AK62*(1-TPCIL!$L$11))</f>
        <v>0</v>
      </c>
      <c r="R58" s="259">
        <f>IF(ISGS!U68-Entitlement!AZ62*(1-TPCIL!$L$11)&lt;0,0,ISGS!U68-Entitlement!AZ62*(1-TPCIL!$L$11))</f>
        <v>0</v>
      </c>
      <c r="S58" s="259">
        <f>IF(ISGS!Q68-Entitlement!AN62&lt;0,0,ISGS!Q68-Entitlement!AN62)</f>
        <v>0</v>
      </c>
      <c r="T58" s="259">
        <f>IF(ISGS!R68-Entitlement!AQ62*(1-TPCIL!$L$11)&lt;0,0,ISGS!R68-Entitlement!AQ62*(1-TPCIL!$L$11))</f>
        <v>0</v>
      </c>
      <c r="U58" s="259">
        <f>IF(ISGS!S68-Entitlement!AT62&lt;0,0,ISGS!S68-Entitlement!AT62)</f>
        <v>0</v>
      </c>
      <c r="V58" s="259">
        <f>IF(ISGS!K68-Entitlement!V62*(1-TPCIL!$L$11)&lt;0,0,ISGS!K68-Entitlement!V62*(1-TPCIL!$L$11))</f>
        <v>0</v>
      </c>
      <c r="W58" s="259"/>
      <c r="X58" s="259">
        <f t="shared" si="0"/>
        <v>0</v>
      </c>
      <c r="AA58" s="159"/>
    </row>
    <row r="59" ht="16.5" spans="1:27">
      <c r="A59" s="78">
        <v>57</v>
      </c>
      <c r="B59" s="78" t="s">
        <v>70</v>
      </c>
      <c r="C59" s="249">
        <f>Entitlement!BC63</f>
        <v>1621.18</v>
      </c>
      <c r="D59" s="250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51">
        <f t="shared" si="6"/>
        <v>1621.18</v>
      </c>
      <c r="F59" s="251">
        <f>ISGS!Q69</f>
        <v>216.14</v>
      </c>
      <c r="G59" s="251">
        <f t="shared" si="7"/>
        <v>1405.04</v>
      </c>
      <c r="H59" s="251">
        <f>G59*(1-TPCIL!$L$11)+F59</f>
        <v>1553.597576</v>
      </c>
      <c r="I59" s="31">
        <f t="shared" si="8"/>
        <v>1553.601405</v>
      </c>
      <c r="J59" s="250">
        <f>ISGS!V69</f>
        <v>1141.75</v>
      </c>
      <c r="K59" s="256">
        <f t="shared" si="9"/>
        <v>411.851405</v>
      </c>
      <c r="L59" s="257">
        <f>(TPCIL!I69-TPCIL!C69)+(TPCIL!P69-TPCIL!D69)</f>
        <v>0.000544999999988249</v>
      </c>
      <c r="M59" s="258">
        <f t="shared" si="10"/>
        <v>411.85195</v>
      </c>
      <c r="N59" s="159"/>
      <c r="O59" s="259">
        <f>IF(ISGS!G69-Entitlement!K63*(1-TPCIL!$L$11)&lt;0,0,ISGS!G69-Entitlement!K63*(1-TPCIL!$L$11))</f>
        <v>0</v>
      </c>
      <c r="P59" s="259">
        <f>IF(ISGS!O69-Entitlement!AH63*(1-TPCIL!$L$11)&lt;0,0,ISGS!O69-Entitlement!AH63*(1-TPCIL!$L$11))</f>
        <v>0.00382899999999609</v>
      </c>
      <c r="Q59" s="259">
        <f>IF(ISGS!P69-Entitlement!AK63*(1-TPCIL!$L$11)&lt;0,0,ISGS!P69-Entitlement!AK63*(1-TPCIL!$L$11))</f>
        <v>0</v>
      </c>
      <c r="R59" s="259">
        <f>IF(ISGS!U69-Entitlement!AZ63*(1-TPCIL!$L$11)&lt;0,0,ISGS!U69-Entitlement!AZ63*(1-TPCIL!$L$11))</f>
        <v>0</v>
      </c>
      <c r="S59" s="259">
        <f>IF(ISGS!Q69-Entitlement!AN63&lt;0,0,ISGS!Q69-Entitlement!AN63)</f>
        <v>0</v>
      </c>
      <c r="T59" s="259">
        <f>IF(ISGS!R69-Entitlement!AQ63*(1-TPCIL!$L$11)&lt;0,0,ISGS!R69-Entitlement!AQ63*(1-TPCIL!$L$11))</f>
        <v>0</v>
      </c>
      <c r="U59" s="259">
        <f>IF(ISGS!S69-Entitlement!AT63&lt;0,0,ISGS!S69-Entitlement!AT63)</f>
        <v>0</v>
      </c>
      <c r="V59" s="259">
        <f>IF(ISGS!K69-Entitlement!V63*(1-TPCIL!$L$11)&lt;0,0,ISGS!K69-Entitlement!V63*(1-TPCIL!$L$11))</f>
        <v>0</v>
      </c>
      <c r="W59" s="259"/>
      <c r="X59" s="259">
        <f t="shared" si="0"/>
        <v>0.00382899999999609</v>
      </c>
      <c r="AA59" s="159"/>
    </row>
    <row r="60" ht="16.5" spans="1:27">
      <c r="A60" s="78">
        <v>58</v>
      </c>
      <c r="B60" s="78" t="s">
        <v>71</v>
      </c>
      <c r="C60" s="249">
        <f>Entitlement!BC64</f>
        <v>1621.18</v>
      </c>
      <c r="D60" s="250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51">
        <f t="shared" si="6"/>
        <v>1621.18</v>
      </c>
      <c r="F60" s="251">
        <f>ISGS!Q70</f>
        <v>216.14</v>
      </c>
      <c r="G60" s="251">
        <f t="shared" si="7"/>
        <v>1405.04</v>
      </c>
      <c r="H60" s="251">
        <f>G60*(1-TPCIL!$L$11)+F60</f>
        <v>1553.597576</v>
      </c>
      <c r="I60" s="31">
        <f t="shared" si="8"/>
        <v>1553.601405</v>
      </c>
      <c r="J60" s="250">
        <f>ISGS!V70</f>
        <v>1202.46</v>
      </c>
      <c r="K60" s="256">
        <f t="shared" si="9"/>
        <v>351.141405</v>
      </c>
      <c r="L60" s="257">
        <f>(TPCIL!I70-TPCIL!C70)+(TPCIL!P70-TPCIL!D70)</f>
        <v>0.000544999999988249</v>
      </c>
      <c r="M60" s="258">
        <f t="shared" si="10"/>
        <v>351.14195</v>
      </c>
      <c r="N60" s="159"/>
      <c r="O60" s="259">
        <f>IF(ISGS!G70-Entitlement!K64*(1-TPCIL!$L$11)&lt;0,0,ISGS!G70-Entitlement!K64*(1-TPCIL!$L$11))</f>
        <v>0</v>
      </c>
      <c r="P60" s="259">
        <f>IF(ISGS!O70-Entitlement!AH64*(1-TPCIL!$L$11)&lt;0,0,ISGS!O70-Entitlement!AH64*(1-TPCIL!$L$11))</f>
        <v>0.00382899999999609</v>
      </c>
      <c r="Q60" s="259">
        <f>IF(ISGS!P70-Entitlement!AK64*(1-TPCIL!$L$11)&lt;0,0,ISGS!P70-Entitlement!AK64*(1-TPCIL!$L$11))</f>
        <v>0</v>
      </c>
      <c r="R60" s="259">
        <f>IF(ISGS!U70-Entitlement!AZ64*(1-TPCIL!$L$11)&lt;0,0,ISGS!U70-Entitlement!AZ64*(1-TPCIL!$L$11))</f>
        <v>0</v>
      </c>
      <c r="S60" s="259">
        <f>IF(ISGS!Q70-Entitlement!AN64&lt;0,0,ISGS!Q70-Entitlement!AN64)</f>
        <v>0</v>
      </c>
      <c r="T60" s="259">
        <f>IF(ISGS!R70-Entitlement!AQ64*(1-TPCIL!$L$11)&lt;0,0,ISGS!R70-Entitlement!AQ64*(1-TPCIL!$L$11))</f>
        <v>0</v>
      </c>
      <c r="U60" s="259">
        <f>IF(ISGS!S70-Entitlement!AT64&lt;0,0,ISGS!S70-Entitlement!AT64)</f>
        <v>0</v>
      </c>
      <c r="V60" s="259">
        <f>IF(ISGS!K70-Entitlement!V64*(1-TPCIL!$L$11)&lt;0,0,ISGS!K70-Entitlement!V64*(1-TPCIL!$L$11))</f>
        <v>0</v>
      </c>
      <c r="W60" s="259"/>
      <c r="X60" s="259">
        <f t="shared" si="0"/>
        <v>0.00382899999999609</v>
      </c>
      <c r="AA60" s="159"/>
    </row>
    <row r="61" ht="16.5" spans="1:27">
      <c r="A61" s="78">
        <v>59</v>
      </c>
      <c r="B61" s="78" t="s">
        <v>72</v>
      </c>
      <c r="C61" s="249">
        <f>Entitlement!BC65</f>
        <v>1621.18</v>
      </c>
      <c r="D61" s="250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51">
        <f t="shared" si="6"/>
        <v>1621.18</v>
      </c>
      <c r="F61" s="251">
        <f>ISGS!Q71</f>
        <v>216.14</v>
      </c>
      <c r="G61" s="251">
        <f t="shared" si="7"/>
        <v>1405.04</v>
      </c>
      <c r="H61" s="251">
        <f>G61*(1-TPCIL!$L$11)+F61</f>
        <v>1553.597576</v>
      </c>
      <c r="I61" s="31">
        <f t="shared" si="8"/>
        <v>1553.601405</v>
      </c>
      <c r="J61" s="250">
        <f>ISGS!V71</f>
        <v>1273.85</v>
      </c>
      <c r="K61" s="256">
        <f t="shared" si="9"/>
        <v>279.751405</v>
      </c>
      <c r="L61" s="257">
        <f>(TPCIL!I71-TPCIL!C71)+(TPCIL!P71-TPCIL!D71)</f>
        <v>0.000544999999988249</v>
      </c>
      <c r="M61" s="258">
        <f t="shared" si="10"/>
        <v>279.75195</v>
      </c>
      <c r="N61" s="159"/>
      <c r="O61" s="259">
        <f>IF(ISGS!G71-Entitlement!K65*(1-TPCIL!$L$11)&lt;0,0,ISGS!G71-Entitlement!K65*(1-TPCIL!$L$11))</f>
        <v>0</v>
      </c>
      <c r="P61" s="259">
        <f>IF(ISGS!O71-Entitlement!AH65*(1-TPCIL!$L$11)&lt;0,0,ISGS!O71-Entitlement!AH65*(1-TPCIL!$L$11))</f>
        <v>0.00382899999999609</v>
      </c>
      <c r="Q61" s="259">
        <f>IF(ISGS!P71-Entitlement!AK65*(1-TPCIL!$L$11)&lt;0,0,ISGS!P71-Entitlement!AK65*(1-TPCIL!$L$11))</f>
        <v>0</v>
      </c>
      <c r="R61" s="259">
        <f>IF(ISGS!U71-Entitlement!AZ65*(1-TPCIL!$L$11)&lt;0,0,ISGS!U71-Entitlement!AZ65*(1-TPCIL!$L$11))</f>
        <v>0</v>
      </c>
      <c r="S61" s="259">
        <f>IF(ISGS!Q71-Entitlement!AN65&lt;0,0,ISGS!Q71-Entitlement!AN65)</f>
        <v>0</v>
      </c>
      <c r="T61" s="259">
        <f>IF(ISGS!R71-Entitlement!AQ65*(1-TPCIL!$L$11)&lt;0,0,ISGS!R71-Entitlement!AQ65*(1-TPCIL!$L$11))</f>
        <v>0</v>
      </c>
      <c r="U61" s="259">
        <f>IF(ISGS!S71-Entitlement!AT65&lt;0,0,ISGS!S71-Entitlement!AT65)</f>
        <v>0</v>
      </c>
      <c r="V61" s="259">
        <f>IF(ISGS!K71-Entitlement!V65*(1-TPCIL!$L$11)&lt;0,0,ISGS!K71-Entitlement!V65*(1-TPCIL!$L$11))</f>
        <v>0</v>
      </c>
      <c r="W61" s="259"/>
      <c r="X61" s="259">
        <f t="shared" si="0"/>
        <v>0.00382899999999609</v>
      </c>
      <c r="AA61" s="159"/>
    </row>
    <row r="62" ht="16.5" spans="1:27">
      <c r="A62" s="78">
        <v>60</v>
      </c>
      <c r="B62" s="78" t="s">
        <v>73</v>
      </c>
      <c r="C62" s="249">
        <f>Entitlement!BC66</f>
        <v>1619.17</v>
      </c>
      <c r="D62" s="250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51">
        <f t="shared" si="6"/>
        <v>1619.17</v>
      </c>
      <c r="F62" s="251">
        <f>ISGS!Q72</f>
        <v>216.14</v>
      </c>
      <c r="G62" s="251">
        <f t="shared" si="7"/>
        <v>1403.03</v>
      </c>
      <c r="H62" s="251">
        <f>G62*(1-TPCIL!$L$11)+F62</f>
        <v>1551.684257</v>
      </c>
      <c r="I62" s="31">
        <f t="shared" si="8"/>
        <v>1551.693077</v>
      </c>
      <c r="J62" s="250">
        <f>ISGS!V72</f>
        <v>1551.66</v>
      </c>
      <c r="K62" s="256">
        <f t="shared" si="9"/>
        <v>0.0330770000002758</v>
      </c>
      <c r="L62" s="257">
        <f>(TPCIL!I72-TPCIL!C72)+(TPCIL!P72-TPCIL!D72)</f>
        <v>0.000544999999988249</v>
      </c>
      <c r="M62" s="258">
        <f t="shared" si="10"/>
        <v>0.0336220000002641</v>
      </c>
      <c r="N62" s="159"/>
      <c r="O62" s="259">
        <f>IF(ISGS!G72-Entitlement!K66*(1-TPCIL!$L$11)&lt;0,0,ISGS!G72-Entitlement!K66*(1-TPCIL!$L$11))</f>
        <v>0</v>
      </c>
      <c r="P62" s="259">
        <f>IF(ISGS!O72-Entitlement!AH66*(1-TPCIL!$L$11)&lt;0,0,ISGS!O72-Entitlement!AH66*(1-TPCIL!$L$11))</f>
        <v>0.00382899999999609</v>
      </c>
      <c r="Q62" s="259">
        <f>IF(ISGS!P72-Entitlement!AK66*(1-TPCIL!$L$11)&lt;0,0,ISGS!P72-Entitlement!AK66*(1-TPCIL!$L$11))</f>
        <v>0</v>
      </c>
      <c r="R62" s="259">
        <f>IF(ISGS!U72-Entitlement!AZ66*(1-TPCIL!$L$11)&lt;0,0,ISGS!U72-Entitlement!AZ66*(1-TPCIL!$L$11))</f>
        <v>0</v>
      </c>
      <c r="S62" s="259">
        <f>IF(ISGS!Q72-Entitlement!AN66&lt;0,0,ISGS!Q72-Entitlement!AN66)</f>
        <v>0</v>
      </c>
      <c r="T62" s="259">
        <f>IF(ISGS!R72-Entitlement!AQ66*(1-TPCIL!$L$11)&lt;0,0,ISGS!R72-Entitlement!AQ66*(1-TPCIL!$L$11))</f>
        <v>0</v>
      </c>
      <c r="U62" s="259">
        <f>IF(ISGS!S72-Entitlement!AT66&lt;0,0,ISGS!S72-Entitlement!AT66)</f>
        <v>0</v>
      </c>
      <c r="V62" s="259">
        <f>IF(ISGS!K72-Entitlement!V66*(1-TPCIL!$L$11)&lt;0,0,ISGS!K72-Entitlement!V66*(1-TPCIL!$L$11))</f>
        <v>0.00499099999999686</v>
      </c>
      <c r="W62" s="259"/>
      <c r="X62" s="259">
        <f t="shared" si="0"/>
        <v>0.00881999999999294</v>
      </c>
      <c r="AA62" s="159"/>
    </row>
    <row r="63" ht="16.5" spans="1:27">
      <c r="A63" s="78">
        <v>61</v>
      </c>
      <c r="B63" s="78" t="s">
        <v>74</v>
      </c>
      <c r="C63" s="249">
        <f>Entitlement!BC67</f>
        <v>1619.17</v>
      </c>
      <c r="D63" s="250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51">
        <f t="shared" si="6"/>
        <v>1619.17</v>
      </c>
      <c r="F63" s="251">
        <f>ISGS!Q73</f>
        <v>216.14</v>
      </c>
      <c r="G63" s="251">
        <f t="shared" si="7"/>
        <v>1403.03</v>
      </c>
      <c r="H63" s="251">
        <f>G63*(1-TPCIL!$L$11)+F63</f>
        <v>1551.684257</v>
      </c>
      <c r="I63" s="31">
        <f t="shared" si="8"/>
        <v>1551.693077</v>
      </c>
      <c r="J63" s="250">
        <f>ISGS!V73</f>
        <v>1530.31</v>
      </c>
      <c r="K63" s="256">
        <f t="shared" si="9"/>
        <v>21.3830770000004</v>
      </c>
      <c r="L63" s="257">
        <f>(TPCIL!I73-TPCIL!C73)+(TPCIL!P73-TPCIL!D73)</f>
        <v>0.000544999999988249</v>
      </c>
      <c r="M63" s="258">
        <f t="shared" si="10"/>
        <v>21.3836220000004</v>
      </c>
      <c r="N63" s="159"/>
      <c r="O63" s="259">
        <f>IF(ISGS!G73-Entitlement!K67*(1-TPCIL!$L$11)&lt;0,0,ISGS!G73-Entitlement!K67*(1-TPCIL!$L$11))</f>
        <v>0</v>
      </c>
      <c r="P63" s="259">
        <f>IF(ISGS!O73-Entitlement!AH67*(1-TPCIL!$L$11)&lt;0,0,ISGS!O73-Entitlement!AH67*(1-TPCIL!$L$11))</f>
        <v>0.00382899999999609</v>
      </c>
      <c r="Q63" s="259">
        <f>IF(ISGS!P73-Entitlement!AK67*(1-TPCIL!$L$11)&lt;0,0,ISGS!P73-Entitlement!AK67*(1-TPCIL!$L$11))</f>
        <v>0</v>
      </c>
      <c r="R63" s="259">
        <f>IF(ISGS!U73-Entitlement!AZ67*(1-TPCIL!$L$11)&lt;0,0,ISGS!U73-Entitlement!AZ67*(1-TPCIL!$L$11))</f>
        <v>0</v>
      </c>
      <c r="S63" s="259">
        <f>IF(ISGS!Q73-Entitlement!AN67&lt;0,0,ISGS!Q73-Entitlement!AN67)</f>
        <v>0</v>
      </c>
      <c r="T63" s="259">
        <f>IF(ISGS!R73-Entitlement!AQ67*(1-TPCIL!$L$11)&lt;0,0,ISGS!R73-Entitlement!AQ67*(1-TPCIL!$L$11))</f>
        <v>0</v>
      </c>
      <c r="U63" s="259">
        <f>IF(ISGS!S73-Entitlement!AT67&lt;0,0,ISGS!S73-Entitlement!AT67)</f>
        <v>0</v>
      </c>
      <c r="V63" s="259">
        <f>IF(ISGS!K73-Entitlement!V67*(1-TPCIL!$L$11)&lt;0,0,ISGS!K73-Entitlement!V67*(1-TPCIL!$L$11))</f>
        <v>0.00499099999999686</v>
      </c>
      <c r="W63" s="259"/>
      <c r="X63" s="259">
        <f t="shared" si="0"/>
        <v>0.00881999999999294</v>
      </c>
      <c r="AA63" s="159"/>
    </row>
    <row r="64" ht="16.5" spans="1:27">
      <c r="A64" s="78">
        <v>62</v>
      </c>
      <c r="B64" s="78" t="s">
        <v>75</v>
      </c>
      <c r="C64" s="249">
        <f>Entitlement!BC68</f>
        <v>1619.17</v>
      </c>
      <c r="D64" s="250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51">
        <f t="shared" si="6"/>
        <v>1619.17</v>
      </c>
      <c r="F64" s="251">
        <f>ISGS!Q74</f>
        <v>216.14</v>
      </c>
      <c r="G64" s="251">
        <f t="shared" si="7"/>
        <v>1403.03</v>
      </c>
      <c r="H64" s="251">
        <f>G64*(1-TPCIL!$L$11)+F64</f>
        <v>1551.684257</v>
      </c>
      <c r="I64" s="31">
        <f t="shared" si="8"/>
        <v>1551.693077</v>
      </c>
      <c r="J64" s="250">
        <f>ISGS!V74</f>
        <v>1452.16</v>
      </c>
      <c r="K64" s="256">
        <f t="shared" si="9"/>
        <v>99.5330770000003</v>
      </c>
      <c r="L64" s="257">
        <f>(TPCIL!I74-TPCIL!C74)+(TPCIL!P74-TPCIL!D74)</f>
        <v>0.000544999999988249</v>
      </c>
      <c r="M64" s="258">
        <f t="shared" si="10"/>
        <v>99.5336220000003</v>
      </c>
      <c r="N64" s="159"/>
      <c r="O64" s="259">
        <f>IF(ISGS!G74-Entitlement!K68*(1-TPCIL!$L$11)&lt;0,0,ISGS!G74-Entitlement!K68*(1-TPCIL!$L$11))</f>
        <v>0</v>
      </c>
      <c r="P64" s="259">
        <f>IF(ISGS!O74-Entitlement!AH68*(1-TPCIL!$L$11)&lt;0,0,ISGS!O74-Entitlement!AH68*(1-TPCIL!$L$11))</f>
        <v>0.00382899999999609</v>
      </c>
      <c r="Q64" s="259">
        <f>IF(ISGS!P74-Entitlement!AK68*(1-TPCIL!$L$11)&lt;0,0,ISGS!P74-Entitlement!AK68*(1-TPCIL!$L$11))</f>
        <v>0</v>
      </c>
      <c r="R64" s="259">
        <f>IF(ISGS!U74-Entitlement!AZ68*(1-TPCIL!$L$11)&lt;0,0,ISGS!U74-Entitlement!AZ68*(1-TPCIL!$L$11))</f>
        <v>0</v>
      </c>
      <c r="S64" s="259">
        <f>IF(ISGS!Q74-Entitlement!AN68&lt;0,0,ISGS!Q74-Entitlement!AN68)</f>
        <v>0</v>
      </c>
      <c r="T64" s="259">
        <f>IF(ISGS!R74-Entitlement!AQ68*(1-TPCIL!$L$11)&lt;0,0,ISGS!R74-Entitlement!AQ68*(1-TPCIL!$L$11))</f>
        <v>0</v>
      </c>
      <c r="U64" s="259">
        <f>IF(ISGS!S74-Entitlement!AT68&lt;0,0,ISGS!S74-Entitlement!AT68)</f>
        <v>0</v>
      </c>
      <c r="V64" s="259">
        <f>IF(ISGS!K74-Entitlement!V68*(1-TPCIL!$L$11)&lt;0,0,ISGS!K74-Entitlement!V68*(1-TPCIL!$L$11))</f>
        <v>0.00499099999999686</v>
      </c>
      <c r="W64" s="259"/>
      <c r="X64" s="259">
        <f t="shared" si="0"/>
        <v>0.00881999999999294</v>
      </c>
      <c r="AA64" s="159"/>
    </row>
    <row r="65" ht="16.5" spans="1:27">
      <c r="A65" s="78">
        <v>63</v>
      </c>
      <c r="B65" s="78" t="s">
        <v>76</v>
      </c>
      <c r="C65" s="249">
        <f>Entitlement!BC69</f>
        <v>1619.17</v>
      </c>
      <c r="D65" s="250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51">
        <f t="shared" si="6"/>
        <v>1619.17</v>
      </c>
      <c r="F65" s="251">
        <f>ISGS!Q75</f>
        <v>216.14</v>
      </c>
      <c r="G65" s="251">
        <f t="shared" si="7"/>
        <v>1403.03</v>
      </c>
      <c r="H65" s="251">
        <f>G65*(1-TPCIL!$L$11)+F65</f>
        <v>1551.684257</v>
      </c>
      <c r="I65" s="31">
        <f t="shared" si="8"/>
        <v>1551.693077</v>
      </c>
      <c r="J65" s="250">
        <f>ISGS!V75</f>
        <v>1464.31</v>
      </c>
      <c r="K65" s="256">
        <f t="shared" si="9"/>
        <v>87.3830770000004</v>
      </c>
      <c r="L65" s="257">
        <f>(TPCIL!I75-TPCIL!C75)+(TPCIL!P75-TPCIL!D75)</f>
        <v>0.000544999999988249</v>
      </c>
      <c r="M65" s="258">
        <f t="shared" si="10"/>
        <v>87.3836220000004</v>
      </c>
      <c r="N65" s="159"/>
      <c r="O65" s="259">
        <f>IF(ISGS!G75-Entitlement!K69*(1-TPCIL!$L$11)&lt;0,0,ISGS!G75-Entitlement!K69*(1-TPCIL!$L$11))</f>
        <v>0</v>
      </c>
      <c r="P65" s="259">
        <f>IF(ISGS!O75-Entitlement!AH69*(1-TPCIL!$L$11)&lt;0,0,ISGS!O75-Entitlement!AH69*(1-TPCIL!$L$11))</f>
        <v>0.00382899999999609</v>
      </c>
      <c r="Q65" s="259">
        <f>IF(ISGS!P75-Entitlement!AK69*(1-TPCIL!$L$11)&lt;0,0,ISGS!P75-Entitlement!AK69*(1-TPCIL!$L$11))</f>
        <v>0</v>
      </c>
      <c r="R65" s="259">
        <f>IF(ISGS!U75-Entitlement!AZ69*(1-TPCIL!$L$11)&lt;0,0,ISGS!U75-Entitlement!AZ69*(1-TPCIL!$L$11))</f>
        <v>0</v>
      </c>
      <c r="S65" s="259">
        <f>IF(ISGS!Q75-Entitlement!AN69&lt;0,0,ISGS!Q75-Entitlement!AN69)</f>
        <v>0</v>
      </c>
      <c r="T65" s="259">
        <f>IF(ISGS!R75-Entitlement!AQ69*(1-TPCIL!$L$11)&lt;0,0,ISGS!R75-Entitlement!AQ69*(1-TPCIL!$L$11))</f>
        <v>0</v>
      </c>
      <c r="U65" s="259">
        <f>IF(ISGS!S75-Entitlement!AT69&lt;0,0,ISGS!S75-Entitlement!AT69)</f>
        <v>0</v>
      </c>
      <c r="V65" s="259">
        <f>IF(ISGS!K75-Entitlement!V69*(1-TPCIL!$L$11)&lt;0,0,ISGS!K75-Entitlement!V69*(1-TPCIL!$L$11))</f>
        <v>0.00499099999999686</v>
      </c>
      <c r="W65" s="259"/>
      <c r="X65" s="259">
        <f t="shared" si="0"/>
        <v>0.00881999999999294</v>
      </c>
      <c r="AA65" s="159"/>
    </row>
    <row r="66" ht="16.5" spans="1:27">
      <c r="A66" s="78">
        <v>64</v>
      </c>
      <c r="B66" s="78" t="s">
        <v>77</v>
      </c>
      <c r="C66" s="249">
        <f>Entitlement!BC70</f>
        <v>1619.17</v>
      </c>
      <c r="D66" s="250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51">
        <f t="shared" si="6"/>
        <v>1619.17</v>
      </c>
      <c r="F66" s="251">
        <f>ISGS!Q76</f>
        <v>216.14</v>
      </c>
      <c r="G66" s="251">
        <f t="shared" si="7"/>
        <v>1403.03</v>
      </c>
      <c r="H66" s="251">
        <f>G66*(1-TPCIL!$L$11)+F66</f>
        <v>1551.684257</v>
      </c>
      <c r="I66" s="31">
        <f t="shared" si="8"/>
        <v>1551.693077</v>
      </c>
      <c r="J66" s="250">
        <f>ISGS!V76</f>
        <v>1448.31</v>
      </c>
      <c r="K66" s="256">
        <f t="shared" si="9"/>
        <v>103.383077</v>
      </c>
      <c r="L66" s="257">
        <f>(TPCIL!I76-TPCIL!C76)+(TPCIL!P76-TPCIL!D76)</f>
        <v>0.000544999999988249</v>
      </c>
      <c r="M66" s="258">
        <f t="shared" si="10"/>
        <v>103.383622</v>
      </c>
      <c r="N66" s="159"/>
      <c r="O66" s="259">
        <f>IF(ISGS!G76-Entitlement!K70*(1-TPCIL!$L$11)&lt;0,0,ISGS!G76-Entitlement!K70*(1-TPCIL!$L$11))</f>
        <v>0</v>
      </c>
      <c r="P66" s="259">
        <f>IF(ISGS!O76-Entitlement!AH70*(1-TPCIL!$L$11)&lt;0,0,ISGS!O76-Entitlement!AH70*(1-TPCIL!$L$11))</f>
        <v>0.00382899999999609</v>
      </c>
      <c r="Q66" s="259">
        <f>IF(ISGS!P76-Entitlement!AK70*(1-TPCIL!$L$11)&lt;0,0,ISGS!P76-Entitlement!AK70*(1-TPCIL!$L$11))</f>
        <v>0</v>
      </c>
      <c r="R66" s="259">
        <f>IF(ISGS!U76-Entitlement!AZ70*(1-TPCIL!$L$11)&lt;0,0,ISGS!U76-Entitlement!AZ70*(1-TPCIL!$L$11))</f>
        <v>0</v>
      </c>
      <c r="S66" s="259">
        <f>IF(ISGS!Q76-Entitlement!AN70&lt;0,0,ISGS!Q76-Entitlement!AN70)</f>
        <v>0</v>
      </c>
      <c r="T66" s="259">
        <f>IF(ISGS!R76-Entitlement!AQ70*(1-TPCIL!$L$11)&lt;0,0,ISGS!R76-Entitlement!AQ70*(1-TPCIL!$L$11))</f>
        <v>0</v>
      </c>
      <c r="U66" s="259">
        <f>IF(ISGS!S76-Entitlement!AT70&lt;0,0,ISGS!S76-Entitlement!AT70)</f>
        <v>0</v>
      </c>
      <c r="V66" s="259">
        <f>IF(ISGS!K76-Entitlement!V70*(1-TPCIL!$L$11)&lt;0,0,ISGS!K76-Entitlement!V70*(1-TPCIL!$L$11))</f>
        <v>0.00499099999999686</v>
      </c>
      <c r="W66" s="259"/>
      <c r="X66" s="259">
        <f t="shared" si="0"/>
        <v>0.00881999999999294</v>
      </c>
      <c r="AA66" s="159"/>
    </row>
    <row r="67" ht="16.5" spans="1:27">
      <c r="A67" s="78">
        <v>65</v>
      </c>
      <c r="B67" s="78" t="s">
        <v>78</v>
      </c>
      <c r="C67" s="249">
        <f>Entitlement!BC71</f>
        <v>1619.17</v>
      </c>
      <c r="D67" s="250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51">
        <f t="shared" si="6"/>
        <v>1619.17</v>
      </c>
      <c r="F67" s="251">
        <f>ISGS!Q77</f>
        <v>216.14</v>
      </c>
      <c r="G67" s="251">
        <f t="shared" si="7"/>
        <v>1403.03</v>
      </c>
      <c r="H67" s="251">
        <f>G67*(1-TPCIL!$L$11)+F67</f>
        <v>1551.684257</v>
      </c>
      <c r="I67" s="31">
        <f t="shared" si="8"/>
        <v>1551.693077</v>
      </c>
      <c r="J67" s="250">
        <f>ISGS!V77</f>
        <v>1465.88</v>
      </c>
      <c r="K67" s="256">
        <f t="shared" si="9"/>
        <v>85.8130770000002</v>
      </c>
      <c r="L67" s="257">
        <f>(TPCIL!I77-TPCIL!C77)+(TPCIL!P77-TPCIL!D77)</f>
        <v>0.000544999999988249</v>
      </c>
      <c r="M67" s="258">
        <f t="shared" si="10"/>
        <v>85.8136220000002</v>
      </c>
      <c r="N67" s="159"/>
      <c r="O67" s="259">
        <f>IF(ISGS!G77-Entitlement!K71*(1-TPCIL!$L$11)&lt;0,0,ISGS!G77-Entitlement!K71*(1-TPCIL!$L$11))</f>
        <v>0</v>
      </c>
      <c r="P67" s="259">
        <f>IF(ISGS!O77-Entitlement!AH71*(1-TPCIL!$L$11)&lt;0,0,ISGS!O77-Entitlement!AH71*(1-TPCIL!$L$11))</f>
        <v>0.00382899999999609</v>
      </c>
      <c r="Q67" s="259">
        <f>IF(ISGS!P77-Entitlement!AK71*(1-TPCIL!$L$11)&lt;0,0,ISGS!P77-Entitlement!AK71*(1-TPCIL!$L$11))</f>
        <v>0</v>
      </c>
      <c r="R67" s="259">
        <f>IF(ISGS!U77-Entitlement!AZ71*(1-TPCIL!$L$11)&lt;0,0,ISGS!U77-Entitlement!AZ71*(1-TPCIL!$L$11))</f>
        <v>0</v>
      </c>
      <c r="S67" s="259">
        <f>IF(ISGS!Q77-Entitlement!AN71&lt;0,0,ISGS!Q77-Entitlement!AN71)</f>
        <v>0</v>
      </c>
      <c r="T67" s="259">
        <f>IF(ISGS!R77-Entitlement!AQ71*(1-TPCIL!$L$11)&lt;0,0,ISGS!R77-Entitlement!AQ71*(1-TPCIL!$L$11))</f>
        <v>0</v>
      </c>
      <c r="U67" s="259">
        <f>IF(ISGS!S77-Entitlement!AT71&lt;0,0,ISGS!S77-Entitlement!AT71)</f>
        <v>0</v>
      </c>
      <c r="V67" s="259">
        <f>IF(ISGS!K77-Entitlement!V71*(1-TPCIL!$L$11)&lt;0,0,ISGS!K77-Entitlement!V71*(1-TPCIL!$L$11))</f>
        <v>0.00499099999999686</v>
      </c>
      <c r="W67" s="259"/>
      <c r="X67" s="259">
        <f t="shared" ref="X67:X98" si="11">SUM(O67:W67)</f>
        <v>0.00881999999999294</v>
      </c>
      <c r="AA67" s="159"/>
    </row>
    <row r="68" ht="16.5" spans="1:27">
      <c r="A68" s="78">
        <v>66</v>
      </c>
      <c r="B68" s="78" t="s">
        <v>79</v>
      </c>
      <c r="C68" s="249">
        <f>Entitlement!BC72</f>
        <v>1619.17</v>
      </c>
      <c r="D68" s="250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51">
        <f t="shared" ref="E68:E98" si="12">C68-D68</f>
        <v>1619.17</v>
      </c>
      <c r="F68" s="251">
        <f>ISGS!Q78</f>
        <v>216.14</v>
      </c>
      <c r="G68" s="251">
        <f t="shared" ref="G68:G98" si="13">E68-F68</f>
        <v>1403.03</v>
      </c>
      <c r="H68" s="251">
        <f>G68*(1-TPCIL!$L$11)+F68</f>
        <v>1551.684257</v>
      </c>
      <c r="I68" s="31">
        <f t="shared" ref="I68:I98" si="14">H68+X68</f>
        <v>1551.693077</v>
      </c>
      <c r="J68" s="250">
        <f>ISGS!V78</f>
        <v>1451.16</v>
      </c>
      <c r="K68" s="256">
        <f t="shared" ref="K68:K98" si="15">I68-J68</f>
        <v>100.533077</v>
      </c>
      <c r="L68" s="257">
        <f>(TPCIL!I78-TPCIL!C78)+(TPCIL!P78-TPCIL!D78)</f>
        <v>0.000544999999988249</v>
      </c>
      <c r="M68" s="258">
        <f t="shared" ref="M68:M98" si="16">+L68+K68</f>
        <v>100.533622</v>
      </c>
      <c r="N68" s="159"/>
      <c r="O68" s="259">
        <f>IF(ISGS!G78-Entitlement!K72*(1-TPCIL!$L$11)&lt;0,0,ISGS!G78-Entitlement!K72*(1-TPCIL!$L$11))</f>
        <v>0</v>
      </c>
      <c r="P68" s="259">
        <f>IF(ISGS!O78-Entitlement!AH72*(1-TPCIL!$L$11)&lt;0,0,ISGS!O78-Entitlement!AH72*(1-TPCIL!$L$11))</f>
        <v>0.00382899999999609</v>
      </c>
      <c r="Q68" s="259">
        <f>IF(ISGS!P78-Entitlement!AK72*(1-TPCIL!$L$11)&lt;0,0,ISGS!P78-Entitlement!AK72*(1-TPCIL!$L$11))</f>
        <v>0</v>
      </c>
      <c r="R68" s="259">
        <f>IF(ISGS!U78-Entitlement!AZ72*(1-TPCIL!$L$11)&lt;0,0,ISGS!U78-Entitlement!AZ72*(1-TPCIL!$L$11))</f>
        <v>0</v>
      </c>
      <c r="S68" s="259">
        <f>IF(ISGS!Q78-Entitlement!AN72&lt;0,0,ISGS!Q78-Entitlement!AN72)</f>
        <v>0</v>
      </c>
      <c r="T68" s="259">
        <f>IF(ISGS!R78-Entitlement!AQ72*(1-TPCIL!$L$11)&lt;0,0,ISGS!R78-Entitlement!AQ72*(1-TPCIL!$L$11))</f>
        <v>0</v>
      </c>
      <c r="U68" s="259">
        <f>IF(ISGS!S78-Entitlement!AT72&lt;0,0,ISGS!S78-Entitlement!AT72)</f>
        <v>0</v>
      </c>
      <c r="V68" s="259">
        <f>IF(ISGS!K78-Entitlement!V72*(1-TPCIL!$L$11)&lt;0,0,ISGS!K78-Entitlement!V72*(1-TPCIL!$L$11))</f>
        <v>0.00499099999999686</v>
      </c>
      <c r="W68" s="259"/>
      <c r="X68" s="259">
        <f t="shared" si="11"/>
        <v>0.00881999999999294</v>
      </c>
      <c r="AA68" s="159"/>
    </row>
    <row r="69" ht="16.5" spans="1:27">
      <c r="A69" s="78">
        <v>67</v>
      </c>
      <c r="B69" s="78" t="s">
        <v>80</v>
      </c>
      <c r="C69" s="249">
        <f>Entitlement!BC73</f>
        <v>1619.17</v>
      </c>
      <c r="D69" s="250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51">
        <f t="shared" si="12"/>
        <v>1619.17</v>
      </c>
      <c r="F69" s="251">
        <f>ISGS!Q79</f>
        <v>216.14</v>
      </c>
      <c r="G69" s="251">
        <f t="shared" si="13"/>
        <v>1403.03</v>
      </c>
      <c r="H69" s="251">
        <f>G69*(1-TPCIL!$L$11)+F69</f>
        <v>1551.684257</v>
      </c>
      <c r="I69" s="31">
        <f t="shared" si="14"/>
        <v>1551.693077</v>
      </c>
      <c r="J69" s="250">
        <f>ISGS!V79</f>
        <v>1451.16</v>
      </c>
      <c r="K69" s="256">
        <f t="shared" si="15"/>
        <v>100.533077</v>
      </c>
      <c r="L69" s="257">
        <f>(TPCIL!I79-TPCIL!C79)+(TPCIL!P79-TPCIL!D79)</f>
        <v>0.000544999999988249</v>
      </c>
      <c r="M69" s="258">
        <f t="shared" si="16"/>
        <v>100.533622</v>
      </c>
      <c r="N69" s="159"/>
      <c r="O69" s="259">
        <f>IF(ISGS!G79-Entitlement!K73*(1-TPCIL!$L$11)&lt;0,0,ISGS!G79-Entitlement!K73*(1-TPCIL!$L$11))</f>
        <v>0</v>
      </c>
      <c r="P69" s="259">
        <f>IF(ISGS!O79-Entitlement!AH73*(1-TPCIL!$L$11)&lt;0,0,ISGS!O79-Entitlement!AH73*(1-TPCIL!$L$11))</f>
        <v>0.00382899999999609</v>
      </c>
      <c r="Q69" s="259">
        <f>IF(ISGS!P79-Entitlement!AK73*(1-TPCIL!$L$11)&lt;0,0,ISGS!P79-Entitlement!AK73*(1-TPCIL!$L$11))</f>
        <v>0</v>
      </c>
      <c r="R69" s="259">
        <f>IF(ISGS!U79-Entitlement!AZ73*(1-TPCIL!$L$11)&lt;0,0,ISGS!U79-Entitlement!AZ73*(1-TPCIL!$L$11))</f>
        <v>0</v>
      </c>
      <c r="S69" s="259">
        <f>IF(ISGS!Q79-Entitlement!AN73&lt;0,0,ISGS!Q79-Entitlement!AN73)</f>
        <v>0</v>
      </c>
      <c r="T69" s="259">
        <f>IF(ISGS!R79-Entitlement!AQ73*(1-TPCIL!$L$11)&lt;0,0,ISGS!R79-Entitlement!AQ73*(1-TPCIL!$L$11))</f>
        <v>0</v>
      </c>
      <c r="U69" s="259">
        <f>IF(ISGS!S79-Entitlement!AT73&lt;0,0,ISGS!S79-Entitlement!AT73)</f>
        <v>0</v>
      </c>
      <c r="V69" s="259">
        <f>IF(ISGS!K79-Entitlement!V73*(1-TPCIL!$L$11)&lt;0,0,ISGS!K79-Entitlement!V73*(1-TPCIL!$L$11))</f>
        <v>0.00499099999999686</v>
      </c>
      <c r="W69" s="259"/>
      <c r="X69" s="259">
        <f t="shared" si="11"/>
        <v>0.00881999999999294</v>
      </c>
      <c r="AA69" s="159"/>
    </row>
    <row r="70" ht="16.5" spans="1:27">
      <c r="A70" s="78">
        <v>68</v>
      </c>
      <c r="B70" s="78" t="s">
        <v>81</v>
      </c>
      <c r="C70" s="249">
        <f>Entitlement!BC74</f>
        <v>1619.17</v>
      </c>
      <c r="D70" s="250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51">
        <f t="shared" si="12"/>
        <v>1619.17</v>
      </c>
      <c r="F70" s="251">
        <f>ISGS!Q80</f>
        <v>216.14</v>
      </c>
      <c r="G70" s="251">
        <f t="shared" si="13"/>
        <v>1403.03</v>
      </c>
      <c r="H70" s="251">
        <f>G70*(1-TPCIL!$L$11)+F70</f>
        <v>1551.684257</v>
      </c>
      <c r="I70" s="31">
        <f t="shared" si="14"/>
        <v>1551.693077</v>
      </c>
      <c r="J70" s="250">
        <f>ISGS!V80</f>
        <v>1451.16</v>
      </c>
      <c r="K70" s="256">
        <f t="shared" si="15"/>
        <v>100.533077</v>
      </c>
      <c r="L70" s="257">
        <f>(TPCIL!I80-TPCIL!C80)+(TPCIL!P80-TPCIL!D80)</f>
        <v>0.000544999999988249</v>
      </c>
      <c r="M70" s="258">
        <f t="shared" si="16"/>
        <v>100.533622</v>
      </c>
      <c r="N70" s="159"/>
      <c r="O70" s="259">
        <f>IF(ISGS!G80-Entitlement!K74*(1-TPCIL!$L$11)&lt;0,0,ISGS!G80-Entitlement!K74*(1-TPCIL!$L$11))</f>
        <v>0</v>
      </c>
      <c r="P70" s="259">
        <f>IF(ISGS!O80-Entitlement!AH74*(1-TPCIL!$L$11)&lt;0,0,ISGS!O80-Entitlement!AH74*(1-TPCIL!$L$11))</f>
        <v>0.00382899999999609</v>
      </c>
      <c r="Q70" s="259">
        <f>IF(ISGS!P80-Entitlement!AK74*(1-TPCIL!$L$11)&lt;0,0,ISGS!P80-Entitlement!AK74*(1-TPCIL!$L$11))</f>
        <v>0</v>
      </c>
      <c r="R70" s="259">
        <f>IF(ISGS!U80-Entitlement!AZ74*(1-TPCIL!$L$11)&lt;0,0,ISGS!U80-Entitlement!AZ74*(1-TPCIL!$L$11))</f>
        <v>0</v>
      </c>
      <c r="S70" s="259">
        <f>IF(ISGS!Q80-Entitlement!AN74&lt;0,0,ISGS!Q80-Entitlement!AN74)</f>
        <v>0</v>
      </c>
      <c r="T70" s="259">
        <f>IF(ISGS!R80-Entitlement!AQ74*(1-TPCIL!$L$11)&lt;0,0,ISGS!R80-Entitlement!AQ74*(1-TPCIL!$L$11))</f>
        <v>0</v>
      </c>
      <c r="U70" s="259">
        <f>IF(ISGS!S80-Entitlement!AT74&lt;0,0,ISGS!S80-Entitlement!AT74)</f>
        <v>0</v>
      </c>
      <c r="V70" s="259">
        <f>IF(ISGS!K80-Entitlement!V74*(1-TPCIL!$L$11)&lt;0,0,ISGS!K80-Entitlement!V74*(1-TPCIL!$L$11))</f>
        <v>0.00499099999999686</v>
      </c>
      <c r="W70" s="259"/>
      <c r="X70" s="259">
        <f t="shared" si="11"/>
        <v>0.00881999999999294</v>
      </c>
      <c r="AA70" s="159"/>
    </row>
    <row r="71" ht="16.5" spans="1:27">
      <c r="A71" s="78">
        <v>69</v>
      </c>
      <c r="B71" s="78" t="s">
        <v>82</v>
      </c>
      <c r="C71" s="249">
        <f>Entitlement!BC75</f>
        <v>1619.17</v>
      </c>
      <c r="D71" s="250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51">
        <f t="shared" si="12"/>
        <v>1619.17</v>
      </c>
      <c r="F71" s="251">
        <f>ISGS!Q81</f>
        <v>216.14</v>
      </c>
      <c r="G71" s="251">
        <f t="shared" si="13"/>
        <v>1403.03</v>
      </c>
      <c r="H71" s="251">
        <f>G71*(1-TPCIL!$L$11)+F71</f>
        <v>1551.684257</v>
      </c>
      <c r="I71" s="31">
        <f t="shared" si="14"/>
        <v>1551.693077</v>
      </c>
      <c r="J71" s="250">
        <f>ISGS!V81</f>
        <v>1551.66</v>
      </c>
      <c r="K71" s="256">
        <f t="shared" si="15"/>
        <v>0.0330770000002758</v>
      </c>
      <c r="L71" s="257">
        <f>(TPCIL!I81-TPCIL!C81)+(TPCIL!P81-TPCIL!D81)</f>
        <v>0.000544999999988249</v>
      </c>
      <c r="M71" s="258">
        <f t="shared" si="16"/>
        <v>0.0336220000002641</v>
      </c>
      <c r="N71" s="159"/>
      <c r="O71" s="259">
        <f>IF(ISGS!G81-Entitlement!K75*(1-TPCIL!$L$11)&lt;0,0,ISGS!G81-Entitlement!K75*(1-TPCIL!$L$11))</f>
        <v>0</v>
      </c>
      <c r="P71" s="259">
        <f>IF(ISGS!O81-Entitlement!AH75*(1-TPCIL!$L$11)&lt;0,0,ISGS!O81-Entitlement!AH75*(1-TPCIL!$L$11))</f>
        <v>0.00382899999999609</v>
      </c>
      <c r="Q71" s="259">
        <f>IF(ISGS!P81-Entitlement!AK75*(1-TPCIL!$L$11)&lt;0,0,ISGS!P81-Entitlement!AK75*(1-TPCIL!$L$11))</f>
        <v>0</v>
      </c>
      <c r="R71" s="259">
        <f>IF(ISGS!U81-Entitlement!AZ75*(1-TPCIL!$L$11)&lt;0,0,ISGS!U81-Entitlement!AZ75*(1-TPCIL!$L$11))</f>
        <v>0</v>
      </c>
      <c r="S71" s="259">
        <f>IF(ISGS!Q81-Entitlement!AN75&lt;0,0,ISGS!Q81-Entitlement!AN75)</f>
        <v>0</v>
      </c>
      <c r="T71" s="259">
        <f>IF(ISGS!R81-Entitlement!AQ75*(1-TPCIL!$L$11)&lt;0,0,ISGS!R81-Entitlement!AQ75*(1-TPCIL!$L$11))</f>
        <v>0</v>
      </c>
      <c r="U71" s="259">
        <f>IF(ISGS!S81-Entitlement!AT75&lt;0,0,ISGS!S81-Entitlement!AT75)</f>
        <v>0</v>
      </c>
      <c r="V71" s="259">
        <f>IF(ISGS!K81-Entitlement!V75*(1-TPCIL!$L$11)&lt;0,0,ISGS!K81-Entitlement!V75*(1-TPCIL!$L$11))</f>
        <v>0.00499099999999686</v>
      </c>
      <c r="W71" s="259"/>
      <c r="X71" s="259">
        <f t="shared" si="11"/>
        <v>0.00881999999999294</v>
      </c>
      <c r="AA71" s="159"/>
    </row>
    <row r="72" ht="16.5" spans="1:27">
      <c r="A72" s="78">
        <v>70</v>
      </c>
      <c r="B72" s="78" t="s">
        <v>83</v>
      </c>
      <c r="C72" s="249">
        <f>Entitlement!BC76</f>
        <v>1619.17</v>
      </c>
      <c r="D72" s="250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51">
        <f t="shared" si="12"/>
        <v>1619.17</v>
      </c>
      <c r="F72" s="251">
        <f>ISGS!Q82</f>
        <v>216.14</v>
      </c>
      <c r="G72" s="251">
        <f t="shared" si="13"/>
        <v>1403.03</v>
      </c>
      <c r="H72" s="251">
        <f>G72*(1-TPCIL!$L$11)+F72</f>
        <v>1551.684257</v>
      </c>
      <c r="I72" s="31">
        <f t="shared" si="14"/>
        <v>1551.693077</v>
      </c>
      <c r="J72" s="250">
        <f>ISGS!V82</f>
        <v>1551.66</v>
      </c>
      <c r="K72" s="256">
        <f t="shared" si="15"/>
        <v>0.0330770000002758</v>
      </c>
      <c r="L72" s="257">
        <f>(TPCIL!I82-TPCIL!C82)+(TPCIL!P82-TPCIL!D82)</f>
        <v>0.000544999999988249</v>
      </c>
      <c r="M72" s="258">
        <f t="shared" si="16"/>
        <v>0.0336220000002641</v>
      </c>
      <c r="N72" s="159"/>
      <c r="O72" s="259">
        <f>IF(ISGS!G82-Entitlement!K76*(1-TPCIL!$L$11)&lt;0,0,ISGS!G82-Entitlement!K76*(1-TPCIL!$L$11))</f>
        <v>0</v>
      </c>
      <c r="P72" s="259">
        <f>IF(ISGS!O82-Entitlement!AH76*(1-TPCIL!$L$11)&lt;0,0,ISGS!O82-Entitlement!AH76*(1-TPCIL!$L$11))</f>
        <v>0.00382899999999609</v>
      </c>
      <c r="Q72" s="259">
        <f>IF(ISGS!P82-Entitlement!AK76*(1-TPCIL!$L$11)&lt;0,0,ISGS!P82-Entitlement!AK76*(1-TPCIL!$L$11))</f>
        <v>0</v>
      </c>
      <c r="R72" s="259">
        <f>IF(ISGS!U82-Entitlement!AZ76*(1-TPCIL!$L$11)&lt;0,0,ISGS!U82-Entitlement!AZ76*(1-TPCIL!$L$11))</f>
        <v>0</v>
      </c>
      <c r="S72" s="259">
        <f>IF(ISGS!Q82-Entitlement!AN76&lt;0,0,ISGS!Q82-Entitlement!AN76)</f>
        <v>0</v>
      </c>
      <c r="T72" s="259">
        <f>IF(ISGS!R82-Entitlement!AQ76*(1-TPCIL!$L$11)&lt;0,0,ISGS!R82-Entitlement!AQ76*(1-TPCIL!$L$11))</f>
        <v>0</v>
      </c>
      <c r="U72" s="259">
        <f>IF(ISGS!S82-Entitlement!AT76&lt;0,0,ISGS!S82-Entitlement!AT76)</f>
        <v>0</v>
      </c>
      <c r="V72" s="259">
        <f>IF(ISGS!K82-Entitlement!V76*(1-TPCIL!$L$11)&lt;0,0,ISGS!K82-Entitlement!V76*(1-TPCIL!$L$11))</f>
        <v>0.00499099999999686</v>
      </c>
      <c r="W72" s="259"/>
      <c r="X72" s="259">
        <f t="shared" si="11"/>
        <v>0.00881999999999294</v>
      </c>
      <c r="AA72" s="159"/>
    </row>
    <row r="73" ht="16.5" spans="1:27">
      <c r="A73" s="78">
        <v>71</v>
      </c>
      <c r="B73" s="78" t="s">
        <v>84</v>
      </c>
      <c r="C73" s="249">
        <f>Entitlement!BC77</f>
        <v>1619.17</v>
      </c>
      <c r="D73" s="250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51">
        <f t="shared" si="12"/>
        <v>1619.17</v>
      </c>
      <c r="F73" s="251">
        <f>ISGS!Q83</f>
        <v>216.14</v>
      </c>
      <c r="G73" s="251">
        <f t="shared" si="13"/>
        <v>1403.03</v>
      </c>
      <c r="H73" s="251">
        <f>G73*(1-TPCIL!$L$11)+F73</f>
        <v>1551.684257</v>
      </c>
      <c r="I73" s="31">
        <f t="shared" si="14"/>
        <v>1551.693077</v>
      </c>
      <c r="J73" s="250">
        <f>ISGS!V83</f>
        <v>1551.66</v>
      </c>
      <c r="K73" s="256">
        <f t="shared" si="15"/>
        <v>0.0330770000002758</v>
      </c>
      <c r="L73" s="257">
        <f>(TPCIL!I83-TPCIL!C83)+(TPCIL!P83-TPCIL!D83)</f>
        <v>0.000544999999988249</v>
      </c>
      <c r="M73" s="258">
        <f t="shared" si="16"/>
        <v>0.0336220000002641</v>
      </c>
      <c r="N73" s="159"/>
      <c r="O73" s="259">
        <f>IF(ISGS!G83-Entitlement!K77*(1-TPCIL!$L$11)&lt;0,0,ISGS!G83-Entitlement!K77*(1-TPCIL!$L$11))</f>
        <v>0</v>
      </c>
      <c r="P73" s="259">
        <f>IF(ISGS!O83-Entitlement!AH77*(1-TPCIL!$L$11)&lt;0,0,ISGS!O83-Entitlement!AH77*(1-TPCIL!$L$11))</f>
        <v>0.00382899999999609</v>
      </c>
      <c r="Q73" s="259">
        <f>IF(ISGS!P83-Entitlement!AK77*(1-TPCIL!$L$11)&lt;0,0,ISGS!P83-Entitlement!AK77*(1-TPCIL!$L$11))</f>
        <v>0</v>
      </c>
      <c r="R73" s="259">
        <f>IF(ISGS!U83-Entitlement!AZ77*(1-TPCIL!$L$11)&lt;0,0,ISGS!U83-Entitlement!AZ77*(1-TPCIL!$L$11))</f>
        <v>0</v>
      </c>
      <c r="S73" s="259">
        <f>IF(ISGS!Q83-Entitlement!AN77&lt;0,0,ISGS!Q83-Entitlement!AN77)</f>
        <v>0</v>
      </c>
      <c r="T73" s="259">
        <f>IF(ISGS!R83-Entitlement!AQ77*(1-TPCIL!$L$11)&lt;0,0,ISGS!R83-Entitlement!AQ77*(1-TPCIL!$L$11))</f>
        <v>0</v>
      </c>
      <c r="U73" s="259">
        <f>IF(ISGS!S83-Entitlement!AT77&lt;0,0,ISGS!S83-Entitlement!AT77)</f>
        <v>0</v>
      </c>
      <c r="V73" s="259">
        <f>IF(ISGS!K83-Entitlement!V77*(1-TPCIL!$L$11)&lt;0,0,ISGS!K83-Entitlement!V77*(1-TPCIL!$L$11))</f>
        <v>0.00499099999999686</v>
      </c>
      <c r="W73" s="259"/>
      <c r="X73" s="259">
        <f t="shared" si="11"/>
        <v>0.00881999999999294</v>
      </c>
      <c r="AA73" s="159"/>
    </row>
    <row r="74" ht="16.5" spans="1:27">
      <c r="A74" s="78">
        <v>72</v>
      </c>
      <c r="B74" s="78" t="s">
        <v>85</v>
      </c>
      <c r="C74" s="249">
        <f>Entitlement!BC78</f>
        <v>1619.17</v>
      </c>
      <c r="D74" s="250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51">
        <f t="shared" si="12"/>
        <v>1619.17</v>
      </c>
      <c r="F74" s="251">
        <f>ISGS!Q84</f>
        <v>216.14</v>
      </c>
      <c r="G74" s="251">
        <f t="shared" si="13"/>
        <v>1403.03</v>
      </c>
      <c r="H74" s="251">
        <f>G74*(1-TPCIL!$L$11)+F74</f>
        <v>1551.684257</v>
      </c>
      <c r="I74" s="31">
        <f t="shared" si="14"/>
        <v>1551.693077</v>
      </c>
      <c r="J74" s="250">
        <f>ISGS!V84</f>
        <v>1551.66</v>
      </c>
      <c r="K74" s="256">
        <f t="shared" si="15"/>
        <v>0.0330770000002758</v>
      </c>
      <c r="L74" s="257">
        <f>(TPCIL!I84-TPCIL!C84)+(TPCIL!P84-TPCIL!D84)</f>
        <v>0.000544999999988249</v>
      </c>
      <c r="M74" s="258">
        <f t="shared" si="16"/>
        <v>0.0336220000002641</v>
      </c>
      <c r="N74" s="159"/>
      <c r="O74" s="259">
        <f>IF(ISGS!G84-Entitlement!K78*(1-TPCIL!$L$11)&lt;0,0,ISGS!G84-Entitlement!K78*(1-TPCIL!$L$11))</f>
        <v>0</v>
      </c>
      <c r="P74" s="259">
        <f>IF(ISGS!O84-Entitlement!AH78*(1-TPCIL!$L$11)&lt;0,0,ISGS!O84-Entitlement!AH78*(1-TPCIL!$L$11))</f>
        <v>0.00382899999999609</v>
      </c>
      <c r="Q74" s="259">
        <f>IF(ISGS!P84-Entitlement!AK78*(1-TPCIL!$L$11)&lt;0,0,ISGS!P84-Entitlement!AK78*(1-TPCIL!$L$11))</f>
        <v>0</v>
      </c>
      <c r="R74" s="259">
        <f>IF(ISGS!U84-Entitlement!AZ78*(1-TPCIL!$L$11)&lt;0,0,ISGS!U84-Entitlement!AZ78*(1-TPCIL!$L$11))</f>
        <v>0</v>
      </c>
      <c r="S74" s="259">
        <f>IF(ISGS!Q84-Entitlement!AN78&lt;0,0,ISGS!Q84-Entitlement!AN78)</f>
        <v>0</v>
      </c>
      <c r="T74" s="259">
        <f>IF(ISGS!R84-Entitlement!AQ78*(1-TPCIL!$L$11)&lt;0,0,ISGS!R84-Entitlement!AQ78*(1-TPCIL!$L$11))</f>
        <v>0</v>
      </c>
      <c r="U74" s="259">
        <f>IF(ISGS!S84-Entitlement!AT78&lt;0,0,ISGS!S84-Entitlement!AT78)</f>
        <v>0</v>
      </c>
      <c r="V74" s="259">
        <f>IF(ISGS!K84-Entitlement!V78*(1-TPCIL!$L$11)&lt;0,0,ISGS!K84-Entitlement!V78*(1-TPCIL!$L$11))</f>
        <v>0.00499099999999686</v>
      </c>
      <c r="W74" s="259"/>
      <c r="X74" s="259">
        <f t="shared" si="11"/>
        <v>0.00881999999999294</v>
      </c>
      <c r="AA74" s="159"/>
    </row>
    <row r="75" ht="16.5" spans="1:27">
      <c r="A75" s="78">
        <v>73</v>
      </c>
      <c r="B75" s="78" t="s">
        <v>86</v>
      </c>
      <c r="C75" s="249">
        <f>Entitlement!BC79</f>
        <v>1619.17</v>
      </c>
      <c r="D75" s="250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51">
        <f t="shared" si="12"/>
        <v>1619.17</v>
      </c>
      <c r="F75" s="251">
        <f>ISGS!Q85</f>
        <v>216.14</v>
      </c>
      <c r="G75" s="251">
        <f t="shared" si="13"/>
        <v>1403.03</v>
      </c>
      <c r="H75" s="251">
        <f>G75*(1-TPCIL!$L$11)+F75</f>
        <v>1551.684257</v>
      </c>
      <c r="I75" s="31">
        <f t="shared" si="14"/>
        <v>1551.693077</v>
      </c>
      <c r="J75" s="250">
        <f>ISGS!V85</f>
        <v>1551.66</v>
      </c>
      <c r="K75" s="256">
        <f t="shared" si="15"/>
        <v>0.0330770000002758</v>
      </c>
      <c r="L75" s="257">
        <f>(TPCIL!I85-TPCIL!C85)+(TPCIL!P85-TPCIL!D85)</f>
        <v>0.000544999999988249</v>
      </c>
      <c r="M75" s="258">
        <f t="shared" si="16"/>
        <v>0.0336220000002641</v>
      </c>
      <c r="N75" s="159"/>
      <c r="O75" s="259">
        <f>IF(ISGS!G85-Entitlement!K79*(1-TPCIL!$L$11)&lt;0,0,ISGS!G85-Entitlement!K79*(1-TPCIL!$L$11))</f>
        <v>0</v>
      </c>
      <c r="P75" s="259">
        <f>IF(ISGS!O85-Entitlement!AH79*(1-TPCIL!$L$11)&lt;0,0,ISGS!O85-Entitlement!AH79*(1-TPCIL!$L$11))</f>
        <v>0.00382899999999609</v>
      </c>
      <c r="Q75" s="259">
        <f>IF(ISGS!P85-Entitlement!AK79*(1-TPCIL!$L$11)&lt;0,0,ISGS!P85-Entitlement!AK79*(1-TPCIL!$L$11))</f>
        <v>0</v>
      </c>
      <c r="R75" s="259">
        <f>IF(ISGS!U85-Entitlement!AZ79*(1-TPCIL!$L$11)&lt;0,0,ISGS!U85-Entitlement!AZ79*(1-TPCIL!$L$11))</f>
        <v>0</v>
      </c>
      <c r="S75" s="259">
        <f>IF(ISGS!Q85-Entitlement!AN79&lt;0,0,ISGS!Q85-Entitlement!AN79)</f>
        <v>0</v>
      </c>
      <c r="T75" s="259">
        <f>IF(ISGS!R85-Entitlement!AQ79*(1-TPCIL!$L$11)&lt;0,0,ISGS!R85-Entitlement!AQ79*(1-TPCIL!$L$11))</f>
        <v>0</v>
      </c>
      <c r="U75" s="259">
        <f>IF(ISGS!S85-Entitlement!AT79&lt;0,0,ISGS!S85-Entitlement!AT79)</f>
        <v>0</v>
      </c>
      <c r="V75" s="259">
        <f>IF(ISGS!K85-Entitlement!V79*(1-TPCIL!$L$11)&lt;0,0,ISGS!K85-Entitlement!V79*(1-TPCIL!$L$11))</f>
        <v>0.00499099999999686</v>
      </c>
      <c r="W75" s="259"/>
      <c r="X75" s="259">
        <f t="shared" si="11"/>
        <v>0.00881999999999294</v>
      </c>
      <c r="AA75" s="159"/>
    </row>
    <row r="76" ht="16.5" spans="1:27">
      <c r="A76" s="78">
        <v>74</v>
      </c>
      <c r="B76" s="78" t="s">
        <v>87</v>
      </c>
      <c r="C76" s="249">
        <f>Entitlement!BC80</f>
        <v>1619.17</v>
      </c>
      <c r="D76" s="250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51">
        <f t="shared" si="12"/>
        <v>1619.17</v>
      </c>
      <c r="F76" s="251">
        <f>ISGS!Q86</f>
        <v>216.14</v>
      </c>
      <c r="G76" s="251">
        <f t="shared" si="13"/>
        <v>1403.03</v>
      </c>
      <c r="H76" s="251">
        <f>G76*(1-TPCIL!$L$11)+F76</f>
        <v>1551.684257</v>
      </c>
      <c r="I76" s="31">
        <f t="shared" si="14"/>
        <v>1551.693077</v>
      </c>
      <c r="J76" s="250">
        <f>ISGS!V86</f>
        <v>1551.66</v>
      </c>
      <c r="K76" s="256">
        <f t="shared" si="15"/>
        <v>0.0330770000002758</v>
      </c>
      <c r="L76" s="257">
        <f>(TPCIL!I86-TPCIL!C86)+(TPCIL!P86-TPCIL!D86)</f>
        <v>0.000544999999988249</v>
      </c>
      <c r="M76" s="258">
        <f t="shared" si="16"/>
        <v>0.0336220000002641</v>
      </c>
      <c r="N76" s="159"/>
      <c r="O76" s="259">
        <f>IF(ISGS!G86-Entitlement!K80*(1-TPCIL!$L$11)&lt;0,0,ISGS!G86-Entitlement!K80*(1-TPCIL!$L$11))</f>
        <v>0</v>
      </c>
      <c r="P76" s="259">
        <f>IF(ISGS!O86-Entitlement!AH80*(1-TPCIL!$L$11)&lt;0,0,ISGS!O86-Entitlement!AH80*(1-TPCIL!$L$11))</f>
        <v>0.00382899999999609</v>
      </c>
      <c r="Q76" s="259">
        <f>IF(ISGS!P86-Entitlement!AK80*(1-TPCIL!$L$11)&lt;0,0,ISGS!P86-Entitlement!AK80*(1-TPCIL!$L$11))</f>
        <v>0</v>
      </c>
      <c r="R76" s="259">
        <f>IF(ISGS!U86-Entitlement!AZ80*(1-TPCIL!$L$11)&lt;0,0,ISGS!U86-Entitlement!AZ80*(1-TPCIL!$L$11))</f>
        <v>0</v>
      </c>
      <c r="S76" s="259">
        <f>IF(ISGS!Q86-Entitlement!AN80&lt;0,0,ISGS!Q86-Entitlement!AN80)</f>
        <v>0</v>
      </c>
      <c r="T76" s="259">
        <f>IF(ISGS!R86-Entitlement!AQ80*(1-TPCIL!$L$11)&lt;0,0,ISGS!R86-Entitlement!AQ80*(1-TPCIL!$L$11))</f>
        <v>0</v>
      </c>
      <c r="U76" s="259">
        <f>IF(ISGS!S86-Entitlement!AT80&lt;0,0,ISGS!S86-Entitlement!AT80)</f>
        <v>0</v>
      </c>
      <c r="V76" s="259">
        <f>IF(ISGS!K86-Entitlement!V80*(1-TPCIL!$L$11)&lt;0,0,ISGS!K86-Entitlement!V80*(1-TPCIL!$L$11))</f>
        <v>0.00499099999999686</v>
      </c>
      <c r="W76" s="259"/>
      <c r="X76" s="259">
        <f t="shared" si="11"/>
        <v>0.00881999999999294</v>
      </c>
      <c r="AA76" s="159"/>
    </row>
    <row r="77" ht="16.5" spans="1:27">
      <c r="A77" s="78">
        <v>75</v>
      </c>
      <c r="B77" s="78" t="s">
        <v>88</v>
      </c>
      <c r="C77" s="249">
        <f>Entitlement!BC81</f>
        <v>1619.17</v>
      </c>
      <c r="D77" s="250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51">
        <f t="shared" si="12"/>
        <v>1619.17</v>
      </c>
      <c r="F77" s="251">
        <f>ISGS!Q87</f>
        <v>216.14</v>
      </c>
      <c r="G77" s="251">
        <f t="shared" si="13"/>
        <v>1403.03</v>
      </c>
      <c r="H77" s="251">
        <f>G77*(1-TPCIL!$L$11)+F77</f>
        <v>1551.684257</v>
      </c>
      <c r="I77" s="31">
        <f t="shared" si="14"/>
        <v>1551.693077</v>
      </c>
      <c r="J77" s="250">
        <f>ISGS!V87</f>
        <v>1551.66</v>
      </c>
      <c r="K77" s="256">
        <f t="shared" si="15"/>
        <v>0.0330770000002758</v>
      </c>
      <c r="L77" s="257">
        <f>(TPCIL!I87-TPCIL!C87)+(TPCIL!P87-TPCIL!D87)</f>
        <v>0.000544999999988249</v>
      </c>
      <c r="M77" s="258">
        <f t="shared" si="16"/>
        <v>0.0336220000002641</v>
      </c>
      <c r="N77" s="159"/>
      <c r="O77" s="259">
        <f>IF(ISGS!G87-Entitlement!K81*(1-TPCIL!$L$11)&lt;0,0,ISGS!G87-Entitlement!K81*(1-TPCIL!$L$11))</f>
        <v>0</v>
      </c>
      <c r="P77" s="259">
        <f>IF(ISGS!O87-Entitlement!AH81*(1-TPCIL!$L$11)&lt;0,0,ISGS!O87-Entitlement!AH81*(1-TPCIL!$L$11))</f>
        <v>0.00382899999999609</v>
      </c>
      <c r="Q77" s="259">
        <f>IF(ISGS!P87-Entitlement!AK81*(1-TPCIL!$L$11)&lt;0,0,ISGS!P87-Entitlement!AK81*(1-TPCIL!$L$11))</f>
        <v>0</v>
      </c>
      <c r="R77" s="259">
        <f>IF(ISGS!U87-Entitlement!AZ81*(1-TPCIL!$L$11)&lt;0,0,ISGS!U87-Entitlement!AZ81*(1-TPCIL!$L$11))</f>
        <v>0</v>
      </c>
      <c r="S77" s="259">
        <f>IF(ISGS!Q87-Entitlement!AN81&lt;0,0,ISGS!Q87-Entitlement!AN81)</f>
        <v>0</v>
      </c>
      <c r="T77" s="259">
        <f>IF(ISGS!R87-Entitlement!AQ81*(1-TPCIL!$L$11)&lt;0,0,ISGS!R87-Entitlement!AQ81*(1-TPCIL!$L$11))</f>
        <v>0</v>
      </c>
      <c r="U77" s="259">
        <f>IF(ISGS!S87-Entitlement!AT81&lt;0,0,ISGS!S87-Entitlement!AT81)</f>
        <v>0</v>
      </c>
      <c r="V77" s="259">
        <f>IF(ISGS!K87-Entitlement!V81*(1-TPCIL!$L$11)&lt;0,0,ISGS!K87-Entitlement!V81*(1-TPCIL!$L$11))</f>
        <v>0.00499099999999686</v>
      </c>
      <c r="W77" s="259"/>
      <c r="X77" s="259">
        <f t="shared" si="11"/>
        <v>0.00881999999999294</v>
      </c>
      <c r="AA77" s="159"/>
    </row>
    <row r="78" ht="16.5" spans="1:27">
      <c r="A78" s="78">
        <v>76</v>
      </c>
      <c r="B78" s="78" t="s">
        <v>89</v>
      </c>
      <c r="C78" s="249">
        <f>Entitlement!BC82</f>
        <v>1619.17</v>
      </c>
      <c r="D78" s="250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51">
        <f t="shared" si="12"/>
        <v>1619.17</v>
      </c>
      <c r="F78" s="251">
        <f>ISGS!Q88</f>
        <v>216.14</v>
      </c>
      <c r="G78" s="251">
        <f t="shared" si="13"/>
        <v>1403.03</v>
      </c>
      <c r="H78" s="251">
        <f>G78*(1-TPCIL!$L$11)+F78</f>
        <v>1551.684257</v>
      </c>
      <c r="I78" s="31">
        <f t="shared" si="14"/>
        <v>1551.693077</v>
      </c>
      <c r="J78" s="250">
        <f>ISGS!V88</f>
        <v>1551.66</v>
      </c>
      <c r="K78" s="256">
        <f t="shared" si="15"/>
        <v>0.0330770000002758</v>
      </c>
      <c r="L78" s="257">
        <f>(TPCIL!I88-TPCIL!C88)+(TPCIL!P88-TPCIL!D88)</f>
        <v>0.000544999999988249</v>
      </c>
      <c r="M78" s="258">
        <f t="shared" si="16"/>
        <v>0.0336220000002641</v>
      </c>
      <c r="N78" s="159"/>
      <c r="O78" s="259">
        <f>IF(ISGS!G88-Entitlement!K82*(1-TPCIL!$L$11)&lt;0,0,ISGS!G88-Entitlement!K82*(1-TPCIL!$L$11))</f>
        <v>0</v>
      </c>
      <c r="P78" s="259">
        <f>IF(ISGS!O88-Entitlement!AH82*(1-TPCIL!$L$11)&lt;0,0,ISGS!O88-Entitlement!AH82*(1-TPCIL!$L$11))</f>
        <v>0.00382899999999609</v>
      </c>
      <c r="Q78" s="259">
        <f>IF(ISGS!P88-Entitlement!AK82*(1-TPCIL!$L$11)&lt;0,0,ISGS!P88-Entitlement!AK82*(1-TPCIL!$L$11))</f>
        <v>0</v>
      </c>
      <c r="R78" s="259">
        <f>IF(ISGS!U88-Entitlement!AZ82*(1-TPCIL!$L$11)&lt;0,0,ISGS!U88-Entitlement!AZ82*(1-TPCIL!$L$11))</f>
        <v>0</v>
      </c>
      <c r="S78" s="259">
        <f>IF(ISGS!Q88-Entitlement!AN82&lt;0,0,ISGS!Q88-Entitlement!AN82)</f>
        <v>0</v>
      </c>
      <c r="T78" s="259">
        <f>IF(ISGS!R88-Entitlement!AQ82*(1-TPCIL!$L$11)&lt;0,0,ISGS!R88-Entitlement!AQ82*(1-TPCIL!$L$11))</f>
        <v>0</v>
      </c>
      <c r="U78" s="259">
        <f>IF(ISGS!S88-Entitlement!AT82&lt;0,0,ISGS!S88-Entitlement!AT82)</f>
        <v>0</v>
      </c>
      <c r="V78" s="259">
        <f>IF(ISGS!K88-Entitlement!V82*(1-TPCIL!$L$11)&lt;0,0,ISGS!K88-Entitlement!V82*(1-TPCIL!$L$11))</f>
        <v>0.00499099999999686</v>
      </c>
      <c r="W78" s="259"/>
      <c r="X78" s="259">
        <f t="shared" si="11"/>
        <v>0.00881999999999294</v>
      </c>
      <c r="AA78" s="159"/>
    </row>
    <row r="79" ht="16.5" spans="1:27">
      <c r="A79" s="78">
        <v>77</v>
      </c>
      <c r="B79" s="78" t="s">
        <v>90</v>
      </c>
      <c r="C79" s="249">
        <f>Entitlement!BC83</f>
        <v>1620.89</v>
      </c>
      <c r="D79" s="250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51">
        <f t="shared" si="12"/>
        <v>1620.89</v>
      </c>
      <c r="F79" s="251">
        <f>ISGS!Q89</f>
        <v>216.14</v>
      </c>
      <c r="G79" s="251">
        <f t="shared" si="13"/>
        <v>1404.75</v>
      </c>
      <c r="H79" s="251">
        <f>G79*(1-TPCIL!$L$11)+F79</f>
        <v>1553.321525</v>
      </c>
      <c r="I79" s="31">
        <f t="shared" si="14"/>
        <v>1553.330345</v>
      </c>
      <c r="J79" s="250">
        <f>ISGS!V89</f>
        <v>1553.13</v>
      </c>
      <c r="K79" s="256">
        <f t="shared" si="15"/>
        <v>0.200344999999743</v>
      </c>
      <c r="L79" s="257">
        <f>(TPCIL!I89-TPCIL!C89)+(TPCIL!P89-TPCIL!D89)</f>
        <v>0.000544999999988249</v>
      </c>
      <c r="M79" s="258">
        <f t="shared" si="16"/>
        <v>0.200889999999731</v>
      </c>
      <c r="N79" s="159"/>
      <c r="O79" s="259">
        <f>IF(ISGS!G89-Entitlement!K83*(1-TPCIL!$L$11)&lt;0,0,ISGS!G89-Entitlement!K83*(1-TPCIL!$L$11))</f>
        <v>0</v>
      </c>
      <c r="P79" s="259">
        <f>IF(ISGS!O89-Entitlement!AH83*(1-TPCIL!$L$11)&lt;0,0,ISGS!O89-Entitlement!AH83*(1-TPCIL!$L$11))</f>
        <v>0.00382899999999609</v>
      </c>
      <c r="Q79" s="259">
        <f>IF(ISGS!P89-Entitlement!AK83*(1-TPCIL!$L$11)&lt;0,0,ISGS!P89-Entitlement!AK83*(1-TPCIL!$L$11))</f>
        <v>0</v>
      </c>
      <c r="R79" s="259">
        <f>IF(ISGS!U89-Entitlement!AZ83*(1-TPCIL!$L$11)&lt;0,0,ISGS!U89-Entitlement!AZ83*(1-TPCIL!$L$11))</f>
        <v>0</v>
      </c>
      <c r="S79" s="259">
        <f>IF(ISGS!Q89-Entitlement!AN83&lt;0,0,ISGS!Q89-Entitlement!AN83)</f>
        <v>0</v>
      </c>
      <c r="T79" s="259">
        <f>IF(ISGS!R89-Entitlement!AQ83*(1-TPCIL!$L$11)&lt;0,0,ISGS!R89-Entitlement!AQ83*(1-TPCIL!$L$11))</f>
        <v>0</v>
      </c>
      <c r="U79" s="259">
        <f>IF(ISGS!S89-Entitlement!AT83&lt;0,0,ISGS!S89-Entitlement!AT83)</f>
        <v>0</v>
      </c>
      <c r="V79" s="259">
        <f>IF(ISGS!K89-Entitlement!V83*(1-TPCIL!$L$11)&lt;0,0,ISGS!K89-Entitlement!V83*(1-TPCIL!$L$11))</f>
        <v>0.00499099999999686</v>
      </c>
      <c r="W79" s="259"/>
      <c r="X79" s="259">
        <f t="shared" si="11"/>
        <v>0.00881999999999294</v>
      </c>
      <c r="AA79" s="159"/>
    </row>
    <row r="80" ht="16.5" spans="1:27">
      <c r="A80" s="78">
        <v>78</v>
      </c>
      <c r="B80" s="78" t="s">
        <v>91</v>
      </c>
      <c r="C80" s="249">
        <f>Entitlement!BC84</f>
        <v>1620.89</v>
      </c>
      <c r="D80" s="250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51">
        <f t="shared" si="12"/>
        <v>1620.89</v>
      </c>
      <c r="F80" s="251">
        <f>ISGS!Q90</f>
        <v>216.14</v>
      </c>
      <c r="G80" s="251">
        <f t="shared" si="13"/>
        <v>1404.75</v>
      </c>
      <c r="H80" s="251">
        <f>G80*(1-TPCIL!$L$11)+F80</f>
        <v>1553.321525</v>
      </c>
      <c r="I80" s="31">
        <f t="shared" si="14"/>
        <v>1553.330345</v>
      </c>
      <c r="J80" s="250">
        <f>ISGS!V90</f>
        <v>1553.3</v>
      </c>
      <c r="K80" s="256">
        <f t="shared" si="15"/>
        <v>0.0303449999998975</v>
      </c>
      <c r="L80" s="257">
        <f>(TPCIL!I90-TPCIL!C90)+(TPCIL!P90-TPCIL!D90)</f>
        <v>0.000544999999988249</v>
      </c>
      <c r="M80" s="258">
        <f t="shared" si="16"/>
        <v>0.0308899999998857</v>
      </c>
      <c r="N80" s="159"/>
      <c r="O80" s="259">
        <f>IF(ISGS!G90-Entitlement!K84*(1-TPCIL!$L$11)&lt;0,0,ISGS!G90-Entitlement!K84*(1-TPCIL!$L$11))</f>
        <v>0</v>
      </c>
      <c r="P80" s="259">
        <f>IF(ISGS!O90-Entitlement!AH84*(1-TPCIL!$L$11)&lt;0,0,ISGS!O90-Entitlement!AH84*(1-TPCIL!$L$11))</f>
        <v>0.00382899999999609</v>
      </c>
      <c r="Q80" s="259">
        <f>IF(ISGS!P90-Entitlement!AK84*(1-TPCIL!$L$11)&lt;0,0,ISGS!P90-Entitlement!AK84*(1-TPCIL!$L$11))</f>
        <v>0</v>
      </c>
      <c r="R80" s="259">
        <f>IF(ISGS!U90-Entitlement!AZ84*(1-TPCIL!$L$11)&lt;0,0,ISGS!U90-Entitlement!AZ84*(1-TPCIL!$L$11))</f>
        <v>0</v>
      </c>
      <c r="S80" s="259">
        <f>IF(ISGS!Q90-Entitlement!AN84&lt;0,0,ISGS!Q90-Entitlement!AN84)</f>
        <v>0</v>
      </c>
      <c r="T80" s="259">
        <f>IF(ISGS!R90-Entitlement!AQ84*(1-TPCIL!$L$11)&lt;0,0,ISGS!R90-Entitlement!AQ84*(1-TPCIL!$L$11))</f>
        <v>0</v>
      </c>
      <c r="U80" s="259">
        <f>IF(ISGS!S90-Entitlement!AT84&lt;0,0,ISGS!S90-Entitlement!AT84)</f>
        <v>0</v>
      </c>
      <c r="V80" s="259">
        <f>IF(ISGS!K90-Entitlement!V84*(1-TPCIL!$L$11)&lt;0,0,ISGS!K90-Entitlement!V84*(1-TPCIL!$L$11))</f>
        <v>0.00499099999999686</v>
      </c>
      <c r="W80" s="259"/>
      <c r="X80" s="259">
        <f t="shared" si="11"/>
        <v>0.00881999999999294</v>
      </c>
      <c r="AA80" s="159"/>
    </row>
    <row r="81" ht="16.5" spans="1:27">
      <c r="A81" s="78">
        <v>79</v>
      </c>
      <c r="B81" s="78" t="s">
        <v>92</v>
      </c>
      <c r="C81" s="249">
        <f>Entitlement!BC85</f>
        <v>1620.89</v>
      </c>
      <c r="D81" s="250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51">
        <f t="shared" si="12"/>
        <v>1620.89</v>
      </c>
      <c r="F81" s="251">
        <f>ISGS!Q91</f>
        <v>216.14</v>
      </c>
      <c r="G81" s="251">
        <f t="shared" si="13"/>
        <v>1404.75</v>
      </c>
      <c r="H81" s="251">
        <f>G81*(1-TPCIL!$L$11)+F81</f>
        <v>1553.321525</v>
      </c>
      <c r="I81" s="31">
        <f t="shared" si="14"/>
        <v>1553.330345</v>
      </c>
      <c r="J81" s="250">
        <f>ISGS!V91</f>
        <v>1553.3</v>
      </c>
      <c r="K81" s="256">
        <f t="shared" si="15"/>
        <v>0.0303449999998975</v>
      </c>
      <c r="L81" s="257">
        <f>(TPCIL!I91-TPCIL!C91)+(TPCIL!P91-TPCIL!D91)</f>
        <v>0.000544999999988249</v>
      </c>
      <c r="M81" s="258">
        <f t="shared" si="16"/>
        <v>0.0308899999998857</v>
      </c>
      <c r="N81" s="159"/>
      <c r="O81" s="259">
        <f>IF(ISGS!G91-Entitlement!K85*(1-TPCIL!$L$11)&lt;0,0,ISGS!G91-Entitlement!K85*(1-TPCIL!$L$11))</f>
        <v>0</v>
      </c>
      <c r="P81" s="259">
        <f>IF(ISGS!O91-Entitlement!AH85*(1-TPCIL!$L$11)&lt;0,0,ISGS!O91-Entitlement!AH85*(1-TPCIL!$L$11))</f>
        <v>0.00382899999999609</v>
      </c>
      <c r="Q81" s="259">
        <f>IF(ISGS!P91-Entitlement!AK85*(1-TPCIL!$L$11)&lt;0,0,ISGS!P91-Entitlement!AK85*(1-TPCIL!$L$11))</f>
        <v>0</v>
      </c>
      <c r="R81" s="259">
        <f>IF(ISGS!U91-Entitlement!AZ85*(1-TPCIL!$L$11)&lt;0,0,ISGS!U91-Entitlement!AZ85*(1-TPCIL!$L$11))</f>
        <v>0</v>
      </c>
      <c r="S81" s="259">
        <f>IF(ISGS!Q91-Entitlement!AN85&lt;0,0,ISGS!Q91-Entitlement!AN85)</f>
        <v>0</v>
      </c>
      <c r="T81" s="259">
        <f>IF(ISGS!R91-Entitlement!AQ85*(1-TPCIL!$L$11)&lt;0,0,ISGS!R91-Entitlement!AQ85*(1-TPCIL!$L$11))</f>
        <v>0</v>
      </c>
      <c r="U81" s="259">
        <f>IF(ISGS!S91-Entitlement!AT85&lt;0,0,ISGS!S91-Entitlement!AT85)</f>
        <v>0</v>
      </c>
      <c r="V81" s="259">
        <f>IF(ISGS!K91-Entitlement!V85*(1-TPCIL!$L$11)&lt;0,0,ISGS!K91-Entitlement!V85*(1-TPCIL!$L$11))</f>
        <v>0.00499099999999686</v>
      </c>
      <c r="W81" s="259"/>
      <c r="X81" s="259">
        <f t="shared" si="11"/>
        <v>0.00881999999999294</v>
      </c>
      <c r="AA81" s="159"/>
    </row>
    <row r="82" ht="16.5" spans="1:27">
      <c r="A82" s="78">
        <v>80</v>
      </c>
      <c r="B82" s="78" t="s">
        <v>93</v>
      </c>
      <c r="C82" s="249">
        <f>Entitlement!BC86</f>
        <v>1620.89</v>
      </c>
      <c r="D82" s="250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51">
        <f t="shared" si="12"/>
        <v>1620.89</v>
      </c>
      <c r="F82" s="251">
        <f>ISGS!Q92</f>
        <v>216.14</v>
      </c>
      <c r="G82" s="251">
        <f t="shared" si="13"/>
        <v>1404.75</v>
      </c>
      <c r="H82" s="251">
        <f>G82*(1-TPCIL!$L$11)+F82</f>
        <v>1553.321525</v>
      </c>
      <c r="I82" s="31">
        <f t="shared" si="14"/>
        <v>1553.330345</v>
      </c>
      <c r="J82" s="250">
        <f>ISGS!V92</f>
        <v>1553.3</v>
      </c>
      <c r="K82" s="256">
        <f t="shared" si="15"/>
        <v>0.0303449999998975</v>
      </c>
      <c r="L82" s="257">
        <f>(TPCIL!I92-TPCIL!C92)+(TPCIL!P92-TPCIL!D92)</f>
        <v>0.000544999999988249</v>
      </c>
      <c r="M82" s="258">
        <f t="shared" si="16"/>
        <v>0.0308899999998857</v>
      </c>
      <c r="N82" s="159"/>
      <c r="O82" s="259">
        <f>IF(ISGS!G92-Entitlement!K86*(1-TPCIL!$L$11)&lt;0,0,ISGS!G92-Entitlement!K86*(1-TPCIL!$L$11))</f>
        <v>0</v>
      </c>
      <c r="P82" s="259">
        <f>IF(ISGS!O92-Entitlement!AH86*(1-TPCIL!$L$11)&lt;0,0,ISGS!O92-Entitlement!AH86*(1-TPCIL!$L$11))</f>
        <v>0.00382899999999609</v>
      </c>
      <c r="Q82" s="259">
        <f>IF(ISGS!P92-Entitlement!AK86*(1-TPCIL!$L$11)&lt;0,0,ISGS!P92-Entitlement!AK86*(1-TPCIL!$L$11))</f>
        <v>0</v>
      </c>
      <c r="R82" s="259">
        <f>IF(ISGS!U92-Entitlement!AZ86*(1-TPCIL!$L$11)&lt;0,0,ISGS!U92-Entitlement!AZ86*(1-TPCIL!$L$11))</f>
        <v>0</v>
      </c>
      <c r="S82" s="259">
        <f>IF(ISGS!Q92-Entitlement!AN86&lt;0,0,ISGS!Q92-Entitlement!AN86)</f>
        <v>0</v>
      </c>
      <c r="T82" s="259">
        <f>IF(ISGS!R92-Entitlement!AQ86*(1-TPCIL!$L$11)&lt;0,0,ISGS!R92-Entitlement!AQ86*(1-TPCIL!$L$11))</f>
        <v>0</v>
      </c>
      <c r="U82" s="259">
        <f>IF(ISGS!S92-Entitlement!AT86&lt;0,0,ISGS!S92-Entitlement!AT86)</f>
        <v>0</v>
      </c>
      <c r="V82" s="259">
        <f>IF(ISGS!K92-Entitlement!V86*(1-TPCIL!$L$11)&lt;0,0,ISGS!K92-Entitlement!V86*(1-TPCIL!$L$11))</f>
        <v>0.00499099999999686</v>
      </c>
      <c r="W82" s="259"/>
      <c r="X82" s="259">
        <f t="shared" si="11"/>
        <v>0.00881999999999294</v>
      </c>
      <c r="AA82" s="159"/>
    </row>
    <row r="83" ht="16.5" spans="1:27">
      <c r="A83" s="78">
        <v>81</v>
      </c>
      <c r="B83" s="78" t="s">
        <v>94</v>
      </c>
      <c r="C83" s="249">
        <f>Entitlement!BC87</f>
        <v>1620.89</v>
      </c>
      <c r="D83" s="250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51">
        <f t="shared" si="12"/>
        <v>1620.89</v>
      </c>
      <c r="F83" s="251">
        <f>ISGS!Q93</f>
        <v>216.14</v>
      </c>
      <c r="G83" s="251">
        <f t="shared" si="13"/>
        <v>1404.75</v>
      </c>
      <c r="H83" s="251">
        <f>G83*(1-TPCIL!$L$11)+F83</f>
        <v>1553.321525</v>
      </c>
      <c r="I83" s="31">
        <f t="shared" si="14"/>
        <v>1553.330345</v>
      </c>
      <c r="J83" s="250">
        <f>ISGS!V93</f>
        <v>1553.3</v>
      </c>
      <c r="K83" s="256">
        <f t="shared" si="15"/>
        <v>0.0303449999998975</v>
      </c>
      <c r="L83" s="257">
        <f>(TPCIL!I93-TPCIL!C93)+(TPCIL!P93-TPCIL!D93)</f>
        <v>0.000544999999988249</v>
      </c>
      <c r="M83" s="258">
        <f t="shared" si="16"/>
        <v>0.0308899999998857</v>
      </c>
      <c r="N83" s="159"/>
      <c r="O83" s="259">
        <f>IF(ISGS!G93-Entitlement!K87*(1-TPCIL!$L$11)&lt;0,0,ISGS!G93-Entitlement!K87*(1-TPCIL!$L$11))</f>
        <v>0</v>
      </c>
      <c r="P83" s="259">
        <f>IF(ISGS!O93-Entitlement!AH87*(1-TPCIL!$L$11)&lt;0,0,ISGS!O93-Entitlement!AH87*(1-TPCIL!$L$11))</f>
        <v>0.00382899999999609</v>
      </c>
      <c r="Q83" s="259">
        <f>IF(ISGS!P93-Entitlement!AK87*(1-TPCIL!$L$11)&lt;0,0,ISGS!P93-Entitlement!AK87*(1-TPCIL!$L$11))</f>
        <v>0</v>
      </c>
      <c r="R83" s="259">
        <f>IF(ISGS!U93-Entitlement!AZ87*(1-TPCIL!$L$11)&lt;0,0,ISGS!U93-Entitlement!AZ87*(1-TPCIL!$L$11))</f>
        <v>0</v>
      </c>
      <c r="S83" s="259">
        <f>IF(ISGS!Q93-Entitlement!AN87&lt;0,0,ISGS!Q93-Entitlement!AN87)</f>
        <v>0</v>
      </c>
      <c r="T83" s="259">
        <f>IF(ISGS!R93-Entitlement!AQ87*(1-TPCIL!$L$11)&lt;0,0,ISGS!R93-Entitlement!AQ87*(1-TPCIL!$L$11))</f>
        <v>0</v>
      </c>
      <c r="U83" s="259">
        <f>IF(ISGS!S93-Entitlement!AT87&lt;0,0,ISGS!S93-Entitlement!AT87)</f>
        <v>0</v>
      </c>
      <c r="V83" s="259">
        <f>IF(ISGS!K93-Entitlement!V87*(1-TPCIL!$L$11)&lt;0,0,ISGS!K93-Entitlement!V87*(1-TPCIL!$L$11))</f>
        <v>0.00499099999999686</v>
      </c>
      <c r="W83" s="259"/>
      <c r="X83" s="259">
        <f t="shared" si="11"/>
        <v>0.00881999999999294</v>
      </c>
      <c r="AA83" s="159"/>
    </row>
    <row r="84" ht="16.5" spans="1:27">
      <c r="A84" s="78">
        <v>82</v>
      </c>
      <c r="B84" s="78" t="s">
        <v>95</v>
      </c>
      <c r="C84" s="249">
        <f>Entitlement!BC88</f>
        <v>1620.89</v>
      </c>
      <c r="D84" s="250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51">
        <f t="shared" si="12"/>
        <v>1620.89</v>
      </c>
      <c r="F84" s="251">
        <f>ISGS!Q94</f>
        <v>216.14</v>
      </c>
      <c r="G84" s="251">
        <f t="shared" si="13"/>
        <v>1404.75</v>
      </c>
      <c r="H84" s="251">
        <f>G84*(1-TPCIL!$L$11)+F84</f>
        <v>1553.321525</v>
      </c>
      <c r="I84" s="31">
        <f t="shared" si="14"/>
        <v>1553.330345</v>
      </c>
      <c r="J84" s="250">
        <f>ISGS!V94</f>
        <v>1553.3</v>
      </c>
      <c r="K84" s="256">
        <f t="shared" si="15"/>
        <v>0.0303449999998975</v>
      </c>
      <c r="L84" s="257">
        <f>(TPCIL!I94-TPCIL!C94)+(TPCIL!P94-TPCIL!D94)</f>
        <v>0.000544999999988249</v>
      </c>
      <c r="M84" s="258">
        <f t="shared" si="16"/>
        <v>0.0308899999998857</v>
      </c>
      <c r="N84" s="159"/>
      <c r="O84" s="259">
        <f>IF(ISGS!G94-Entitlement!K88*(1-TPCIL!$L$11)&lt;0,0,ISGS!G94-Entitlement!K88*(1-TPCIL!$L$11))</f>
        <v>0</v>
      </c>
      <c r="P84" s="259">
        <f>IF(ISGS!O94-Entitlement!AH88*(1-TPCIL!$L$11)&lt;0,0,ISGS!O94-Entitlement!AH88*(1-TPCIL!$L$11))</f>
        <v>0.00382899999999609</v>
      </c>
      <c r="Q84" s="259">
        <f>IF(ISGS!P94-Entitlement!AK88*(1-TPCIL!$L$11)&lt;0,0,ISGS!P94-Entitlement!AK88*(1-TPCIL!$L$11))</f>
        <v>0</v>
      </c>
      <c r="R84" s="259">
        <f>IF(ISGS!U94-Entitlement!AZ88*(1-TPCIL!$L$11)&lt;0,0,ISGS!U94-Entitlement!AZ88*(1-TPCIL!$L$11))</f>
        <v>0</v>
      </c>
      <c r="S84" s="259">
        <f>IF(ISGS!Q94-Entitlement!AN88&lt;0,0,ISGS!Q94-Entitlement!AN88)</f>
        <v>0</v>
      </c>
      <c r="T84" s="259">
        <f>IF(ISGS!R94-Entitlement!AQ88*(1-TPCIL!$L$11)&lt;0,0,ISGS!R94-Entitlement!AQ88*(1-TPCIL!$L$11))</f>
        <v>0</v>
      </c>
      <c r="U84" s="259">
        <f>IF(ISGS!S94-Entitlement!AT88&lt;0,0,ISGS!S94-Entitlement!AT88)</f>
        <v>0</v>
      </c>
      <c r="V84" s="259">
        <f>IF(ISGS!K94-Entitlement!V88*(1-TPCIL!$L$11)&lt;0,0,ISGS!K94-Entitlement!V88*(1-TPCIL!$L$11))</f>
        <v>0.00499099999999686</v>
      </c>
      <c r="W84" s="259"/>
      <c r="X84" s="259">
        <f t="shared" si="11"/>
        <v>0.00881999999999294</v>
      </c>
      <c r="AA84" s="159"/>
    </row>
    <row r="85" ht="16.5" spans="1:27">
      <c r="A85" s="78">
        <v>83</v>
      </c>
      <c r="B85" s="78" t="s">
        <v>96</v>
      </c>
      <c r="C85" s="249">
        <f>Entitlement!BC89</f>
        <v>1621.32</v>
      </c>
      <c r="D85" s="250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51">
        <f t="shared" si="12"/>
        <v>1621.32</v>
      </c>
      <c r="F85" s="251">
        <f>ISGS!Q95</f>
        <v>216.14</v>
      </c>
      <c r="G85" s="251">
        <f t="shared" si="13"/>
        <v>1405.18</v>
      </c>
      <c r="H85" s="251">
        <f>G85*(1-TPCIL!$L$11)+F85</f>
        <v>1553.730842</v>
      </c>
      <c r="I85" s="31">
        <f t="shared" si="14"/>
        <v>1553.739662</v>
      </c>
      <c r="J85" s="250">
        <f>ISGS!V95</f>
        <v>1471.26</v>
      </c>
      <c r="K85" s="256">
        <f t="shared" si="15"/>
        <v>82.479662</v>
      </c>
      <c r="L85" s="257">
        <f>(TPCIL!I95-TPCIL!C95)+(TPCIL!P95-TPCIL!D95)</f>
        <v>0.000544999999988249</v>
      </c>
      <c r="M85" s="258">
        <f t="shared" si="16"/>
        <v>82.480207</v>
      </c>
      <c r="N85" s="159"/>
      <c r="O85" s="259">
        <f>IF(ISGS!G95-Entitlement!K89*(1-TPCIL!$L$11)&lt;0,0,ISGS!G95-Entitlement!K89*(1-TPCIL!$L$11))</f>
        <v>0</v>
      </c>
      <c r="P85" s="259">
        <f>IF(ISGS!O95-Entitlement!AH89*(1-TPCIL!$L$11)&lt;0,0,ISGS!O95-Entitlement!AH89*(1-TPCIL!$L$11))</f>
        <v>0.00382899999999609</v>
      </c>
      <c r="Q85" s="259">
        <f>IF(ISGS!P95-Entitlement!AK89*(1-TPCIL!$L$11)&lt;0,0,ISGS!P95-Entitlement!AK89*(1-TPCIL!$L$11))</f>
        <v>0</v>
      </c>
      <c r="R85" s="259">
        <f>IF(ISGS!U95-Entitlement!AZ89*(1-TPCIL!$L$11)&lt;0,0,ISGS!U95-Entitlement!AZ89*(1-TPCIL!$L$11))</f>
        <v>0</v>
      </c>
      <c r="S85" s="259">
        <f>IF(ISGS!Q95-Entitlement!AN89&lt;0,0,ISGS!Q95-Entitlement!AN89)</f>
        <v>0</v>
      </c>
      <c r="T85" s="259">
        <f>IF(ISGS!R95-Entitlement!AQ89*(1-TPCIL!$L$11)&lt;0,0,ISGS!R95-Entitlement!AQ89*(1-TPCIL!$L$11))</f>
        <v>0</v>
      </c>
      <c r="U85" s="259">
        <f>IF(ISGS!S95-Entitlement!AT89&lt;0,0,ISGS!S95-Entitlement!AT89)</f>
        <v>0</v>
      </c>
      <c r="V85" s="259">
        <f>IF(ISGS!K95-Entitlement!V89*(1-TPCIL!$L$11)&lt;0,0,ISGS!K95-Entitlement!V89*(1-TPCIL!$L$11))</f>
        <v>0.00499099999999686</v>
      </c>
      <c r="W85" s="259"/>
      <c r="X85" s="259">
        <f t="shared" si="11"/>
        <v>0.00881999999999294</v>
      </c>
      <c r="AA85" s="159"/>
    </row>
    <row r="86" ht="16.5" spans="1:27">
      <c r="A86" s="78">
        <v>84</v>
      </c>
      <c r="B86" s="78" t="s">
        <v>97</v>
      </c>
      <c r="C86" s="249">
        <f>Entitlement!BC90</f>
        <v>1621.32</v>
      </c>
      <c r="D86" s="250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51">
        <f t="shared" si="12"/>
        <v>1621.32</v>
      </c>
      <c r="F86" s="251">
        <f>ISGS!Q96</f>
        <v>216.14</v>
      </c>
      <c r="G86" s="251">
        <f t="shared" si="13"/>
        <v>1405.18</v>
      </c>
      <c r="H86" s="251">
        <f>G86*(1-TPCIL!$L$11)+F86</f>
        <v>1553.730842</v>
      </c>
      <c r="I86" s="31">
        <f t="shared" si="14"/>
        <v>1553.739662</v>
      </c>
      <c r="J86" s="250">
        <f>ISGS!V96</f>
        <v>1430.69</v>
      </c>
      <c r="K86" s="256">
        <f t="shared" si="15"/>
        <v>123.049662</v>
      </c>
      <c r="L86" s="257">
        <f>(TPCIL!I96-TPCIL!C96)+(TPCIL!P96-TPCIL!D96)</f>
        <v>0.000544999999988249</v>
      </c>
      <c r="M86" s="258">
        <f t="shared" si="16"/>
        <v>123.050207</v>
      </c>
      <c r="N86" s="159"/>
      <c r="O86" s="259">
        <f>IF(ISGS!G96-Entitlement!K90*(1-TPCIL!$L$11)&lt;0,0,ISGS!G96-Entitlement!K90*(1-TPCIL!$L$11))</f>
        <v>0</v>
      </c>
      <c r="P86" s="259">
        <f>IF(ISGS!O96-Entitlement!AH90*(1-TPCIL!$L$11)&lt;0,0,ISGS!O96-Entitlement!AH90*(1-TPCIL!$L$11))</f>
        <v>0.00382899999999609</v>
      </c>
      <c r="Q86" s="259">
        <f>IF(ISGS!P96-Entitlement!AK90*(1-TPCIL!$L$11)&lt;0,0,ISGS!P96-Entitlement!AK90*(1-TPCIL!$L$11))</f>
        <v>0</v>
      </c>
      <c r="R86" s="259">
        <f>IF(ISGS!U96-Entitlement!AZ90*(1-TPCIL!$L$11)&lt;0,0,ISGS!U96-Entitlement!AZ90*(1-TPCIL!$L$11))</f>
        <v>0</v>
      </c>
      <c r="S86" s="259">
        <f>IF(ISGS!Q96-Entitlement!AN90&lt;0,0,ISGS!Q96-Entitlement!AN90)</f>
        <v>0</v>
      </c>
      <c r="T86" s="259">
        <f>IF(ISGS!R96-Entitlement!AQ90*(1-TPCIL!$L$11)&lt;0,0,ISGS!R96-Entitlement!AQ90*(1-TPCIL!$L$11))</f>
        <v>0</v>
      </c>
      <c r="U86" s="259">
        <f>IF(ISGS!S96-Entitlement!AT90&lt;0,0,ISGS!S96-Entitlement!AT90)</f>
        <v>0</v>
      </c>
      <c r="V86" s="259">
        <f>IF(ISGS!K96-Entitlement!V90*(1-TPCIL!$L$11)&lt;0,0,ISGS!K96-Entitlement!V90*(1-TPCIL!$L$11))</f>
        <v>0.00499099999999686</v>
      </c>
      <c r="W86" s="259"/>
      <c r="X86" s="259">
        <f t="shared" si="11"/>
        <v>0.00881999999999294</v>
      </c>
      <c r="AA86" s="159"/>
    </row>
    <row r="87" ht="16.5" spans="1:27">
      <c r="A87" s="78">
        <v>85</v>
      </c>
      <c r="B87" s="78" t="s">
        <v>98</v>
      </c>
      <c r="C87" s="249">
        <f>Entitlement!BC91</f>
        <v>1621.32</v>
      </c>
      <c r="D87" s="250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51">
        <f t="shared" si="12"/>
        <v>1621.32</v>
      </c>
      <c r="F87" s="251">
        <f>ISGS!Q97</f>
        <v>216.14</v>
      </c>
      <c r="G87" s="251">
        <f t="shared" si="13"/>
        <v>1405.18</v>
      </c>
      <c r="H87" s="251">
        <f>G87*(1-TPCIL!$L$11)+F87</f>
        <v>1553.730842</v>
      </c>
      <c r="I87" s="31">
        <f t="shared" si="14"/>
        <v>1553.739662</v>
      </c>
      <c r="J87" s="250">
        <f>ISGS!V97</f>
        <v>1430.69</v>
      </c>
      <c r="K87" s="256">
        <f t="shared" si="15"/>
        <v>123.049662</v>
      </c>
      <c r="L87" s="257">
        <f>(TPCIL!I97-TPCIL!C97)+(TPCIL!P97-TPCIL!D97)</f>
        <v>0.000544999999988249</v>
      </c>
      <c r="M87" s="258">
        <f t="shared" si="16"/>
        <v>123.050207</v>
      </c>
      <c r="N87" s="159"/>
      <c r="O87" s="259">
        <f>IF(ISGS!G97-Entitlement!K91*(1-TPCIL!$L$11)&lt;0,0,ISGS!G97-Entitlement!K91*(1-TPCIL!$L$11))</f>
        <v>0</v>
      </c>
      <c r="P87" s="259">
        <f>IF(ISGS!O97-Entitlement!AH91*(1-TPCIL!$L$11)&lt;0,0,ISGS!O97-Entitlement!AH91*(1-TPCIL!$L$11))</f>
        <v>0.00382899999999609</v>
      </c>
      <c r="Q87" s="259">
        <f>IF(ISGS!P97-Entitlement!AK91*(1-TPCIL!$L$11)&lt;0,0,ISGS!P97-Entitlement!AK91*(1-TPCIL!$L$11))</f>
        <v>0</v>
      </c>
      <c r="R87" s="259">
        <f>IF(ISGS!U97-Entitlement!AZ91*(1-TPCIL!$L$11)&lt;0,0,ISGS!U97-Entitlement!AZ91*(1-TPCIL!$L$11))</f>
        <v>0</v>
      </c>
      <c r="S87" s="259">
        <f>IF(ISGS!Q97-Entitlement!AN91&lt;0,0,ISGS!Q97-Entitlement!AN91)</f>
        <v>0</v>
      </c>
      <c r="T87" s="259">
        <f>IF(ISGS!R97-Entitlement!AQ91*(1-TPCIL!$L$11)&lt;0,0,ISGS!R97-Entitlement!AQ91*(1-TPCIL!$L$11))</f>
        <v>0</v>
      </c>
      <c r="U87" s="259">
        <f>IF(ISGS!S97-Entitlement!AT91&lt;0,0,ISGS!S97-Entitlement!AT91)</f>
        <v>0</v>
      </c>
      <c r="V87" s="259">
        <f>IF(ISGS!K97-Entitlement!V91*(1-TPCIL!$L$11)&lt;0,0,ISGS!K97-Entitlement!V91*(1-TPCIL!$L$11))</f>
        <v>0.00499099999999686</v>
      </c>
      <c r="W87" s="259"/>
      <c r="X87" s="259">
        <f t="shared" si="11"/>
        <v>0.00881999999999294</v>
      </c>
      <c r="AA87" s="159"/>
    </row>
    <row r="88" ht="16.5" spans="1:27">
      <c r="A88" s="78">
        <v>86</v>
      </c>
      <c r="B88" s="78" t="s">
        <v>99</v>
      </c>
      <c r="C88" s="249">
        <f>Entitlement!BC92</f>
        <v>1621.32</v>
      </c>
      <c r="D88" s="250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51">
        <f t="shared" si="12"/>
        <v>1621.32</v>
      </c>
      <c r="F88" s="251">
        <f>ISGS!Q98</f>
        <v>216.14</v>
      </c>
      <c r="G88" s="251">
        <f t="shared" si="13"/>
        <v>1405.18</v>
      </c>
      <c r="H88" s="251">
        <f>G88*(1-TPCIL!$L$11)+F88</f>
        <v>1553.730842</v>
      </c>
      <c r="I88" s="31">
        <f t="shared" si="14"/>
        <v>1553.739662</v>
      </c>
      <c r="J88" s="250">
        <f>ISGS!V98</f>
        <v>1430.69</v>
      </c>
      <c r="K88" s="256">
        <f t="shared" si="15"/>
        <v>123.049662</v>
      </c>
      <c r="L88" s="257">
        <f>(TPCIL!I98-TPCIL!C98)+(TPCIL!P98-TPCIL!D98)</f>
        <v>0.000544999999988249</v>
      </c>
      <c r="M88" s="258">
        <f t="shared" si="16"/>
        <v>123.050207</v>
      </c>
      <c r="N88" s="159"/>
      <c r="O88" s="259">
        <f>IF(ISGS!G98-Entitlement!K92*(1-TPCIL!$L$11)&lt;0,0,ISGS!G98-Entitlement!K92*(1-TPCIL!$L$11))</f>
        <v>0</v>
      </c>
      <c r="P88" s="259">
        <f>IF(ISGS!O98-Entitlement!AH92*(1-TPCIL!$L$11)&lt;0,0,ISGS!O98-Entitlement!AH92*(1-TPCIL!$L$11))</f>
        <v>0.00382899999999609</v>
      </c>
      <c r="Q88" s="259">
        <f>IF(ISGS!P98-Entitlement!AK92*(1-TPCIL!$L$11)&lt;0,0,ISGS!P98-Entitlement!AK92*(1-TPCIL!$L$11))</f>
        <v>0</v>
      </c>
      <c r="R88" s="259">
        <f>IF(ISGS!U98-Entitlement!AZ92*(1-TPCIL!$L$11)&lt;0,0,ISGS!U98-Entitlement!AZ92*(1-TPCIL!$L$11))</f>
        <v>0</v>
      </c>
      <c r="S88" s="259">
        <f>IF(ISGS!Q98-Entitlement!AN92&lt;0,0,ISGS!Q98-Entitlement!AN92)</f>
        <v>0</v>
      </c>
      <c r="T88" s="259">
        <f>IF(ISGS!R98-Entitlement!AQ92*(1-TPCIL!$L$11)&lt;0,0,ISGS!R98-Entitlement!AQ92*(1-TPCIL!$L$11))</f>
        <v>0</v>
      </c>
      <c r="U88" s="259">
        <f>IF(ISGS!S98-Entitlement!AT92&lt;0,0,ISGS!S98-Entitlement!AT92)</f>
        <v>0</v>
      </c>
      <c r="V88" s="259">
        <f>IF(ISGS!K98-Entitlement!V92*(1-TPCIL!$L$11)&lt;0,0,ISGS!K98-Entitlement!V92*(1-TPCIL!$L$11))</f>
        <v>0.00499099999999686</v>
      </c>
      <c r="W88" s="259"/>
      <c r="X88" s="259">
        <f t="shared" si="11"/>
        <v>0.00881999999999294</v>
      </c>
      <c r="AA88" s="159"/>
    </row>
    <row r="89" ht="16.5" spans="1:27">
      <c r="A89" s="78">
        <v>87</v>
      </c>
      <c r="B89" s="78" t="s">
        <v>100</v>
      </c>
      <c r="C89" s="249">
        <f>Entitlement!BC93</f>
        <v>1625.1</v>
      </c>
      <c r="D89" s="250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51">
        <f t="shared" si="12"/>
        <v>1625.1</v>
      </c>
      <c r="F89" s="251">
        <f>ISGS!Q99</f>
        <v>216.14</v>
      </c>
      <c r="G89" s="251">
        <f t="shared" si="13"/>
        <v>1408.96</v>
      </c>
      <c r="H89" s="251">
        <f>G89*(1-TPCIL!$L$11)+F89</f>
        <v>1557.329024</v>
      </c>
      <c r="I89" s="31">
        <f t="shared" si="14"/>
        <v>1557.337844</v>
      </c>
      <c r="J89" s="250">
        <f>ISGS!V99</f>
        <v>1439.04</v>
      </c>
      <c r="K89" s="256">
        <f t="shared" si="15"/>
        <v>118.297844</v>
      </c>
      <c r="L89" s="257">
        <f>(TPCIL!I99-TPCIL!C99)+(TPCIL!P99-TPCIL!D99)</f>
        <v>0.000544999999988249</v>
      </c>
      <c r="M89" s="258">
        <f t="shared" si="16"/>
        <v>118.298389</v>
      </c>
      <c r="N89" s="159"/>
      <c r="O89" s="259">
        <f>IF(ISGS!G99-Entitlement!K93*(1-TPCIL!$L$11)&lt;0,0,ISGS!G99-Entitlement!K93*(1-TPCIL!$L$11))</f>
        <v>0</v>
      </c>
      <c r="P89" s="259">
        <f>IF(ISGS!O99-Entitlement!AH93*(1-TPCIL!$L$11)&lt;0,0,ISGS!O99-Entitlement!AH93*(1-TPCIL!$L$11))</f>
        <v>0.00382899999999609</v>
      </c>
      <c r="Q89" s="259">
        <f>IF(ISGS!P99-Entitlement!AK93*(1-TPCIL!$L$11)&lt;0,0,ISGS!P99-Entitlement!AK93*(1-TPCIL!$L$11))</f>
        <v>0</v>
      </c>
      <c r="R89" s="259">
        <f>IF(ISGS!U99-Entitlement!AZ93*(1-TPCIL!$L$11)&lt;0,0,ISGS!U99-Entitlement!AZ93*(1-TPCIL!$L$11))</f>
        <v>0</v>
      </c>
      <c r="S89" s="259">
        <f>IF(ISGS!Q99-Entitlement!AN93&lt;0,0,ISGS!Q99-Entitlement!AN93)</f>
        <v>0</v>
      </c>
      <c r="T89" s="259">
        <f>IF(ISGS!R99-Entitlement!AQ93*(1-TPCIL!$L$11)&lt;0,0,ISGS!R99-Entitlement!AQ93*(1-TPCIL!$L$11))</f>
        <v>0</v>
      </c>
      <c r="U89" s="259">
        <f>IF(ISGS!S99-Entitlement!AT93&lt;0,0,ISGS!S99-Entitlement!AT93)</f>
        <v>0</v>
      </c>
      <c r="V89" s="259">
        <f>IF(ISGS!K99-Entitlement!V93*(1-TPCIL!$L$11)&lt;0,0,ISGS!K99-Entitlement!V93*(1-TPCIL!$L$11))</f>
        <v>0.00499099999999686</v>
      </c>
      <c r="W89" s="259"/>
      <c r="X89" s="259">
        <f t="shared" si="11"/>
        <v>0.00881999999999294</v>
      </c>
      <c r="AA89" s="159"/>
    </row>
    <row r="90" ht="16.5" spans="1:27">
      <c r="A90" s="78">
        <v>88</v>
      </c>
      <c r="B90" s="78" t="s">
        <v>101</v>
      </c>
      <c r="C90" s="249">
        <f>Entitlement!BC94</f>
        <v>1625.1</v>
      </c>
      <c r="D90" s="250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51">
        <f t="shared" si="12"/>
        <v>1625.1</v>
      </c>
      <c r="F90" s="251">
        <f>ISGS!Q100</f>
        <v>216.14</v>
      </c>
      <c r="G90" s="251">
        <f t="shared" si="13"/>
        <v>1408.96</v>
      </c>
      <c r="H90" s="251">
        <f>G90*(1-TPCIL!$L$11)+F90</f>
        <v>1557.329024</v>
      </c>
      <c r="I90" s="31">
        <f t="shared" si="14"/>
        <v>1557.337844</v>
      </c>
      <c r="J90" s="250">
        <f>ISGS!V100</f>
        <v>1294.4</v>
      </c>
      <c r="K90" s="256">
        <f t="shared" si="15"/>
        <v>262.937844</v>
      </c>
      <c r="L90" s="257">
        <f>(TPCIL!I100-TPCIL!C100)+(TPCIL!P100-TPCIL!D100)</f>
        <v>0.000544999999988249</v>
      </c>
      <c r="M90" s="258">
        <f t="shared" si="16"/>
        <v>262.938389</v>
      </c>
      <c r="N90" s="159"/>
      <c r="O90" s="259">
        <f>IF(ISGS!G100-Entitlement!K94*(1-TPCIL!$L$11)&lt;0,0,ISGS!G100-Entitlement!K94*(1-TPCIL!$L$11))</f>
        <v>0</v>
      </c>
      <c r="P90" s="259">
        <f>IF(ISGS!O100-Entitlement!AH94*(1-TPCIL!$L$11)&lt;0,0,ISGS!O100-Entitlement!AH94*(1-TPCIL!$L$11))</f>
        <v>0.00382899999999609</v>
      </c>
      <c r="Q90" s="259">
        <f>IF(ISGS!P100-Entitlement!AK94*(1-TPCIL!$L$11)&lt;0,0,ISGS!P100-Entitlement!AK94*(1-TPCIL!$L$11))</f>
        <v>0</v>
      </c>
      <c r="R90" s="259">
        <f>IF(ISGS!U100-Entitlement!AZ94*(1-TPCIL!$L$11)&lt;0,0,ISGS!U100-Entitlement!AZ94*(1-TPCIL!$L$11))</f>
        <v>0</v>
      </c>
      <c r="S90" s="259">
        <f>IF(ISGS!Q100-Entitlement!AN94&lt;0,0,ISGS!Q100-Entitlement!AN94)</f>
        <v>0</v>
      </c>
      <c r="T90" s="259">
        <f>IF(ISGS!R100-Entitlement!AQ94*(1-TPCIL!$L$11)&lt;0,0,ISGS!R100-Entitlement!AQ94*(1-TPCIL!$L$11))</f>
        <v>0</v>
      </c>
      <c r="U90" s="259">
        <f>IF(ISGS!S100-Entitlement!AT94&lt;0,0,ISGS!S100-Entitlement!AT94)</f>
        <v>0</v>
      </c>
      <c r="V90" s="259">
        <f>IF(ISGS!K100-Entitlement!V94*(1-TPCIL!$L$11)&lt;0,0,ISGS!K100-Entitlement!V94*(1-TPCIL!$L$11))</f>
        <v>0.00499099999999686</v>
      </c>
      <c r="W90" s="259"/>
      <c r="X90" s="259">
        <f t="shared" si="11"/>
        <v>0.00881999999999294</v>
      </c>
      <c r="AA90" s="159"/>
    </row>
    <row r="91" ht="16.5" spans="1:27">
      <c r="A91" s="78">
        <v>89</v>
      </c>
      <c r="B91" s="78" t="s">
        <v>102</v>
      </c>
      <c r="C91" s="249">
        <f>Entitlement!BC95</f>
        <v>1630.83</v>
      </c>
      <c r="D91" s="250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51">
        <f t="shared" si="12"/>
        <v>1630.83</v>
      </c>
      <c r="F91" s="251">
        <f>ISGS!Q101</f>
        <v>216.14</v>
      </c>
      <c r="G91" s="251">
        <f t="shared" si="13"/>
        <v>1414.69</v>
      </c>
      <c r="H91" s="251">
        <f>G91*(1-TPCIL!$L$11)+F91</f>
        <v>1562.783411</v>
      </c>
      <c r="I91" s="31">
        <f t="shared" si="14"/>
        <v>1562.78724</v>
      </c>
      <c r="J91" s="250">
        <f>ISGS!V101</f>
        <v>1203.36</v>
      </c>
      <c r="K91" s="256">
        <f t="shared" si="15"/>
        <v>359.42724</v>
      </c>
      <c r="L91" s="257">
        <f>(TPCIL!I101-TPCIL!C101)+(TPCIL!P101-TPCIL!D101)</f>
        <v>0.000544999999988249</v>
      </c>
      <c r="M91" s="258">
        <f t="shared" si="16"/>
        <v>359.427785</v>
      </c>
      <c r="N91" s="159"/>
      <c r="O91" s="259">
        <f>IF(ISGS!G101-Entitlement!K95*(1-TPCIL!$L$11)&lt;0,0,ISGS!G101-Entitlement!K95*(1-TPCIL!$L$11))</f>
        <v>0</v>
      </c>
      <c r="P91" s="259">
        <f>IF(ISGS!O101-Entitlement!AH95*(1-TPCIL!$L$11)&lt;0,0,ISGS!O101-Entitlement!AH95*(1-TPCIL!$L$11))</f>
        <v>0.00382899999999609</v>
      </c>
      <c r="Q91" s="259">
        <f>IF(ISGS!P101-Entitlement!AK95*(1-TPCIL!$L$11)&lt;0,0,ISGS!P101-Entitlement!AK95*(1-TPCIL!$L$11))</f>
        <v>0</v>
      </c>
      <c r="R91" s="259">
        <f>IF(ISGS!U101-Entitlement!AZ95*(1-TPCIL!$L$11)&lt;0,0,ISGS!U101-Entitlement!AZ95*(1-TPCIL!$L$11))</f>
        <v>0</v>
      </c>
      <c r="S91" s="259">
        <f>IF(ISGS!Q101-Entitlement!AN95&lt;0,0,ISGS!Q101-Entitlement!AN95)</f>
        <v>0</v>
      </c>
      <c r="T91" s="259">
        <f>IF(ISGS!R101-Entitlement!AQ95*(1-TPCIL!$L$11)&lt;0,0,ISGS!R101-Entitlement!AQ95*(1-TPCIL!$L$11))</f>
        <v>0</v>
      </c>
      <c r="U91" s="259">
        <f>IF(ISGS!S101-Entitlement!AT95&lt;0,0,ISGS!S101-Entitlement!AT95)</f>
        <v>0</v>
      </c>
      <c r="V91" s="259">
        <f>IF(ISGS!K101-Entitlement!V95*(1-TPCIL!$L$11)&lt;0,0,ISGS!K101-Entitlement!V95*(1-TPCIL!$L$11))</f>
        <v>0</v>
      </c>
      <c r="W91" s="259"/>
      <c r="X91" s="259">
        <f t="shared" si="11"/>
        <v>0.00382899999999609</v>
      </c>
      <c r="AA91" s="159"/>
    </row>
    <row r="92" ht="16.5" spans="1:27">
      <c r="A92" s="78">
        <v>90</v>
      </c>
      <c r="B92" s="78" t="s">
        <v>103</v>
      </c>
      <c r="C92" s="249">
        <f>Entitlement!BC96</f>
        <v>1630.83</v>
      </c>
      <c r="D92" s="250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51">
        <f t="shared" si="12"/>
        <v>1630.83</v>
      </c>
      <c r="F92" s="251">
        <f>ISGS!Q102</f>
        <v>216.14</v>
      </c>
      <c r="G92" s="251">
        <f t="shared" si="13"/>
        <v>1414.69</v>
      </c>
      <c r="H92" s="251">
        <f>G92*(1-TPCIL!$L$11)+F92</f>
        <v>1562.783411</v>
      </c>
      <c r="I92" s="31">
        <f t="shared" si="14"/>
        <v>1562.78724</v>
      </c>
      <c r="J92" s="250">
        <f>ISGS!V102</f>
        <v>1145.81</v>
      </c>
      <c r="K92" s="256">
        <f t="shared" si="15"/>
        <v>416.97724</v>
      </c>
      <c r="L92" s="257">
        <f>(TPCIL!I102-TPCIL!C102)+(TPCIL!P102-TPCIL!D102)</f>
        <v>0.000544999999988249</v>
      </c>
      <c r="M92" s="258">
        <f t="shared" si="16"/>
        <v>416.977785</v>
      </c>
      <c r="N92" s="159"/>
      <c r="O92" s="259">
        <f>IF(ISGS!G102-Entitlement!K96*(1-TPCIL!$L$11)&lt;0,0,ISGS!G102-Entitlement!K96*(1-TPCIL!$L$11))</f>
        <v>0</v>
      </c>
      <c r="P92" s="259">
        <f>IF(ISGS!O102-Entitlement!AH96*(1-TPCIL!$L$11)&lt;0,0,ISGS!O102-Entitlement!AH96*(1-TPCIL!$L$11))</f>
        <v>0.00382899999999609</v>
      </c>
      <c r="Q92" s="259">
        <f>IF(ISGS!P102-Entitlement!AK96*(1-TPCIL!$L$11)&lt;0,0,ISGS!P102-Entitlement!AK96*(1-TPCIL!$L$11))</f>
        <v>0</v>
      </c>
      <c r="R92" s="259">
        <f>IF(ISGS!U102-Entitlement!AZ96*(1-TPCIL!$L$11)&lt;0,0,ISGS!U102-Entitlement!AZ96*(1-TPCIL!$L$11))</f>
        <v>0</v>
      </c>
      <c r="S92" s="259">
        <f>IF(ISGS!Q102-Entitlement!AN96&lt;0,0,ISGS!Q102-Entitlement!AN96)</f>
        <v>0</v>
      </c>
      <c r="T92" s="259">
        <f>IF(ISGS!R102-Entitlement!AQ96*(1-TPCIL!$L$11)&lt;0,0,ISGS!R102-Entitlement!AQ96*(1-TPCIL!$L$11))</f>
        <v>0</v>
      </c>
      <c r="U92" s="259">
        <f>IF(ISGS!S102-Entitlement!AT96&lt;0,0,ISGS!S102-Entitlement!AT96)</f>
        <v>0</v>
      </c>
      <c r="V92" s="259">
        <f>IF(ISGS!K102-Entitlement!V96*(1-TPCIL!$L$11)&lt;0,0,ISGS!K102-Entitlement!V96*(1-TPCIL!$L$11))</f>
        <v>0</v>
      </c>
      <c r="W92" s="259"/>
      <c r="X92" s="259">
        <f t="shared" si="11"/>
        <v>0.00382899999999609</v>
      </c>
      <c r="AA92" s="159"/>
    </row>
    <row r="93" ht="16.5" spans="1:27">
      <c r="A93" s="78">
        <v>91</v>
      </c>
      <c r="B93" s="78" t="s">
        <v>104</v>
      </c>
      <c r="C93" s="249">
        <f>Entitlement!BC97</f>
        <v>1630.83</v>
      </c>
      <c r="D93" s="250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51">
        <f t="shared" si="12"/>
        <v>1630.83</v>
      </c>
      <c r="F93" s="251">
        <f>ISGS!Q103</f>
        <v>216.14</v>
      </c>
      <c r="G93" s="251">
        <f t="shared" si="13"/>
        <v>1414.69</v>
      </c>
      <c r="H93" s="251">
        <f>G93*(1-TPCIL!$L$11)+F93</f>
        <v>1562.783411</v>
      </c>
      <c r="I93" s="31">
        <f t="shared" si="14"/>
        <v>1562.78724</v>
      </c>
      <c r="J93" s="250">
        <f>ISGS!V103</f>
        <v>1145.81</v>
      </c>
      <c r="K93" s="256">
        <f t="shared" si="15"/>
        <v>416.97724</v>
      </c>
      <c r="L93" s="257">
        <f>(TPCIL!I103-TPCIL!C103)+(TPCIL!P103-TPCIL!D103)</f>
        <v>0.000544999999988249</v>
      </c>
      <c r="M93" s="258">
        <f t="shared" si="16"/>
        <v>416.977785</v>
      </c>
      <c r="N93" s="159"/>
      <c r="O93" s="259">
        <f>IF(ISGS!G103-Entitlement!K97*(1-TPCIL!$L$11)&lt;0,0,ISGS!G103-Entitlement!K97*(1-TPCIL!$L$11))</f>
        <v>0</v>
      </c>
      <c r="P93" s="259">
        <f>IF(ISGS!O103-Entitlement!AH97*(1-TPCIL!$L$11)&lt;0,0,ISGS!O103-Entitlement!AH97*(1-TPCIL!$L$11))</f>
        <v>0.00382899999999609</v>
      </c>
      <c r="Q93" s="259">
        <f>IF(ISGS!P103-Entitlement!AK97*(1-TPCIL!$L$11)&lt;0,0,ISGS!P103-Entitlement!AK97*(1-TPCIL!$L$11))</f>
        <v>0</v>
      </c>
      <c r="R93" s="259">
        <f>IF(ISGS!U103-Entitlement!AZ97*(1-TPCIL!$L$11)&lt;0,0,ISGS!U103-Entitlement!AZ97*(1-TPCIL!$L$11))</f>
        <v>0</v>
      </c>
      <c r="S93" s="259">
        <f>IF(ISGS!Q103-Entitlement!AN97&lt;0,0,ISGS!Q103-Entitlement!AN97)</f>
        <v>0</v>
      </c>
      <c r="T93" s="259">
        <f>IF(ISGS!R103-Entitlement!AQ97*(1-TPCIL!$L$11)&lt;0,0,ISGS!R103-Entitlement!AQ97*(1-TPCIL!$L$11))</f>
        <v>0</v>
      </c>
      <c r="U93" s="259">
        <f>IF(ISGS!S103-Entitlement!AT97&lt;0,0,ISGS!S103-Entitlement!AT97)</f>
        <v>0</v>
      </c>
      <c r="V93" s="259">
        <f>IF(ISGS!K103-Entitlement!V97*(1-TPCIL!$L$11)&lt;0,0,ISGS!K103-Entitlement!V97*(1-TPCIL!$L$11))</f>
        <v>0</v>
      </c>
      <c r="W93" s="259"/>
      <c r="X93" s="259">
        <f t="shared" si="11"/>
        <v>0.00382899999999609</v>
      </c>
      <c r="AA93" s="159"/>
    </row>
    <row r="94" ht="16.5" spans="1:27">
      <c r="A94" s="78">
        <v>92</v>
      </c>
      <c r="B94" s="78" t="s">
        <v>105</v>
      </c>
      <c r="C94" s="249">
        <f>Entitlement!BC98</f>
        <v>1628.71</v>
      </c>
      <c r="D94" s="250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51">
        <f t="shared" si="12"/>
        <v>1628.71</v>
      </c>
      <c r="F94" s="251">
        <f>ISGS!Q104</f>
        <v>216.14</v>
      </c>
      <c r="G94" s="251">
        <f t="shared" si="13"/>
        <v>1412.57</v>
      </c>
      <c r="H94" s="251">
        <f>G94*(1-TPCIL!$L$11)+F94</f>
        <v>1560.765383</v>
      </c>
      <c r="I94" s="31">
        <f t="shared" si="14"/>
        <v>1560.769975</v>
      </c>
      <c r="J94" s="250">
        <f>ISGS!V104</f>
        <v>1143.8</v>
      </c>
      <c r="K94" s="256">
        <f t="shared" si="15"/>
        <v>416.969975</v>
      </c>
      <c r="L94" s="257">
        <f>(TPCIL!I104-TPCIL!C104)+(TPCIL!P104-TPCIL!D104)</f>
        <v>0.000544999999988249</v>
      </c>
      <c r="M94" s="258">
        <f t="shared" si="16"/>
        <v>416.97052</v>
      </c>
      <c r="N94" s="159"/>
      <c r="O94" s="259">
        <f>IF(ISGS!G104-Entitlement!K98*(1-TPCIL!$L$11)&lt;0,0,ISGS!G104-Entitlement!K98*(1-TPCIL!$L$11))</f>
        <v>0</v>
      </c>
      <c r="P94" s="259">
        <f>IF(ISGS!O104-Entitlement!AH98*(1-TPCIL!$L$11)&lt;0,0,ISGS!O104-Entitlement!AH98*(1-TPCIL!$L$11))</f>
        <v>0.00382899999999609</v>
      </c>
      <c r="Q94" s="259">
        <f>IF(ISGS!P104-Entitlement!AK98*(1-TPCIL!$L$11)&lt;0,0,ISGS!P104-Entitlement!AK98*(1-TPCIL!$L$11))</f>
        <v>0</v>
      </c>
      <c r="R94" s="259">
        <f>IF(ISGS!U104-Entitlement!AZ98*(1-TPCIL!$L$11)&lt;0,0,ISGS!U104-Entitlement!AZ98*(1-TPCIL!$L$11))</f>
        <v>0</v>
      </c>
      <c r="S94" s="259">
        <f>IF(ISGS!Q104-Entitlement!AN98&lt;0,0,ISGS!Q104-Entitlement!AN98)</f>
        <v>0</v>
      </c>
      <c r="T94" s="259">
        <f>IF(ISGS!R104-Entitlement!AQ98*(1-TPCIL!$L$11)&lt;0,0,ISGS!R104-Entitlement!AQ98*(1-TPCIL!$L$11))</f>
        <v>0</v>
      </c>
      <c r="U94" s="259">
        <f>IF(ISGS!S104-Entitlement!AT98&lt;0,0,ISGS!S104-Entitlement!AT98)</f>
        <v>0</v>
      </c>
      <c r="V94" s="259">
        <f>IF(ISGS!K104-Entitlement!V98*(1-TPCIL!$L$11)&lt;0,0,ISGS!K104-Entitlement!V98*(1-TPCIL!$L$11))</f>
        <v>0.000762999999999181</v>
      </c>
      <c r="W94" s="259"/>
      <c r="X94" s="259">
        <f t="shared" si="11"/>
        <v>0.00459199999999527</v>
      </c>
      <c r="AA94" s="159"/>
    </row>
    <row r="95" ht="16.5" spans="1:27">
      <c r="A95" s="78">
        <v>93</v>
      </c>
      <c r="B95" s="78" t="s">
        <v>106</v>
      </c>
      <c r="C95" s="249">
        <f>Entitlement!BC99</f>
        <v>1630.68</v>
      </c>
      <c r="D95" s="250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51">
        <f t="shared" si="12"/>
        <v>1630.68</v>
      </c>
      <c r="F95" s="251">
        <f>ISGS!Q105</f>
        <v>216.14</v>
      </c>
      <c r="G95" s="251">
        <f t="shared" si="13"/>
        <v>1414.54</v>
      </c>
      <c r="H95" s="251">
        <f>G95*(1-TPCIL!$L$11)+F95</f>
        <v>1562.640626</v>
      </c>
      <c r="I95" s="31">
        <f t="shared" si="14"/>
        <v>1562.640626</v>
      </c>
      <c r="J95" s="250">
        <f>ISGS!V105</f>
        <v>935.74</v>
      </c>
      <c r="K95" s="256">
        <f t="shared" si="15"/>
        <v>626.900626</v>
      </c>
      <c r="L95" s="257">
        <f>(TPCIL!I105-TPCIL!C105)+(TPCIL!P105-TPCIL!D105)</f>
        <v>0.000544999999988249</v>
      </c>
      <c r="M95" s="258">
        <f t="shared" si="16"/>
        <v>626.901171</v>
      </c>
      <c r="N95" s="159"/>
      <c r="O95" s="259">
        <f>IF(ISGS!G105-Entitlement!K99*(1-TPCIL!$L$11)&lt;0,0,ISGS!G105-Entitlement!K99*(1-TPCIL!$L$11))</f>
        <v>0</v>
      </c>
      <c r="P95" s="259">
        <f>IF(ISGS!O105-Entitlement!AH99*(1-TPCIL!$L$11)&lt;0,0,ISGS!O105-Entitlement!AH99*(1-TPCIL!$L$11))</f>
        <v>0</v>
      </c>
      <c r="Q95" s="259">
        <f>IF(ISGS!P105-Entitlement!AK99*(1-TPCIL!$L$11)&lt;0,0,ISGS!P105-Entitlement!AK99*(1-TPCIL!$L$11))</f>
        <v>0</v>
      </c>
      <c r="R95" s="259">
        <f>IF(ISGS!U105-Entitlement!AZ99*(1-TPCIL!$L$11)&lt;0,0,ISGS!U105-Entitlement!AZ99*(1-TPCIL!$L$11))</f>
        <v>0</v>
      </c>
      <c r="S95" s="259">
        <f>IF(ISGS!Q105-Entitlement!AN99&lt;0,0,ISGS!Q105-Entitlement!AN99)</f>
        <v>0</v>
      </c>
      <c r="T95" s="259">
        <f>IF(ISGS!R105-Entitlement!AQ99*(1-TPCIL!$L$11)&lt;0,0,ISGS!R105-Entitlement!AQ99*(1-TPCIL!$L$11))</f>
        <v>0</v>
      </c>
      <c r="U95" s="259">
        <f>IF(ISGS!S105-Entitlement!AT99&lt;0,0,ISGS!S105-Entitlement!AT99)</f>
        <v>0</v>
      </c>
      <c r="V95" s="259">
        <f>IF(ISGS!K105-Entitlement!V99*(1-TPCIL!$L$11)&lt;0,0,ISGS!K105-Entitlement!V99*(1-TPCIL!$L$11))</f>
        <v>0</v>
      </c>
      <c r="W95" s="259"/>
      <c r="X95" s="259">
        <f t="shared" si="11"/>
        <v>0</v>
      </c>
      <c r="AA95" s="159"/>
    </row>
    <row r="96" ht="16.5" spans="1:27">
      <c r="A96" s="78">
        <v>94</v>
      </c>
      <c r="B96" s="78" t="s">
        <v>107</v>
      </c>
      <c r="C96" s="249">
        <f>Entitlement!BC100</f>
        <v>1632.66</v>
      </c>
      <c r="D96" s="250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51">
        <f t="shared" si="12"/>
        <v>1632.66</v>
      </c>
      <c r="F96" s="251">
        <f>ISGS!Q106</f>
        <v>216.14</v>
      </c>
      <c r="G96" s="251">
        <f t="shared" si="13"/>
        <v>1416.52</v>
      </c>
      <c r="H96" s="251">
        <f>G96*(1-TPCIL!$L$11)+F96</f>
        <v>1564.525388</v>
      </c>
      <c r="I96" s="31">
        <f t="shared" si="14"/>
        <v>1564.525388</v>
      </c>
      <c r="J96" s="250">
        <f>ISGS!V106</f>
        <v>649.48</v>
      </c>
      <c r="K96" s="256">
        <f t="shared" si="15"/>
        <v>915.045388</v>
      </c>
      <c r="L96" s="257">
        <f>(TPCIL!I106-TPCIL!C106)+(TPCIL!P106-TPCIL!D106)</f>
        <v>0.000544999999988249</v>
      </c>
      <c r="M96" s="258">
        <f t="shared" si="16"/>
        <v>915.045933</v>
      </c>
      <c r="N96" s="159"/>
      <c r="O96" s="259">
        <f>IF(ISGS!G106-Entitlement!K100*(1-TPCIL!$L$11)&lt;0,0,ISGS!G106-Entitlement!K100*(1-TPCIL!$L$11))</f>
        <v>0</v>
      </c>
      <c r="P96" s="259">
        <f>IF(ISGS!O106-Entitlement!AH100*(1-TPCIL!$L$11)&lt;0,0,ISGS!O106-Entitlement!AH100*(1-TPCIL!$L$11))</f>
        <v>0</v>
      </c>
      <c r="Q96" s="259">
        <f>IF(ISGS!P106-Entitlement!AK100*(1-TPCIL!$L$11)&lt;0,0,ISGS!P106-Entitlement!AK100*(1-TPCIL!$L$11))</f>
        <v>0</v>
      </c>
      <c r="R96" s="259">
        <f>IF(ISGS!U106-Entitlement!AZ100*(1-TPCIL!$L$11)&lt;0,0,ISGS!U106-Entitlement!AZ100*(1-TPCIL!$L$11))</f>
        <v>0</v>
      </c>
      <c r="S96" s="259">
        <f>IF(ISGS!Q106-Entitlement!AN100&lt;0,0,ISGS!Q106-Entitlement!AN100)</f>
        <v>0</v>
      </c>
      <c r="T96" s="259">
        <f>IF(ISGS!R106-Entitlement!AQ100*(1-TPCIL!$L$11)&lt;0,0,ISGS!R106-Entitlement!AQ100*(1-TPCIL!$L$11))</f>
        <v>0</v>
      </c>
      <c r="U96" s="259">
        <f>IF(ISGS!S106-Entitlement!AT100&lt;0,0,ISGS!S106-Entitlement!AT100)</f>
        <v>0</v>
      </c>
      <c r="V96" s="259">
        <f>IF(ISGS!K106-Entitlement!V100*(1-TPCIL!$L$11)&lt;0,0,ISGS!K106-Entitlement!V100*(1-TPCIL!$L$11))</f>
        <v>0</v>
      </c>
      <c r="W96" s="259"/>
      <c r="X96" s="259">
        <f t="shared" si="11"/>
        <v>0</v>
      </c>
      <c r="AA96" s="159"/>
    </row>
    <row r="97" ht="16.5" spans="1:27">
      <c r="A97" s="78">
        <v>95</v>
      </c>
      <c r="B97" s="78" t="s">
        <v>108</v>
      </c>
      <c r="C97" s="249">
        <f>Entitlement!BC101</f>
        <v>1621.63</v>
      </c>
      <c r="D97" s="250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51">
        <f t="shared" si="12"/>
        <v>1621.63</v>
      </c>
      <c r="F97" s="251">
        <f>ISGS!Q107</f>
        <v>216.14</v>
      </c>
      <c r="G97" s="251">
        <f t="shared" si="13"/>
        <v>1405.49</v>
      </c>
      <c r="H97" s="251">
        <f>G97*(1-TPCIL!$L$11)+F97</f>
        <v>1554.025931</v>
      </c>
      <c r="I97" s="31">
        <f t="shared" si="14"/>
        <v>1554.025931</v>
      </c>
      <c r="J97" s="250">
        <f>ISGS!V107</f>
        <v>521.59</v>
      </c>
      <c r="K97" s="256">
        <f t="shared" si="15"/>
        <v>1032.435931</v>
      </c>
      <c r="L97" s="257">
        <f>(TPCIL!I107-TPCIL!C107)+(TPCIL!P107-TPCIL!D107)</f>
        <v>0.000544999999988249</v>
      </c>
      <c r="M97" s="258">
        <f t="shared" si="16"/>
        <v>1032.436476</v>
      </c>
      <c r="N97" s="159"/>
      <c r="O97" s="259">
        <f>IF(ISGS!G107-Entitlement!K101*(1-TPCIL!$L$11)&lt;0,0,ISGS!G107-Entitlement!K101*(1-TPCIL!$L$11))</f>
        <v>0</v>
      </c>
      <c r="P97" s="259">
        <f>IF(ISGS!O107-Entitlement!AH101*(1-TPCIL!$L$11)&lt;0,0,ISGS!O107-Entitlement!AH101*(1-TPCIL!$L$11))</f>
        <v>0</v>
      </c>
      <c r="Q97" s="259">
        <f>IF(ISGS!P107-Entitlement!AK101*(1-TPCIL!$L$11)&lt;0,0,ISGS!P107-Entitlement!AK101*(1-TPCIL!$L$11))</f>
        <v>0</v>
      </c>
      <c r="R97" s="259">
        <f>IF(ISGS!U107-Entitlement!AZ101*(1-TPCIL!$L$11)&lt;0,0,ISGS!U107-Entitlement!AZ101*(1-TPCIL!$L$11))</f>
        <v>0</v>
      </c>
      <c r="S97" s="259">
        <f>IF(ISGS!Q107-Entitlement!AN101&lt;0,0,ISGS!Q107-Entitlement!AN101)</f>
        <v>0</v>
      </c>
      <c r="T97" s="259">
        <f>IF(ISGS!R107-Entitlement!AQ101*(1-TPCIL!$L$11)&lt;0,0,ISGS!R107-Entitlement!AQ101*(1-TPCIL!$L$11))</f>
        <v>0</v>
      </c>
      <c r="U97" s="259">
        <f>IF(ISGS!S107-Entitlement!AT101&lt;0,0,ISGS!S107-Entitlement!AT101)</f>
        <v>0</v>
      </c>
      <c r="V97" s="259">
        <f>IF(ISGS!K107-Entitlement!V101*(1-TPCIL!$L$11)&lt;0,0,ISGS!K107-Entitlement!V101*(1-TPCIL!$L$11))</f>
        <v>0</v>
      </c>
      <c r="W97" s="259"/>
      <c r="X97" s="259">
        <f t="shared" si="11"/>
        <v>0</v>
      </c>
      <c r="AA97" s="159"/>
    </row>
    <row r="98" ht="16.5" spans="1:27">
      <c r="A98" s="78">
        <v>96</v>
      </c>
      <c r="B98" s="78" t="s">
        <v>109</v>
      </c>
      <c r="C98" s="249">
        <f>Entitlement!BC102</f>
        <v>1621.63</v>
      </c>
      <c r="D98" s="250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51">
        <f t="shared" si="12"/>
        <v>1621.63</v>
      </c>
      <c r="F98" s="251">
        <f>ISGS!Q108</f>
        <v>216.14</v>
      </c>
      <c r="G98" s="251">
        <f t="shared" si="13"/>
        <v>1405.49</v>
      </c>
      <c r="H98" s="251">
        <f>G98*(1-TPCIL!$L$11)+F98</f>
        <v>1554.025931</v>
      </c>
      <c r="I98" s="31">
        <f t="shared" si="14"/>
        <v>1554.025931</v>
      </c>
      <c r="J98" s="250">
        <f>ISGS!V108</f>
        <v>521.59</v>
      </c>
      <c r="K98" s="256">
        <f t="shared" si="15"/>
        <v>1032.435931</v>
      </c>
      <c r="L98" s="257">
        <f>(TPCIL!I108-TPCIL!C108)+(TPCIL!P108-TPCIL!D108)</f>
        <v>0.000544999999988249</v>
      </c>
      <c r="M98" s="258">
        <f t="shared" si="16"/>
        <v>1032.436476</v>
      </c>
      <c r="N98" s="159"/>
      <c r="O98" s="259">
        <f>IF(ISGS!G108-Entitlement!K102*(1-TPCIL!$L$11)&lt;0,0,ISGS!G108-Entitlement!K102*(1-TPCIL!$L$11))</f>
        <v>0</v>
      </c>
      <c r="P98" s="259">
        <f>IF(ISGS!O108-Entitlement!AH102*(1-TPCIL!$L$11)&lt;0,0,ISGS!O108-Entitlement!AH102*(1-TPCIL!$L$11))</f>
        <v>0</v>
      </c>
      <c r="Q98" s="259">
        <f>IF(ISGS!P108-Entitlement!AK102*(1-TPCIL!$L$11)&lt;0,0,ISGS!P108-Entitlement!AK102*(1-TPCIL!$L$11))</f>
        <v>0</v>
      </c>
      <c r="R98" s="259">
        <f>IF(ISGS!U108-Entitlement!AZ102*(1-TPCIL!$L$11)&lt;0,0,ISGS!U108-Entitlement!AZ102*(1-TPCIL!$L$11))</f>
        <v>0</v>
      </c>
      <c r="S98" s="259">
        <f>IF(ISGS!Q108-Entitlement!AN102&lt;0,0,ISGS!Q108-Entitlement!AN102)</f>
        <v>0</v>
      </c>
      <c r="T98" s="259">
        <f>IF(ISGS!R108-Entitlement!AQ102*(1-TPCIL!$L$11)&lt;0,0,ISGS!R108-Entitlement!AQ102*(1-TPCIL!$L$11))</f>
        <v>0</v>
      </c>
      <c r="U98" s="259">
        <f>IF(ISGS!S108-Entitlement!AT102&lt;0,0,ISGS!S108-Entitlement!AT102)</f>
        <v>0</v>
      </c>
      <c r="V98" s="259">
        <f>IF(ISGS!K108-Entitlement!V102*(1-TPCIL!$L$11)&lt;0,0,ISGS!K108-Entitlement!V102*(1-TPCIL!$L$11))</f>
        <v>0</v>
      </c>
      <c r="W98" s="259"/>
      <c r="X98" s="259">
        <f t="shared" si="11"/>
        <v>0</v>
      </c>
      <c r="AA98" s="159"/>
    </row>
    <row r="99" ht="16.5" spans="1:24">
      <c r="A99" s="122" t="s">
        <v>168</v>
      </c>
      <c r="B99" s="78" t="s">
        <v>169</v>
      </c>
      <c r="C99" s="261">
        <f t="shared" ref="C99:M99" si="17">AVERAGE(C3:C98)*24/1000</f>
        <v>38.940485</v>
      </c>
      <c r="D99" s="261">
        <f t="shared" si="17"/>
        <v>0.11336</v>
      </c>
      <c r="E99" s="261">
        <f t="shared" si="17"/>
        <v>38.827125</v>
      </c>
      <c r="F99" s="261">
        <f t="shared" si="17"/>
        <v>5.18735999999999</v>
      </c>
      <c r="G99" s="261">
        <f t="shared" si="17"/>
        <v>33.639765</v>
      </c>
      <c r="H99" s="261">
        <f t="shared" si="17"/>
        <v>37.2090523035</v>
      </c>
      <c r="I99" s="261">
        <f t="shared" si="17"/>
        <v>37.2091622355</v>
      </c>
      <c r="J99" s="261">
        <f t="shared" si="17"/>
        <v>28.43141</v>
      </c>
      <c r="K99" s="261">
        <f t="shared" si="17"/>
        <v>8.7777522355</v>
      </c>
      <c r="L99" s="261">
        <f t="shared" si="17"/>
        <v>0.24691308</v>
      </c>
      <c r="M99" s="265">
        <f t="shared" si="17"/>
        <v>9.0246653155</v>
      </c>
      <c r="N99" s="261"/>
      <c r="O99" s="261">
        <f t="shared" ref="O99:X99" si="18">AVERAGE(O3:O98)*24/1000</f>
        <v>0</v>
      </c>
      <c r="P99" s="261">
        <f t="shared" si="18"/>
        <v>6.22212499999364e-5</v>
      </c>
      <c r="Q99" s="261">
        <f t="shared" si="18"/>
        <v>0</v>
      </c>
      <c r="R99" s="261">
        <f t="shared" si="18"/>
        <v>0</v>
      </c>
      <c r="S99" s="261">
        <f t="shared" si="18"/>
        <v>0</v>
      </c>
      <c r="T99" s="261">
        <f t="shared" si="18"/>
        <v>0</v>
      </c>
      <c r="U99" s="261">
        <f t="shared" si="18"/>
        <v>0</v>
      </c>
      <c r="V99" s="261">
        <f t="shared" si="18"/>
        <v>4.77107499999789e-5</v>
      </c>
      <c r="W99" s="261" t="e">
        <f t="shared" si="18"/>
        <v>#DIV/0!</v>
      </c>
      <c r="X99" s="261">
        <f t="shared" si="18"/>
        <v>0.000109931999999915</v>
      </c>
    </row>
    <row r="100" ht="25.5" spans="2:2">
      <c r="B100" s="262"/>
    </row>
    <row r="102" ht="25.5" spans="1:17">
      <c r="A102" s="263"/>
      <c r="B102" s="264"/>
      <c r="C102" s="264"/>
      <c r="D102" s="264"/>
      <c r="E102" s="264"/>
      <c r="F102" s="264"/>
      <c r="G102" s="264"/>
      <c r="H102" s="264"/>
      <c r="I102" s="264"/>
      <c r="J102" s="264"/>
      <c r="K102" s="266"/>
      <c r="L102" s="264"/>
      <c r="M102" s="267"/>
      <c r="N102" s="264"/>
      <c r="O102" s="264"/>
      <c r="P102" s="264"/>
      <c r="Q102" s="264"/>
    </row>
    <row r="119" spans="22:24">
      <c r="V119" s="268"/>
      <c r="W119" s="268"/>
      <c r="X119" s="268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14"/>
  </cols>
  <sheetData>
    <row r="1" s="214" customFormat="1" spans="1:8">
      <c r="A1" s="215" t="s">
        <v>170</v>
      </c>
      <c r="B1" s="215"/>
      <c r="C1" s="215"/>
      <c r="D1" s="215"/>
      <c r="E1" s="215"/>
      <c r="F1" s="215"/>
      <c r="G1" s="215"/>
      <c r="H1" s="215"/>
    </row>
    <row r="2" s="214" customFormat="1" ht="60" spans="1:28">
      <c r="A2" s="216" t="s">
        <v>171</v>
      </c>
      <c r="B2" s="216" t="s">
        <v>172</v>
      </c>
      <c r="C2" s="216" t="s">
        <v>173</v>
      </c>
      <c r="D2" s="216" t="s">
        <v>174</v>
      </c>
      <c r="E2" s="216" t="s">
        <v>175</v>
      </c>
      <c r="F2" s="216" t="s">
        <v>176</v>
      </c>
      <c r="G2" s="216" t="s">
        <v>177</v>
      </c>
      <c r="H2" s="216" t="s">
        <v>178</v>
      </c>
      <c r="I2" s="216" t="s">
        <v>179</v>
      </c>
      <c r="J2" s="216" t="s">
        <v>180</v>
      </c>
      <c r="K2" s="216" t="s">
        <v>181</v>
      </c>
      <c r="L2" s="216" t="s">
        <v>182</v>
      </c>
      <c r="M2" s="216" t="s">
        <v>183</v>
      </c>
      <c r="N2" s="216" t="s">
        <v>184</v>
      </c>
      <c r="O2" s="216" t="s">
        <v>185</v>
      </c>
      <c r="P2" s="216" t="s">
        <v>186</v>
      </c>
      <c r="Q2" s="216" t="s">
        <v>187</v>
      </c>
      <c r="R2" s="216" t="s">
        <v>188</v>
      </c>
      <c r="S2" s="216" t="s">
        <v>189</v>
      </c>
      <c r="T2" s="216" t="s">
        <v>190</v>
      </c>
      <c r="U2" s="216" t="s">
        <v>191</v>
      </c>
      <c r="V2" s="216" t="s">
        <v>192</v>
      </c>
      <c r="W2" s="216" t="s">
        <v>193</v>
      </c>
      <c r="X2" s="216" t="s">
        <v>194</v>
      </c>
      <c r="Y2" s="216" t="s">
        <v>195</v>
      </c>
      <c r="Z2" s="216" t="s">
        <v>196</v>
      </c>
      <c r="AA2" s="216" t="s">
        <v>197</v>
      </c>
      <c r="AB2" s="216" t="s">
        <v>198</v>
      </c>
    </row>
    <row r="3" s="214" customFormat="1" spans="1:28">
      <c r="A3" s="217">
        <v>46034</v>
      </c>
      <c r="B3" s="218">
        <v>-146.14</v>
      </c>
      <c r="C3" s="218">
        <v>-141.66</v>
      </c>
      <c r="D3" s="218">
        <v>-1.2</v>
      </c>
      <c r="E3" s="218">
        <v>-134.87</v>
      </c>
      <c r="F3" s="218">
        <v>0.2</v>
      </c>
      <c r="G3" s="218">
        <v>-140.56</v>
      </c>
      <c r="H3" s="218">
        <v>-263.69</v>
      </c>
      <c r="I3" s="218">
        <v>-152.11</v>
      </c>
      <c r="J3" s="218">
        <v>-157.62</v>
      </c>
      <c r="K3" s="218">
        <v>-118.41</v>
      </c>
      <c r="L3" s="218">
        <v>-113.8</v>
      </c>
      <c r="M3" s="218">
        <v>-123.25</v>
      </c>
      <c r="N3" s="218">
        <v>-314.84</v>
      </c>
      <c r="O3" s="218">
        <v>-420.34</v>
      </c>
      <c r="P3" s="218">
        <v>-405.94</v>
      </c>
      <c r="Q3" s="218">
        <v>0.08</v>
      </c>
      <c r="R3" s="218">
        <v>0.44</v>
      </c>
      <c r="S3" s="218">
        <v>0</v>
      </c>
      <c r="T3" s="218">
        <v>0.23</v>
      </c>
      <c r="U3" s="218">
        <v>-0.75</v>
      </c>
      <c r="V3" s="218">
        <v>782.36</v>
      </c>
      <c r="W3" s="218">
        <v>644.94</v>
      </c>
      <c r="X3" s="218">
        <v>313.12</v>
      </c>
      <c r="Y3" s="218">
        <v>263.69</v>
      </c>
      <c r="Z3" s="218">
        <v>531.52</v>
      </c>
      <c r="AA3" s="218">
        <v>16.45</v>
      </c>
      <c r="AB3" s="218">
        <v>301.19</v>
      </c>
    </row>
    <row r="4" s="214" customFormat="1" spans="1:28">
      <c r="A4" s="217">
        <v>46034.0104166667</v>
      </c>
      <c r="B4" s="218">
        <v>-144.24</v>
      </c>
      <c r="C4" s="218">
        <v>-143.31</v>
      </c>
      <c r="D4" s="218">
        <v>-1.2</v>
      </c>
      <c r="E4" s="218">
        <v>-135.74</v>
      </c>
      <c r="F4" s="218">
        <v>0.18</v>
      </c>
      <c r="G4" s="218">
        <v>-140.27</v>
      </c>
      <c r="H4" s="218">
        <v>-264.51</v>
      </c>
      <c r="I4" s="218">
        <v>-153.38</v>
      </c>
      <c r="J4" s="218">
        <v>-155.41</v>
      </c>
      <c r="K4" s="218">
        <v>-118.81</v>
      </c>
      <c r="L4" s="218">
        <v>-112.24</v>
      </c>
      <c r="M4" s="218">
        <v>-125.14</v>
      </c>
      <c r="N4" s="218">
        <v>-310.37</v>
      </c>
      <c r="O4" s="218">
        <v>-415.96</v>
      </c>
      <c r="P4" s="218">
        <v>-404.17</v>
      </c>
      <c r="Q4" s="218">
        <v>0.1</v>
      </c>
      <c r="R4" s="218">
        <v>0.42</v>
      </c>
      <c r="S4" s="218">
        <v>0</v>
      </c>
      <c r="T4" s="218">
        <v>0.23</v>
      </c>
      <c r="U4" s="218">
        <v>-0.75</v>
      </c>
      <c r="V4" s="218">
        <v>781.42</v>
      </c>
      <c r="W4" s="218">
        <v>644.63</v>
      </c>
      <c r="X4" s="218">
        <v>308.65</v>
      </c>
      <c r="Y4" s="218">
        <v>264.51</v>
      </c>
      <c r="Z4" s="218">
        <v>532.03</v>
      </c>
      <c r="AA4" s="218">
        <v>15.87</v>
      </c>
      <c r="AB4" s="218">
        <v>303.88</v>
      </c>
    </row>
    <row r="5" s="214" customFormat="1" spans="1:28">
      <c r="A5" s="217">
        <v>46034.0208333333</v>
      </c>
      <c r="B5" s="218">
        <v>-141.58</v>
      </c>
      <c r="C5" s="218">
        <v>-142.21</v>
      </c>
      <c r="D5" s="218">
        <v>-1.2</v>
      </c>
      <c r="E5" s="218">
        <v>-136.94</v>
      </c>
      <c r="F5" s="218">
        <v>0.08</v>
      </c>
      <c r="G5" s="218">
        <v>-139.6</v>
      </c>
      <c r="H5" s="218">
        <v>-265.04</v>
      </c>
      <c r="I5" s="218">
        <v>-150.26</v>
      </c>
      <c r="J5" s="218">
        <v>-150.24</v>
      </c>
      <c r="K5" s="218">
        <v>-117.41</v>
      </c>
      <c r="L5" s="218">
        <v>-112.15</v>
      </c>
      <c r="M5" s="218">
        <v>-122.14</v>
      </c>
      <c r="N5" s="218">
        <v>-309.77</v>
      </c>
      <c r="O5" s="218">
        <v>-417.39</v>
      </c>
      <c r="P5" s="218">
        <v>-402.05</v>
      </c>
      <c r="Q5" s="218">
        <v>0.06</v>
      </c>
      <c r="R5" s="218">
        <v>0.44</v>
      </c>
      <c r="S5" s="218">
        <v>0</v>
      </c>
      <c r="T5" s="218">
        <v>0.25</v>
      </c>
      <c r="U5" s="218">
        <v>-0.75</v>
      </c>
      <c r="V5" s="218">
        <v>780.94</v>
      </c>
      <c r="W5" s="218">
        <v>632.08</v>
      </c>
      <c r="X5" s="218">
        <v>308.05</v>
      </c>
      <c r="Y5" s="218">
        <v>265.04</v>
      </c>
      <c r="Z5" s="218">
        <v>527.63</v>
      </c>
      <c r="AA5" s="218">
        <v>15.83</v>
      </c>
      <c r="AB5" s="218">
        <v>307.04</v>
      </c>
    </row>
    <row r="6" s="214" customFormat="1" spans="1:28">
      <c r="A6" s="217">
        <v>46034.03125</v>
      </c>
      <c r="B6" s="218">
        <v>-138.49</v>
      </c>
      <c r="C6" s="218">
        <v>-141.25</v>
      </c>
      <c r="D6" s="218">
        <v>-1.2</v>
      </c>
      <c r="E6" s="218">
        <v>-136.96</v>
      </c>
      <c r="F6" s="218">
        <v>0.12</v>
      </c>
      <c r="G6" s="218">
        <v>-140.15</v>
      </c>
      <c r="H6" s="218">
        <v>-264.13</v>
      </c>
      <c r="I6" s="218">
        <v>-146.23</v>
      </c>
      <c r="J6" s="218">
        <v>-146.28</v>
      </c>
      <c r="K6" s="218">
        <v>-118.32</v>
      </c>
      <c r="L6" s="218">
        <v>-112.68</v>
      </c>
      <c r="M6" s="218">
        <v>-124.88</v>
      </c>
      <c r="N6" s="218">
        <v>-309.77</v>
      </c>
      <c r="O6" s="218">
        <v>-419.07</v>
      </c>
      <c r="P6" s="218">
        <v>-401.2</v>
      </c>
      <c r="Q6" s="218">
        <v>0.12</v>
      </c>
      <c r="R6" s="218">
        <v>0.39</v>
      </c>
      <c r="S6" s="218">
        <v>0</v>
      </c>
      <c r="T6" s="218">
        <v>0.23</v>
      </c>
      <c r="U6" s="218">
        <v>-0.75</v>
      </c>
      <c r="V6" s="218">
        <v>780.39</v>
      </c>
      <c r="W6" s="218">
        <v>628.5</v>
      </c>
      <c r="X6" s="218">
        <v>308.05</v>
      </c>
      <c r="Y6" s="218">
        <v>264.13</v>
      </c>
      <c r="Z6" s="218">
        <v>524.08</v>
      </c>
      <c r="AA6" s="218">
        <v>15.72</v>
      </c>
      <c r="AB6" s="218">
        <v>312.85</v>
      </c>
    </row>
    <row r="7" s="214" customFormat="1" spans="1:28">
      <c r="A7" s="217">
        <v>46034.0416666667</v>
      </c>
      <c r="B7" s="218">
        <v>-134.34</v>
      </c>
      <c r="C7" s="218">
        <v>-139.73</v>
      </c>
      <c r="D7" s="218">
        <v>-1.2</v>
      </c>
      <c r="E7" s="218">
        <v>-136.87</v>
      </c>
      <c r="F7" s="218">
        <v>0.18</v>
      </c>
      <c r="G7" s="218">
        <v>-139.97</v>
      </c>
      <c r="H7" s="218">
        <v>-263</v>
      </c>
      <c r="I7" s="218">
        <v>-146.41</v>
      </c>
      <c r="J7" s="218">
        <v>-143.14</v>
      </c>
      <c r="K7" s="218">
        <v>-118.11</v>
      </c>
      <c r="L7" s="218">
        <v>-112.04</v>
      </c>
      <c r="M7" s="218">
        <v>-124.32</v>
      </c>
      <c r="N7" s="218">
        <v>-307.65</v>
      </c>
      <c r="O7" s="218">
        <v>-420.26</v>
      </c>
      <c r="P7" s="218">
        <v>-407.58</v>
      </c>
      <c r="Q7" s="218">
        <v>0.09</v>
      </c>
      <c r="R7" s="218">
        <v>0</v>
      </c>
      <c r="S7" s="218">
        <v>0</v>
      </c>
      <c r="T7" s="218">
        <v>0.22</v>
      </c>
      <c r="U7" s="218">
        <v>-0.75</v>
      </c>
      <c r="V7" s="218">
        <v>789.54</v>
      </c>
      <c r="W7" s="218">
        <v>623.98</v>
      </c>
      <c r="X7" s="218">
        <v>305.94</v>
      </c>
      <c r="Y7" s="218">
        <v>263</v>
      </c>
      <c r="Z7" s="218">
        <v>518.75</v>
      </c>
      <c r="AA7" s="218">
        <v>15.72</v>
      </c>
      <c r="AB7" s="218">
        <v>345.09</v>
      </c>
    </row>
    <row r="8" s="214" customFormat="1" spans="1:28">
      <c r="A8" s="217">
        <v>46034.0520833333</v>
      </c>
      <c r="B8" s="218">
        <v>-137.33</v>
      </c>
      <c r="C8" s="218">
        <v>-139.8</v>
      </c>
      <c r="D8" s="218">
        <v>-1.2</v>
      </c>
      <c r="E8" s="218">
        <v>-137.42</v>
      </c>
      <c r="F8" s="218">
        <v>0.24</v>
      </c>
      <c r="G8" s="218">
        <v>-140.14</v>
      </c>
      <c r="H8" s="218">
        <v>-266.05</v>
      </c>
      <c r="I8" s="218">
        <v>-144.56</v>
      </c>
      <c r="J8" s="218">
        <v>-140.66</v>
      </c>
      <c r="K8" s="218">
        <v>-117.04</v>
      </c>
      <c r="L8" s="218">
        <v>-111.57</v>
      </c>
      <c r="M8" s="218">
        <v>-122.81</v>
      </c>
      <c r="N8" s="218">
        <v>-304.68</v>
      </c>
      <c r="O8" s="218">
        <v>-418.89</v>
      </c>
      <c r="P8" s="218">
        <v>-407.88</v>
      </c>
      <c r="Q8" s="218">
        <v>0.09</v>
      </c>
      <c r="R8" s="218">
        <v>0</v>
      </c>
      <c r="S8" s="218">
        <v>0</v>
      </c>
      <c r="T8" s="218">
        <v>0.22</v>
      </c>
      <c r="U8" s="218">
        <v>-0.75</v>
      </c>
      <c r="V8" s="218">
        <v>788.35</v>
      </c>
      <c r="W8" s="218">
        <v>616.55</v>
      </c>
      <c r="X8" s="218">
        <v>302.96</v>
      </c>
      <c r="Y8" s="218">
        <v>266.04</v>
      </c>
      <c r="Z8" s="218">
        <v>522.82</v>
      </c>
      <c r="AA8" s="218">
        <v>15.88</v>
      </c>
      <c r="AB8" s="218">
        <v>385.86</v>
      </c>
    </row>
    <row r="9" s="214" customFormat="1" spans="1:28">
      <c r="A9" s="217">
        <v>46034.0625</v>
      </c>
      <c r="B9" s="218">
        <v>-138.21</v>
      </c>
      <c r="C9" s="218">
        <v>-139.78</v>
      </c>
      <c r="D9" s="218">
        <v>-1.2</v>
      </c>
      <c r="E9" s="218">
        <v>-136.58</v>
      </c>
      <c r="F9" s="218">
        <v>0.12</v>
      </c>
      <c r="G9" s="218">
        <v>-140.2</v>
      </c>
      <c r="H9" s="218">
        <v>-265.59</v>
      </c>
      <c r="I9" s="218">
        <v>-143.8</v>
      </c>
      <c r="J9" s="218">
        <v>-140.7</v>
      </c>
      <c r="K9" s="218">
        <v>-117.98</v>
      </c>
      <c r="L9" s="218">
        <v>-112.26</v>
      </c>
      <c r="M9" s="218">
        <v>-124.03</v>
      </c>
      <c r="N9" s="218">
        <v>-304.68</v>
      </c>
      <c r="O9" s="218">
        <v>-415.99</v>
      </c>
      <c r="P9" s="218">
        <v>-423.13</v>
      </c>
      <c r="Q9" s="218">
        <v>0.06</v>
      </c>
      <c r="R9" s="218">
        <v>0</v>
      </c>
      <c r="S9" s="218">
        <v>0</v>
      </c>
      <c r="T9" s="218">
        <v>0.25</v>
      </c>
      <c r="U9" s="218">
        <v>-0.75</v>
      </c>
      <c r="V9" s="218">
        <v>800.9</v>
      </c>
      <c r="W9" s="218">
        <v>618.71</v>
      </c>
      <c r="X9" s="218">
        <v>302.96</v>
      </c>
      <c r="Y9" s="218">
        <v>265.6</v>
      </c>
      <c r="Z9" s="218">
        <v>523.36</v>
      </c>
      <c r="AA9" s="218">
        <v>15.89</v>
      </c>
      <c r="AB9" s="218">
        <v>402.66</v>
      </c>
    </row>
    <row r="10" s="214" customFormat="1" spans="1:28">
      <c r="A10" s="217">
        <v>46034.0729166667</v>
      </c>
      <c r="B10" s="218">
        <v>-143.17</v>
      </c>
      <c r="C10" s="218">
        <v>-138.38</v>
      </c>
      <c r="D10" s="218">
        <v>-1.2</v>
      </c>
      <c r="E10" s="218">
        <v>-137.22</v>
      </c>
      <c r="F10" s="218">
        <v>0.18</v>
      </c>
      <c r="G10" s="218">
        <v>-140.17</v>
      </c>
      <c r="H10" s="218">
        <v>-259.12</v>
      </c>
      <c r="I10" s="218">
        <v>-140.16</v>
      </c>
      <c r="J10" s="218">
        <v>-139.6</v>
      </c>
      <c r="K10" s="218">
        <v>-117.82</v>
      </c>
      <c r="L10" s="218">
        <v>-112.24</v>
      </c>
      <c r="M10" s="218">
        <v>-124.63</v>
      </c>
      <c r="N10" s="218">
        <v>-308.65</v>
      </c>
      <c r="O10" s="218">
        <v>-416.64</v>
      </c>
      <c r="P10" s="218">
        <v>-412.36</v>
      </c>
      <c r="Q10" s="218">
        <v>0.09</v>
      </c>
      <c r="R10" s="218">
        <v>0</v>
      </c>
      <c r="S10" s="218">
        <v>0</v>
      </c>
      <c r="T10" s="218">
        <v>0.22</v>
      </c>
      <c r="U10" s="218">
        <v>-0.75</v>
      </c>
      <c r="V10" s="218">
        <v>792.03</v>
      </c>
      <c r="W10" s="218">
        <v>614.44</v>
      </c>
      <c r="X10" s="218">
        <v>306.92</v>
      </c>
      <c r="Y10" s="218">
        <v>259.12</v>
      </c>
      <c r="Z10" s="218">
        <v>527.12</v>
      </c>
      <c r="AA10" s="218">
        <v>15.89</v>
      </c>
      <c r="AB10" s="218">
        <v>403.79</v>
      </c>
    </row>
    <row r="11" s="214" customFormat="1" spans="1:28">
      <c r="A11" s="217">
        <v>46034.0833333333</v>
      </c>
      <c r="B11" s="218">
        <v>-150.85</v>
      </c>
      <c r="C11" s="218">
        <v>-139.25</v>
      </c>
      <c r="D11" s="218">
        <v>-1.2</v>
      </c>
      <c r="E11" s="218">
        <v>-135.22</v>
      </c>
      <c r="F11" s="218">
        <v>0.17</v>
      </c>
      <c r="G11" s="218">
        <v>-140.47</v>
      </c>
      <c r="H11" s="218">
        <v>-264.76</v>
      </c>
      <c r="I11" s="218">
        <v>-142.22</v>
      </c>
      <c r="J11" s="218">
        <v>-141.38</v>
      </c>
      <c r="K11" s="218">
        <v>-119.31</v>
      </c>
      <c r="L11" s="218">
        <v>-112.76</v>
      </c>
      <c r="M11" s="218">
        <v>-124.04</v>
      </c>
      <c r="N11" s="218">
        <v>-313.21</v>
      </c>
      <c r="O11" s="218">
        <v>-418.37</v>
      </c>
      <c r="P11" s="218">
        <v>-389.75</v>
      </c>
      <c r="Q11" s="218">
        <v>0.06</v>
      </c>
      <c r="R11" s="218">
        <v>0</v>
      </c>
      <c r="S11" s="218">
        <v>0</v>
      </c>
      <c r="T11" s="218">
        <v>0.25</v>
      </c>
      <c r="U11" s="218">
        <v>-0.75</v>
      </c>
      <c r="V11" s="218">
        <v>771.44</v>
      </c>
      <c r="W11" s="218">
        <v>619.56</v>
      </c>
      <c r="X11" s="218">
        <v>311.5</v>
      </c>
      <c r="Y11" s="218">
        <v>264.75</v>
      </c>
      <c r="Z11" s="218">
        <v>533.71</v>
      </c>
      <c r="AA11" s="218">
        <v>15.94</v>
      </c>
      <c r="AB11" s="218">
        <v>411.48</v>
      </c>
    </row>
    <row r="12" s="214" customFormat="1" spans="1:28">
      <c r="A12" s="217">
        <v>46034.09375</v>
      </c>
      <c r="B12" s="218">
        <v>-150.73</v>
      </c>
      <c r="C12" s="218">
        <v>-139.01</v>
      </c>
      <c r="D12" s="218">
        <v>-1.2</v>
      </c>
      <c r="E12" s="218">
        <v>-137.03</v>
      </c>
      <c r="F12" s="218">
        <v>0.17</v>
      </c>
      <c r="G12" s="218">
        <v>-140.35</v>
      </c>
      <c r="H12" s="218">
        <v>-264.52</v>
      </c>
      <c r="I12" s="218">
        <v>-141.13</v>
      </c>
      <c r="J12" s="218">
        <v>-141.96</v>
      </c>
      <c r="K12" s="218">
        <v>-115.57</v>
      </c>
      <c r="L12" s="218">
        <v>-113.43</v>
      </c>
      <c r="M12" s="218">
        <v>-125.1</v>
      </c>
      <c r="N12" s="218">
        <v>-310.62</v>
      </c>
      <c r="O12" s="218">
        <v>-416.81</v>
      </c>
      <c r="P12" s="218">
        <v>-399.6</v>
      </c>
      <c r="Q12" s="218">
        <v>0.08</v>
      </c>
      <c r="R12" s="218">
        <v>0</v>
      </c>
      <c r="S12" s="218">
        <v>0</v>
      </c>
      <c r="T12" s="218">
        <v>0.23</v>
      </c>
      <c r="U12" s="218">
        <v>-0.75</v>
      </c>
      <c r="V12" s="218">
        <v>779.52</v>
      </c>
      <c r="W12" s="218">
        <v>617.13</v>
      </c>
      <c r="X12" s="218">
        <v>308.89</v>
      </c>
      <c r="Y12" s="218">
        <v>264.53</v>
      </c>
      <c r="Z12" s="218">
        <v>535.28</v>
      </c>
      <c r="AA12" s="218">
        <v>15.85</v>
      </c>
      <c r="AB12" s="218">
        <v>411.22</v>
      </c>
    </row>
    <row r="13" s="214" customFormat="1" spans="1:28">
      <c r="A13" s="217">
        <v>46034.1041666667</v>
      </c>
      <c r="B13" s="218">
        <v>-147.28</v>
      </c>
      <c r="C13" s="218">
        <v>-138.79</v>
      </c>
      <c r="D13" s="218">
        <v>-1.2</v>
      </c>
      <c r="E13" s="218">
        <v>-139.84</v>
      </c>
      <c r="F13" s="218">
        <v>0.28</v>
      </c>
      <c r="G13" s="218">
        <v>-140.51</v>
      </c>
      <c r="H13" s="218">
        <v>-261.68</v>
      </c>
      <c r="I13" s="218">
        <v>-142.02</v>
      </c>
      <c r="J13" s="218">
        <v>-143.12</v>
      </c>
      <c r="K13" s="218">
        <v>-117.24</v>
      </c>
      <c r="L13" s="218">
        <v>-114.61</v>
      </c>
      <c r="M13" s="218">
        <v>-124.92</v>
      </c>
      <c r="N13" s="218">
        <v>-311.75</v>
      </c>
      <c r="O13" s="218">
        <v>-412.04</v>
      </c>
      <c r="P13" s="218">
        <v>-400.61</v>
      </c>
      <c r="Q13" s="218">
        <v>0.06</v>
      </c>
      <c r="R13" s="218">
        <v>0</v>
      </c>
      <c r="S13" s="218">
        <v>0</v>
      </c>
      <c r="T13" s="218">
        <v>0.25</v>
      </c>
      <c r="U13" s="218">
        <v>-0.75</v>
      </c>
      <c r="V13" s="218">
        <v>775.8</v>
      </c>
      <c r="W13" s="218">
        <v>621.87</v>
      </c>
      <c r="X13" s="218">
        <v>310.04</v>
      </c>
      <c r="Y13" s="218">
        <v>261.67</v>
      </c>
      <c r="Z13" s="218">
        <v>533.86</v>
      </c>
      <c r="AA13" s="218">
        <v>15.86</v>
      </c>
      <c r="AB13" s="218">
        <v>422.56</v>
      </c>
    </row>
    <row r="14" s="214" customFormat="1" spans="1:28">
      <c r="A14" s="217">
        <v>46034.1145833333</v>
      </c>
      <c r="B14" s="218">
        <v>-146.97</v>
      </c>
      <c r="C14" s="218">
        <v>-139.58</v>
      </c>
      <c r="D14" s="218">
        <v>-1.2</v>
      </c>
      <c r="E14" s="218">
        <v>-141.26</v>
      </c>
      <c r="F14" s="218">
        <v>0.2</v>
      </c>
      <c r="G14" s="218">
        <v>-140.75</v>
      </c>
      <c r="H14" s="218">
        <v>-265.04</v>
      </c>
      <c r="I14" s="218">
        <v>-142.29</v>
      </c>
      <c r="J14" s="218">
        <v>-143.5</v>
      </c>
      <c r="K14" s="218">
        <v>-117.35</v>
      </c>
      <c r="L14" s="218">
        <v>-113.3</v>
      </c>
      <c r="M14" s="218">
        <v>-123.97</v>
      </c>
      <c r="N14" s="218">
        <v>-305.13</v>
      </c>
      <c r="O14" s="218">
        <v>-413.22</v>
      </c>
      <c r="P14" s="218">
        <v>-401.88</v>
      </c>
      <c r="Q14" s="218">
        <v>0.05</v>
      </c>
      <c r="R14" s="218">
        <v>0</v>
      </c>
      <c r="S14" s="218">
        <v>0</v>
      </c>
      <c r="T14" s="218">
        <v>0.26</v>
      </c>
      <c r="U14" s="218">
        <v>-0.75</v>
      </c>
      <c r="V14" s="218">
        <v>778.08</v>
      </c>
      <c r="W14" s="218">
        <v>620.3</v>
      </c>
      <c r="X14" s="218">
        <v>303.41</v>
      </c>
      <c r="Y14" s="218">
        <v>265.05</v>
      </c>
      <c r="Z14" s="218">
        <v>535.63</v>
      </c>
      <c r="AA14" s="218">
        <v>15.88</v>
      </c>
      <c r="AB14" s="218">
        <v>418.95</v>
      </c>
    </row>
    <row r="15" s="214" customFormat="1" spans="1:28">
      <c r="A15" s="217">
        <v>46034.125</v>
      </c>
      <c r="B15" s="218">
        <v>-144.14</v>
      </c>
      <c r="C15" s="218">
        <v>-139.87</v>
      </c>
      <c r="D15" s="218">
        <v>-1.2</v>
      </c>
      <c r="E15" s="218">
        <v>-142.8</v>
      </c>
      <c r="F15" s="218">
        <v>0.36</v>
      </c>
      <c r="G15" s="218">
        <v>-140.45</v>
      </c>
      <c r="H15" s="218">
        <v>-264</v>
      </c>
      <c r="I15" s="218">
        <v>-142.06</v>
      </c>
      <c r="J15" s="218">
        <v>-139.73</v>
      </c>
      <c r="K15" s="218">
        <v>-117.06</v>
      </c>
      <c r="L15" s="218">
        <v>-114.27</v>
      </c>
      <c r="M15" s="218">
        <v>-124.07</v>
      </c>
      <c r="N15" s="218">
        <v>-305.13</v>
      </c>
      <c r="O15" s="218">
        <v>-417.02</v>
      </c>
      <c r="P15" s="218">
        <v>-401.32</v>
      </c>
      <c r="Q15" s="218">
        <v>0.09</v>
      </c>
      <c r="R15" s="218">
        <v>0</v>
      </c>
      <c r="S15" s="218">
        <v>0</v>
      </c>
      <c r="T15" s="218">
        <v>0.22</v>
      </c>
      <c r="U15" s="218">
        <v>-0.75</v>
      </c>
      <c r="V15" s="218">
        <v>780.43</v>
      </c>
      <c r="W15" s="218">
        <v>617.28</v>
      </c>
      <c r="X15" s="218">
        <v>303.41</v>
      </c>
      <c r="Y15" s="218">
        <v>264</v>
      </c>
      <c r="Z15" s="218">
        <v>534.74</v>
      </c>
      <c r="AA15" s="218">
        <v>15.89</v>
      </c>
      <c r="AB15" s="218">
        <v>417.71</v>
      </c>
    </row>
    <row r="16" s="214" customFormat="1" spans="1:28">
      <c r="A16" s="217">
        <v>46034.1354166667</v>
      </c>
      <c r="B16" s="218">
        <v>-145.65</v>
      </c>
      <c r="C16" s="218">
        <v>-140</v>
      </c>
      <c r="D16" s="218">
        <v>-1.2</v>
      </c>
      <c r="E16" s="218">
        <v>-142.44</v>
      </c>
      <c r="F16" s="218">
        <v>0.36</v>
      </c>
      <c r="G16" s="218">
        <v>-140.03</v>
      </c>
      <c r="H16" s="218">
        <v>-262.78</v>
      </c>
      <c r="I16" s="218">
        <v>-137.57</v>
      </c>
      <c r="J16" s="218">
        <v>-140.46</v>
      </c>
      <c r="K16" s="218">
        <v>-117.42</v>
      </c>
      <c r="L16" s="218">
        <v>-113.25</v>
      </c>
      <c r="M16" s="218">
        <v>-123.63</v>
      </c>
      <c r="N16" s="218">
        <v>-309.55</v>
      </c>
      <c r="O16" s="218">
        <v>-415.77</v>
      </c>
      <c r="P16" s="218">
        <v>-405.07</v>
      </c>
      <c r="Q16" s="218">
        <v>0.09</v>
      </c>
      <c r="R16" s="218">
        <v>0</v>
      </c>
      <c r="S16" s="218">
        <v>0</v>
      </c>
      <c r="T16" s="218">
        <v>0.22</v>
      </c>
      <c r="U16" s="218">
        <v>-0.75</v>
      </c>
      <c r="V16" s="218">
        <v>782.83</v>
      </c>
      <c r="W16" s="218">
        <v>612.51</v>
      </c>
      <c r="X16" s="218">
        <v>307.83</v>
      </c>
      <c r="Y16" s="218">
        <v>262.78</v>
      </c>
      <c r="Z16" s="218">
        <v>536.03</v>
      </c>
      <c r="AA16" s="218">
        <v>15.81</v>
      </c>
      <c r="AB16" s="218">
        <v>438.4</v>
      </c>
    </row>
    <row r="17" s="214" customFormat="1" spans="1:28">
      <c r="A17" s="217">
        <v>46034.1458333333</v>
      </c>
      <c r="B17" s="218">
        <v>-142.72</v>
      </c>
      <c r="C17" s="218">
        <v>-141.39</v>
      </c>
      <c r="D17" s="218">
        <v>-1.2</v>
      </c>
      <c r="E17" s="218">
        <v>-140.87</v>
      </c>
      <c r="F17" s="218">
        <v>0.24</v>
      </c>
      <c r="G17" s="218">
        <v>-140.01</v>
      </c>
      <c r="H17" s="218">
        <v>-262.86</v>
      </c>
      <c r="I17" s="218">
        <v>-132.83</v>
      </c>
      <c r="J17" s="218">
        <v>-138.1</v>
      </c>
      <c r="K17" s="218">
        <v>-116.95</v>
      </c>
      <c r="L17" s="218">
        <v>-114.02</v>
      </c>
      <c r="M17" s="218">
        <v>-124</v>
      </c>
      <c r="N17" s="218">
        <v>-310.24</v>
      </c>
      <c r="O17" s="218">
        <v>-417.23</v>
      </c>
      <c r="P17" s="218">
        <v>-415.98</v>
      </c>
      <c r="Q17" s="218">
        <v>0.09</v>
      </c>
      <c r="R17" s="218">
        <v>0</v>
      </c>
      <c r="S17" s="218">
        <v>0</v>
      </c>
      <c r="T17" s="218">
        <v>0.22</v>
      </c>
      <c r="U17" s="218">
        <v>-0.75</v>
      </c>
      <c r="V17" s="218">
        <v>796.63</v>
      </c>
      <c r="W17" s="218">
        <v>605.69</v>
      </c>
      <c r="X17" s="218">
        <v>308.52</v>
      </c>
      <c r="Y17" s="218">
        <v>262.86</v>
      </c>
      <c r="Z17" s="218">
        <v>533.38</v>
      </c>
      <c r="AA17" s="218">
        <v>15.84</v>
      </c>
      <c r="AB17" s="218">
        <v>429.17</v>
      </c>
    </row>
    <row r="18" s="214" customFormat="1" spans="1:28">
      <c r="A18" s="217">
        <v>46034.15625</v>
      </c>
      <c r="B18" s="218">
        <v>-135.78</v>
      </c>
      <c r="C18" s="218">
        <v>-140.15</v>
      </c>
      <c r="D18" s="218">
        <v>-1.2</v>
      </c>
      <c r="E18" s="218">
        <v>-138.65</v>
      </c>
      <c r="F18" s="218">
        <v>0.29</v>
      </c>
      <c r="G18" s="218">
        <v>-140.02</v>
      </c>
      <c r="H18" s="218">
        <v>-262.59</v>
      </c>
      <c r="I18" s="218">
        <v>-130.34</v>
      </c>
      <c r="J18" s="218">
        <v>-141.66</v>
      </c>
      <c r="K18" s="218">
        <v>-118.24</v>
      </c>
      <c r="L18" s="218">
        <v>-113.41</v>
      </c>
      <c r="M18" s="218">
        <v>-124.47</v>
      </c>
      <c r="N18" s="218">
        <v>-312.06</v>
      </c>
      <c r="O18" s="218">
        <v>-416.75</v>
      </c>
      <c r="P18" s="218">
        <v>-418.85</v>
      </c>
      <c r="Q18" s="218">
        <v>0.09</v>
      </c>
      <c r="R18" s="218">
        <v>0</v>
      </c>
      <c r="S18" s="218">
        <v>0</v>
      </c>
      <c r="T18" s="218">
        <v>0.22</v>
      </c>
      <c r="U18" s="218">
        <v>-0.75</v>
      </c>
      <c r="V18" s="218">
        <v>798.48</v>
      </c>
      <c r="W18" s="218">
        <v>607.93</v>
      </c>
      <c r="X18" s="218">
        <v>310.34</v>
      </c>
      <c r="Y18" s="218">
        <v>262.59</v>
      </c>
      <c r="Z18" s="218">
        <v>522.65</v>
      </c>
      <c r="AA18" s="218">
        <v>15.84</v>
      </c>
      <c r="AB18" s="218">
        <v>451.68</v>
      </c>
    </row>
    <row r="19" s="214" customFormat="1" spans="1:28">
      <c r="A19" s="217">
        <v>46034.1666666667</v>
      </c>
      <c r="B19" s="218">
        <v>-135.47</v>
      </c>
      <c r="C19" s="218">
        <v>-138.12</v>
      </c>
      <c r="D19" s="218">
        <v>-1.2</v>
      </c>
      <c r="E19" s="218">
        <v>-137.99</v>
      </c>
      <c r="F19" s="218">
        <v>0.38</v>
      </c>
      <c r="G19" s="218">
        <v>-139.21</v>
      </c>
      <c r="H19" s="218">
        <v>-262.89</v>
      </c>
      <c r="I19" s="218">
        <v>-134.09</v>
      </c>
      <c r="J19" s="218">
        <v>-141.91</v>
      </c>
      <c r="K19" s="218">
        <v>-117.96</v>
      </c>
      <c r="L19" s="218">
        <v>-115.14</v>
      </c>
      <c r="M19" s="218">
        <v>-123.87</v>
      </c>
      <c r="N19" s="218">
        <v>-313.78</v>
      </c>
      <c r="O19" s="218">
        <v>-414.93</v>
      </c>
      <c r="P19" s="218">
        <v>-417.76</v>
      </c>
      <c r="Q19" s="218">
        <v>0.09</v>
      </c>
      <c r="R19" s="218">
        <v>0</v>
      </c>
      <c r="S19" s="218">
        <v>0</v>
      </c>
      <c r="T19" s="218">
        <v>0.22</v>
      </c>
      <c r="U19" s="218">
        <v>-0.75</v>
      </c>
      <c r="V19" s="218">
        <v>795.26</v>
      </c>
      <c r="W19" s="218">
        <v>612.83</v>
      </c>
      <c r="X19" s="218">
        <v>312.07</v>
      </c>
      <c r="Y19" s="218">
        <v>262.45</v>
      </c>
      <c r="Z19" s="218">
        <v>518.31</v>
      </c>
      <c r="AA19" s="218">
        <v>15.74</v>
      </c>
      <c r="AB19" s="218">
        <v>435.46</v>
      </c>
    </row>
    <row r="20" s="214" customFormat="1" spans="1:28">
      <c r="A20" s="217">
        <v>46034.1770833333</v>
      </c>
      <c r="B20" s="218">
        <v>-137.08</v>
      </c>
      <c r="C20" s="218">
        <v>-136.83</v>
      </c>
      <c r="D20" s="218">
        <v>-1.2</v>
      </c>
      <c r="E20" s="218">
        <v>-135.69</v>
      </c>
      <c r="F20" s="218">
        <v>0.55</v>
      </c>
      <c r="G20" s="218">
        <v>-136.64</v>
      </c>
      <c r="H20" s="218">
        <v>-265.43</v>
      </c>
      <c r="I20" s="218">
        <v>-134.7</v>
      </c>
      <c r="J20" s="218">
        <v>-141.48</v>
      </c>
      <c r="K20" s="218">
        <v>-118.1</v>
      </c>
      <c r="L20" s="218">
        <v>-115.09</v>
      </c>
      <c r="M20" s="218">
        <v>-125.04</v>
      </c>
      <c r="N20" s="218">
        <v>-310.07</v>
      </c>
      <c r="O20" s="218">
        <v>-413.46</v>
      </c>
      <c r="P20" s="218">
        <v>-417.36</v>
      </c>
      <c r="Q20" s="218">
        <v>0.09</v>
      </c>
      <c r="R20" s="218">
        <v>0</v>
      </c>
      <c r="S20" s="218">
        <v>0</v>
      </c>
      <c r="T20" s="218">
        <v>0.22</v>
      </c>
      <c r="U20" s="218">
        <v>-0.75</v>
      </c>
      <c r="V20" s="218">
        <v>793.97</v>
      </c>
      <c r="W20" s="218">
        <v>614.54</v>
      </c>
      <c r="X20" s="218">
        <v>308.35</v>
      </c>
      <c r="Y20" s="218">
        <v>264.7</v>
      </c>
      <c r="Z20" s="218">
        <v>514.08</v>
      </c>
      <c r="AA20" s="218">
        <v>15.81</v>
      </c>
      <c r="AB20" s="218">
        <v>458.47</v>
      </c>
    </row>
    <row r="21" s="214" customFormat="1" spans="1:28">
      <c r="A21" s="217">
        <v>46034.1875</v>
      </c>
      <c r="B21" s="218">
        <v>-137.12</v>
      </c>
      <c r="C21" s="218">
        <v>-137.67</v>
      </c>
      <c r="D21" s="218">
        <v>-1.2</v>
      </c>
      <c r="E21" s="218">
        <v>-136.02</v>
      </c>
      <c r="F21" s="218">
        <v>0.51</v>
      </c>
      <c r="G21" s="218">
        <v>-136.14</v>
      </c>
      <c r="H21" s="218">
        <v>-261.52</v>
      </c>
      <c r="I21" s="218">
        <v>-135.61</v>
      </c>
      <c r="J21" s="218">
        <v>-143.04</v>
      </c>
      <c r="K21" s="218">
        <v>-119.21</v>
      </c>
      <c r="L21" s="218">
        <v>-114.79</v>
      </c>
      <c r="M21" s="218">
        <v>-124.81</v>
      </c>
      <c r="N21" s="218">
        <v>-310.07</v>
      </c>
      <c r="O21" s="218">
        <v>-415.09</v>
      </c>
      <c r="P21" s="218">
        <v>-416.47</v>
      </c>
      <c r="Q21" s="218">
        <v>0.09</v>
      </c>
      <c r="R21" s="218">
        <v>0</v>
      </c>
      <c r="S21" s="218">
        <v>0</v>
      </c>
      <c r="T21" s="218">
        <v>0.22</v>
      </c>
      <c r="U21" s="218">
        <v>-0.75</v>
      </c>
      <c r="V21" s="218">
        <v>794.72</v>
      </c>
      <c r="W21" s="218">
        <v>617.39</v>
      </c>
      <c r="X21" s="218">
        <v>308.35</v>
      </c>
      <c r="Y21" s="218">
        <v>260.88</v>
      </c>
      <c r="Z21" s="218">
        <v>515.12</v>
      </c>
      <c r="AA21" s="218">
        <v>15.72</v>
      </c>
      <c r="AB21" s="218">
        <v>529.74</v>
      </c>
    </row>
    <row r="22" s="214" customFormat="1" spans="1:28">
      <c r="A22" s="217">
        <v>46034.1979166667</v>
      </c>
      <c r="B22" s="218">
        <v>-136.81</v>
      </c>
      <c r="C22" s="218">
        <v>-136.7</v>
      </c>
      <c r="D22" s="218">
        <v>-1.2</v>
      </c>
      <c r="E22" s="218">
        <v>-136.01</v>
      </c>
      <c r="F22" s="218">
        <v>0.34</v>
      </c>
      <c r="G22" s="218">
        <v>-134.67</v>
      </c>
      <c r="H22" s="218">
        <v>-263.7</v>
      </c>
      <c r="I22" s="218">
        <v>-135.76</v>
      </c>
      <c r="J22" s="218">
        <v>-142.54</v>
      </c>
      <c r="K22" s="218">
        <v>-117.59</v>
      </c>
      <c r="L22" s="218">
        <v>-115.7</v>
      </c>
      <c r="M22" s="218">
        <v>-124.85</v>
      </c>
      <c r="N22" s="218">
        <v>-310.07</v>
      </c>
      <c r="O22" s="218">
        <v>-415.59</v>
      </c>
      <c r="P22" s="218">
        <v>-419.58</v>
      </c>
      <c r="Q22" s="218">
        <v>0.09</v>
      </c>
      <c r="R22" s="218">
        <v>0</v>
      </c>
      <c r="S22" s="218">
        <v>0</v>
      </c>
      <c r="T22" s="218">
        <v>0.22</v>
      </c>
      <c r="U22" s="218">
        <v>-0.75</v>
      </c>
      <c r="V22" s="218">
        <v>796.36</v>
      </c>
      <c r="W22" s="218">
        <v>616.46</v>
      </c>
      <c r="X22" s="218">
        <v>308.35</v>
      </c>
      <c r="Y22" s="218">
        <v>263.29</v>
      </c>
      <c r="Z22" s="218">
        <v>513.05</v>
      </c>
      <c r="AA22" s="218">
        <v>16.08</v>
      </c>
      <c r="AB22" s="218">
        <v>541.29</v>
      </c>
    </row>
    <row r="23" s="214" customFormat="1" spans="1:28">
      <c r="A23" s="217">
        <v>46034.2083333333</v>
      </c>
      <c r="B23" s="218">
        <v>-136.07</v>
      </c>
      <c r="C23" s="218">
        <v>-135.42</v>
      </c>
      <c r="D23" s="218">
        <v>-1.2</v>
      </c>
      <c r="E23" s="218">
        <v>-137.04</v>
      </c>
      <c r="F23" s="218">
        <v>0.36</v>
      </c>
      <c r="G23" s="218">
        <v>-136.15</v>
      </c>
      <c r="H23" s="218">
        <v>-263.26</v>
      </c>
      <c r="I23" s="218">
        <v>-136.99</v>
      </c>
      <c r="J23" s="218">
        <v>-143.1</v>
      </c>
      <c r="K23" s="218">
        <v>-118.9</v>
      </c>
      <c r="L23" s="218">
        <v>-116.77</v>
      </c>
      <c r="M23" s="218">
        <v>-127.96</v>
      </c>
      <c r="N23" s="218">
        <v>-312.42</v>
      </c>
      <c r="O23" s="218">
        <v>-410</v>
      </c>
      <c r="P23" s="218">
        <v>-418.16</v>
      </c>
      <c r="Q23" s="218">
        <v>0.09</v>
      </c>
      <c r="R23" s="218">
        <v>0</v>
      </c>
      <c r="S23" s="218">
        <v>0</v>
      </c>
      <c r="T23" s="218">
        <v>0.22</v>
      </c>
      <c r="U23" s="218">
        <v>-0.75</v>
      </c>
      <c r="V23" s="218">
        <v>785.38</v>
      </c>
      <c r="W23" s="218">
        <v>623.76</v>
      </c>
      <c r="X23" s="218">
        <v>310.7</v>
      </c>
      <c r="Y23" s="218">
        <v>263.26</v>
      </c>
      <c r="Z23" s="218">
        <v>513.26</v>
      </c>
      <c r="AA23" s="218">
        <v>16.7</v>
      </c>
      <c r="AB23" s="218">
        <v>569.34</v>
      </c>
    </row>
    <row r="24" s="214" customFormat="1" spans="1:28">
      <c r="A24" s="217">
        <v>46034.21875</v>
      </c>
      <c r="B24" s="218">
        <v>-136.88</v>
      </c>
      <c r="C24" s="218">
        <v>-134.92</v>
      </c>
      <c r="D24" s="218">
        <v>-1.2</v>
      </c>
      <c r="E24" s="218">
        <v>-137.55</v>
      </c>
      <c r="F24" s="218">
        <v>0.31</v>
      </c>
      <c r="G24" s="218">
        <v>-136.04</v>
      </c>
      <c r="H24" s="218">
        <v>-264.13</v>
      </c>
      <c r="I24" s="218">
        <v>-136.55</v>
      </c>
      <c r="J24" s="218">
        <v>-139.34</v>
      </c>
      <c r="K24" s="218">
        <v>-119.59</v>
      </c>
      <c r="L24" s="218">
        <v>-115.81</v>
      </c>
      <c r="M24" s="218">
        <v>-124.69</v>
      </c>
      <c r="N24" s="218">
        <v>-309.87</v>
      </c>
      <c r="O24" s="218">
        <v>-419.64</v>
      </c>
      <c r="P24" s="218">
        <v>-457</v>
      </c>
      <c r="Q24" s="218">
        <v>0.09</v>
      </c>
      <c r="R24" s="218">
        <v>0.09</v>
      </c>
      <c r="S24" s="218">
        <v>0</v>
      </c>
      <c r="T24" s="218">
        <v>0.22</v>
      </c>
      <c r="U24" s="218">
        <v>-0.75</v>
      </c>
      <c r="V24" s="218">
        <v>833.12</v>
      </c>
      <c r="W24" s="218">
        <v>616.11</v>
      </c>
      <c r="X24" s="218">
        <v>308.15</v>
      </c>
      <c r="Y24" s="218">
        <v>264.13</v>
      </c>
      <c r="Z24" s="218">
        <v>513.84</v>
      </c>
      <c r="AA24" s="218">
        <v>16.65</v>
      </c>
      <c r="AB24" s="218">
        <v>555</v>
      </c>
    </row>
    <row r="25" s="214" customFormat="1" spans="1:28">
      <c r="A25" s="217">
        <v>46034.2291666667</v>
      </c>
      <c r="B25" s="218">
        <v>-138.77</v>
      </c>
      <c r="C25" s="218">
        <v>-137.13</v>
      </c>
      <c r="D25" s="218">
        <v>-1.2</v>
      </c>
      <c r="E25" s="218">
        <v>-136.29</v>
      </c>
      <c r="F25" s="218">
        <v>0.43</v>
      </c>
      <c r="G25" s="218">
        <v>-135.89</v>
      </c>
      <c r="H25" s="218">
        <v>-261.64</v>
      </c>
      <c r="I25" s="218">
        <v>-136.95</v>
      </c>
      <c r="J25" s="218">
        <v>-142.29</v>
      </c>
      <c r="K25" s="218">
        <v>-120.11</v>
      </c>
      <c r="L25" s="218">
        <v>-115.26</v>
      </c>
      <c r="M25" s="218">
        <v>-126.2</v>
      </c>
      <c r="N25" s="218">
        <v>-311.74</v>
      </c>
      <c r="O25" s="218">
        <v>-525.05</v>
      </c>
      <c r="P25" s="218">
        <v>-551.72</v>
      </c>
      <c r="Q25" s="218">
        <v>0.09</v>
      </c>
      <c r="R25" s="218">
        <v>0.44</v>
      </c>
      <c r="S25" s="218">
        <v>0</v>
      </c>
      <c r="T25" s="218">
        <v>0.22</v>
      </c>
      <c r="U25" s="218">
        <v>-0.75</v>
      </c>
      <c r="V25" s="218">
        <v>1032.76</v>
      </c>
      <c r="W25" s="218">
        <v>620.74</v>
      </c>
      <c r="X25" s="218">
        <v>310.02</v>
      </c>
      <c r="Y25" s="218">
        <v>261.64</v>
      </c>
      <c r="Z25" s="218">
        <v>516.34</v>
      </c>
      <c r="AA25" s="218">
        <v>16.62</v>
      </c>
      <c r="AB25" s="218">
        <v>581.72</v>
      </c>
    </row>
    <row r="26" s="214" customFormat="1" spans="1:28">
      <c r="A26" s="217">
        <v>46034.2395833333</v>
      </c>
      <c r="B26" s="218">
        <v>-141.38</v>
      </c>
      <c r="C26" s="218">
        <v>-137.49</v>
      </c>
      <c r="D26" s="218">
        <v>-1.2</v>
      </c>
      <c r="E26" s="218">
        <v>-133.75</v>
      </c>
      <c r="F26" s="218">
        <v>0.49</v>
      </c>
      <c r="G26" s="218">
        <v>-138.27</v>
      </c>
      <c r="H26" s="218">
        <v>-263.4</v>
      </c>
      <c r="I26" s="218">
        <v>-135.88</v>
      </c>
      <c r="J26" s="218">
        <v>-139.46</v>
      </c>
      <c r="K26" s="218">
        <v>-118.24</v>
      </c>
      <c r="L26" s="218">
        <v>-115.04</v>
      </c>
      <c r="M26" s="218">
        <v>-124.1</v>
      </c>
      <c r="N26" s="218">
        <v>-309.57</v>
      </c>
      <c r="O26" s="218">
        <v>-594.46</v>
      </c>
      <c r="P26" s="218">
        <v>-656.65</v>
      </c>
      <c r="Q26" s="218">
        <v>0.03</v>
      </c>
      <c r="R26" s="218">
        <v>0.44</v>
      </c>
      <c r="S26" s="218">
        <v>0</v>
      </c>
      <c r="T26" s="218">
        <v>0.28</v>
      </c>
      <c r="U26" s="218">
        <v>-0.75</v>
      </c>
      <c r="V26" s="218">
        <v>1206.79</v>
      </c>
      <c r="W26" s="218">
        <v>612.67</v>
      </c>
      <c r="X26" s="218">
        <v>307.86</v>
      </c>
      <c r="Y26" s="218">
        <v>263.4</v>
      </c>
      <c r="Z26" s="218">
        <v>519.65</v>
      </c>
      <c r="AA26" s="218">
        <v>16.62</v>
      </c>
      <c r="AB26" s="218">
        <v>598.12</v>
      </c>
    </row>
    <row r="27" s="214" customFormat="1" spans="1:28">
      <c r="A27" s="217">
        <v>46034.25</v>
      </c>
      <c r="B27" s="218">
        <v>-144.83</v>
      </c>
      <c r="C27" s="218">
        <v>-135.65</v>
      </c>
      <c r="D27" s="218">
        <v>-1.2</v>
      </c>
      <c r="E27" s="218">
        <v>-137.62</v>
      </c>
      <c r="F27" s="218">
        <v>0.55</v>
      </c>
      <c r="G27" s="218">
        <v>-138.74</v>
      </c>
      <c r="H27" s="218">
        <v>-262.17</v>
      </c>
      <c r="I27" s="218">
        <v>-136.28</v>
      </c>
      <c r="J27" s="218">
        <v>-141.2</v>
      </c>
      <c r="K27" s="218">
        <v>-119.6</v>
      </c>
      <c r="L27" s="218">
        <v>-119.9</v>
      </c>
      <c r="M27" s="218">
        <v>-127.58</v>
      </c>
      <c r="N27" s="218">
        <v>-314.79</v>
      </c>
      <c r="O27" s="218">
        <v>-687.57</v>
      </c>
      <c r="P27" s="218">
        <v>-710.24</v>
      </c>
      <c r="Q27" s="218">
        <v>0.05</v>
      </c>
      <c r="R27" s="218">
        <v>0.44</v>
      </c>
      <c r="S27" s="218">
        <v>0</v>
      </c>
      <c r="T27" s="218">
        <v>0.26</v>
      </c>
      <c r="U27" s="218">
        <v>-0.75</v>
      </c>
      <c r="V27" s="218">
        <v>1355.33</v>
      </c>
      <c r="W27" s="218">
        <v>624.48</v>
      </c>
      <c r="X27" s="218">
        <v>313.02</v>
      </c>
      <c r="Y27" s="218">
        <v>262.17</v>
      </c>
      <c r="Z27" s="218">
        <v>526.43</v>
      </c>
      <c r="AA27" s="218">
        <v>16.58</v>
      </c>
      <c r="AB27" s="218">
        <v>595.41</v>
      </c>
    </row>
    <row r="28" s="214" customFormat="1" spans="1:28">
      <c r="A28" s="217">
        <v>46034.2604166667</v>
      </c>
      <c r="B28" s="218">
        <v>-142.39</v>
      </c>
      <c r="C28" s="218">
        <v>-144.73</v>
      </c>
      <c r="D28" s="218">
        <v>-1.2</v>
      </c>
      <c r="E28" s="218">
        <v>-143.92</v>
      </c>
      <c r="F28" s="218">
        <v>0.54</v>
      </c>
      <c r="G28" s="218">
        <v>-138.77</v>
      </c>
      <c r="H28" s="218">
        <v>-319.8</v>
      </c>
      <c r="I28" s="218">
        <v>-135.29</v>
      </c>
      <c r="J28" s="218">
        <v>-135.09</v>
      </c>
      <c r="K28" s="218">
        <v>-115.33</v>
      </c>
      <c r="L28" s="218">
        <v>-118.59</v>
      </c>
      <c r="M28" s="218">
        <v>-125.18</v>
      </c>
      <c r="N28" s="218">
        <v>-388.25</v>
      </c>
      <c r="O28" s="218">
        <v>-729.75</v>
      </c>
      <c r="P28" s="218">
        <v>-719.35</v>
      </c>
      <c r="Q28" s="218">
        <v>0.03</v>
      </c>
      <c r="R28" s="218">
        <v>0.44</v>
      </c>
      <c r="S28" s="218">
        <v>0</v>
      </c>
      <c r="T28" s="218">
        <v>0.28</v>
      </c>
      <c r="U28" s="218">
        <v>-0.75</v>
      </c>
      <c r="V28" s="218">
        <v>1410.17</v>
      </c>
      <c r="W28" s="218">
        <v>609.59</v>
      </c>
      <c r="X28" s="218">
        <v>386.44</v>
      </c>
      <c r="Y28" s="218">
        <v>319.69</v>
      </c>
      <c r="Z28" s="218">
        <v>539.57</v>
      </c>
      <c r="AA28" s="218">
        <v>16.17</v>
      </c>
      <c r="AB28" s="218">
        <v>600.17</v>
      </c>
    </row>
    <row r="29" s="214" customFormat="1" spans="1:28">
      <c r="A29" s="217">
        <v>46034.2708333333</v>
      </c>
      <c r="B29" s="218">
        <v>-150.98</v>
      </c>
      <c r="C29" s="218">
        <v>-149.38</v>
      </c>
      <c r="D29" s="218">
        <v>-1.2</v>
      </c>
      <c r="E29" s="218">
        <v>-146.79</v>
      </c>
      <c r="F29" s="218">
        <v>0.49</v>
      </c>
      <c r="G29" s="218">
        <v>-144.25</v>
      </c>
      <c r="H29" s="218">
        <v>-383.9</v>
      </c>
      <c r="I29" s="218">
        <v>-134.97</v>
      </c>
      <c r="J29" s="218">
        <v>-134.03</v>
      </c>
      <c r="K29" s="218">
        <v>-119.92</v>
      </c>
      <c r="L29" s="218">
        <v>-116.8</v>
      </c>
      <c r="M29" s="218">
        <v>-126.22</v>
      </c>
      <c r="N29" s="218">
        <v>-443.92</v>
      </c>
      <c r="O29" s="218">
        <v>-725.81</v>
      </c>
      <c r="P29" s="218">
        <v>-719.76</v>
      </c>
      <c r="Q29" s="218">
        <v>0.09</v>
      </c>
      <c r="R29" s="218">
        <v>0.44</v>
      </c>
      <c r="S29" s="218">
        <v>0</v>
      </c>
      <c r="T29" s="218">
        <v>0.22</v>
      </c>
      <c r="U29" s="218">
        <v>-0.75</v>
      </c>
      <c r="V29" s="218">
        <v>1407.39</v>
      </c>
      <c r="W29" s="218">
        <v>611.88</v>
      </c>
      <c r="X29" s="218">
        <v>442.17</v>
      </c>
      <c r="Y29" s="218">
        <v>383.85</v>
      </c>
      <c r="Z29" s="218">
        <v>560.6</v>
      </c>
      <c r="AA29" s="218">
        <v>15.59</v>
      </c>
      <c r="AB29" s="218">
        <v>626.54</v>
      </c>
    </row>
    <row r="30" s="214" customFormat="1" spans="1:28">
      <c r="A30" s="217">
        <v>46034.28125</v>
      </c>
      <c r="B30" s="218">
        <v>-151.13</v>
      </c>
      <c r="C30" s="218">
        <v>-153.34</v>
      </c>
      <c r="D30" s="218">
        <v>-1.2</v>
      </c>
      <c r="E30" s="218">
        <v>-146.01</v>
      </c>
      <c r="F30" s="218">
        <v>0.38</v>
      </c>
      <c r="G30" s="218">
        <v>-143.16</v>
      </c>
      <c r="H30" s="218">
        <v>-414.45</v>
      </c>
      <c r="I30" s="218">
        <v>-133.91</v>
      </c>
      <c r="J30" s="218">
        <v>-135.02</v>
      </c>
      <c r="K30" s="218">
        <v>-116.7</v>
      </c>
      <c r="L30" s="218">
        <v>-116.53</v>
      </c>
      <c r="M30" s="218">
        <v>-124.72</v>
      </c>
      <c r="N30" s="218">
        <v>-442.59</v>
      </c>
      <c r="O30" s="218">
        <v>-714.28</v>
      </c>
      <c r="P30" s="218">
        <v>-715.11</v>
      </c>
      <c r="Q30" s="218">
        <v>0.06</v>
      </c>
      <c r="R30" s="218">
        <v>0.44</v>
      </c>
      <c r="S30" s="218">
        <v>0</v>
      </c>
      <c r="T30" s="218">
        <v>0.25</v>
      </c>
      <c r="U30" s="218">
        <v>-0.75</v>
      </c>
      <c r="V30" s="218">
        <v>1392.75</v>
      </c>
      <c r="W30" s="218">
        <v>607.05</v>
      </c>
      <c r="X30" s="218">
        <v>440.91</v>
      </c>
      <c r="Y30" s="218">
        <v>414.09</v>
      </c>
      <c r="Z30" s="218">
        <v>562.14</v>
      </c>
      <c r="AA30" s="218">
        <v>15.4</v>
      </c>
      <c r="AB30" s="218">
        <v>646.66</v>
      </c>
    </row>
    <row r="31" s="214" customFormat="1" spans="1:28">
      <c r="A31" s="217">
        <v>46034.2916666667</v>
      </c>
      <c r="B31" s="218">
        <v>-143.29</v>
      </c>
      <c r="C31" s="218">
        <v>-143.46</v>
      </c>
      <c r="D31" s="218">
        <v>-1.2</v>
      </c>
      <c r="E31" s="218">
        <v>-144.91</v>
      </c>
      <c r="F31" s="218">
        <v>0.27</v>
      </c>
      <c r="G31" s="218">
        <v>-140.55</v>
      </c>
      <c r="H31" s="218">
        <v>-374.2</v>
      </c>
      <c r="I31" s="218">
        <v>-133.55</v>
      </c>
      <c r="J31" s="218">
        <v>-130.99</v>
      </c>
      <c r="K31" s="218">
        <v>-115.91</v>
      </c>
      <c r="L31" s="218">
        <v>-114.06</v>
      </c>
      <c r="M31" s="218">
        <v>-122.79</v>
      </c>
      <c r="N31" s="218">
        <v>-349.51</v>
      </c>
      <c r="O31" s="218">
        <v>-707.85</v>
      </c>
      <c r="P31" s="218">
        <v>-708.2</v>
      </c>
      <c r="Q31" s="218">
        <v>0.09</v>
      </c>
      <c r="R31" s="218">
        <v>0.44</v>
      </c>
      <c r="S31" s="218">
        <v>0</v>
      </c>
      <c r="T31" s="218">
        <v>0.22</v>
      </c>
      <c r="U31" s="218">
        <v>-0.75</v>
      </c>
      <c r="V31" s="218">
        <v>1380.31</v>
      </c>
      <c r="W31" s="218">
        <v>597.12</v>
      </c>
      <c r="X31" s="218">
        <v>347.81</v>
      </c>
      <c r="Y31" s="218">
        <v>373.42</v>
      </c>
      <c r="Z31" s="218">
        <v>540.41</v>
      </c>
      <c r="AA31" s="218">
        <v>14.72</v>
      </c>
      <c r="AB31" s="218">
        <v>657.25</v>
      </c>
    </row>
    <row r="32" s="214" customFormat="1" spans="1:28">
      <c r="A32" s="217">
        <v>46034.3020833333</v>
      </c>
      <c r="B32" s="218">
        <v>-136.26</v>
      </c>
      <c r="C32" s="218">
        <v>-133.88</v>
      </c>
      <c r="D32" s="218">
        <v>-1.2</v>
      </c>
      <c r="E32" s="218">
        <v>-138.94</v>
      </c>
      <c r="F32" s="218">
        <v>0.36</v>
      </c>
      <c r="G32" s="218">
        <v>-138.46</v>
      </c>
      <c r="H32" s="218">
        <v>-310.58</v>
      </c>
      <c r="I32" s="218">
        <v>-128.04</v>
      </c>
      <c r="J32" s="218">
        <v>-135.4</v>
      </c>
      <c r="K32" s="218">
        <v>-116.32</v>
      </c>
      <c r="L32" s="218">
        <v>-117.75</v>
      </c>
      <c r="M32" s="218">
        <v>-125.86</v>
      </c>
      <c r="N32" s="218">
        <v>-315.98</v>
      </c>
      <c r="O32" s="218">
        <v>-712.16</v>
      </c>
      <c r="P32" s="218">
        <v>-713.79</v>
      </c>
      <c r="Q32" s="218">
        <v>0.05</v>
      </c>
      <c r="R32" s="218">
        <v>0.44</v>
      </c>
      <c r="S32" s="218">
        <v>0</v>
      </c>
      <c r="T32" s="218">
        <v>0.26</v>
      </c>
      <c r="U32" s="218">
        <v>-0.75</v>
      </c>
      <c r="V32" s="218">
        <v>1389.08</v>
      </c>
      <c r="W32" s="218">
        <v>603.58</v>
      </c>
      <c r="X32" s="218">
        <v>314.28</v>
      </c>
      <c r="Y32" s="218">
        <v>310.39</v>
      </c>
      <c r="Z32" s="218">
        <v>515.51</v>
      </c>
      <c r="AA32" s="218">
        <v>14.63</v>
      </c>
      <c r="AB32" s="218">
        <v>660.8</v>
      </c>
    </row>
    <row r="33" s="214" customFormat="1" spans="1:28">
      <c r="A33" s="217">
        <v>46034.3125</v>
      </c>
      <c r="B33" s="218">
        <v>-133.76</v>
      </c>
      <c r="C33" s="218">
        <v>-136.05</v>
      </c>
      <c r="D33" s="218">
        <v>-1.2</v>
      </c>
      <c r="E33" s="218">
        <v>-142.09</v>
      </c>
      <c r="F33" s="218">
        <v>0.49</v>
      </c>
      <c r="G33" s="218">
        <v>-137.04</v>
      </c>
      <c r="H33" s="218">
        <v>-260.83</v>
      </c>
      <c r="I33" s="218">
        <v>-128.97</v>
      </c>
      <c r="J33" s="218">
        <v>-131.55</v>
      </c>
      <c r="K33" s="218">
        <v>-115.02</v>
      </c>
      <c r="L33" s="218">
        <v>-116.75</v>
      </c>
      <c r="M33" s="218">
        <v>-124.19</v>
      </c>
      <c r="N33" s="218">
        <v>-308.9</v>
      </c>
      <c r="O33" s="218">
        <v>-714.44</v>
      </c>
      <c r="P33" s="218">
        <v>-710</v>
      </c>
      <c r="Q33" s="218">
        <v>0.08</v>
      </c>
      <c r="R33" s="218">
        <v>0.44</v>
      </c>
      <c r="S33" s="218">
        <v>0</v>
      </c>
      <c r="T33" s="218">
        <v>0.23</v>
      </c>
      <c r="U33" s="218">
        <v>-0.75</v>
      </c>
      <c r="V33" s="218">
        <v>1387.27</v>
      </c>
      <c r="W33" s="218">
        <v>596.66</v>
      </c>
      <c r="X33" s="218">
        <v>307.16</v>
      </c>
      <c r="Y33" s="218">
        <v>260.85</v>
      </c>
      <c r="Z33" s="218">
        <v>516.43</v>
      </c>
      <c r="AA33" s="218">
        <v>14.79</v>
      </c>
      <c r="AB33" s="218">
        <v>686.77</v>
      </c>
    </row>
    <row r="34" s="214" customFormat="1" spans="1:28">
      <c r="A34" s="217">
        <v>46034.3229166667</v>
      </c>
      <c r="B34" s="218">
        <v>-146.66</v>
      </c>
      <c r="C34" s="218">
        <v>-143.79</v>
      </c>
      <c r="D34" s="218">
        <v>-1.2</v>
      </c>
      <c r="E34" s="218">
        <v>-145.66</v>
      </c>
      <c r="F34" s="218">
        <v>0.44</v>
      </c>
      <c r="G34" s="218">
        <v>-132.16</v>
      </c>
      <c r="H34" s="218">
        <v>-294.32</v>
      </c>
      <c r="I34" s="218">
        <v>-135.96</v>
      </c>
      <c r="J34" s="218">
        <v>-139.69</v>
      </c>
      <c r="K34" s="218">
        <v>-122.22</v>
      </c>
      <c r="L34" s="218">
        <v>-125.34</v>
      </c>
      <c r="M34" s="218">
        <v>-128.97</v>
      </c>
      <c r="N34" s="218">
        <v>-358.17</v>
      </c>
      <c r="O34" s="218">
        <v>-709.36</v>
      </c>
      <c r="P34" s="218">
        <v>-702.16</v>
      </c>
      <c r="Q34" s="218">
        <v>-0.02</v>
      </c>
      <c r="R34" s="218">
        <v>0.44</v>
      </c>
      <c r="S34" s="218">
        <v>0</v>
      </c>
      <c r="T34" s="218">
        <v>0.33</v>
      </c>
      <c r="U34" s="218">
        <v>-0.75</v>
      </c>
      <c r="V34" s="218">
        <v>1374.64</v>
      </c>
      <c r="W34" s="218">
        <v>632.03</v>
      </c>
      <c r="X34" s="218">
        <v>356.4</v>
      </c>
      <c r="Y34" s="218">
        <v>294.25</v>
      </c>
      <c r="Z34" s="218">
        <v>536.43</v>
      </c>
      <c r="AA34" s="218">
        <v>14.65</v>
      </c>
      <c r="AB34" s="218">
        <v>680.45</v>
      </c>
    </row>
    <row r="35" s="214" customFormat="1" spans="1:28">
      <c r="A35" s="217">
        <v>46034.3333333333</v>
      </c>
      <c r="B35" s="218">
        <v>-152.34</v>
      </c>
      <c r="C35" s="218">
        <v>-154.42</v>
      </c>
      <c r="D35" s="218">
        <v>-1.2</v>
      </c>
      <c r="E35" s="218">
        <v>-145.2</v>
      </c>
      <c r="F35" s="218">
        <v>0.35</v>
      </c>
      <c r="G35" s="218">
        <v>-127.18</v>
      </c>
      <c r="H35" s="218">
        <v>-364.89</v>
      </c>
      <c r="I35" s="218">
        <v>-157.96</v>
      </c>
      <c r="J35" s="218">
        <v>-165.09</v>
      </c>
      <c r="K35" s="218">
        <v>-170.66</v>
      </c>
      <c r="L35" s="218">
        <v>-173.24</v>
      </c>
      <c r="M35" s="218">
        <v>-165.65</v>
      </c>
      <c r="N35" s="218">
        <v>-406.66</v>
      </c>
      <c r="O35" s="218">
        <v>-712.96</v>
      </c>
      <c r="P35" s="218">
        <v>-697.28</v>
      </c>
      <c r="Q35" s="218">
        <v>-0.03</v>
      </c>
      <c r="R35" s="218">
        <v>0.44</v>
      </c>
      <c r="S35" s="218">
        <v>0</v>
      </c>
      <c r="T35" s="218">
        <v>0.21</v>
      </c>
      <c r="U35" s="218">
        <v>-0.75</v>
      </c>
      <c r="V35" s="218">
        <v>1372.33</v>
      </c>
      <c r="W35" s="218">
        <v>811.8</v>
      </c>
      <c r="X35" s="218">
        <v>404.88</v>
      </c>
      <c r="Y35" s="218">
        <v>364.83</v>
      </c>
      <c r="Z35" s="218">
        <v>547.68</v>
      </c>
      <c r="AA35" s="218">
        <v>14.59</v>
      </c>
      <c r="AB35" s="218">
        <v>676.2</v>
      </c>
    </row>
    <row r="36" s="214" customFormat="1" spans="1:28">
      <c r="A36" s="217">
        <v>46034.34375</v>
      </c>
      <c r="B36" s="218">
        <v>-150.68</v>
      </c>
      <c r="C36" s="218">
        <v>-156.51</v>
      </c>
      <c r="D36" s="218">
        <v>-1.2</v>
      </c>
      <c r="E36" s="218">
        <v>-143.26</v>
      </c>
      <c r="F36" s="218">
        <v>0.55</v>
      </c>
      <c r="G36" s="218">
        <v>-125.32</v>
      </c>
      <c r="H36" s="218">
        <v>-417.94</v>
      </c>
      <c r="I36" s="218">
        <v>-156.01</v>
      </c>
      <c r="J36" s="218">
        <v>-167.53</v>
      </c>
      <c r="K36" s="218">
        <v>-199.15</v>
      </c>
      <c r="L36" s="218">
        <v>-197.15</v>
      </c>
      <c r="M36" s="218">
        <v>-184.1</v>
      </c>
      <c r="N36" s="218">
        <v>-425.42</v>
      </c>
      <c r="O36" s="218">
        <v>-710.63</v>
      </c>
      <c r="P36" s="218">
        <v>-698.5</v>
      </c>
      <c r="Q36" s="218">
        <v>0</v>
      </c>
      <c r="R36" s="218">
        <v>0.44</v>
      </c>
      <c r="S36" s="218">
        <v>0</v>
      </c>
      <c r="T36" s="218">
        <v>0</v>
      </c>
      <c r="U36" s="218">
        <v>-0.75</v>
      </c>
      <c r="V36" s="218">
        <v>1371.91</v>
      </c>
      <c r="W36" s="218">
        <v>882.85</v>
      </c>
      <c r="X36" s="218">
        <v>423.7</v>
      </c>
      <c r="Y36" s="218">
        <v>417.89</v>
      </c>
      <c r="Z36" s="218">
        <v>544.02</v>
      </c>
      <c r="AA36" s="218">
        <v>14.34</v>
      </c>
      <c r="AB36" s="218">
        <v>676.72</v>
      </c>
    </row>
    <row r="37" s="214" customFormat="1" spans="1:28">
      <c r="A37" s="217">
        <v>46034.3541666667</v>
      </c>
      <c r="B37" s="218">
        <v>-151.03</v>
      </c>
      <c r="C37" s="218">
        <v>-155.61</v>
      </c>
      <c r="D37" s="218">
        <v>-1.2</v>
      </c>
      <c r="E37" s="218">
        <v>-141.85</v>
      </c>
      <c r="F37" s="218">
        <v>0.61</v>
      </c>
      <c r="G37" s="218">
        <v>-127.68</v>
      </c>
      <c r="H37" s="218">
        <v>-429.22</v>
      </c>
      <c r="I37" s="218">
        <v>-159.1</v>
      </c>
      <c r="J37" s="218">
        <v>-168.69</v>
      </c>
      <c r="K37" s="218">
        <v>-203.97</v>
      </c>
      <c r="L37" s="218">
        <v>-198.88</v>
      </c>
      <c r="M37" s="218">
        <v>-189.43</v>
      </c>
      <c r="N37" s="218">
        <v>-425.76</v>
      </c>
      <c r="O37" s="218">
        <v>-712.11</v>
      </c>
      <c r="P37" s="218">
        <v>-694.03</v>
      </c>
      <c r="Q37" s="218">
        <v>0</v>
      </c>
      <c r="R37" s="218">
        <v>0.44</v>
      </c>
      <c r="S37" s="218">
        <v>0</v>
      </c>
      <c r="T37" s="218">
        <v>0</v>
      </c>
      <c r="U37" s="218">
        <v>-0.75</v>
      </c>
      <c r="V37" s="218">
        <v>1369.44</v>
      </c>
      <c r="W37" s="218">
        <v>898.86</v>
      </c>
      <c r="X37" s="218">
        <v>424.04</v>
      </c>
      <c r="Y37" s="218">
        <v>429.22</v>
      </c>
      <c r="Z37" s="218">
        <v>543.82</v>
      </c>
      <c r="AA37" s="218">
        <v>14.47</v>
      </c>
      <c r="AB37" s="218">
        <v>675.38</v>
      </c>
    </row>
    <row r="38" s="214" customFormat="1" spans="1:28">
      <c r="A38" s="217">
        <v>46034.3645833333</v>
      </c>
      <c r="B38" s="218">
        <v>-148.98</v>
      </c>
      <c r="C38" s="218">
        <v>-153.89</v>
      </c>
      <c r="D38" s="218">
        <v>-1.2</v>
      </c>
      <c r="E38" s="218">
        <v>-141.65</v>
      </c>
      <c r="F38" s="218">
        <v>0.61</v>
      </c>
      <c r="G38" s="218">
        <v>-133.98</v>
      </c>
      <c r="H38" s="218">
        <v>-432.99</v>
      </c>
      <c r="I38" s="218">
        <v>-155.54</v>
      </c>
      <c r="J38" s="218">
        <v>-167.4</v>
      </c>
      <c r="K38" s="218">
        <v>-203.18</v>
      </c>
      <c r="L38" s="218">
        <v>-200.87</v>
      </c>
      <c r="M38" s="218">
        <v>-192.61</v>
      </c>
      <c r="N38" s="218">
        <v>-440.68</v>
      </c>
      <c r="O38" s="218">
        <v>-719.09</v>
      </c>
      <c r="P38" s="218">
        <v>-717.61</v>
      </c>
      <c r="Q38" s="218">
        <v>0</v>
      </c>
      <c r="R38" s="218">
        <v>0.44</v>
      </c>
      <c r="S38" s="218">
        <v>0</v>
      </c>
      <c r="T38" s="218">
        <v>0</v>
      </c>
      <c r="U38" s="218">
        <v>-0.75</v>
      </c>
      <c r="V38" s="218">
        <v>1398.94</v>
      </c>
      <c r="W38" s="218">
        <v>898.38</v>
      </c>
      <c r="X38" s="218">
        <v>438.94</v>
      </c>
      <c r="Y38" s="218">
        <v>432.98</v>
      </c>
      <c r="Z38" s="218">
        <v>546.73</v>
      </c>
      <c r="AA38" s="218">
        <v>14.45</v>
      </c>
      <c r="AB38" s="218">
        <v>677.74</v>
      </c>
    </row>
    <row r="39" s="214" customFormat="1" spans="1:28">
      <c r="A39" s="217">
        <v>46034.375</v>
      </c>
      <c r="B39" s="218">
        <v>-152.53</v>
      </c>
      <c r="C39" s="218">
        <v>-151.8</v>
      </c>
      <c r="D39" s="218">
        <v>-1.2</v>
      </c>
      <c r="E39" s="218">
        <v>-141.28</v>
      </c>
      <c r="F39" s="218">
        <v>0.42</v>
      </c>
      <c r="G39" s="218">
        <v>-134.31</v>
      </c>
      <c r="H39" s="218">
        <v>-444.48</v>
      </c>
      <c r="I39" s="218">
        <v>-150.05</v>
      </c>
      <c r="J39" s="218">
        <v>-160.55</v>
      </c>
      <c r="K39" s="218">
        <v>-201.89</v>
      </c>
      <c r="L39" s="218">
        <v>-200.02</v>
      </c>
      <c r="M39" s="218">
        <v>-190.75</v>
      </c>
      <c r="N39" s="218">
        <v>-437.42</v>
      </c>
      <c r="O39" s="218">
        <v>-715.78</v>
      </c>
      <c r="P39" s="218">
        <v>-725.77</v>
      </c>
      <c r="Q39" s="218">
        <v>0</v>
      </c>
      <c r="R39" s="218">
        <v>0.44</v>
      </c>
      <c r="S39" s="218">
        <v>0</v>
      </c>
      <c r="T39" s="218">
        <v>0</v>
      </c>
      <c r="U39" s="218">
        <v>-0.75</v>
      </c>
      <c r="V39" s="218">
        <v>1405</v>
      </c>
      <c r="W39" s="218">
        <v>882.13</v>
      </c>
      <c r="X39" s="218">
        <v>435.71</v>
      </c>
      <c r="Y39" s="218">
        <v>444.44</v>
      </c>
      <c r="Z39" s="218">
        <v>548.02</v>
      </c>
      <c r="AA39" s="218">
        <v>13.49</v>
      </c>
      <c r="AB39" s="218">
        <v>676.86</v>
      </c>
    </row>
    <row r="40" s="214" customFormat="1" spans="1:28">
      <c r="A40" s="217">
        <v>46034.3854166667</v>
      </c>
      <c r="B40" s="218">
        <v>-152.18</v>
      </c>
      <c r="C40" s="218">
        <v>-152.1</v>
      </c>
      <c r="D40" s="218">
        <v>-1.2</v>
      </c>
      <c r="E40" s="218">
        <v>-137.26</v>
      </c>
      <c r="F40" s="218">
        <v>0.55</v>
      </c>
      <c r="G40" s="218">
        <v>-128.85</v>
      </c>
      <c r="H40" s="218">
        <v>-483.08</v>
      </c>
      <c r="I40" s="218">
        <v>-154.53</v>
      </c>
      <c r="J40" s="218">
        <v>-165</v>
      </c>
      <c r="K40" s="218">
        <v>-202.89</v>
      </c>
      <c r="L40" s="218">
        <v>-203.45</v>
      </c>
      <c r="M40" s="218">
        <v>-189.6</v>
      </c>
      <c r="N40" s="218">
        <v>-436.7</v>
      </c>
      <c r="O40" s="218">
        <v>-719.36</v>
      </c>
      <c r="P40" s="218">
        <v>-725.58</v>
      </c>
      <c r="Q40" s="218">
        <v>0</v>
      </c>
      <c r="R40" s="218">
        <v>0.44</v>
      </c>
      <c r="S40" s="218">
        <v>0</v>
      </c>
      <c r="T40" s="218">
        <v>0</v>
      </c>
      <c r="U40" s="218">
        <v>-0.75</v>
      </c>
      <c r="V40" s="218">
        <v>1412.2</v>
      </c>
      <c r="W40" s="218">
        <v>894.34</v>
      </c>
      <c r="X40" s="218">
        <v>434.97</v>
      </c>
      <c r="Y40" s="218">
        <v>483.07</v>
      </c>
      <c r="Z40" s="218">
        <v>539.68</v>
      </c>
      <c r="AA40" s="218">
        <v>10.3</v>
      </c>
      <c r="AB40" s="218">
        <v>679.03</v>
      </c>
    </row>
    <row r="41" s="214" customFormat="1" spans="1:28">
      <c r="A41" s="217">
        <v>46034.3958333333</v>
      </c>
      <c r="B41" s="218">
        <v>-149.59</v>
      </c>
      <c r="C41" s="218">
        <v>-144.46</v>
      </c>
      <c r="D41" s="218">
        <v>-1.2</v>
      </c>
      <c r="E41" s="218">
        <v>-136.51</v>
      </c>
      <c r="F41" s="218">
        <v>0.55</v>
      </c>
      <c r="G41" s="218">
        <v>-137.95</v>
      </c>
      <c r="H41" s="218">
        <v>-482.66</v>
      </c>
      <c r="I41" s="218">
        <v>-153.45</v>
      </c>
      <c r="J41" s="218">
        <v>-164</v>
      </c>
      <c r="K41" s="218">
        <v>-187.78</v>
      </c>
      <c r="L41" s="218">
        <v>-176.87</v>
      </c>
      <c r="M41" s="218">
        <v>-181.58</v>
      </c>
      <c r="N41" s="218">
        <v>-424.72</v>
      </c>
      <c r="O41" s="218">
        <v>-713.04</v>
      </c>
      <c r="P41" s="218">
        <v>-726.02</v>
      </c>
      <c r="Q41" s="218">
        <v>0</v>
      </c>
      <c r="R41" s="218">
        <v>0.44</v>
      </c>
      <c r="S41" s="218">
        <v>0</v>
      </c>
      <c r="T41" s="218">
        <v>0</v>
      </c>
      <c r="U41" s="218">
        <v>-0.75</v>
      </c>
      <c r="V41" s="218">
        <v>1408.17</v>
      </c>
      <c r="W41" s="218">
        <v>842.83</v>
      </c>
      <c r="X41" s="218">
        <v>423.13</v>
      </c>
      <c r="Y41" s="218">
        <v>482.66</v>
      </c>
      <c r="Z41" s="218">
        <v>538.68</v>
      </c>
      <c r="AA41" s="218">
        <v>9.36</v>
      </c>
      <c r="AB41" s="218">
        <v>679.14</v>
      </c>
    </row>
    <row r="42" s="214" customFormat="1" spans="1:28">
      <c r="A42" s="217">
        <v>46034.40625</v>
      </c>
      <c r="B42" s="218">
        <v>-145.12</v>
      </c>
      <c r="C42" s="218">
        <v>-132.49</v>
      </c>
      <c r="D42" s="218">
        <v>-1.2</v>
      </c>
      <c r="E42" s="218">
        <v>-148.33</v>
      </c>
      <c r="F42" s="218">
        <v>0.42</v>
      </c>
      <c r="G42" s="218">
        <v>-138.93</v>
      </c>
      <c r="H42" s="218">
        <v>-478.13</v>
      </c>
      <c r="I42" s="218">
        <v>-153.25</v>
      </c>
      <c r="J42" s="218">
        <v>-152.03</v>
      </c>
      <c r="K42" s="218">
        <v>-171.76</v>
      </c>
      <c r="L42" s="218">
        <v>-133.37</v>
      </c>
      <c r="M42" s="218">
        <v>-161.72</v>
      </c>
      <c r="N42" s="218">
        <v>-344.67</v>
      </c>
      <c r="O42" s="218">
        <v>-713.25</v>
      </c>
      <c r="P42" s="218">
        <v>-724.09</v>
      </c>
      <c r="Q42" s="218">
        <v>0</v>
      </c>
      <c r="R42" s="218">
        <v>0.44</v>
      </c>
      <c r="S42" s="218">
        <v>0</v>
      </c>
      <c r="T42" s="218">
        <v>0</v>
      </c>
      <c r="U42" s="218">
        <v>-0.75</v>
      </c>
      <c r="V42" s="218">
        <v>1405.1</v>
      </c>
      <c r="W42" s="218">
        <v>751.57</v>
      </c>
      <c r="X42" s="218">
        <v>343.85</v>
      </c>
      <c r="Y42" s="218">
        <v>477.18</v>
      </c>
      <c r="Z42" s="218">
        <v>534.47</v>
      </c>
      <c r="AA42" s="218">
        <v>9.13</v>
      </c>
      <c r="AB42" s="218">
        <v>679.41</v>
      </c>
    </row>
    <row r="43" s="214" customFormat="1" spans="1:28">
      <c r="A43" s="217">
        <v>46034.4166666667</v>
      </c>
      <c r="B43" s="218">
        <v>-145.61</v>
      </c>
      <c r="C43" s="218">
        <v>-137.86</v>
      </c>
      <c r="D43" s="218">
        <v>-1.2</v>
      </c>
      <c r="E43" s="218">
        <v>-148.85</v>
      </c>
      <c r="F43" s="218">
        <v>0.49</v>
      </c>
      <c r="G43" s="218">
        <v>-139.81</v>
      </c>
      <c r="H43" s="218">
        <v>-414.6</v>
      </c>
      <c r="I43" s="218">
        <v>-154.09</v>
      </c>
      <c r="J43" s="218">
        <v>-150.9</v>
      </c>
      <c r="K43" s="218">
        <v>-136.51</v>
      </c>
      <c r="L43" s="218">
        <v>-131.98</v>
      </c>
      <c r="M43" s="218">
        <v>-143.34</v>
      </c>
      <c r="N43" s="218">
        <v>-314.11</v>
      </c>
      <c r="O43" s="218">
        <v>-719.17</v>
      </c>
      <c r="P43" s="218">
        <v>-723.47</v>
      </c>
      <c r="Q43" s="218">
        <v>0</v>
      </c>
      <c r="R43" s="218">
        <v>0.44</v>
      </c>
      <c r="S43" s="218">
        <v>0</v>
      </c>
      <c r="T43" s="218">
        <v>0</v>
      </c>
      <c r="U43" s="218">
        <v>-0.75</v>
      </c>
      <c r="V43" s="218">
        <v>1411.04</v>
      </c>
      <c r="W43" s="218">
        <v>696.58</v>
      </c>
      <c r="X43" s="218">
        <v>313.24</v>
      </c>
      <c r="Y43" s="218">
        <v>412.85</v>
      </c>
      <c r="Z43" s="218">
        <v>540.48</v>
      </c>
      <c r="AA43" s="218">
        <v>8.94</v>
      </c>
      <c r="AB43" s="218">
        <v>677.31</v>
      </c>
    </row>
    <row r="44" s="214" customFormat="1" spans="1:28">
      <c r="A44" s="217">
        <v>46034.4270833333</v>
      </c>
      <c r="B44" s="218">
        <v>-140.79</v>
      </c>
      <c r="C44" s="218">
        <v>-139.98</v>
      </c>
      <c r="D44" s="218">
        <v>-1.2</v>
      </c>
      <c r="E44" s="218">
        <v>-145.78</v>
      </c>
      <c r="F44" s="218">
        <v>0.5</v>
      </c>
      <c r="G44" s="218">
        <v>-140.92</v>
      </c>
      <c r="H44" s="218">
        <v>-351.93</v>
      </c>
      <c r="I44" s="218">
        <v>-153.88</v>
      </c>
      <c r="J44" s="218">
        <v>-142.13</v>
      </c>
      <c r="K44" s="218">
        <v>-116.22</v>
      </c>
      <c r="L44" s="218">
        <v>-144.49</v>
      </c>
      <c r="M44" s="218">
        <v>-130.35</v>
      </c>
      <c r="N44" s="218">
        <v>-307.91</v>
      </c>
      <c r="O44" s="218">
        <v>-715.25</v>
      </c>
      <c r="P44" s="218">
        <v>-711.16</v>
      </c>
      <c r="Q44" s="218">
        <v>0</v>
      </c>
      <c r="R44" s="218">
        <v>0.44</v>
      </c>
      <c r="S44" s="218">
        <v>0</v>
      </c>
      <c r="T44" s="218">
        <v>0</v>
      </c>
      <c r="U44" s="218">
        <v>-0.75</v>
      </c>
      <c r="V44" s="218">
        <v>1395.21</v>
      </c>
      <c r="W44" s="218">
        <v>666.91</v>
      </c>
      <c r="X44" s="218">
        <v>307.01</v>
      </c>
      <c r="Y44" s="218">
        <v>350.87</v>
      </c>
      <c r="Z44" s="218">
        <v>535.95</v>
      </c>
      <c r="AA44" s="218">
        <v>9.12</v>
      </c>
      <c r="AB44" s="218">
        <v>680.36</v>
      </c>
    </row>
    <row r="45" s="214" customFormat="1" spans="1:28">
      <c r="A45" s="217">
        <v>46034.4375</v>
      </c>
      <c r="B45" s="218">
        <v>-137.09</v>
      </c>
      <c r="C45" s="218">
        <v>-139.25</v>
      </c>
      <c r="D45" s="218">
        <v>-1.2</v>
      </c>
      <c r="E45" s="218">
        <v>-139.21</v>
      </c>
      <c r="F45" s="218">
        <v>0.53</v>
      </c>
      <c r="G45" s="218">
        <v>-139.93</v>
      </c>
      <c r="H45" s="218">
        <v>-300</v>
      </c>
      <c r="I45" s="218">
        <v>-150.52</v>
      </c>
      <c r="J45" s="218">
        <v>-142.08</v>
      </c>
      <c r="K45" s="218">
        <v>-112.18</v>
      </c>
      <c r="L45" s="218">
        <v>-146.32</v>
      </c>
      <c r="M45" s="218">
        <v>-144.89</v>
      </c>
      <c r="N45" s="218">
        <v>-319.31</v>
      </c>
      <c r="O45" s="218">
        <v>-716.12</v>
      </c>
      <c r="P45" s="218">
        <v>-720.06</v>
      </c>
      <c r="Q45" s="218">
        <v>0</v>
      </c>
      <c r="R45" s="218">
        <v>0.44</v>
      </c>
      <c r="S45" s="218">
        <v>0</v>
      </c>
      <c r="T45" s="218">
        <v>0</v>
      </c>
      <c r="U45" s="218">
        <v>-0.75</v>
      </c>
      <c r="V45" s="218">
        <v>1405.67</v>
      </c>
      <c r="W45" s="218">
        <v>675.79</v>
      </c>
      <c r="X45" s="218">
        <v>318.42</v>
      </c>
      <c r="Y45" s="218">
        <v>299.51</v>
      </c>
      <c r="Z45" s="218">
        <v>524.32</v>
      </c>
      <c r="AA45" s="218">
        <v>8.85</v>
      </c>
      <c r="AB45" s="218">
        <v>672.31</v>
      </c>
    </row>
    <row r="46" s="214" customFormat="1" spans="1:28">
      <c r="A46" s="217">
        <v>46034.4479166667</v>
      </c>
      <c r="B46" s="218">
        <v>-144.05</v>
      </c>
      <c r="C46" s="218">
        <v>-133.58</v>
      </c>
      <c r="D46" s="218">
        <v>-1.2</v>
      </c>
      <c r="E46" s="218">
        <v>-145.26</v>
      </c>
      <c r="F46" s="218">
        <v>0.49</v>
      </c>
      <c r="G46" s="218">
        <v>-140.99</v>
      </c>
      <c r="H46" s="218">
        <v>-273.85</v>
      </c>
      <c r="I46" s="218">
        <v>-149.78</v>
      </c>
      <c r="J46" s="218">
        <v>-145.33</v>
      </c>
      <c r="K46" s="218">
        <v>-113.9</v>
      </c>
      <c r="L46" s="218">
        <v>-145.17</v>
      </c>
      <c r="M46" s="218">
        <v>-132.05</v>
      </c>
      <c r="N46" s="218">
        <v>-315.05</v>
      </c>
      <c r="O46" s="218">
        <v>-714.68</v>
      </c>
      <c r="P46" s="218">
        <v>-704.76</v>
      </c>
      <c r="Q46" s="218">
        <v>0</v>
      </c>
      <c r="R46" s="218">
        <v>0.44</v>
      </c>
      <c r="S46" s="218">
        <v>0</v>
      </c>
      <c r="T46" s="218">
        <v>0</v>
      </c>
      <c r="U46" s="218">
        <v>-0.75</v>
      </c>
      <c r="V46" s="218">
        <v>1387.48</v>
      </c>
      <c r="W46" s="218">
        <v>666.22</v>
      </c>
      <c r="X46" s="218">
        <v>313.77</v>
      </c>
      <c r="Y46" s="218">
        <v>272.25</v>
      </c>
      <c r="Z46" s="218">
        <v>532.41</v>
      </c>
      <c r="AA46" s="218">
        <v>6.6</v>
      </c>
      <c r="AB46" s="218">
        <v>678.02</v>
      </c>
    </row>
    <row r="47" s="214" customFormat="1" spans="1:28">
      <c r="A47" s="217">
        <v>46034.4583333333</v>
      </c>
      <c r="B47" s="218">
        <v>-147.97</v>
      </c>
      <c r="C47" s="218">
        <v>-134.96</v>
      </c>
      <c r="D47" s="218">
        <v>-1.2</v>
      </c>
      <c r="E47" s="218">
        <v>-144.67</v>
      </c>
      <c r="F47" s="218">
        <v>0.42</v>
      </c>
      <c r="G47" s="218">
        <v>-141.17</v>
      </c>
      <c r="H47" s="218">
        <v>-267.95</v>
      </c>
      <c r="I47" s="218">
        <v>-154.31</v>
      </c>
      <c r="J47" s="218">
        <v>-143.68</v>
      </c>
      <c r="K47" s="218">
        <v>-116.32</v>
      </c>
      <c r="L47" s="218">
        <v>-146.85</v>
      </c>
      <c r="M47" s="218">
        <v>-139.62</v>
      </c>
      <c r="N47" s="218">
        <v>-317.56</v>
      </c>
      <c r="O47" s="218">
        <v>-657.74</v>
      </c>
      <c r="P47" s="218">
        <v>-580.54</v>
      </c>
      <c r="Q47" s="218">
        <v>0</v>
      </c>
      <c r="R47" s="218">
        <v>0.44</v>
      </c>
      <c r="S47" s="218">
        <v>0</v>
      </c>
      <c r="T47" s="218">
        <v>0</v>
      </c>
      <c r="U47" s="218">
        <v>-0.75</v>
      </c>
      <c r="V47" s="218">
        <v>1202.81</v>
      </c>
      <c r="W47" s="218">
        <v>680.95</v>
      </c>
      <c r="X47" s="218">
        <v>315.71</v>
      </c>
      <c r="Y47" s="218">
        <v>266.53</v>
      </c>
      <c r="Z47" s="218">
        <v>538.61</v>
      </c>
      <c r="AA47" s="218">
        <v>0</v>
      </c>
      <c r="AB47" s="218">
        <v>674.78</v>
      </c>
    </row>
    <row r="48" s="214" customFormat="1" spans="1:28">
      <c r="A48" s="217">
        <v>46034.46875</v>
      </c>
      <c r="B48" s="218">
        <v>-144.97</v>
      </c>
      <c r="C48" s="218">
        <v>-137.48</v>
      </c>
      <c r="D48" s="218">
        <v>-1.2</v>
      </c>
      <c r="E48" s="218">
        <v>-144.77</v>
      </c>
      <c r="F48" s="218">
        <v>0.61</v>
      </c>
      <c r="G48" s="218">
        <v>-140.84</v>
      </c>
      <c r="H48" s="218">
        <v>-258.69</v>
      </c>
      <c r="I48" s="218">
        <v>-146.12</v>
      </c>
      <c r="J48" s="218">
        <v>-141.86</v>
      </c>
      <c r="K48" s="218">
        <v>-114.45</v>
      </c>
      <c r="L48" s="218">
        <v>-144.37</v>
      </c>
      <c r="M48" s="218">
        <v>-127.54</v>
      </c>
      <c r="N48" s="218">
        <v>-315.26</v>
      </c>
      <c r="O48" s="218">
        <v>-549.89</v>
      </c>
      <c r="P48" s="218">
        <v>-473.93</v>
      </c>
      <c r="Q48" s="218">
        <v>0</v>
      </c>
      <c r="R48" s="218">
        <v>0.44</v>
      </c>
      <c r="S48" s="218">
        <v>0</v>
      </c>
      <c r="T48" s="218">
        <v>0</v>
      </c>
      <c r="U48" s="218">
        <v>-0.75</v>
      </c>
      <c r="V48" s="218">
        <v>989.39</v>
      </c>
      <c r="W48" s="218">
        <v>655.02</v>
      </c>
      <c r="X48" s="218">
        <v>313.44</v>
      </c>
      <c r="Y48" s="218">
        <v>257.69</v>
      </c>
      <c r="Z48" s="218">
        <v>537.72</v>
      </c>
      <c r="AA48" s="218">
        <v>0</v>
      </c>
      <c r="AB48" s="218">
        <v>679.05</v>
      </c>
    </row>
    <row r="49" s="214" customFormat="1" spans="1:28">
      <c r="A49" s="217">
        <v>46034.4791666667</v>
      </c>
      <c r="B49" s="218">
        <v>-149.23</v>
      </c>
      <c r="C49" s="218">
        <v>-136.85</v>
      </c>
      <c r="D49" s="218">
        <v>-1.2</v>
      </c>
      <c r="E49" s="218">
        <v>-147.1</v>
      </c>
      <c r="F49" s="218">
        <v>0.43</v>
      </c>
      <c r="G49" s="218">
        <v>-140.4</v>
      </c>
      <c r="H49" s="218">
        <v>-260.94</v>
      </c>
      <c r="I49" s="218">
        <v>-141.54</v>
      </c>
      <c r="J49" s="218">
        <v>-138.13</v>
      </c>
      <c r="K49" s="218">
        <v>-116.03</v>
      </c>
      <c r="L49" s="218">
        <v>-138.26</v>
      </c>
      <c r="M49" s="218">
        <v>-132.74</v>
      </c>
      <c r="N49" s="218">
        <v>-315.67</v>
      </c>
      <c r="O49" s="218">
        <v>-474.16</v>
      </c>
      <c r="P49" s="218">
        <v>-431.62</v>
      </c>
      <c r="Q49" s="218">
        <v>-0.13</v>
      </c>
      <c r="R49" s="218">
        <v>0.44</v>
      </c>
      <c r="S49" s="218">
        <v>0</v>
      </c>
      <c r="T49" s="218">
        <v>0.44</v>
      </c>
      <c r="U49" s="218">
        <v>-0.75</v>
      </c>
      <c r="V49" s="218">
        <v>869.34</v>
      </c>
      <c r="W49" s="218">
        <v>646.67</v>
      </c>
      <c r="X49" s="218">
        <v>313.82</v>
      </c>
      <c r="Y49" s="218">
        <v>259.94</v>
      </c>
      <c r="Z49" s="218">
        <v>543.05</v>
      </c>
      <c r="AA49" s="218">
        <v>0</v>
      </c>
      <c r="AB49" s="218">
        <v>674.23</v>
      </c>
    </row>
    <row r="50" s="214" customFormat="1" spans="1:28">
      <c r="A50" s="217">
        <v>46034.4895833333</v>
      </c>
      <c r="B50" s="218">
        <v>-145.17</v>
      </c>
      <c r="C50" s="218">
        <v>-136.12</v>
      </c>
      <c r="D50" s="218">
        <v>-1.2</v>
      </c>
      <c r="E50" s="218">
        <v>-148.26</v>
      </c>
      <c r="F50" s="218">
        <v>0.36</v>
      </c>
      <c r="G50" s="218">
        <v>-140.65</v>
      </c>
      <c r="H50" s="218">
        <v>-260.19</v>
      </c>
      <c r="I50" s="218">
        <v>-139.65</v>
      </c>
      <c r="J50" s="218">
        <v>-140.62</v>
      </c>
      <c r="K50" s="218">
        <v>-116.3</v>
      </c>
      <c r="L50" s="218">
        <v>-134.15</v>
      </c>
      <c r="M50" s="218">
        <v>-128.72</v>
      </c>
      <c r="N50" s="218">
        <v>-313.24</v>
      </c>
      <c r="O50" s="218">
        <v>-419.99</v>
      </c>
      <c r="P50" s="218">
        <v>-409.95</v>
      </c>
      <c r="Q50" s="218">
        <v>-0.13</v>
      </c>
      <c r="R50" s="218">
        <v>0.44</v>
      </c>
      <c r="S50" s="218">
        <v>0</v>
      </c>
      <c r="T50" s="218">
        <v>0.44</v>
      </c>
      <c r="U50" s="218">
        <v>-0.75</v>
      </c>
      <c r="V50" s="218">
        <v>793.63</v>
      </c>
      <c r="W50" s="218">
        <v>639.53</v>
      </c>
      <c r="X50" s="218">
        <v>311.41</v>
      </c>
      <c r="Y50" s="218">
        <v>260.04</v>
      </c>
      <c r="Z50" s="218">
        <v>539.72</v>
      </c>
      <c r="AA50" s="218">
        <v>0</v>
      </c>
      <c r="AB50" s="218">
        <v>675.49</v>
      </c>
    </row>
    <row r="51" s="214" customFormat="1" spans="1:28">
      <c r="A51" s="217">
        <v>46034.5</v>
      </c>
      <c r="B51" s="218">
        <v>-146.97</v>
      </c>
      <c r="C51" s="218">
        <v>-137.22</v>
      </c>
      <c r="D51" s="218">
        <v>-1.2</v>
      </c>
      <c r="E51" s="218">
        <v>-147.97</v>
      </c>
      <c r="F51" s="218">
        <v>0.61</v>
      </c>
      <c r="G51" s="218">
        <v>-140.56</v>
      </c>
      <c r="H51" s="218">
        <v>-266.09</v>
      </c>
      <c r="I51" s="218">
        <v>-139.9</v>
      </c>
      <c r="J51" s="218">
        <v>-135.53</v>
      </c>
      <c r="K51" s="218">
        <v>-113.84</v>
      </c>
      <c r="L51" s="218">
        <v>-132.23</v>
      </c>
      <c r="M51" s="218">
        <v>-136.87</v>
      </c>
      <c r="N51" s="218">
        <v>-318</v>
      </c>
      <c r="O51" s="218">
        <v>-446.76</v>
      </c>
      <c r="P51" s="218">
        <v>-435.03</v>
      </c>
      <c r="Q51" s="218">
        <v>-0.13</v>
      </c>
      <c r="R51" s="218">
        <v>0.44</v>
      </c>
      <c r="S51" s="218">
        <v>0</v>
      </c>
      <c r="T51" s="218">
        <v>0.44</v>
      </c>
      <c r="U51" s="218">
        <v>-0.75</v>
      </c>
      <c r="V51" s="218">
        <v>846.66</v>
      </c>
      <c r="W51" s="218">
        <v>638.43</v>
      </c>
      <c r="X51" s="218">
        <v>316.15</v>
      </c>
      <c r="Y51" s="218">
        <v>266.09</v>
      </c>
      <c r="Z51" s="218">
        <v>542.21</v>
      </c>
      <c r="AA51" s="218">
        <v>0</v>
      </c>
      <c r="AB51" s="218">
        <v>672.15</v>
      </c>
    </row>
    <row r="52" s="214" customFormat="1" spans="1:28">
      <c r="A52" s="217">
        <v>46034.5104166667</v>
      </c>
      <c r="B52" s="218">
        <v>-145.58</v>
      </c>
      <c r="C52" s="218">
        <v>-134.92</v>
      </c>
      <c r="D52" s="218">
        <v>-1.2</v>
      </c>
      <c r="E52" s="218">
        <v>-146.95</v>
      </c>
      <c r="F52" s="218">
        <v>0.61</v>
      </c>
      <c r="G52" s="218">
        <v>-140.42</v>
      </c>
      <c r="H52" s="218">
        <v>-266.23</v>
      </c>
      <c r="I52" s="218">
        <v>-140.05</v>
      </c>
      <c r="J52" s="218">
        <v>-139.19</v>
      </c>
      <c r="K52" s="218">
        <v>-111</v>
      </c>
      <c r="L52" s="218">
        <v>-133.45</v>
      </c>
      <c r="M52" s="218">
        <v>-132.85</v>
      </c>
      <c r="N52" s="218">
        <v>-318.52</v>
      </c>
      <c r="O52" s="218">
        <v>-502.93</v>
      </c>
      <c r="P52" s="218">
        <v>-494.59</v>
      </c>
      <c r="Q52" s="218">
        <v>-0.13</v>
      </c>
      <c r="R52" s="218">
        <v>0.44</v>
      </c>
      <c r="S52" s="218">
        <v>0</v>
      </c>
      <c r="T52" s="218">
        <v>0.44</v>
      </c>
      <c r="U52" s="218">
        <v>-0.75</v>
      </c>
      <c r="V52" s="218">
        <v>964.69</v>
      </c>
      <c r="W52" s="218">
        <v>636.59</v>
      </c>
      <c r="X52" s="218">
        <v>316.7</v>
      </c>
      <c r="Y52" s="218">
        <v>266.24</v>
      </c>
      <c r="Z52" s="218">
        <v>537.39</v>
      </c>
      <c r="AA52" s="218">
        <v>0</v>
      </c>
      <c r="AB52" s="218">
        <v>670.09</v>
      </c>
    </row>
    <row r="53" s="214" customFormat="1" spans="1:28">
      <c r="A53" s="217">
        <v>46034.5208333333</v>
      </c>
      <c r="B53" s="218">
        <v>-140.17</v>
      </c>
      <c r="C53" s="218">
        <v>-134.08</v>
      </c>
      <c r="D53" s="218">
        <v>-1.2</v>
      </c>
      <c r="E53" s="218">
        <v>-150.07</v>
      </c>
      <c r="F53" s="218">
        <v>0.61</v>
      </c>
      <c r="G53" s="218">
        <v>-139.97</v>
      </c>
      <c r="H53" s="218">
        <v>-267.32</v>
      </c>
      <c r="I53" s="218">
        <v>-139.74</v>
      </c>
      <c r="J53" s="218">
        <v>-137.49</v>
      </c>
      <c r="K53" s="218">
        <v>-113.5</v>
      </c>
      <c r="L53" s="218">
        <v>-129.52</v>
      </c>
      <c r="M53" s="218">
        <v>-135.9</v>
      </c>
      <c r="N53" s="218">
        <v>-312.79</v>
      </c>
      <c r="O53" s="218">
        <v>-500.68</v>
      </c>
      <c r="P53" s="218">
        <v>-488.32</v>
      </c>
      <c r="Q53" s="218">
        <v>-0.13</v>
      </c>
      <c r="R53" s="218">
        <v>0.44</v>
      </c>
      <c r="S53" s="218">
        <v>0</v>
      </c>
      <c r="T53" s="218">
        <v>0.44</v>
      </c>
      <c r="U53" s="218">
        <v>-0.75</v>
      </c>
      <c r="V53" s="218">
        <v>956.43</v>
      </c>
      <c r="W53" s="218">
        <v>636.16</v>
      </c>
      <c r="X53" s="218">
        <v>310.94</v>
      </c>
      <c r="Y53" s="218">
        <v>267.32</v>
      </c>
      <c r="Z53" s="218">
        <v>533.91</v>
      </c>
      <c r="AA53" s="218">
        <v>0</v>
      </c>
      <c r="AB53" s="218">
        <v>667.1</v>
      </c>
    </row>
    <row r="54" s="214" customFormat="1" spans="1:28">
      <c r="A54" s="217">
        <v>46034.53125</v>
      </c>
      <c r="B54" s="218">
        <v>-139.67</v>
      </c>
      <c r="C54" s="218">
        <v>-133.04</v>
      </c>
      <c r="D54" s="218">
        <v>-1.2</v>
      </c>
      <c r="E54" s="218">
        <v>-151.91</v>
      </c>
      <c r="F54" s="218">
        <v>0.61</v>
      </c>
      <c r="G54" s="218">
        <v>-139.49</v>
      </c>
      <c r="H54" s="218">
        <v>-263.9</v>
      </c>
      <c r="I54" s="218">
        <v>-139.46</v>
      </c>
      <c r="J54" s="218">
        <v>-136.03</v>
      </c>
      <c r="K54" s="218">
        <v>-112.42</v>
      </c>
      <c r="L54" s="218">
        <v>-127.27</v>
      </c>
      <c r="M54" s="218">
        <v>-128.52</v>
      </c>
      <c r="N54" s="218">
        <v>-312.69</v>
      </c>
      <c r="O54" s="218">
        <v>-508.23</v>
      </c>
      <c r="P54" s="218">
        <v>-488.94</v>
      </c>
      <c r="Q54" s="218">
        <v>-0.13</v>
      </c>
      <c r="R54" s="218">
        <v>0.44</v>
      </c>
      <c r="S54" s="218">
        <v>0</v>
      </c>
      <c r="T54" s="218">
        <v>0.44</v>
      </c>
      <c r="U54" s="218">
        <v>-0.75</v>
      </c>
      <c r="V54" s="218">
        <v>964.74</v>
      </c>
      <c r="W54" s="218">
        <v>623.75</v>
      </c>
      <c r="X54" s="218">
        <v>310.86</v>
      </c>
      <c r="Y54" s="218">
        <v>263.9</v>
      </c>
      <c r="Z54" s="218">
        <v>534.23</v>
      </c>
      <c r="AA54" s="218">
        <v>0</v>
      </c>
      <c r="AB54" s="218">
        <v>651.13</v>
      </c>
    </row>
    <row r="55" s="214" customFormat="1" spans="1:28">
      <c r="A55" s="217">
        <v>46034.5416666667</v>
      </c>
      <c r="B55" s="218">
        <v>-139.6</v>
      </c>
      <c r="C55" s="218">
        <v>-134.83</v>
      </c>
      <c r="D55" s="218">
        <v>-1.2</v>
      </c>
      <c r="E55" s="218">
        <v>-148.2</v>
      </c>
      <c r="F55" s="218">
        <v>0.61</v>
      </c>
      <c r="G55" s="218">
        <v>-140.41</v>
      </c>
      <c r="H55" s="218">
        <v>-264.46</v>
      </c>
      <c r="I55" s="218">
        <v>-140.13</v>
      </c>
      <c r="J55" s="218">
        <v>-138.83</v>
      </c>
      <c r="K55" s="218">
        <v>-111.05</v>
      </c>
      <c r="L55" s="218">
        <v>-129.74</v>
      </c>
      <c r="M55" s="218">
        <v>-131.78</v>
      </c>
      <c r="N55" s="218">
        <v>-316.61</v>
      </c>
      <c r="O55" s="218">
        <v>-505.38</v>
      </c>
      <c r="P55" s="218">
        <v>-497.18</v>
      </c>
      <c r="Q55" s="218">
        <v>-0.13</v>
      </c>
      <c r="R55" s="218">
        <v>0.44</v>
      </c>
      <c r="S55" s="218">
        <v>0</v>
      </c>
      <c r="T55" s="218">
        <v>0.44</v>
      </c>
      <c r="U55" s="218">
        <v>-0.75</v>
      </c>
      <c r="V55" s="218">
        <v>969.47</v>
      </c>
      <c r="W55" s="218">
        <v>631.83</v>
      </c>
      <c r="X55" s="218">
        <v>314.76</v>
      </c>
      <c r="Y55" s="218">
        <v>264.47</v>
      </c>
      <c r="Z55" s="218">
        <v>533.73</v>
      </c>
      <c r="AA55" s="218">
        <v>0</v>
      </c>
      <c r="AB55" s="218">
        <v>648.22</v>
      </c>
    </row>
    <row r="56" s="214" customFormat="1" spans="1:28">
      <c r="A56" s="217">
        <v>46034.5520833333</v>
      </c>
      <c r="B56" s="218">
        <v>-139.04</v>
      </c>
      <c r="C56" s="218">
        <v>-136.55</v>
      </c>
      <c r="D56" s="218">
        <v>-1.2</v>
      </c>
      <c r="E56" s="218">
        <v>-147.79</v>
      </c>
      <c r="F56" s="218">
        <v>0.43</v>
      </c>
      <c r="G56" s="218">
        <v>-142.63</v>
      </c>
      <c r="H56" s="218">
        <v>-261.73</v>
      </c>
      <c r="I56" s="218">
        <v>-138.54</v>
      </c>
      <c r="J56" s="218">
        <v>-133.61</v>
      </c>
      <c r="K56" s="218">
        <v>-110.12</v>
      </c>
      <c r="L56" s="218">
        <v>-137.44</v>
      </c>
      <c r="M56" s="218">
        <v>-128.16</v>
      </c>
      <c r="N56" s="218">
        <v>-321.22</v>
      </c>
      <c r="O56" s="218">
        <v>-495.7</v>
      </c>
      <c r="P56" s="218">
        <v>-501.78</v>
      </c>
      <c r="Q56" s="218">
        <v>-0.13</v>
      </c>
      <c r="R56" s="218">
        <v>0.44</v>
      </c>
      <c r="S56" s="218">
        <v>0</v>
      </c>
      <c r="T56" s="218">
        <v>0.44</v>
      </c>
      <c r="U56" s="218">
        <v>-0.75</v>
      </c>
      <c r="V56" s="218">
        <v>965.65</v>
      </c>
      <c r="W56" s="218">
        <v>628.23</v>
      </c>
      <c r="X56" s="218">
        <v>319.38</v>
      </c>
      <c r="Y56" s="218">
        <v>261.73</v>
      </c>
      <c r="Z56" s="218">
        <v>536.51</v>
      </c>
      <c r="AA56" s="218">
        <v>0</v>
      </c>
      <c r="AB56" s="218">
        <v>647.86</v>
      </c>
    </row>
    <row r="57" s="214" customFormat="1" spans="1:28">
      <c r="A57" s="217">
        <v>46034.5625</v>
      </c>
      <c r="B57" s="218">
        <v>-141.35</v>
      </c>
      <c r="C57" s="218">
        <v>-137.68</v>
      </c>
      <c r="D57" s="218">
        <v>-1.2</v>
      </c>
      <c r="E57" s="218">
        <v>-147.6</v>
      </c>
      <c r="F57" s="218">
        <v>0.49</v>
      </c>
      <c r="G57" s="218">
        <v>-143</v>
      </c>
      <c r="H57" s="218">
        <v>-261.86</v>
      </c>
      <c r="I57" s="218">
        <v>-136.09</v>
      </c>
      <c r="J57" s="218">
        <v>-136.81</v>
      </c>
      <c r="K57" s="218">
        <v>-115.85</v>
      </c>
      <c r="L57" s="218">
        <v>-137.37</v>
      </c>
      <c r="M57" s="218">
        <v>-131.89</v>
      </c>
      <c r="N57" s="218">
        <v>-319.68</v>
      </c>
      <c r="O57" s="218">
        <v>-497.45</v>
      </c>
      <c r="P57" s="218">
        <v>-501.88</v>
      </c>
      <c r="Q57" s="218">
        <v>-0.13</v>
      </c>
      <c r="R57" s="218">
        <v>0.44</v>
      </c>
      <c r="S57" s="218">
        <v>0</v>
      </c>
      <c r="T57" s="218">
        <v>0.44</v>
      </c>
      <c r="U57" s="218">
        <v>-0.75</v>
      </c>
      <c r="V57" s="218">
        <v>967.05</v>
      </c>
      <c r="W57" s="218">
        <v>638.13</v>
      </c>
      <c r="X57" s="218">
        <v>317.85</v>
      </c>
      <c r="Y57" s="218">
        <v>261.86</v>
      </c>
      <c r="Z57" s="218">
        <v>539.06</v>
      </c>
      <c r="AA57" s="218">
        <v>0</v>
      </c>
      <c r="AB57" s="218">
        <v>647.13</v>
      </c>
    </row>
    <row r="58" s="214" customFormat="1" spans="1:28">
      <c r="A58" s="217">
        <v>46034.5729166667</v>
      </c>
      <c r="B58" s="218">
        <v>-131.77</v>
      </c>
      <c r="C58" s="218">
        <v>-133.93</v>
      </c>
      <c r="D58" s="218">
        <v>-1.2</v>
      </c>
      <c r="E58" s="218">
        <v>-145.85</v>
      </c>
      <c r="F58" s="218">
        <v>0.61</v>
      </c>
      <c r="G58" s="218">
        <v>-142.62</v>
      </c>
      <c r="H58" s="218">
        <v>-262.88</v>
      </c>
      <c r="I58" s="218">
        <v>-137.09</v>
      </c>
      <c r="J58" s="218">
        <v>-147.21</v>
      </c>
      <c r="K58" s="218">
        <v>-114.41</v>
      </c>
      <c r="L58" s="218">
        <v>-137.56</v>
      </c>
      <c r="M58" s="218">
        <v>-128.97</v>
      </c>
      <c r="N58" s="218">
        <v>-315.11</v>
      </c>
      <c r="O58" s="218">
        <v>-498.66</v>
      </c>
      <c r="P58" s="218">
        <v>-496.93</v>
      </c>
      <c r="Q58" s="218">
        <v>-0.13</v>
      </c>
      <c r="R58" s="218">
        <v>0.44</v>
      </c>
      <c r="S58" s="218">
        <v>0</v>
      </c>
      <c r="T58" s="218">
        <v>0.44</v>
      </c>
      <c r="U58" s="218">
        <v>-0.75</v>
      </c>
      <c r="V58" s="218">
        <v>962.92</v>
      </c>
      <c r="W58" s="218">
        <v>645.26</v>
      </c>
      <c r="X58" s="218">
        <v>313.28</v>
      </c>
      <c r="Y58" s="218">
        <v>262.88</v>
      </c>
      <c r="Z58" s="218">
        <v>523.22</v>
      </c>
      <c r="AA58" s="218">
        <v>0</v>
      </c>
      <c r="AB58" s="218">
        <v>645.42</v>
      </c>
    </row>
    <row r="59" s="214" customFormat="1" spans="1:28">
      <c r="A59" s="217">
        <v>46034.5833333333</v>
      </c>
      <c r="B59" s="218">
        <v>-133.82</v>
      </c>
      <c r="C59" s="218">
        <v>-131.37</v>
      </c>
      <c r="D59" s="218">
        <v>-1.2</v>
      </c>
      <c r="E59" s="218">
        <v>-138.69</v>
      </c>
      <c r="F59" s="218">
        <v>0.36</v>
      </c>
      <c r="G59" s="218">
        <v>-140.51</v>
      </c>
      <c r="H59" s="218">
        <v>-262.97</v>
      </c>
      <c r="I59" s="218">
        <v>-136.61</v>
      </c>
      <c r="J59" s="218">
        <v>-150.8</v>
      </c>
      <c r="K59" s="218">
        <v>-116.77</v>
      </c>
      <c r="L59" s="218">
        <v>-138.13</v>
      </c>
      <c r="M59" s="218">
        <v>-131</v>
      </c>
      <c r="N59" s="218">
        <v>-316.2</v>
      </c>
      <c r="O59" s="218">
        <v>-499.49</v>
      </c>
      <c r="P59" s="218">
        <v>-476.46</v>
      </c>
      <c r="Q59" s="218">
        <v>-0.13</v>
      </c>
      <c r="R59" s="218">
        <v>0.44</v>
      </c>
      <c r="S59" s="218">
        <v>0</v>
      </c>
      <c r="T59" s="218">
        <v>0.44</v>
      </c>
      <c r="U59" s="218">
        <v>-0.75</v>
      </c>
      <c r="V59" s="218">
        <v>943.21</v>
      </c>
      <c r="W59" s="218">
        <v>653.25</v>
      </c>
      <c r="X59" s="218">
        <v>314.35</v>
      </c>
      <c r="Y59" s="218">
        <v>262.97</v>
      </c>
      <c r="Z59" s="218">
        <v>513.71</v>
      </c>
      <c r="AA59" s="218">
        <v>0</v>
      </c>
      <c r="AB59" s="218">
        <v>642.75</v>
      </c>
    </row>
    <row r="60" s="214" customFormat="1" spans="1:28">
      <c r="A60" s="217">
        <v>46034.59375</v>
      </c>
      <c r="B60" s="218">
        <v>-134.08</v>
      </c>
      <c r="C60" s="218">
        <v>-130.34</v>
      </c>
      <c r="D60" s="218">
        <v>-1.2</v>
      </c>
      <c r="E60" s="218">
        <v>-141.46</v>
      </c>
      <c r="F60" s="218">
        <v>0.3</v>
      </c>
      <c r="G60" s="218">
        <v>-140.07</v>
      </c>
      <c r="H60" s="218">
        <v>-261.05</v>
      </c>
      <c r="I60" s="218">
        <v>-136.89</v>
      </c>
      <c r="J60" s="218">
        <v>-143.88</v>
      </c>
      <c r="K60" s="218">
        <v>-115.29</v>
      </c>
      <c r="L60" s="218">
        <v>-136.94</v>
      </c>
      <c r="M60" s="218">
        <v>-129.76</v>
      </c>
      <c r="N60" s="218">
        <v>-319.04</v>
      </c>
      <c r="O60" s="218">
        <v>-464.57</v>
      </c>
      <c r="P60" s="218">
        <v>-455.38</v>
      </c>
      <c r="Q60" s="218">
        <v>-0.13</v>
      </c>
      <c r="R60" s="218">
        <v>0.44</v>
      </c>
      <c r="S60" s="218">
        <v>0</v>
      </c>
      <c r="T60" s="218">
        <v>0.44</v>
      </c>
      <c r="U60" s="218">
        <v>-0.75</v>
      </c>
      <c r="V60" s="218">
        <v>887.17</v>
      </c>
      <c r="W60" s="218">
        <v>642.72</v>
      </c>
      <c r="X60" s="218">
        <v>317.21</v>
      </c>
      <c r="Y60" s="218">
        <v>261.05</v>
      </c>
      <c r="Z60" s="218">
        <v>514.57</v>
      </c>
      <c r="AA60" s="218">
        <v>0</v>
      </c>
      <c r="AB60" s="218">
        <v>640.97</v>
      </c>
    </row>
    <row r="61" s="214" customFormat="1" spans="1:28">
      <c r="A61" s="217">
        <v>46034.6041666667</v>
      </c>
      <c r="B61" s="218">
        <v>-135.3</v>
      </c>
      <c r="C61" s="218">
        <v>-130.2</v>
      </c>
      <c r="D61" s="218">
        <v>-1.2</v>
      </c>
      <c r="E61" s="218">
        <v>-144.63</v>
      </c>
      <c r="F61" s="218">
        <v>0.42</v>
      </c>
      <c r="G61" s="218">
        <v>-141.74</v>
      </c>
      <c r="H61" s="218">
        <v>-267.62</v>
      </c>
      <c r="I61" s="218">
        <v>-137.13</v>
      </c>
      <c r="J61" s="218">
        <v>-136.7</v>
      </c>
      <c r="K61" s="218">
        <v>-116.61</v>
      </c>
      <c r="L61" s="218">
        <v>-131.65</v>
      </c>
      <c r="M61" s="218">
        <v>-129.82</v>
      </c>
      <c r="N61" s="218">
        <v>-320.42</v>
      </c>
      <c r="O61" s="218">
        <v>-447.36</v>
      </c>
      <c r="P61" s="218">
        <v>-430.41</v>
      </c>
      <c r="Q61" s="218">
        <v>-0.13</v>
      </c>
      <c r="R61" s="218">
        <v>0.44</v>
      </c>
      <c r="S61" s="218">
        <v>0</v>
      </c>
      <c r="T61" s="218">
        <v>0.44</v>
      </c>
      <c r="U61" s="218">
        <v>-0.75</v>
      </c>
      <c r="V61" s="218">
        <v>844.62</v>
      </c>
      <c r="W61" s="218">
        <v>632.29</v>
      </c>
      <c r="X61" s="218">
        <v>318.55</v>
      </c>
      <c r="Y61" s="218">
        <v>267.49</v>
      </c>
      <c r="Z61" s="218">
        <v>519.89</v>
      </c>
      <c r="AA61" s="218">
        <v>0</v>
      </c>
      <c r="AB61" s="218">
        <v>636.02</v>
      </c>
    </row>
    <row r="62" s="214" customFormat="1" spans="1:28">
      <c r="A62" s="217">
        <v>46034.6145833333</v>
      </c>
      <c r="B62" s="218">
        <v>-132.17</v>
      </c>
      <c r="C62" s="218">
        <v>-129.35</v>
      </c>
      <c r="D62" s="218">
        <v>-1.2</v>
      </c>
      <c r="E62" s="218">
        <v>-171.62</v>
      </c>
      <c r="F62" s="218">
        <v>0.55</v>
      </c>
      <c r="G62" s="218">
        <v>-157.61</v>
      </c>
      <c r="H62" s="218">
        <v>-336.85</v>
      </c>
      <c r="I62" s="218">
        <v>-136.67</v>
      </c>
      <c r="J62" s="218">
        <v>-132.89</v>
      </c>
      <c r="K62" s="218">
        <v>-117.68</v>
      </c>
      <c r="L62" s="218">
        <v>-141.27</v>
      </c>
      <c r="M62" s="218">
        <v>-126.93</v>
      </c>
      <c r="N62" s="218">
        <v>-394.94</v>
      </c>
      <c r="O62" s="218">
        <v>-549.66</v>
      </c>
      <c r="P62" s="218">
        <v>-494.09</v>
      </c>
      <c r="Q62" s="218">
        <v>-0.13</v>
      </c>
      <c r="R62" s="218">
        <v>0.44</v>
      </c>
      <c r="S62" s="218">
        <v>0</v>
      </c>
      <c r="T62" s="218">
        <v>0.44</v>
      </c>
      <c r="U62" s="218">
        <v>-0.75</v>
      </c>
      <c r="V62" s="218">
        <v>1009.18</v>
      </c>
      <c r="W62" s="218">
        <v>635.77</v>
      </c>
      <c r="X62" s="218">
        <v>393</v>
      </c>
      <c r="Y62" s="218">
        <v>335.29</v>
      </c>
      <c r="Z62" s="218">
        <v>558.94</v>
      </c>
      <c r="AA62" s="218">
        <v>0</v>
      </c>
      <c r="AB62" s="218">
        <v>640.44</v>
      </c>
    </row>
    <row r="63" s="214" customFormat="1" spans="1:28">
      <c r="A63" s="217">
        <v>46034.625</v>
      </c>
      <c r="B63" s="218">
        <v>-130.65</v>
      </c>
      <c r="C63" s="218">
        <v>-127.85</v>
      </c>
      <c r="D63" s="218">
        <v>-1.2</v>
      </c>
      <c r="E63" s="218">
        <v>-169.42</v>
      </c>
      <c r="F63" s="218">
        <v>0.61</v>
      </c>
      <c r="G63" s="218">
        <v>-161.66</v>
      </c>
      <c r="H63" s="218">
        <v>-396.02</v>
      </c>
      <c r="I63" s="218">
        <v>-136.49</v>
      </c>
      <c r="J63" s="218">
        <v>-133.7</v>
      </c>
      <c r="K63" s="218">
        <v>-116.74</v>
      </c>
      <c r="L63" s="218">
        <v>-133.1</v>
      </c>
      <c r="M63" s="218">
        <v>-125.66</v>
      </c>
      <c r="N63" s="218">
        <v>-477.01</v>
      </c>
      <c r="O63" s="218">
        <v>-600.38</v>
      </c>
      <c r="P63" s="218">
        <v>-590.78</v>
      </c>
      <c r="Q63" s="218">
        <v>-0.13</v>
      </c>
      <c r="R63" s="218">
        <v>0.44</v>
      </c>
      <c r="S63" s="218">
        <v>0</v>
      </c>
      <c r="T63" s="218">
        <v>0.44</v>
      </c>
      <c r="U63" s="218">
        <v>-0.75</v>
      </c>
      <c r="V63" s="218">
        <v>1156.26</v>
      </c>
      <c r="W63" s="218">
        <v>625.72</v>
      </c>
      <c r="X63" s="218">
        <v>475.12</v>
      </c>
      <c r="Y63" s="218">
        <v>395.7</v>
      </c>
      <c r="Z63" s="218">
        <v>557.55</v>
      </c>
      <c r="AA63" s="218">
        <v>0</v>
      </c>
      <c r="AB63" s="218">
        <v>638.54</v>
      </c>
    </row>
    <row r="64" s="214" customFormat="1" spans="1:28">
      <c r="A64" s="217">
        <v>46034.6354166667</v>
      </c>
      <c r="B64" s="218">
        <v>-132.1</v>
      </c>
      <c r="C64" s="218">
        <v>-126.92</v>
      </c>
      <c r="D64" s="218">
        <v>-1.2</v>
      </c>
      <c r="E64" s="218">
        <v>-162.11</v>
      </c>
      <c r="F64" s="218">
        <v>0.61</v>
      </c>
      <c r="G64" s="218">
        <v>-164.71</v>
      </c>
      <c r="H64" s="218">
        <v>-456.15</v>
      </c>
      <c r="I64" s="218">
        <v>-136.06</v>
      </c>
      <c r="J64" s="218">
        <v>-142.06</v>
      </c>
      <c r="K64" s="218">
        <v>-118.47</v>
      </c>
      <c r="L64" s="218">
        <v>-134.66</v>
      </c>
      <c r="M64" s="218">
        <v>-124.47</v>
      </c>
      <c r="N64" s="218">
        <v>-471.1</v>
      </c>
      <c r="O64" s="218">
        <v>-622.57</v>
      </c>
      <c r="P64" s="218">
        <v>-644.11</v>
      </c>
      <c r="Q64" s="218">
        <v>-0.13</v>
      </c>
      <c r="R64" s="218">
        <v>0.44</v>
      </c>
      <c r="S64" s="218">
        <v>0</v>
      </c>
      <c r="T64" s="218">
        <v>0.44</v>
      </c>
      <c r="U64" s="218">
        <v>-0.75</v>
      </c>
      <c r="V64" s="218">
        <v>1231.49</v>
      </c>
      <c r="W64" s="218">
        <v>636.09</v>
      </c>
      <c r="X64" s="218">
        <v>469.24</v>
      </c>
      <c r="Y64" s="218">
        <v>456.14</v>
      </c>
      <c r="Z64" s="218">
        <v>553.74</v>
      </c>
      <c r="AA64" s="218">
        <v>0</v>
      </c>
      <c r="AB64" s="218">
        <v>634.76</v>
      </c>
    </row>
    <row r="65" s="214" customFormat="1" spans="1:28">
      <c r="A65" s="217">
        <v>46034.6458333333</v>
      </c>
      <c r="B65" s="218">
        <v>-132.86</v>
      </c>
      <c r="C65" s="218">
        <v>-128.36</v>
      </c>
      <c r="D65" s="218">
        <v>-1.2</v>
      </c>
      <c r="E65" s="218">
        <v>-161.87</v>
      </c>
      <c r="F65" s="218">
        <v>0.28</v>
      </c>
      <c r="G65" s="218">
        <v>-167.39</v>
      </c>
      <c r="H65" s="218">
        <v>-479.27</v>
      </c>
      <c r="I65" s="218">
        <v>-135.78</v>
      </c>
      <c r="J65" s="218">
        <v>-142.7</v>
      </c>
      <c r="K65" s="218">
        <v>-119.25</v>
      </c>
      <c r="L65" s="218">
        <v>-130.45</v>
      </c>
      <c r="M65" s="218">
        <v>-129.23</v>
      </c>
      <c r="N65" s="218">
        <v>-492.92</v>
      </c>
      <c r="O65" s="218">
        <v>-624.48</v>
      </c>
      <c r="P65" s="218">
        <v>-612.18</v>
      </c>
      <c r="Q65" s="218">
        <v>-0.13</v>
      </c>
      <c r="R65" s="218">
        <v>0.44</v>
      </c>
      <c r="S65" s="218">
        <v>0</v>
      </c>
      <c r="T65" s="218">
        <v>0.44</v>
      </c>
      <c r="U65" s="218">
        <v>-0.75</v>
      </c>
      <c r="V65" s="218">
        <v>1202.82</v>
      </c>
      <c r="W65" s="218">
        <v>637.68</v>
      </c>
      <c r="X65" s="218">
        <v>491.85</v>
      </c>
      <c r="Y65" s="218">
        <v>478.69</v>
      </c>
      <c r="Z65" s="218">
        <v>558.31</v>
      </c>
      <c r="AA65" s="218">
        <v>0</v>
      </c>
      <c r="AB65" s="218">
        <v>634.53</v>
      </c>
    </row>
    <row r="66" s="214" customFormat="1" spans="1:28">
      <c r="A66" s="217">
        <v>46034.65625</v>
      </c>
      <c r="B66" s="218">
        <v>-132.68</v>
      </c>
      <c r="C66" s="218">
        <v>-128.13</v>
      </c>
      <c r="D66" s="218">
        <v>-1.2</v>
      </c>
      <c r="E66" s="218">
        <v>-166.55</v>
      </c>
      <c r="F66" s="218">
        <v>0.32</v>
      </c>
      <c r="G66" s="218">
        <v>-168.32</v>
      </c>
      <c r="H66" s="218">
        <v>-482.08</v>
      </c>
      <c r="I66" s="218">
        <v>-168.12</v>
      </c>
      <c r="J66" s="218">
        <v>-146.88</v>
      </c>
      <c r="K66" s="218">
        <v>-143.83</v>
      </c>
      <c r="L66" s="218">
        <v>-160.57</v>
      </c>
      <c r="M66" s="218">
        <v>-152.33</v>
      </c>
      <c r="N66" s="218">
        <v>-484.15</v>
      </c>
      <c r="O66" s="218">
        <v>-623.13</v>
      </c>
      <c r="P66" s="218">
        <v>-610.87</v>
      </c>
      <c r="Q66" s="218">
        <v>-0.13</v>
      </c>
      <c r="R66" s="218">
        <v>0.44</v>
      </c>
      <c r="S66" s="218">
        <v>0</v>
      </c>
      <c r="T66" s="218">
        <v>0.44</v>
      </c>
      <c r="U66" s="218">
        <v>-0.75</v>
      </c>
      <c r="V66" s="218">
        <v>1201.01</v>
      </c>
      <c r="W66" s="218">
        <v>751.22</v>
      </c>
      <c r="X66" s="218">
        <v>483.15</v>
      </c>
      <c r="Y66" s="218">
        <v>481.08</v>
      </c>
      <c r="Z66" s="218">
        <v>563.71</v>
      </c>
      <c r="AA66" s="218">
        <v>0</v>
      </c>
      <c r="AB66" s="218">
        <v>636.12</v>
      </c>
    </row>
    <row r="67" s="214" customFormat="1" spans="1:28">
      <c r="A67" s="217">
        <v>46034.6666666667</v>
      </c>
      <c r="B67" s="218">
        <v>-119.25</v>
      </c>
      <c r="C67" s="218">
        <v>-105.74</v>
      </c>
      <c r="D67" s="218">
        <v>-1.2</v>
      </c>
      <c r="E67" s="218">
        <v>-143.36</v>
      </c>
      <c r="F67" s="218">
        <v>0.16</v>
      </c>
      <c r="G67" s="218">
        <v>-126.66</v>
      </c>
      <c r="H67" s="218">
        <v>-399.79</v>
      </c>
      <c r="I67" s="218">
        <v>-133.05</v>
      </c>
      <c r="J67" s="218">
        <v>-132.97</v>
      </c>
      <c r="K67" s="218">
        <v>-146.06</v>
      </c>
      <c r="L67" s="218">
        <v>-179.76</v>
      </c>
      <c r="M67" s="218">
        <v>-175.97</v>
      </c>
      <c r="N67" s="218">
        <v>-437.47</v>
      </c>
      <c r="O67" s="218">
        <v>-559.91</v>
      </c>
      <c r="P67" s="218">
        <v>-583.36</v>
      </c>
      <c r="Q67" s="218">
        <v>-0.13</v>
      </c>
      <c r="R67" s="218">
        <v>0.44</v>
      </c>
      <c r="S67" s="218">
        <v>0</v>
      </c>
      <c r="T67" s="218">
        <v>0.44</v>
      </c>
      <c r="U67" s="218">
        <v>-0.75</v>
      </c>
      <c r="V67" s="218">
        <v>1114.21</v>
      </c>
      <c r="W67" s="218">
        <v>750.54</v>
      </c>
      <c r="X67" s="218">
        <v>436.57</v>
      </c>
      <c r="Y67" s="218">
        <v>399.25</v>
      </c>
      <c r="Z67" s="218">
        <v>487.05</v>
      </c>
      <c r="AA67" s="218">
        <v>0</v>
      </c>
      <c r="AB67" s="218">
        <v>532.2</v>
      </c>
    </row>
    <row r="68" s="214" customFormat="1" spans="1:28">
      <c r="A68" s="217">
        <v>46034.6770833333</v>
      </c>
      <c r="B68" s="218">
        <v>-138.96</v>
      </c>
      <c r="C68" s="218">
        <v>-144.01</v>
      </c>
      <c r="D68" s="218">
        <v>-1.2</v>
      </c>
      <c r="E68" s="218">
        <v>-163.48</v>
      </c>
      <c r="F68" s="218">
        <v>0.26</v>
      </c>
      <c r="G68" s="218">
        <v>-156.29</v>
      </c>
      <c r="H68" s="218">
        <v>-470.46</v>
      </c>
      <c r="I68" s="218">
        <v>-173.61</v>
      </c>
      <c r="J68" s="218">
        <v>-150.45</v>
      </c>
      <c r="K68" s="218">
        <v>-176.09</v>
      </c>
      <c r="L68" s="218">
        <v>-192.08</v>
      </c>
      <c r="M68" s="218">
        <v>-184.56</v>
      </c>
      <c r="N68" s="218">
        <v>-492.07</v>
      </c>
      <c r="O68" s="218">
        <v>-646.3</v>
      </c>
      <c r="P68" s="218">
        <v>-646.15</v>
      </c>
      <c r="Q68" s="218">
        <v>-0.13</v>
      </c>
      <c r="R68" s="218">
        <v>0.44</v>
      </c>
      <c r="S68" s="218">
        <v>0</v>
      </c>
      <c r="T68" s="218">
        <v>0.44</v>
      </c>
      <c r="U68" s="218">
        <v>-0.75</v>
      </c>
      <c r="V68" s="218">
        <v>1259.81</v>
      </c>
      <c r="W68" s="218">
        <v>856.38</v>
      </c>
      <c r="X68" s="218">
        <v>491.05</v>
      </c>
      <c r="Y68" s="218">
        <v>469.12</v>
      </c>
      <c r="Z68" s="218">
        <v>569.99</v>
      </c>
      <c r="AA68" s="218">
        <v>0</v>
      </c>
      <c r="AB68" s="218">
        <v>634.31</v>
      </c>
    </row>
    <row r="69" s="214" customFormat="1" spans="1:28">
      <c r="A69" s="217">
        <v>46034.6875</v>
      </c>
      <c r="B69" s="218">
        <v>-145.63</v>
      </c>
      <c r="C69" s="218">
        <v>-150.12</v>
      </c>
      <c r="D69" s="218">
        <v>-1.2</v>
      </c>
      <c r="E69" s="218">
        <v>-159.24</v>
      </c>
      <c r="F69" s="218">
        <v>0.31</v>
      </c>
      <c r="G69" s="218">
        <v>-157.11</v>
      </c>
      <c r="H69" s="218">
        <v>-464.57</v>
      </c>
      <c r="I69" s="218">
        <v>-175.6</v>
      </c>
      <c r="J69" s="218">
        <v>-153.59</v>
      </c>
      <c r="K69" s="218">
        <v>-179.25</v>
      </c>
      <c r="L69" s="218">
        <v>-197.17</v>
      </c>
      <c r="M69" s="218">
        <v>-187.73</v>
      </c>
      <c r="N69" s="218">
        <v>-488.89</v>
      </c>
      <c r="O69" s="218">
        <v>-654.66</v>
      </c>
      <c r="P69" s="218">
        <v>-631.79</v>
      </c>
      <c r="Q69" s="218">
        <v>-0.13</v>
      </c>
      <c r="R69" s="218">
        <v>0.44</v>
      </c>
      <c r="S69" s="218">
        <v>0</v>
      </c>
      <c r="T69" s="218">
        <v>0.44</v>
      </c>
      <c r="U69" s="218">
        <v>-0.75</v>
      </c>
      <c r="V69" s="218">
        <v>1252.46</v>
      </c>
      <c r="W69" s="218">
        <v>873.03</v>
      </c>
      <c r="X69" s="218">
        <v>487.89</v>
      </c>
      <c r="Y69" s="218">
        <v>462.85</v>
      </c>
      <c r="Z69" s="218">
        <v>579.83</v>
      </c>
      <c r="AA69" s="218">
        <v>0</v>
      </c>
      <c r="AB69" s="218">
        <v>627.56</v>
      </c>
    </row>
    <row r="70" s="214" customFormat="1" spans="1:28">
      <c r="A70" s="217">
        <v>46034.6979166667</v>
      </c>
      <c r="B70" s="218">
        <v>-145.94</v>
      </c>
      <c r="C70" s="218">
        <v>-148.91</v>
      </c>
      <c r="D70" s="218">
        <v>-1.2</v>
      </c>
      <c r="E70" s="218">
        <v>-157.59</v>
      </c>
      <c r="F70" s="218">
        <v>0.36</v>
      </c>
      <c r="G70" s="218">
        <v>-157.83</v>
      </c>
      <c r="H70" s="218">
        <v>-466.62</v>
      </c>
      <c r="I70" s="218">
        <v>-173.34</v>
      </c>
      <c r="J70" s="218">
        <v>-153.45</v>
      </c>
      <c r="K70" s="218">
        <v>-182.64</v>
      </c>
      <c r="L70" s="218">
        <v>-197.89</v>
      </c>
      <c r="M70" s="218">
        <v>-183.22</v>
      </c>
      <c r="N70" s="218">
        <v>-493.06</v>
      </c>
      <c r="O70" s="218">
        <v>-225.7</v>
      </c>
      <c r="P70" s="218">
        <v>-228.67</v>
      </c>
      <c r="Q70" s="218">
        <v>-0.13</v>
      </c>
      <c r="R70" s="218">
        <v>0.44</v>
      </c>
      <c r="S70" s="218">
        <v>0</v>
      </c>
      <c r="T70" s="218">
        <v>0.44</v>
      </c>
      <c r="U70" s="218">
        <v>-0.75</v>
      </c>
      <c r="V70" s="218">
        <v>1281.98</v>
      </c>
      <c r="W70" s="218">
        <v>863.79</v>
      </c>
      <c r="X70" s="218">
        <v>487.86</v>
      </c>
      <c r="Y70" s="218">
        <v>462.81</v>
      </c>
      <c r="Z70" s="218">
        <v>573.57</v>
      </c>
      <c r="AA70" s="218">
        <v>0</v>
      </c>
      <c r="AB70" s="218">
        <v>629.9</v>
      </c>
    </row>
    <row r="71" s="214" customFormat="1" spans="1:28">
      <c r="A71" s="217">
        <v>46034.7083333333</v>
      </c>
      <c r="B71" s="218">
        <v>-148.74</v>
      </c>
      <c r="C71" s="218">
        <v>-149.94</v>
      </c>
      <c r="D71" s="218">
        <v>-1.2</v>
      </c>
      <c r="E71" s="218">
        <v>-156.95</v>
      </c>
      <c r="F71" s="218">
        <v>0.1</v>
      </c>
      <c r="G71" s="218">
        <v>-156.68</v>
      </c>
      <c r="H71" s="218">
        <v>-464.48</v>
      </c>
      <c r="I71" s="218">
        <v>-173.79</v>
      </c>
      <c r="J71" s="218">
        <v>-155.18</v>
      </c>
      <c r="K71" s="218">
        <v>-184.6</v>
      </c>
      <c r="L71" s="218">
        <v>-197.63</v>
      </c>
      <c r="M71" s="218">
        <v>-185.51</v>
      </c>
      <c r="N71" s="218">
        <v>-500.77</v>
      </c>
      <c r="O71" s="218">
        <v>-649.88</v>
      </c>
      <c r="P71" s="218">
        <v>-695.17</v>
      </c>
      <c r="Q71" s="218">
        <v>-0.13</v>
      </c>
      <c r="R71" s="218">
        <v>0.44</v>
      </c>
      <c r="S71" s="218">
        <v>0</v>
      </c>
      <c r="T71" s="218">
        <v>0.44</v>
      </c>
      <c r="U71" s="218">
        <v>-0.75</v>
      </c>
      <c r="V71" s="218">
        <v>1301.97</v>
      </c>
      <c r="W71" s="218">
        <v>873.14</v>
      </c>
      <c r="X71" s="218">
        <v>496.74</v>
      </c>
      <c r="Y71" s="218">
        <v>463.83</v>
      </c>
      <c r="Z71" s="218">
        <v>580.39</v>
      </c>
      <c r="AA71" s="218">
        <v>0</v>
      </c>
      <c r="AB71" s="218">
        <v>632.79</v>
      </c>
    </row>
    <row r="72" s="214" customFormat="1" spans="1:28">
      <c r="A72" s="217">
        <v>46034.71875</v>
      </c>
      <c r="B72" s="218">
        <v>-149.29</v>
      </c>
      <c r="C72" s="218">
        <v>-151.28</v>
      </c>
      <c r="D72" s="218">
        <v>-1.2</v>
      </c>
      <c r="E72" s="218">
        <v>-155.58</v>
      </c>
      <c r="F72" s="218">
        <v>-0.28</v>
      </c>
      <c r="G72" s="218">
        <v>-152.24</v>
      </c>
      <c r="H72" s="218">
        <v>-470.58</v>
      </c>
      <c r="I72" s="218">
        <v>-175.22</v>
      </c>
      <c r="J72" s="218">
        <v>-157.75</v>
      </c>
      <c r="K72" s="218">
        <v>-186.41</v>
      </c>
      <c r="L72" s="218">
        <v>-197.15</v>
      </c>
      <c r="M72" s="218">
        <v>-183.6</v>
      </c>
      <c r="N72" s="218">
        <v>-506.22</v>
      </c>
      <c r="O72" s="218">
        <v>-655.24</v>
      </c>
      <c r="P72" s="218">
        <v>-667.62</v>
      </c>
      <c r="Q72" s="218">
        <v>-0.13</v>
      </c>
      <c r="R72" s="218">
        <v>0.44</v>
      </c>
      <c r="S72" s="218">
        <v>0</v>
      </c>
      <c r="T72" s="218">
        <v>0.44</v>
      </c>
      <c r="U72" s="218">
        <v>-0.75</v>
      </c>
      <c r="V72" s="218">
        <v>1287.58</v>
      </c>
      <c r="W72" s="218">
        <v>879.56</v>
      </c>
      <c r="X72" s="218">
        <v>505.21</v>
      </c>
      <c r="Y72" s="218">
        <v>468.57</v>
      </c>
      <c r="Z72" s="218">
        <v>575.24</v>
      </c>
      <c r="AA72" s="218">
        <v>0</v>
      </c>
      <c r="AB72" s="218">
        <v>630.97</v>
      </c>
    </row>
    <row r="73" s="214" customFormat="1" spans="1:28">
      <c r="A73" s="217">
        <v>46034.7291666667</v>
      </c>
      <c r="B73" s="218">
        <v>-149.45</v>
      </c>
      <c r="C73" s="218">
        <v>-153.9</v>
      </c>
      <c r="D73" s="218">
        <v>-1.2</v>
      </c>
      <c r="E73" s="218">
        <v>-156.42</v>
      </c>
      <c r="F73" s="218">
        <v>-0.23</v>
      </c>
      <c r="G73" s="218">
        <v>-154.38</v>
      </c>
      <c r="H73" s="218">
        <v>-468.78</v>
      </c>
      <c r="I73" s="218">
        <v>-175.16</v>
      </c>
      <c r="J73" s="218">
        <v>-160.11</v>
      </c>
      <c r="K73" s="218">
        <v>-187.37</v>
      </c>
      <c r="L73" s="218">
        <v>-197.16</v>
      </c>
      <c r="M73" s="218">
        <v>-184.64</v>
      </c>
      <c r="N73" s="218">
        <v>-512.45</v>
      </c>
      <c r="O73" s="218">
        <v>-655.39</v>
      </c>
      <c r="P73" s="218">
        <v>-675.87</v>
      </c>
      <c r="Q73" s="218">
        <v>-0.13</v>
      </c>
      <c r="R73" s="218">
        <v>0.44</v>
      </c>
      <c r="S73" s="218">
        <v>0</v>
      </c>
      <c r="T73" s="218">
        <v>0.44</v>
      </c>
      <c r="U73" s="218">
        <v>-0.75</v>
      </c>
      <c r="V73" s="218">
        <v>1295.52</v>
      </c>
      <c r="W73" s="218">
        <v>883.91</v>
      </c>
      <c r="X73" s="218">
        <v>511.44</v>
      </c>
      <c r="Y73" s="218">
        <v>466.79</v>
      </c>
      <c r="Z73" s="218">
        <v>580.2</v>
      </c>
      <c r="AA73" s="218">
        <v>0</v>
      </c>
      <c r="AB73" s="218">
        <v>639.47</v>
      </c>
    </row>
    <row r="74" s="214" customFormat="1" spans="1:28">
      <c r="A74" s="217">
        <v>46034.7395833333</v>
      </c>
      <c r="B74" s="218">
        <v>-149.46</v>
      </c>
      <c r="C74" s="218">
        <v>-156.11</v>
      </c>
      <c r="D74" s="218">
        <v>-1.2</v>
      </c>
      <c r="E74" s="218">
        <v>-156.82</v>
      </c>
      <c r="F74" s="218">
        <v>-0.29</v>
      </c>
      <c r="G74" s="218">
        <v>-152.71</v>
      </c>
      <c r="H74" s="218">
        <v>-469.48</v>
      </c>
      <c r="I74" s="218">
        <v>-177.38</v>
      </c>
      <c r="J74" s="218">
        <v>-160.13</v>
      </c>
      <c r="K74" s="218">
        <v>-185.95</v>
      </c>
      <c r="L74" s="218">
        <v>-197.56</v>
      </c>
      <c r="M74" s="218">
        <v>-184.6</v>
      </c>
      <c r="N74" s="218">
        <v>-518.02</v>
      </c>
      <c r="O74" s="218">
        <v>-653.4</v>
      </c>
      <c r="P74" s="218">
        <v>-687.53</v>
      </c>
      <c r="Q74" s="218">
        <v>-0.13</v>
      </c>
      <c r="R74" s="218">
        <v>0.44</v>
      </c>
      <c r="S74" s="218">
        <v>0</v>
      </c>
      <c r="T74" s="218">
        <v>0.44</v>
      </c>
      <c r="U74" s="218">
        <v>-0.75</v>
      </c>
      <c r="V74" s="218">
        <v>1305.3</v>
      </c>
      <c r="W74" s="218">
        <v>885.4</v>
      </c>
      <c r="X74" s="218">
        <v>517.01</v>
      </c>
      <c r="Y74" s="218">
        <v>468.29</v>
      </c>
      <c r="Z74" s="218">
        <v>580.55</v>
      </c>
      <c r="AA74" s="218">
        <v>0</v>
      </c>
      <c r="AB74" s="218">
        <v>636.45</v>
      </c>
    </row>
    <row r="75" s="214" customFormat="1" spans="1:28">
      <c r="A75" s="217">
        <v>46034.75</v>
      </c>
      <c r="B75" s="218">
        <v>-151.02</v>
      </c>
      <c r="C75" s="218">
        <v>-157.5</v>
      </c>
      <c r="D75" s="218">
        <v>-30.33</v>
      </c>
      <c r="E75" s="218">
        <v>-157.92</v>
      </c>
      <c r="F75" s="218">
        <v>-0.29</v>
      </c>
      <c r="G75" s="218">
        <v>-153.14</v>
      </c>
      <c r="H75" s="218">
        <v>-465.84</v>
      </c>
      <c r="I75" s="218">
        <v>-178.37</v>
      </c>
      <c r="J75" s="218">
        <v>-162.55</v>
      </c>
      <c r="K75" s="218">
        <v>-185.86</v>
      </c>
      <c r="L75" s="218">
        <v>-196.9</v>
      </c>
      <c r="M75" s="218">
        <v>-187.87</v>
      </c>
      <c r="N75" s="218">
        <v>-522.35</v>
      </c>
      <c r="O75" s="218">
        <v>-658.6</v>
      </c>
      <c r="P75" s="218">
        <v>-684.34</v>
      </c>
      <c r="Q75" s="218">
        <v>-0.13</v>
      </c>
      <c r="R75" s="218">
        <v>0.44</v>
      </c>
      <c r="S75" s="218">
        <v>0</v>
      </c>
      <c r="T75" s="218">
        <v>0.44</v>
      </c>
      <c r="U75" s="218">
        <v>-0.75</v>
      </c>
      <c r="V75" s="218">
        <v>1308.15</v>
      </c>
      <c r="W75" s="218">
        <v>891.22</v>
      </c>
      <c r="X75" s="218">
        <v>521.36</v>
      </c>
      <c r="Y75" s="218">
        <v>463.85</v>
      </c>
      <c r="Z75" s="218">
        <v>613.17</v>
      </c>
      <c r="AA75" s="218">
        <v>0</v>
      </c>
      <c r="AB75" s="218">
        <v>639.58</v>
      </c>
    </row>
    <row r="76" s="214" customFormat="1" spans="1:28">
      <c r="A76" s="217">
        <v>46034.7604166667</v>
      </c>
      <c r="B76" s="218">
        <v>-152.11</v>
      </c>
      <c r="C76" s="218">
        <v>-156.57</v>
      </c>
      <c r="D76" s="218">
        <v>-52.35</v>
      </c>
      <c r="E76" s="218">
        <v>-157.4</v>
      </c>
      <c r="F76" s="218">
        <v>-0.17</v>
      </c>
      <c r="G76" s="218">
        <v>-151.51</v>
      </c>
      <c r="H76" s="218">
        <v>-466.78</v>
      </c>
      <c r="I76" s="218">
        <v>-178.73</v>
      </c>
      <c r="J76" s="218">
        <v>-162.92</v>
      </c>
      <c r="K76" s="218">
        <v>-182.37</v>
      </c>
      <c r="L76" s="218">
        <v>-198.04</v>
      </c>
      <c r="M76" s="218">
        <v>-187.59</v>
      </c>
      <c r="N76" s="218">
        <v>-517.83</v>
      </c>
      <c r="O76" s="218">
        <v>-639.87</v>
      </c>
      <c r="P76" s="218">
        <v>-659.98</v>
      </c>
      <c r="Q76" s="218">
        <v>-0.13</v>
      </c>
      <c r="R76" s="218">
        <v>0.44</v>
      </c>
      <c r="S76" s="218">
        <v>0</v>
      </c>
      <c r="T76" s="218">
        <v>0.44</v>
      </c>
      <c r="U76" s="218">
        <v>-0.75</v>
      </c>
      <c r="V76" s="218">
        <v>1265.29</v>
      </c>
      <c r="W76" s="218">
        <v>889.26</v>
      </c>
      <c r="X76" s="218">
        <v>516.83</v>
      </c>
      <c r="Y76" s="218">
        <v>465.11</v>
      </c>
      <c r="Z76" s="218">
        <v>639.57</v>
      </c>
      <c r="AA76" s="218">
        <v>0</v>
      </c>
      <c r="AB76" s="218">
        <v>670.04</v>
      </c>
    </row>
    <row r="77" s="214" customFormat="1" spans="1:28">
      <c r="A77" s="217">
        <v>46034.7708333333</v>
      </c>
      <c r="B77" s="218">
        <v>-152.59</v>
      </c>
      <c r="C77" s="218">
        <v>-157.23</v>
      </c>
      <c r="D77" s="218">
        <v>-75.65</v>
      </c>
      <c r="E77" s="218">
        <v>-157.37</v>
      </c>
      <c r="F77" s="218">
        <v>-0.29</v>
      </c>
      <c r="G77" s="218">
        <v>-152.9</v>
      </c>
      <c r="H77" s="218">
        <v>-466.97</v>
      </c>
      <c r="I77" s="218">
        <v>-180.23</v>
      </c>
      <c r="J77" s="218">
        <v>-164.01</v>
      </c>
      <c r="K77" s="218">
        <v>-183.96</v>
      </c>
      <c r="L77" s="218">
        <v>-198.12</v>
      </c>
      <c r="M77" s="218">
        <v>-189.37</v>
      </c>
      <c r="N77" s="218">
        <v>-515.81</v>
      </c>
      <c r="O77" s="218">
        <v>-562.8</v>
      </c>
      <c r="P77" s="218">
        <v>-650.66</v>
      </c>
      <c r="Q77" s="218">
        <v>-0.13</v>
      </c>
      <c r="R77" s="218">
        <v>0.44</v>
      </c>
      <c r="S77" s="218">
        <v>0</v>
      </c>
      <c r="T77" s="218">
        <v>0.44</v>
      </c>
      <c r="U77" s="218">
        <v>-0.75</v>
      </c>
      <c r="V77" s="218">
        <v>1177.8</v>
      </c>
      <c r="W77" s="218">
        <v>895.14</v>
      </c>
      <c r="X77" s="218">
        <v>514.8</v>
      </c>
      <c r="Y77" s="218">
        <v>465.66</v>
      </c>
      <c r="Z77" s="218">
        <v>664.48</v>
      </c>
      <c r="AA77" s="218">
        <v>0</v>
      </c>
      <c r="AB77" s="218">
        <v>691.07</v>
      </c>
    </row>
    <row r="78" s="214" customFormat="1" spans="1:28">
      <c r="A78" s="217">
        <v>46034.78125</v>
      </c>
      <c r="B78" s="218">
        <v>-152.12</v>
      </c>
      <c r="C78" s="218">
        <v>-158.13</v>
      </c>
      <c r="D78" s="218">
        <v>-122.06</v>
      </c>
      <c r="E78" s="218">
        <v>-154.76</v>
      </c>
      <c r="F78" s="218">
        <v>-0.29</v>
      </c>
      <c r="G78" s="218">
        <v>-152.36</v>
      </c>
      <c r="H78" s="218">
        <v>-467.14</v>
      </c>
      <c r="I78" s="218">
        <v>-181.18</v>
      </c>
      <c r="J78" s="218">
        <v>-162.48</v>
      </c>
      <c r="K78" s="218">
        <v>-183.51</v>
      </c>
      <c r="L78" s="218">
        <v>-198.64</v>
      </c>
      <c r="M78" s="218">
        <v>-187.7</v>
      </c>
      <c r="N78" s="218">
        <v>-510.92</v>
      </c>
      <c r="O78" s="218">
        <v>-523.76</v>
      </c>
      <c r="P78" s="218">
        <v>-665.62</v>
      </c>
      <c r="Q78" s="218">
        <v>-0.13</v>
      </c>
      <c r="R78" s="218">
        <v>0.44</v>
      </c>
      <c r="S78" s="218">
        <v>0</v>
      </c>
      <c r="T78" s="218">
        <v>0.44</v>
      </c>
      <c r="U78" s="218">
        <v>-0.75</v>
      </c>
      <c r="V78" s="218">
        <v>1153.98</v>
      </c>
      <c r="W78" s="218">
        <v>893</v>
      </c>
      <c r="X78" s="218">
        <v>509.5</v>
      </c>
      <c r="Y78" s="218">
        <v>465.14</v>
      </c>
      <c r="Z78" s="218">
        <v>707.01</v>
      </c>
      <c r="AA78" s="218">
        <v>0</v>
      </c>
      <c r="AB78" s="218">
        <v>701.77</v>
      </c>
    </row>
    <row r="79" s="214" customFormat="1" spans="1:28">
      <c r="A79" s="217">
        <v>46034.7916666667</v>
      </c>
      <c r="B79" s="218">
        <v>-152.63</v>
      </c>
      <c r="C79" s="218">
        <v>-158.97</v>
      </c>
      <c r="D79" s="218">
        <v>-147.54</v>
      </c>
      <c r="E79" s="218">
        <v>-155.11</v>
      </c>
      <c r="F79" s="218">
        <v>-0.29</v>
      </c>
      <c r="G79" s="218">
        <v>-153.28</v>
      </c>
      <c r="H79" s="218">
        <v>-468.99</v>
      </c>
      <c r="I79" s="218">
        <v>-182.2</v>
      </c>
      <c r="J79" s="218">
        <v>-161.49</v>
      </c>
      <c r="K79" s="218">
        <v>-181.77</v>
      </c>
      <c r="L79" s="218">
        <v>-198.94</v>
      </c>
      <c r="M79" s="218">
        <v>-184.68</v>
      </c>
      <c r="N79" s="218">
        <v>-503.98</v>
      </c>
      <c r="O79" s="218">
        <v>-563.52</v>
      </c>
      <c r="P79" s="218">
        <v>-663.63</v>
      </c>
      <c r="Q79" s="218">
        <v>-0.12</v>
      </c>
      <c r="R79" s="218">
        <v>0.43</v>
      </c>
      <c r="S79" s="218">
        <v>0</v>
      </c>
      <c r="T79" s="218">
        <v>0.44</v>
      </c>
      <c r="U79" s="218">
        <v>-0.75</v>
      </c>
      <c r="V79" s="218">
        <v>1192.93</v>
      </c>
      <c r="W79" s="218">
        <v>888.75</v>
      </c>
      <c r="X79" s="218">
        <v>501.92</v>
      </c>
      <c r="Y79" s="218">
        <v>466.99</v>
      </c>
      <c r="Z79" s="218">
        <v>734.87</v>
      </c>
      <c r="AA79" s="218">
        <v>0</v>
      </c>
      <c r="AB79" s="218">
        <v>706.83</v>
      </c>
    </row>
    <row r="80" s="214" customFormat="1" spans="1:28">
      <c r="A80" s="217">
        <v>46034.8020833333</v>
      </c>
      <c r="B80" s="218">
        <v>-154.34</v>
      </c>
      <c r="C80" s="218">
        <v>-158.79</v>
      </c>
      <c r="D80" s="218">
        <v>-152.34</v>
      </c>
      <c r="E80" s="218">
        <v>-155.28</v>
      </c>
      <c r="F80" s="218">
        <v>-0.29</v>
      </c>
      <c r="G80" s="218">
        <v>-153.2</v>
      </c>
      <c r="H80" s="218">
        <v>-468.4</v>
      </c>
      <c r="I80" s="218">
        <v>-182.76</v>
      </c>
      <c r="J80" s="218">
        <v>-161.08</v>
      </c>
      <c r="K80" s="218">
        <v>-180.04</v>
      </c>
      <c r="L80" s="218">
        <v>-200.65</v>
      </c>
      <c r="M80" s="218">
        <v>-186.09</v>
      </c>
      <c r="N80" s="218">
        <v>-498.71</v>
      </c>
      <c r="O80" s="218">
        <v>-585.54</v>
      </c>
      <c r="P80" s="218">
        <v>-685.24</v>
      </c>
      <c r="Q80" s="218">
        <v>-0.13</v>
      </c>
      <c r="R80" s="218">
        <v>0.44</v>
      </c>
      <c r="S80" s="218">
        <v>0</v>
      </c>
      <c r="T80" s="218">
        <v>0.44</v>
      </c>
      <c r="U80" s="218">
        <v>-0.75</v>
      </c>
      <c r="V80" s="218">
        <v>1236.81</v>
      </c>
      <c r="W80" s="218">
        <v>890.29</v>
      </c>
      <c r="X80" s="218">
        <v>496.65</v>
      </c>
      <c r="Y80" s="218">
        <v>466.4</v>
      </c>
      <c r="Z80" s="218">
        <v>741.29</v>
      </c>
      <c r="AA80" s="218">
        <v>0</v>
      </c>
      <c r="AB80" s="218">
        <v>706.02</v>
      </c>
    </row>
    <row r="81" s="214" customFormat="1" spans="1:28">
      <c r="A81" s="217">
        <v>46034.8125</v>
      </c>
      <c r="B81" s="218">
        <v>-151.66</v>
      </c>
      <c r="C81" s="218">
        <v>-159.28</v>
      </c>
      <c r="D81" s="218">
        <v>-163.26</v>
      </c>
      <c r="E81" s="218">
        <v>-157.76</v>
      </c>
      <c r="F81" s="218">
        <v>-0.23</v>
      </c>
      <c r="G81" s="218">
        <v>-152.02</v>
      </c>
      <c r="H81" s="218">
        <v>-461.23</v>
      </c>
      <c r="I81" s="218">
        <v>-183.4</v>
      </c>
      <c r="J81" s="218">
        <v>-160.92</v>
      </c>
      <c r="K81" s="218">
        <v>-182.7</v>
      </c>
      <c r="L81" s="218">
        <v>-199.77</v>
      </c>
      <c r="M81" s="218">
        <v>-186.92</v>
      </c>
      <c r="N81" s="218">
        <v>-490.81</v>
      </c>
      <c r="O81" s="218">
        <v>-571.72</v>
      </c>
      <c r="P81" s="218">
        <v>-677.6</v>
      </c>
      <c r="Q81" s="218">
        <v>-0.12</v>
      </c>
      <c r="R81" s="218">
        <v>0.43</v>
      </c>
      <c r="S81" s="218">
        <v>0</v>
      </c>
      <c r="T81" s="218">
        <v>0.44</v>
      </c>
      <c r="U81" s="218">
        <v>-0.75</v>
      </c>
      <c r="V81" s="218">
        <v>1214.44</v>
      </c>
      <c r="W81" s="218">
        <v>893.22</v>
      </c>
      <c r="X81" s="218">
        <v>488.74</v>
      </c>
      <c r="Y81" s="218">
        <v>459.24</v>
      </c>
      <c r="Z81" s="218">
        <v>751.14</v>
      </c>
      <c r="AA81" s="218">
        <v>0</v>
      </c>
      <c r="AB81" s="218">
        <v>705.25</v>
      </c>
    </row>
    <row r="82" s="214" customFormat="1" spans="1:28">
      <c r="A82" s="217">
        <v>46034.8229166667</v>
      </c>
      <c r="B82" s="218">
        <v>-148.63</v>
      </c>
      <c r="C82" s="218">
        <v>-158.97</v>
      </c>
      <c r="D82" s="218">
        <v>-153.41</v>
      </c>
      <c r="E82" s="218">
        <v>-157.57</v>
      </c>
      <c r="F82" s="218">
        <v>-0.17</v>
      </c>
      <c r="G82" s="218">
        <v>-153.58</v>
      </c>
      <c r="H82" s="218">
        <v>-455.66</v>
      </c>
      <c r="I82" s="218">
        <v>-183.4</v>
      </c>
      <c r="J82" s="218">
        <v>-162.15</v>
      </c>
      <c r="K82" s="218">
        <v>-181.47</v>
      </c>
      <c r="L82" s="218">
        <v>-197.7</v>
      </c>
      <c r="M82" s="218">
        <v>-185.53</v>
      </c>
      <c r="N82" s="218">
        <v>-486.18</v>
      </c>
      <c r="O82" s="218">
        <v>-592.27</v>
      </c>
      <c r="P82" s="218">
        <v>-642.05</v>
      </c>
      <c r="Q82" s="218">
        <v>-0.13</v>
      </c>
      <c r="R82" s="218">
        <v>0.44</v>
      </c>
      <c r="S82" s="218">
        <v>0</v>
      </c>
      <c r="T82" s="218">
        <v>0.44</v>
      </c>
      <c r="U82" s="218">
        <v>-0.75</v>
      </c>
      <c r="V82" s="218">
        <v>1199.49</v>
      </c>
      <c r="W82" s="218">
        <v>889.58</v>
      </c>
      <c r="X82" s="218">
        <v>484.11</v>
      </c>
      <c r="Y82" s="218">
        <v>453.66</v>
      </c>
      <c r="Z82" s="218">
        <v>739.09</v>
      </c>
      <c r="AA82" s="218">
        <v>0</v>
      </c>
      <c r="AB82" s="218">
        <v>701.65</v>
      </c>
    </row>
    <row r="83" s="214" customFormat="1" spans="1:28">
      <c r="A83" s="217">
        <v>46034.8333333333</v>
      </c>
      <c r="B83" s="218">
        <v>-146.22</v>
      </c>
      <c r="C83" s="218">
        <v>-161.24</v>
      </c>
      <c r="D83" s="218">
        <v>-158.93</v>
      </c>
      <c r="E83" s="218">
        <v>-156.03</v>
      </c>
      <c r="F83" s="218">
        <v>-0.23</v>
      </c>
      <c r="G83" s="218">
        <v>-150.95</v>
      </c>
      <c r="H83" s="218">
        <v>-451.27</v>
      </c>
      <c r="I83" s="218">
        <v>-183.99</v>
      </c>
      <c r="J83" s="218">
        <v>-162.05</v>
      </c>
      <c r="K83" s="218">
        <v>-180.57</v>
      </c>
      <c r="L83" s="218">
        <v>-198.48</v>
      </c>
      <c r="M83" s="218">
        <v>-190.73</v>
      </c>
      <c r="N83" s="218">
        <v>-484.01</v>
      </c>
      <c r="O83" s="218">
        <v>-591.33</v>
      </c>
      <c r="P83" s="218">
        <v>-631.3</v>
      </c>
      <c r="Q83" s="218">
        <v>-0.13</v>
      </c>
      <c r="R83" s="218">
        <v>0.44</v>
      </c>
      <c r="S83" s="218">
        <v>0</v>
      </c>
      <c r="T83" s="218">
        <v>0.44</v>
      </c>
      <c r="U83" s="218">
        <v>-0.75</v>
      </c>
      <c r="V83" s="218">
        <v>1187.77</v>
      </c>
      <c r="W83" s="218">
        <v>895.18</v>
      </c>
      <c r="X83" s="218">
        <v>481.95</v>
      </c>
      <c r="Y83" s="218">
        <v>449.83</v>
      </c>
      <c r="Z83" s="218">
        <v>739.81</v>
      </c>
      <c r="AA83" s="218">
        <v>0</v>
      </c>
      <c r="AB83" s="218">
        <v>707.14</v>
      </c>
    </row>
    <row r="84" s="214" customFormat="1" spans="1:28">
      <c r="A84" s="217">
        <v>46034.84375</v>
      </c>
      <c r="B84" s="218">
        <v>-155.69</v>
      </c>
      <c r="C84" s="218">
        <v>-161.18</v>
      </c>
      <c r="D84" s="218">
        <v>-160.89</v>
      </c>
      <c r="E84" s="218">
        <v>-152.63</v>
      </c>
      <c r="F84" s="218">
        <v>-0.02</v>
      </c>
      <c r="G84" s="218">
        <v>-153.8</v>
      </c>
      <c r="H84" s="218">
        <v>-448.12</v>
      </c>
      <c r="I84" s="218">
        <v>-184.74</v>
      </c>
      <c r="J84" s="218">
        <v>-162.3</v>
      </c>
      <c r="K84" s="218">
        <v>-184.64</v>
      </c>
      <c r="L84" s="218">
        <v>-197.35</v>
      </c>
      <c r="M84" s="218">
        <v>-189.34</v>
      </c>
      <c r="N84" s="218">
        <v>-478.16</v>
      </c>
      <c r="O84" s="218">
        <v>-583.8</v>
      </c>
      <c r="P84" s="218">
        <v>-636.75</v>
      </c>
      <c r="Q84" s="218">
        <v>-0.13</v>
      </c>
      <c r="R84" s="218">
        <v>0.44</v>
      </c>
      <c r="S84" s="218">
        <v>0</v>
      </c>
      <c r="T84" s="218">
        <v>0.44</v>
      </c>
      <c r="U84" s="218">
        <v>-0.75</v>
      </c>
      <c r="V84" s="218">
        <v>1185.82</v>
      </c>
      <c r="W84" s="218">
        <v>897.71</v>
      </c>
      <c r="X84" s="218">
        <v>476.09</v>
      </c>
      <c r="Y84" s="218">
        <v>446.42</v>
      </c>
      <c r="Z84" s="218">
        <v>750.83</v>
      </c>
      <c r="AA84" s="218">
        <v>0</v>
      </c>
      <c r="AB84" s="218">
        <v>711.52</v>
      </c>
    </row>
    <row r="85" s="214" customFormat="1" spans="1:28">
      <c r="A85" s="217">
        <v>46034.8541666667</v>
      </c>
      <c r="B85" s="218">
        <v>-156.12</v>
      </c>
      <c r="C85" s="218">
        <v>-159.87</v>
      </c>
      <c r="D85" s="218">
        <v>-149.84</v>
      </c>
      <c r="E85" s="218">
        <v>-152.93</v>
      </c>
      <c r="F85" s="218">
        <v>-0.07</v>
      </c>
      <c r="G85" s="218">
        <v>-154.44</v>
      </c>
      <c r="H85" s="218">
        <v>-438.73</v>
      </c>
      <c r="I85" s="218">
        <v>-182.11</v>
      </c>
      <c r="J85" s="218">
        <v>-160.61</v>
      </c>
      <c r="K85" s="218">
        <v>-184.4</v>
      </c>
      <c r="L85" s="218">
        <v>-199.31</v>
      </c>
      <c r="M85" s="218">
        <v>-189.5</v>
      </c>
      <c r="N85" s="218">
        <v>-475.22</v>
      </c>
      <c r="O85" s="218">
        <v>-588.43</v>
      </c>
      <c r="P85" s="218">
        <v>-642.72</v>
      </c>
      <c r="Q85" s="218">
        <v>-0.12</v>
      </c>
      <c r="R85" s="218">
        <v>0.43</v>
      </c>
      <c r="S85" s="218">
        <v>0</v>
      </c>
      <c r="T85" s="218">
        <v>0.44</v>
      </c>
      <c r="U85" s="218">
        <v>-0.75</v>
      </c>
      <c r="V85" s="218">
        <v>1196.12</v>
      </c>
      <c r="W85" s="218">
        <v>895.56</v>
      </c>
      <c r="X85" s="218">
        <v>473.15</v>
      </c>
      <c r="Y85" s="218">
        <v>437.47</v>
      </c>
      <c r="Z85" s="218">
        <v>741.37</v>
      </c>
      <c r="AA85" s="218">
        <v>0</v>
      </c>
      <c r="AB85" s="218">
        <v>708.85</v>
      </c>
    </row>
    <row r="86" s="214" customFormat="1" spans="1:28">
      <c r="A86" s="217">
        <v>46034.8645833333</v>
      </c>
      <c r="B86" s="218">
        <v>-155.29</v>
      </c>
      <c r="C86" s="218">
        <v>-159.17</v>
      </c>
      <c r="D86" s="218">
        <v>-152.7</v>
      </c>
      <c r="E86" s="218">
        <v>-151.79</v>
      </c>
      <c r="F86" s="218">
        <v>-0.23</v>
      </c>
      <c r="G86" s="218">
        <v>-157.87</v>
      </c>
      <c r="H86" s="218">
        <v>-431.64</v>
      </c>
      <c r="I86" s="218">
        <v>-157.3</v>
      </c>
      <c r="J86" s="218">
        <v>-145.67</v>
      </c>
      <c r="K86" s="218">
        <v>-150.75</v>
      </c>
      <c r="L86" s="218">
        <v>-168.25</v>
      </c>
      <c r="M86" s="218">
        <v>-157.7</v>
      </c>
      <c r="N86" s="218">
        <v>-474.63</v>
      </c>
      <c r="O86" s="218">
        <v>-592.17</v>
      </c>
      <c r="P86" s="218">
        <v>-648.64</v>
      </c>
      <c r="Q86" s="218">
        <v>-0.12</v>
      </c>
      <c r="R86" s="218">
        <v>0.43</v>
      </c>
      <c r="S86" s="218">
        <v>0</v>
      </c>
      <c r="T86" s="218">
        <v>0.44</v>
      </c>
      <c r="U86" s="218">
        <v>-0.75</v>
      </c>
      <c r="V86" s="218">
        <v>1206.23</v>
      </c>
      <c r="W86" s="218">
        <v>760.23</v>
      </c>
      <c r="X86" s="218">
        <v>472.55</v>
      </c>
      <c r="Y86" s="218">
        <v>431.65</v>
      </c>
      <c r="Z86" s="218">
        <v>745.03</v>
      </c>
      <c r="AA86" s="218">
        <v>0</v>
      </c>
      <c r="AB86" s="218">
        <v>710.64</v>
      </c>
    </row>
    <row r="87" s="214" customFormat="1" spans="1:28">
      <c r="A87" s="217">
        <v>46034.875</v>
      </c>
      <c r="B87" s="218">
        <v>-149.04</v>
      </c>
      <c r="C87" s="218">
        <v>-152.22</v>
      </c>
      <c r="D87" s="218">
        <v>-148.16</v>
      </c>
      <c r="E87" s="218">
        <v>-149.24</v>
      </c>
      <c r="F87" s="218">
        <v>-0.29</v>
      </c>
      <c r="G87" s="218">
        <v>-161.48</v>
      </c>
      <c r="H87" s="218">
        <v>-431.39</v>
      </c>
      <c r="I87" s="218">
        <v>-146.5</v>
      </c>
      <c r="J87" s="218">
        <v>-139.34</v>
      </c>
      <c r="K87" s="218">
        <v>-124.1</v>
      </c>
      <c r="L87" s="218">
        <v>-127.04</v>
      </c>
      <c r="M87" s="218">
        <v>-136.45</v>
      </c>
      <c r="N87" s="218">
        <v>-472.25</v>
      </c>
      <c r="O87" s="218">
        <v>-595.54</v>
      </c>
      <c r="P87" s="218">
        <v>-651.08</v>
      </c>
      <c r="Q87" s="218">
        <v>-0.12</v>
      </c>
      <c r="R87" s="218">
        <v>0.43</v>
      </c>
      <c r="S87" s="218">
        <v>0</v>
      </c>
      <c r="T87" s="218">
        <v>0.44</v>
      </c>
      <c r="U87" s="218">
        <v>-0.75</v>
      </c>
      <c r="V87" s="218">
        <v>1212.15</v>
      </c>
      <c r="W87" s="218">
        <v>653.86</v>
      </c>
      <c r="X87" s="218">
        <v>470.17</v>
      </c>
      <c r="Y87" s="218">
        <v>431.23</v>
      </c>
      <c r="Z87" s="218">
        <v>728.58</v>
      </c>
      <c r="AA87" s="218">
        <v>0</v>
      </c>
      <c r="AB87" s="218">
        <v>703.33</v>
      </c>
    </row>
    <row r="88" s="214" customFormat="1" spans="1:28">
      <c r="A88" s="217">
        <v>46034.8854166667</v>
      </c>
      <c r="B88" s="218">
        <v>-142.07</v>
      </c>
      <c r="C88" s="218">
        <v>-137.58</v>
      </c>
      <c r="D88" s="218">
        <v>-139.82</v>
      </c>
      <c r="E88" s="218">
        <v>-142.27</v>
      </c>
      <c r="F88" s="218">
        <v>-0.29</v>
      </c>
      <c r="G88" s="218">
        <v>-142.07</v>
      </c>
      <c r="H88" s="218">
        <v>-429.77</v>
      </c>
      <c r="I88" s="218">
        <v>-143.88</v>
      </c>
      <c r="J88" s="218">
        <v>-139.59</v>
      </c>
      <c r="K88" s="218">
        <v>-117.73</v>
      </c>
      <c r="L88" s="218">
        <v>-121.28</v>
      </c>
      <c r="M88" s="218">
        <v>-129.51</v>
      </c>
      <c r="N88" s="218">
        <v>-467.29</v>
      </c>
      <c r="O88" s="218">
        <v>-590.14</v>
      </c>
      <c r="P88" s="218">
        <v>-655.02</v>
      </c>
      <c r="Q88" s="218">
        <v>-0.12</v>
      </c>
      <c r="R88" s="218">
        <v>0.43</v>
      </c>
      <c r="S88" s="218">
        <v>0</v>
      </c>
      <c r="T88" s="218">
        <v>0.44</v>
      </c>
      <c r="U88" s="218">
        <v>-0.75</v>
      </c>
      <c r="V88" s="218">
        <v>1210.87</v>
      </c>
      <c r="W88" s="218">
        <v>632.21</v>
      </c>
      <c r="X88" s="218">
        <v>465.23</v>
      </c>
      <c r="Y88" s="218">
        <v>429.43</v>
      </c>
      <c r="Z88" s="218">
        <v>673.06</v>
      </c>
      <c r="AA88" s="218">
        <v>0</v>
      </c>
      <c r="AB88" s="218">
        <v>704.77</v>
      </c>
    </row>
    <row r="89" s="214" customFormat="1" spans="1:28">
      <c r="A89" s="217">
        <v>46034.8958333333</v>
      </c>
      <c r="B89" s="218">
        <v>-140.08</v>
      </c>
      <c r="C89" s="218">
        <v>-133.81</v>
      </c>
      <c r="D89" s="218">
        <v>-141.08</v>
      </c>
      <c r="E89" s="218">
        <v>-138.69</v>
      </c>
      <c r="F89" s="218">
        <v>-0.29</v>
      </c>
      <c r="G89" s="218">
        <v>-140.55</v>
      </c>
      <c r="H89" s="218">
        <v>-417.07</v>
      </c>
      <c r="I89" s="218">
        <v>-139.47</v>
      </c>
      <c r="J89" s="218">
        <v>-140.03</v>
      </c>
      <c r="K89" s="218">
        <v>-115.72</v>
      </c>
      <c r="L89" s="218">
        <v>-117.43</v>
      </c>
      <c r="M89" s="218">
        <v>-126.87</v>
      </c>
      <c r="N89" s="218">
        <v>-413.15</v>
      </c>
      <c r="O89" s="218">
        <v>-595.55</v>
      </c>
      <c r="P89" s="218">
        <v>-655.22</v>
      </c>
      <c r="Q89" s="218">
        <v>-0.13</v>
      </c>
      <c r="R89" s="218">
        <v>0.44</v>
      </c>
      <c r="S89" s="218">
        <v>0</v>
      </c>
      <c r="T89" s="218">
        <v>0.44</v>
      </c>
      <c r="U89" s="218">
        <v>-0.75</v>
      </c>
      <c r="V89" s="218">
        <v>1216.34</v>
      </c>
      <c r="W89" s="218">
        <v>619.74</v>
      </c>
      <c r="X89" s="218">
        <v>411.16</v>
      </c>
      <c r="Y89" s="218">
        <v>417.1</v>
      </c>
      <c r="Z89" s="218">
        <v>663.23</v>
      </c>
      <c r="AA89" s="218">
        <v>0</v>
      </c>
      <c r="AB89" s="218">
        <v>708.14</v>
      </c>
    </row>
    <row r="90" s="214" customFormat="1" spans="1:28">
      <c r="A90" s="217">
        <v>46034.90625</v>
      </c>
      <c r="B90" s="218">
        <v>-139.98</v>
      </c>
      <c r="C90" s="218">
        <v>-133.87</v>
      </c>
      <c r="D90" s="218">
        <v>-140.39</v>
      </c>
      <c r="E90" s="218">
        <v>-136.72</v>
      </c>
      <c r="F90" s="218">
        <v>-0.16</v>
      </c>
      <c r="G90" s="218">
        <v>-140.19</v>
      </c>
      <c r="H90" s="218">
        <v>-364.89</v>
      </c>
      <c r="I90" s="218">
        <v>-141.62</v>
      </c>
      <c r="J90" s="218">
        <v>-140.18</v>
      </c>
      <c r="K90" s="218">
        <v>-116.91</v>
      </c>
      <c r="L90" s="218">
        <v>-118.17</v>
      </c>
      <c r="M90" s="218">
        <v>-124.51</v>
      </c>
      <c r="N90" s="218">
        <v>-320.89</v>
      </c>
      <c r="O90" s="218">
        <v>-556.71</v>
      </c>
      <c r="P90" s="218">
        <v>-652.84</v>
      </c>
      <c r="Q90" s="218">
        <v>-0.13</v>
      </c>
      <c r="R90" s="218">
        <v>0.44</v>
      </c>
      <c r="S90" s="218">
        <v>0</v>
      </c>
      <c r="T90" s="218">
        <v>0.44</v>
      </c>
      <c r="U90" s="218">
        <v>-0.75</v>
      </c>
      <c r="V90" s="218">
        <v>1174.6</v>
      </c>
      <c r="W90" s="218">
        <v>621.55</v>
      </c>
      <c r="X90" s="218">
        <v>318.9</v>
      </c>
      <c r="Y90" s="218">
        <v>364.96</v>
      </c>
      <c r="Z90" s="218">
        <v>659.71</v>
      </c>
      <c r="AA90" s="218">
        <v>0</v>
      </c>
      <c r="AB90" s="218">
        <v>700.49</v>
      </c>
    </row>
    <row r="91" s="214" customFormat="1" spans="1:28">
      <c r="A91" s="217">
        <v>46034.9166666667</v>
      </c>
      <c r="B91" s="218">
        <v>-141.45</v>
      </c>
      <c r="C91" s="218">
        <v>-134.62</v>
      </c>
      <c r="D91" s="218">
        <v>-143.68</v>
      </c>
      <c r="E91" s="218">
        <v>-139.82</v>
      </c>
      <c r="F91" s="218">
        <v>-0.23</v>
      </c>
      <c r="G91" s="218">
        <v>-140.22</v>
      </c>
      <c r="H91" s="218">
        <v>-289.17</v>
      </c>
      <c r="I91" s="218">
        <v>-142.75</v>
      </c>
      <c r="J91" s="218">
        <v>-140.51</v>
      </c>
      <c r="K91" s="218">
        <v>-118.2</v>
      </c>
      <c r="L91" s="218">
        <v>-119.42</v>
      </c>
      <c r="M91" s="218">
        <v>-126.07</v>
      </c>
      <c r="N91" s="218">
        <v>-305.25</v>
      </c>
      <c r="O91" s="218">
        <v>-505.58</v>
      </c>
      <c r="P91" s="218">
        <v>-568.21</v>
      </c>
      <c r="Q91" s="218">
        <v>-0.13</v>
      </c>
      <c r="R91" s="218">
        <v>0.44</v>
      </c>
      <c r="S91" s="218">
        <v>0</v>
      </c>
      <c r="T91" s="218">
        <v>0.44</v>
      </c>
      <c r="U91" s="218">
        <v>-0.75</v>
      </c>
      <c r="V91" s="218">
        <v>1038.61</v>
      </c>
      <c r="W91" s="218">
        <v>627.37</v>
      </c>
      <c r="X91" s="218">
        <v>303.17</v>
      </c>
      <c r="Y91" s="218">
        <v>289.25</v>
      </c>
      <c r="Z91" s="218">
        <v>667.8</v>
      </c>
      <c r="AA91" s="218">
        <v>0</v>
      </c>
      <c r="AB91" s="218">
        <v>696.22</v>
      </c>
    </row>
    <row r="92" s="214" customFormat="1" spans="1:28">
      <c r="A92" s="217">
        <v>46034.9270833333</v>
      </c>
      <c r="B92" s="218">
        <v>-139.59</v>
      </c>
      <c r="C92" s="218">
        <v>-139.49</v>
      </c>
      <c r="D92" s="218">
        <v>-143.73</v>
      </c>
      <c r="E92" s="218">
        <v>-139.35</v>
      </c>
      <c r="F92" s="218">
        <v>-0.29</v>
      </c>
      <c r="G92" s="218">
        <v>-140.3</v>
      </c>
      <c r="H92" s="218">
        <v>-261.6</v>
      </c>
      <c r="I92" s="218">
        <v>-146.24</v>
      </c>
      <c r="J92" s="218">
        <v>-138.82</v>
      </c>
      <c r="K92" s="218">
        <v>-117.82</v>
      </c>
      <c r="L92" s="218">
        <v>-119.3</v>
      </c>
      <c r="M92" s="218">
        <v>-120.84</v>
      </c>
      <c r="N92" s="218">
        <v>-313.85</v>
      </c>
      <c r="O92" s="218">
        <v>-492.56</v>
      </c>
      <c r="P92" s="218">
        <v>-512.71</v>
      </c>
      <c r="Q92" s="218">
        <v>-0.13</v>
      </c>
      <c r="R92" s="218">
        <v>0.44</v>
      </c>
      <c r="S92" s="218">
        <v>0</v>
      </c>
      <c r="T92" s="218">
        <v>0.44</v>
      </c>
      <c r="U92" s="218">
        <v>-0.75</v>
      </c>
      <c r="V92" s="218">
        <v>969.69</v>
      </c>
      <c r="W92" s="218">
        <v>623.16</v>
      </c>
      <c r="X92" s="218">
        <v>311.76</v>
      </c>
      <c r="Y92" s="218">
        <v>261.61</v>
      </c>
      <c r="Z92" s="218">
        <v>670.66</v>
      </c>
      <c r="AA92" s="218">
        <v>0</v>
      </c>
      <c r="AB92" s="218">
        <v>699.75</v>
      </c>
    </row>
    <row r="93" s="214" customFormat="1" spans="1:28">
      <c r="A93" s="217">
        <v>46034.9375</v>
      </c>
      <c r="B93" s="218">
        <v>-136.69</v>
      </c>
      <c r="C93" s="218">
        <v>-141.25</v>
      </c>
      <c r="D93" s="218">
        <v>-144.16</v>
      </c>
      <c r="E93" s="218">
        <v>-137.46</v>
      </c>
      <c r="F93" s="218">
        <v>-0.11</v>
      </c>
      <c r="G93" s="218">
        <v>-139.96</v>
      </c>
      <c r="H93" s="218">
        <v>-254.72</v>
      </c>
      <c r="I93" s="218">
        <v>-149.87</v>
      </c>
      <c r="J93" s="218">
        <v>-139.26</v>
      </c>
      <c r="K93" s="218">
        <v>-118.94</v>
      </c>
      <c r="L93" s="218">
        <v>-118.51</v>
      </c>
      <c r="M93" s="218">
        <v>-122.91</v>
      </c>
      <c r="N93" s="218">
        <v>-312.93</v>
      </c>
      <c r="O93" s="218">
        <v>-498.81</v>
      </c>
      <c r="P93" s="218">
        <v>-515.17</v>
      </c>
      <c r="Q93" s="218">
        <v>-0.13</v>
      </c>
      <c r="R93" s="218">
        <v>0.44</v>
      </c>
      <c r="S93" s="218">
        <v>0</v>
      </c>
      <c r="T93" s="218">
        <v>0.44</v>
      </c>
      <c r="U93" s="218">
        <v>-0.75</v>
      </c>
      <c r="V93" s="218">
        <v>978.22</v>
      </c>
      <c r="W93" s="218">
        <v>629.73</v>
      </c>
      <c r="X93" s="218">
        <v>310.86</v>
      </c>
      <c r="Y93" s="218">
        <v>254.71</v>
      </c>
      <c r="Z93" s="218">
        <v>667.98</v>
      </c>
      <c r="AA93" s="218">
        <v>0</v>
      </c>
      <c r="AB93" s="218">
        <v>699.83</v>
      </c>
    </row>
    <row r="94" s="214" customFormat="1" spans="1:28">
      <c r="A94" s="217">
        <v>46034.9479166667</v>
      </c>
      <c r="B94" s="218">
        <v>-135.48</v>
      </c>
      <c r="C94" s="218">
        <v>-140.06</v>
      </c>
      <c r="D94" s="218">
        <v>-146.82</v>
      </c>
      <c r="E94" s="218">
        <v>-140.73</v>
      </c>
      <c r="F94" s="218">
        <v>0.07</v>
      </c>
      <c r="G94" s="218">
        <v>-139.94</v>
      </c>
      <c r="H94" s="218">
        <v>-258.59</v>
      </c>
      <c r="I94" s="218">
        <v>-146.51</v>
      </c>
      <c r="J94" s="218">
        <v>-137.99</v>
      </c>
      <c r="K94" s="218">
        <v>-118.32</v>
      </c>
      <c r="L94" s="218">
        <v>-118.77</v>
      </c>
      <c r="M94" s="218">
        <v>-123.63</v>
      </c>
      <c r="N94" s="218">
        <v>-310.37</v>
      </c>
      <c r="O94" s="218">
        <v>-501.09</v>
      </c>
      <c r="P94" s="218">
        <v>-506.82</v>
      </c>
      <c r="Q94" s="218">
        <v>-0.12</v>
      </c>
      <c r="R94" s="218">
        <v>0.43</v>
      </c>
      <c r="S94" s="218">
        <v>0</v>
      </c>
      <c r="T94" s="218">
        <v>0.44</v>
      </c>
      <c r="U94" s="218">
        <v>-0.75</v>
      </c>
      <c r="V94" s="218">
        <v>972.1</v>
      </c>
      <c r="W94" s="218">
        <v>625.5</v>
      </c>
      <c r="X94" s="218">
        <v>308.3</v>
      </c>
      <c r="Y94" s="218">
        <v>258.58</v>
      </c>
      <c r="Z94" s="218">
        <v>670.96</v>
      </c>
      <c r="AA94" s="218">
        <v>0</v>
      </c>
      <c r="AB94" s="218">
        <v>695.84</v>
      </c>
    </row>
    <row r="95" s="214" customFormat="1" spans="1:28">
      <c r="A95" s="217">
        <v>46034.9583333333</v>
      </c>
      <c r="B95" s="218">
        <v>-136.44</v>
      </c>
      <c r="C95" s="218">
        <v>-137.83</v>
      </c>
      <c r="D95" s="218">
        <v>-145.03</v>
      </c>
      <c r="E95" s="218">
        <v>-143.42</v>
      </c>
      <c r="F95" s="218">
        <v>0.12</v>
      </c>
      <c r="G95" s="218">
        <v>-139.49</v>
      </c>
      <c r="H95" s="218">
        <v>-257.59</v>
      </c>
      <c r="I95" s="218">
        <v>-145.31</v>
      </c>
      <c r="J95" s="218">
        <v>-139.01</v>
      </c>
      <c r="K95" s="218">
        <v>-116.08</v>
      </c>
      <c r="L95" s="218">
        <v>-118.63</v>
      </c>
      <c r="M95" s="218">
        <v>-124.05</v>
      </c>
      <c r="N95" s="218">
        <v>-313.81</v>
      </c>
      <c r="O95" s="218">
        <v>-445.67</v>
      </c>
      <c r="P95" s="218">
        <v>-436.79</v>
      </c>
      <c r="Q95" s="218">
        <v>-0.13</v>
      </c>
      <c r="R95" s="218">
        <v>0.44</v>
      </c>
      <c r="S95" s="218">
        <v>0</v>
      </c>
      <c r="T95" s="218">
        <v>0.44</v>
      </c>
      <c r="U95" s="218">
        <v>-0.75</v>
      </c>
      <c r="V95" s="218">
        <v>847.18</v>
      </c>
      <c r="W95" s="218">
        <v>623.66</v>
      </c>
      <c r="X95" s="218">
        <v>311.73</v>
      </c>
      <c r="Y95" s="218">
        <v>257.59</v>
      </c>
      <c r="Z95" s="218">
        <v>670.32</v>
      </c>
      <c r="AA95" s="218">
        <v>0</v>
      </c>
      <c r="AB95" s="218">
        <v>694.87</v>
      </c>
    </row>
    <row r="96" s="214" customFormat="1" spans="1:28">
      <c r="A96" s="217">
        <v>46034.96875</v>
      </c>
      <c r="B96" s="218">
        <v>-137.87</v>
      </c>
      <c r="C96" s="218">
        <v>-134.46</v>
      </c>
      <c r="D96" s="218">
        <v>-140.85</v>
      </c>
      <c r="E96" s="218">
        <v>-143.2</v>
      </c>
      <c r="F96" s="218">
        <v>0.12</v>
      </c>
      <c r="G96" s="218">
        <v>-139.43</v>
      </c>
      <c r="H96" s="218">
        <v>-255.48</v>
      </c>
      <c r="I96" s="218">
        <v>-143.22</v>
      </c>
      <c r="J96" s="218">
        <v>-135</v>
      </c>
      <c r="K96" s="218">
        <v>-117.46</v>
      </c>
      <c r="L96" s="218">
        <v>-117.98</v>
      </c>
      <c r="M96" s="218">
        <v>-123.53</v>
      </c>
      <c r="N96" s="218">
        <v>-310.47</v>
      </c>
      <c r="O96" s="218">
        <v>-408.02</v>
      </c>
      <c r="P96" s="218">
        <v>-421.04</v>
      </c>
      <c r="Q96" s="218">
        <v>-0.13</v>
      </c>
      <c r="R96" s="218">
        <v>0.44</v>
      </c>
      <c r="S96" s="218">
        <v>0</v>
      </c>
      <c r="T96" s="218">
        <v>0.44</v>
      </c>
      <c r="U96" s="218">
        <v>-0.75</v>
      </c>
      <c r="V96" s="218">
        <v>793.39</v>
      </c>
      <c r="W96" s="218">
        <v>617.64</v>
      </c>
      <c r="X96" s="218">
        <v>308.4</v>
      </c>
      <c r="Y96" s="218">
        <v>254.38</v>
      </c>
      <c r="Z96" s="218">
        <v>664.16</v>
      </c>
      <c r="AA96" s="218">
        <v>0</v>
      </c>
      <c r="AB96" s="218">
        <v>697.19</v>
      </c>
    </row>
    <row r="97" s="214" customFormat="1" spans="1:28">
      <c r="A97" s="217">
        <v>46034.9791666667</v>
      </c>
      <c r="B97" s="218">
        <v>-134.64</v>
      </c>
      <c r="C97" s="218">
        <v>-134.98</v>
      </c>
      <c r="D97" s="218">
        <v>-138.02</v>
      </c>
      <c r="E97" s="218">
        <v>-142.42</v>
      </c>
      <c r="F97" s="218">
        <v>-0.02</v>
      </c>
      <c r="G97" s="218">
        <v>-139.67</v>
      </c>
      <c r="H97" s="218">
        <v>-254.49</v>
      </c>
      <c r="I97" s="218">
        <v>-140</v>
      </c>
      <c r="J97" s="218">
        <v>-143.85</v>
      </c>
      <c r="K97" s="218">
        <v>-117.33</v>
      </c>
      <c r="L97" s="218">
        <v>-118.83</v>
      </c>
      <c r="M97" s="218">
        <v>-123.09</v>
      </c>
      <c r="N97" s="218">
        <v>-314.23</v>
      </c>
      <c r="O97" s="218">
        <v>-422.59</v>
      </c>
      <c r="P97" s="218">
        <v>-418.35</v>
      </c>
      <c r="Q97" s="218">
        <v>-0.13</v>
      </c>
      <c r="R97" s="218">
        <v>0.44</v>
      </c>
      <c r="S97" s="218">
        <v>0</v>
      </c>
      <c r="T97" s="218">
        <v>0.44</v>
      </c>
      <c r="U97" s="218">
        <v>-0.75</v>
      </c>
      <c r="V97" s="218">
        <v>804.9</v>
      </c>
      <c r="W97" s="218">
        <v>623.3</v>
      </c>
      <c r="X97" s="218">
        <v>312.15</v>
      </c>
      <c r="Y97" s="218">
        <v>254.24</v>
      </c>
      <c r="Z97" s="218">
        <v>658.35</v>
      </c>
      <c r="AA97" s="218">
        <v>0</v>
      </c>
      <c r="AB97" s="218">
        <v>697.76</v>
      </c>
    </row>
    <row r="98" s="214" customFormat="1" spans="1:28">
      <c r="A98" s="220">
        <v>46034.9895833333</v>
      </c>
      <c r="B98" s="219">
        <v>-132.93</v>
      </c>
      <c r="C98" s="219">
        <v>-134.18</v>
      </c>
      <c r="D98" s="219">
        <v>-138.57</v>
      </c>
      <c r="E98" s="219">
        <v>-140.93</v>
      </c>
      <c r="F98" s="219">
        <v>-0.23</v>
      </c>
      <c r="G98" s="219">
        <v>-139.36</v>
      </c>
      <c r="H98" s="219">
        <v>-261.7</v>
      </c>
      <c r="I98" s="219">
        <v>-139.35</v>
      </c>
      <c r="J98" s="219">
        <v>-141.76</v>
      </c>
      <c r="K98" s="219">
        <v>-118.05</v>
      </c>
      <c r="L98" s="219">
        <v>-119.33</v>
      </c>
      <c r="M98" s="219">
        <v>-122.26</v>
      </c>
      <c r="N98" s="219">
        <v>-314.27</v>
      </c>
      <c r="O98" s="219">
        <v>-423.66</v>
      </c>
      <c r="P98" s="219">
        <v>-418.33</v>
      </c>
      <c r="Q98" s="219">
        <v>-0.13</v>
      </c>
      <c r="R98" s="219">
        <v>0.44</v>
      </c>
      <c r="S98" s="219">
        <v>0</v>
      </c>
      <c r="T98" s="219">
        <v>0.44</v>
      </c>
      <c r="U98" s="219">
        <v>-0.75</v>
      </c>
      <c r="V98" s="219">
        <v>806.39</v>
      </c>
      <c r="W98" s="219">
        <v>621.1</v>
      </c>
      <c r="X98" s="219">
        <v>312.19</v>
      </c>
      <c r="Y98" s="219">
        <v>261.7</v>
      </c>
      <c r="Z98" s="219">
        <v>655.06</v>
      </c>
      <c r="AA98" s="219">
        <v>0</v>
      </c>
      <c r="AB98" s="219">
        <v>687.09</v>
      </c>
    </row>
    <row r="99" s="214" customFormat="1" spans="1:28">
      <c r="A99" s="215"/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83" workbookViewId="0">
      <selection activeCell="AL83" sqref="$A1:$XFD1048576"/>
    </sheetView>
  </sheetViews>
  <sheetFormatPr defaultColWidth="15.7142857142857" defaultRowHeight="15" customHeight="1"/>
  <cols>
    <col min="1" max="16384" width="15.7142857142857" style="239" customWidth="1"/>
  </cols>
  <sheetData>
    <row r="2" s="238" customFormat="1" ht="20" customHeight="1" spans="1:10">
      <c r="A2" s="240" t="s">
        <v>199</v>
      </c>
      <c r="B2" s="240"/>
      <c r="C2" s="240"/>
      <c r="D2" s="240"/>
      <c r="E2" s="240"/>
      <c r="F2" s="240"/>
      <c r="G2" s="240"/>
      <c r="H2" s="240"/>
      <c r="I2" s="240"/>
      <c r="J2" s="240"/>
    </row>
    <row r="4" s="239" customFormat="1" ht="16.5" spans="1:55">
      <c r="A4" s="241" t="s">
        <v>145</v>
      </c>
      <c r="B4" s="241" t="s">
        <v>146</v>
      </c>
      <c r="C4" s="241" t="s">
        <v>200</v>
      </c>
      <c r="D4" s="241" t="s">
        <v>200</v>
      </c>
      <c r="E4" s="241" t="s">
        <v>201</v>
      </c>
      <c r="F4" s="241" t="s">
        <v>201</v>
      </c>
      <c r="G4" s="241" t="s">
        <v>202</v>
      </c>
      <c r="H4" s="241" t="s">
        <v>202</v>
      </c>
      <c r="I4" s="241" t="s">
        <v>203</v>
      </c>
      <c r="J4" s="241" t="s">
        <v>203</v>
      </c>
      <c r="K4" s="241" t="s">
        <v>204</v>
      </c>
      <c r="L4" s="241" t="s">
        <v>204</v>
      </c>
      <c r="M4" s="241" t="s">
        <v>204</v>
      </c>
      <c r="N4" s="241" t="s">
        <v>205</v>
      </c>
      <c r="O4" s="241" t="s">
        <v>205</v>
      </c>
      <c r="P4" s="241" t="s">
        <v>206</v>
      </c>
      <c r="Q4" s="241" t="s">
        <v>206</v>
      </c>
      <c r="R4" s="241" t="s">
        <v>206</v>
      </c>
      <c r="S4" s="241" t="s">
        <v>207</v>
      </c>
      <c r="T4" s="241" t="s">
        <v>207</v>
      </c>
      <c r="U4" s="241" t="s">
        <v>207</v>
      </c>
      <c r="V4" s="241" t="s">
        <v>208</v>
      </c>
      <c r="W4" s="241" t="s">
        <v>208</v>
      </c>
      <c r="X4" s="241" t="s">
        <v>208</v>
      </c>
      <c r="Y4" s="241" t="s">
        <v>209</v>
      </c>
      <c r="Z4" s="241" t="s">
        <v>209</v>
      </c>
      <c r="AA4" s="241" t="s">
        <v>209</v>
      </c>
      <c r="AB4" s="241" t="s">
        <v>210</v>
      </c>
      <c r="AC4" s="241" t="s">
        <v>210</v>
      </c>
      <c r="AD4" s="241" t="s">
        <v>210</v>
      </c>
      <c r="AE4" s="241" t="s">
        <v>211</v>
      </c>
      <c r="AF4" s="241" t="s">
        <v>211</v>
      </c>
      <c r="AG4" s="241" t="s">
        <v>211</v>
      </c>
      <c r="AH4" s="241" t="s">
        <v>212</v>
      </c>
      <c r="AI4" s="241" t="s">
        <v>212</v>
      </c>
      <c r="AJ4" s="241" t="s">
        <v>212</v>
      </c>
      <c r="AK4" s="241" t="s">
        <v>213</v>
      </c>
      <c r="AL4" s="241" t="s">
        <v>213</v>
      </c>
      <c r="AM4" s="241" t="s">
        <v>213</v>
      </c>
      <c r="AN4" s="241" t="s">
        <v>214</v>
      </c>
      <c r="AO4" s="241" t="s">
        <v>214</v>
      </c>
      <c r="AP4" s="241" t="s">
        <v>214</v>
      </c>
      <c r="AQ4" s="241" t="s">
        <v>215</v>
      </c>
      <c r="AR4" s="241" t="s">
        <v>215</v>
      </c>
      <c r="AS4" s="241" t="s">
        <v>215</v>
      </c>
      <c r="AT4" s="241" t="s">
        <v>216</v>
      </c>
      <c r="AU4" s="241" t="s">
        <v>216</v>
      </c>
      <c r="AV4" s="241" t="s">
        <v>216</v>
      </c>
      <c r="AW4" s="241" t="s">
        <v>217</v>
      </c>
      <c r="AX4" s="241" t="s">
        <v>217</v>
      </c>
      <c r="AY4" s="241" t="s">
        <v>217</v>
      </c>
      <c r="AZ4" s="241" t="s">
        <v>218</v>
      </c>
      <c r="BA4" s="241" t="s">
        <v>218</v>
      </c>
      <c r="BB4" s="241" t="s">
        <v>218</v>
      </c>
      <c r="BC4" s="241" t="s">
        <v>219</v>
      </c>
    </row>
    <row r="5" s="239" customFormat="1" ht="16.5" spans="1:55">
      <c r="A5" s="241" t="s">
        <v>145</v>
      </c>
      <c r="B5" s="241" t="s">
        <v>146</v>
      </c>
      <c r="C5" s="241" t="s">
        <v>220</v>
      </c>
      <c r="D5" s="241" t="s">
        <v>220</v>
      </c>
      <c r="E5" s="241" t="s">
        <v>220</v>
      </c>
      <c r="F5" s="241" t="s">
        <v>220</v>
      </c>
      <c r="G5" s="241" t="s">
        <v>220</v>
      </c>
      <c r="H5" s="241" t="s">
        <v>220</v>
      </c>
      <c r="I5" s="241" t="s">
        <v>220</v>
      </c>
      <c r="J5" s="241" t="s">
        <v>220</v>
      </c>
      <c r="K5" s="241" t="s">
        <v>220</v>
      </c>
      <c r="L5" s="241" t="s">
        <v>220</v>
      </c>
      <c r="M5" s="241" t="s">
        <v>220</v>
      </c>
      <c r="N5" s="241" t="s">
        <v>220</v>
      </c>
      <c r="O5" s="241" t="s">
        <v>220</v>
      </c>
      <c r="P5" s="241" t="s">
        <v>220</v>
      </c>
      <c r="Q5" s="241" t="s">
        <v>220</v>
      </c>
      <c r="R5" s="241" t="s">
        <v>220</v>
      </c>
      <c r="S5" s="241" t="s">
        <v>220</v>
      </c>
      <c r="T5" s="241" t="s">
        <v>220</v>
      </c>
      <c r="U5" s="241" t="s">
        <v>220</v>
      </c>
      <c r="V5" s="241" t="s">
        <v>220</v>
      </c>
      <c r="W5" s="241" t="s">
        <v>220</v>
      </c>
      <c r="X5" s="241" t="s">
        <v>220</v>
      </c>
      <c r="Y5" s="241" t="s">
        <v>220</v>
      </c>
      <c r="Z5" s="241" t="s">
        <v>220</v>
      </c>
      <c r="AA5" s="241" t="s">
        <v>220</v>
      </c>
      <c r="AB5" s="241" t="s">
        <v>220</v>
      </c>
      <c r="AC5" s="241" t="s">
        <v>220</v>
      </c>
      <c r="AD5" s="241" t="s">
        <v>220</v>
      </c>
      <c r="AE5" s="241" t="s">
        <v>220</v>
      </c>
      <c r="AF5" s="241" t="s">
        <v>220</v>
      </c>
      <c r="AG5" s="241" t="s">
        <v>220</v>
      </c>
      <c r="AH5" s="241" t="s">
        <v>220</v>
      </c>
      <c r="AI5" s="241" t="s">
        <v>220</v>
      </c>
      <c r="AJ5" s="241" t="s">
        <v>220</v>
      </c>
      <c r="AK5" s="241" t="s">
        <v>220</v>
      </c>
      <c r="AL5" s="241" t="s">
        <v>220</v>
      </c>
      <c r="AM5" s="241" t="s">
        <v>220</v>
      </c>
      <c r="AN5" s="241" t="s">
        <v>220</v>
      </c>
      <c r="AO5" s="241" t="s">
        <v>220</v>
      </c>
      <c r="AP5" s="241" t="s">
        <v>220</v>
      </c>
      <c r="AQ5" s="241" t="s">
        <v>220</v>
      </c>
      <c r="AR5" s="241" t="s">
        <v>220</v>
      </c>
      <c r="AS5" s="241" t="s">
        <v>220</v>
      </c>
      <c r="AT5" s="241" t="s">
        <v>220</v>
      </c>
      <c r="AU5" s="241" t="s">
        <v>220</v>
      </c>
      <c r="AV5" s="241" t="s">
        <v>220</v>
      </c>
      <c r="AW5" s="241" t="s">
        <v>220</v>
      </c>
      <c r="AX5" s="241" t="s">
        <v>220</v>
      </c>
      <c r="AY5" s="241" t="s">
        <v>220</v>
      </c>
      <c r="AZ5" s="241" t="s">
        <v>220</v>
      </c>
      <c r="BA5" s="241" t="s">
        <v>220</v>
      </c>
      <c r="BB5" s="241" t="s">
        <v>220</v>
      </c>
      <c r="BC5" s="241" t="s">
        <v>219</v>
      </c>
    </row>
    <row r="6" s="239" customFormat="1" ht="16.5" spans="1:55">
      <c r="A6" s="241"/>
      <c r="B6" s="241"/>
      <c r="C6" s="241" t="s">
        <v>221</v>
      </c>
      <c r="D6" s="241" t="s">
        <v>222</v>
      </c>
      <c r="E6" s="241" t="s">
        <v>221</v>
      </c>
      <c r="F6" s="241" t="s">
        <v>222</v>
      </c>
      <c r="G6" s="241" t="s">
        <v>221</v>
      </c>
      <c r="H6" s="241" t="s">
        <v>222</v>
      </c>
      <c r="I6" s="241" t="s">
        <v>221</v>
      </c>
      <c r="J6" s="241" t="s">
        <v>222</v>
      </c>
      <c r="K6" s="241" t="s">
        <v>223</v>
      </c>
      <c r="L6" s="241" t="s">
        <v>224</v>
      </c>
      <c r="M6" s="241" t="s">
        <v>222</v>
      </c>
      <c r="N6" s="241" t="s">
        <v>221</v>
      </c>
      <c r="O6" s="241" t="s">
        <v>222</v>
      </c>
      <c r="P6" s="241" t="s">
        <v>223</v>
      </c>
      <c r="Q6" s="241" t="s">
        <v>224</v>
      </c>
      <c r="R6" s="241" t="s">
        <v>222</v>
      </c>
      <c r="S6" s="241" t="s">
        <v>223</v>
      </c>
      <c r="T6" s="241" t="s">
        <v>224</v>
      </c>
      <c r="U6" s="241" t="s">
        <v>222</v>
      </c>
      <c r="V6" s="241" t="s">
        <v>223</v>
      </c>
      <c r="W6" s="241" t="s">
        <v>224</v>
      </c>
      <c r="X6" s="241" t="s">
        <v>222</v>
      </c>
      <c r="Y6" s="241" t="s">
        <v>223</v>
      </c>
      <c r="Z6" s="241" t="s">
        <v>224</v>
      </c>
      <c r="AA6" s="241" t="s">
        <v>222</v>
      </c>
      <c r="AB6" s="241" t="s">
        <v>223</v>
      </c>
      <c r="AC6" s="241" t="s">
        <v>224</v>
      </c>
      <c r="AD6" s="241" t="s">
        <v>222</v>
      </c>
      <c r="AE6" s="241" t="s">
        <v>223</v>
      </c>
      <c r="AF6" s="241" t="s">
        <v>224</v>
      </c>
      <c r="AG6" s="241" t="s">
        <v>222</v>
      </c>
      <c r="AH6" s="241" t="s">
        <v>223</v>
      </c>
      <c r="AI6" s="241" t="s">
        <v>224</v>
      </c>
      <c r="AJ6" s="241" t="s">
        <v>222</v>
      </c>
      <c r="AK6" s="241" t="s">
        <v>223</v>
      </c>
      <c r="AL6" s="241" t="s">
        <v>224</v>
      </c>
      <c r="AM6" s="241" t="s">
        <v>222</v>
      </c>
      <c r="AN6" s="241" t="s">
        <v>223</v>
      </c>
      <c r="AO6" s="241" t="s">
        <v>224</v>
      </c>
      <c r="AP6" s="241" t="s">
        <v>222</v>
      </c>
      <c r="AQ6" s="241" t="s">
        <v>223</v>
      </c>
      <c r="AR6" s="241" t="s">
        <v>224</v>
      </c>
      <c r="AS6" s="241" t="s">
        <v>222</v>
      </c>
      <c r="AT6" s="241" t="s">
        <v>223</v>
      </c>
      <c r="AU6" s="241" t="s">
        <v>224</v>
      </c>
      <c r="AV6" s="241" t="s">
        <v>222</v>
      </c>
      <c r="AW6" s="241" t="s">
        <v>223</v>
      </c>
      <c r="AX6" s="241" t="s">
        <v>224</v>
      </c>
      <c r="AY6" s="241" t="s">
        <v>222</v>
      </c>
      <c r="AZ6" s="241" t="s">
        <v>223</v>
      </c>
      <c r="BA6" s="241" t="s">
        <v>224</v>
      </c>
      <c r="BB6" s="241" t="s">
        <v>222</v>
      </c>
      <c r="BC6" s="241" t="s">
        <v>225</v>
      </c>
    </row>
    <row r="7" s="239" customFormat="1" ht="16.5" spans="1:55">
      <c r="A7" s="241">
        <v>1</v>
      </c>
      <c r="B7" s="241" t="s">
        <v>14</v>
      </c>
      <c r="C7" s="242">
        <v>28.61</v>
      </c>
      <c r="D7" s="242">
        <v>28.61</v>
      </c>
      <c r="E7" s="242">
        <v>64.82</v>
      </c>
      <c r="F7" s="242">
        <v>64.82</v>
      </c>
      <c r="G7" s="242">
        <v>0</v>
      </c>
      <c r="H7" s="242">
        <v>0</v>
      </c>
      <c r="I7" s="242">
        <v>0</v>
      </c>
      <c r="J7" s="242">
        <v>0</v>
      </c>
      <c r="K7" s="242">
        <v>241.28</v>
      </c>
      <c r="L7" s="242">
        <v>0</v>
      </c>
      <c r="M7" s="242">
        <v>241.28</v>
      </c>
      <c r="N7" s="242">
        <v>7.87</v>
      </c>
      <c r="O7" s="242">
        <v>7.87</v>
      </c>
      <c r="P7" s="242">
        <v>7.64</v>
      </c>
      <c r="Q7" s="242">
        <v>0</v>
      </c>
      <c r="R7" s="242">
        <v>7.64</v>
      </c>
      <c r="S7" s="242">
        <v>18.46</v>
      </c>
      <c r="T7" s="242">
        <v>17.44</v>
      </c>
      <c r="U7" s="242">
        <v>35.9</v>
      </c>
      <c r="V7" s="242">
        <v>37.11</v>
      </c>
      <c r="W7" s="242">
        <v>0</v>
      </c>
      <c r="X7" s="242">
        <v>37.11</v>
      </c>
      <c r="Y7" s="242">
        <v>6.55</v>
      </c>
      <c r="Z7" s="242">
        <v>0</v>
      </c>
      <c r="AA7" s="242">
        <v>6.55</v>
      </c>
      <c r="AB7" s="242">
        <v>40.08</v>
      </c>
      <c r="AC7" s="242">
        <v>0</v>
      </c>
      <c r="AD7" s="242">
        <v>40.08</v>
      </c>
      <c r="AE7" s="242">
        <v>127.57</v>
      </c>
      <c r="AF7" s="242">
        <v>0</v>
      </c>
      <c r="AG7" s="242">
        <v>127.57</v>
      </c>
      <c r="AH7" s="242">
        <v>295.09</v>
      </c>
      <c r="AI7" s="242">
        <v>0</v>
      </c>
      <c r="AJ7" s="242">
        <v>295.09</v>
      </c>
      <c r="AK7" s="242">
        <v>74.61</v>
      </c>
      <c r="AL7" s="242">
        <v>0</v>
      </c>
      <c r="AM7" s="242">
        <v>74.61</v>
      </c>
      <c r="AN7" s="242">
        <v>216.14</v>
      </c>
      <c r="AO7" s="242">
        <v>0</v>
      </c>
      <c r="AP7" s="242">
        <v>216.14</v>
      </c>
      <c r="AQ7" s="242">
        <v>209.05</v>
      </c>
      <c r="AR7" s="242">
        <v>0</v>
      </c>
      <c r="AS7" s="242">
        <v>209.05</v>
      </c>
      <c r="AT7" s="242">
        <v>135.28</v>
      </c>
      <c r="AU7" s="242">
        <v>0</v>
      </c>
      <c r="AV7" s="242">
        <v>135.28</v>
      </c>
      <c r="AW7" s="242">
        <v>35.32</v>
      </c>
      <c r="AX7" s="242">
        <v>0</v>
      </c>
      <c r="AY7" s="242">
        <v>35.32</v>
      </c>
      <c r="AZ7" s="242">
        <v>62.09</v>
      </c>
      <c r="BA7" s="242">
        <v>0</v>
      </c>
      <c r="BB7" s="242">
        <v>62.09</v>
      </c>
      <c r="BC7" s="241">
        <v>1625.01</v>
      </c>
    </row>
    <row r="8" s="239" customFormat="1" ht="16.5" spans="1:55">
      <c r="A8" s="241">
        <v>2</v>
      </c>
      <c r="B8" s="241" t="s">
        <v>15</v>
      </c>
      <c r="C8" s="242">
        <v>28.61</v>
      </c>
      <c r="D8" s="242">
        <v>28.61</v>
      </c>
      <c r="E8" s="242">
        <v>64.82</v>
      </c>
      <c r="F8" s="242">
        <v>64.82</v>
      </c>
      <c r="G8" s="242">
        <v>0</v>
      </c>
      <c r="H8" s="242">
        <v>0</v>
      </c>
      <c r="I8" s="242">
        <v>0</v>
      </c>
      <c r="J8" s="242">
        <v>0</v>
      </c>
      <c r="K8" s="242">
        <v>241.28</v>
      </c>
      <c r="L8" s="242">
        <v>0</v>
      </c>
      <c r="M8" s="242">
        <v>241.28</v>
      </c>
      <c r="N8" s="242">
        <v>7.87</v>
      </c>
      <c r="O8" s="242">
        <v>7.87</v>
      </c>
      <c r="P8" s="242">
        <v>7.64</v>
      </c>
      <c r="Q8" s="242">
        <v>0</v>
      </c>
      <c r="R8" s="242">
        <v>7.64</v>
      </c>
      <c r="S8" s="242">
        <v>18.46</v>
      </c>
      <c r="T8" s="242">
        <v>17.44</v>
      </c>
      <c r="U8" s="242">
        <v>35.9</v>
      </c>
      <c r="V8" s="242">
        <v>37.11</v>
      </c>
      <c r="W8" s="242">
        <v>0</v>
      </c>
      <c r="X8" s="242">
        <v>37.11</v>
      </c>
      <c r="Y8" s="242">
        <v>6.55</v>
      </c>
      <c r="Z8" s="242">
        <v>0</v>
      </c>
      <c r="AA8" s="242">
        <v>6.55</v>
      </c>
      <c r="AB8" s="242">
        <v>40.08</v>
      </c>
      <c r="AC8" s="242">
        <v>0</v>
      </c>
      <c r="AD8" s="242">
        <v>40.08</v>
      </c>
      <c r="AE8" s="242">
        <v>127.57</v>
      </c>
      <c r="AF8" s="242">
        <v>0</v>
      </c>
      <c r="AG8" s="242">
        <v>127.57</v>
      </c>
      <c r="AH8" s="242">
        <v>295.09</v>
      </c>
      <c r="AI8" s="242">
        <v>0</v>
      </c>
      <c r="AJ8" s="242">
        <v>295.09</v>
      </c>
      <c r="AK8" s="242">
        <v>74.61</v>
      </c>
      <c r="AL8" s="242">
        <v>0</v>
      </c>
      <c r="AM8" s="242">
        <v>74.61</v>
      </c>
      <c r="AN8" s="242">
        <v>216.14</v>
      </c>
      <c r="AO8" s="242">
        <v>0</v>
      </c>
      <c r="AP8" s="242">
        <v>216.14</v>
      </c>
      <c r="AQ8" s="242">
        <v>209.05</v>
      </c>
      <c r="AR8" s="242">
        <v>0</v>
      </c>
      <c r="AS8" s="242">
        <v>209.05</v>
      </c>
      <c r="AT8" s="242">
        <v>135.28</v>
      </c>
      <c r="AU8" s="242">
        <v>0</v>
      </c>
      <c r="AV8" s="242">
        <v>135.28</v>
      </c>
      <c r="AW8" s="242">
        <v>35.32</v>
      </c>
      <c r="AX8" s="242">
        <v>0</v>
      </c>
      <c r="AY8" s="242">
        <v>35.32</v>
      </c>
      <c r="AZ8" s="242">
        <v>62.09</v>
      </c>
      <c r="BA8" s="242">
        <v>0</v>
      </c>
      <c r="BB8" s="242">
        <v>62.09</v>
      </c>
      <c r="BC8" s="241">
        <v>1625.01</v>
      </c>
    </row>
    <row r="9" s="239" customFormat="1" ht="16.5" spans="1:55">
      <c r="A9" s="241">
        <v>3</v>
      </c>
      <c r="B9" s="241" t="s">
        <v>16</v>
      </c>
      <c r="C9" s="242">
        <v>28.61</v>
      </c>
      <c r="D9" s="242">
        <v>28.61</v>
      </c>
      <c r="E9" s="242">
        <v>64.82</v>
      </c>
      <c r="F9" s="242">
        <v>64.82</v>
      </c>
      <c r="G9" s="242">
        <v>0</v>
      </c>
      <c r="H9" s="242">
        <v>0</v>
      </c>
      <c r="I9" s="242">
        <v>0</v>
      </c>
      <c r="J9" s="242">
        <v>0</v>
      </c>
      <c r="K9" s="242">
        <v>241.28</v>
      </c>
      <c r="L9" s="242">
        <v>0</v>
      </c>
      <c r="M9" s="242">
        <v>241.28</v>
      </c>
      <c r="N9" s="242">
        <v>7.87</v>
      </c>
      <c r="O9" s="242">
        <v>7.87</v>
      </c>
      <c r="P9" s="242">
        <v>7.64</v>
      </c>
      <c r="Q9" s="242">
        <v>0</v>
      </c>
      <c r="R9" s="242">
        <v>7.64</v>
      </c>
      <c r="S9" s="242">
        <v>18.46</v>
      </c>
      <c r="T9" s="242">
        <v>17.44</v>
      </c>
      <c r="U9" s="242">
        <v>35.9</v>
      </c>
      <c r="V9" s="242">
        <v>37.11</v>
      </c>
      <c r="W9" s="242">
        <v>0</v>
      </c>
      <c r="X9" s="242">
        <v>37.11</v>
      </c>
      <c r="Y9" s="242">
        <v>6.55</v>
      </c>
      <c r="Z9" s="242">
        <v>0</v>
      </c>
      <c r="AA9" s="242">
        <v>6.55</v>
      </c>
      <c r="AB9" s="242">
        <v>40.08</v>
      </c>
      <c r="AC9" s="242">
        <v>0</v>
      </c>
      <c r="AD9" s="242">
        <v>40.08</v>
      </c>
      <c r="AE9" s="242">
        <v>127.57</v>
      </c>
      <c r="AF9" s="242">
        <v>0</v>
      </c>
      <c r="AG9" s="242">
        <v>127.57</v>
      </c>
      <c r="AH9" s="242">
        <v>295.09</v>
      </c>
      <c r="AI9" s="242">
        <v>0</v>
      </c>
      <c r="AJ9" s="242">
        <v>295.09</v>
      </c>
      <c r="AK9" s="242">
        <v>74.61</v>
      </c>
      <c r="AL9" s="242">
        <v>0</v>
      </c>
      <c r="AM9" s="242">
        <v>74.61</v>
      </c>
      <c r="AN9" s="242">
        <v>216.14</v>
      </c>
      <c r="AO9" s="242">
        <v>0</v>
      </c>
      <c r="AP9" s="242">
        <v>216.14</v>
      </c>
      <c r="AQ9" s="242">
        <v>209.05</v>
      </c>
      <c r="AR9" s="242">
        <v>0</v>
      </c>
      <c r="AS9" s="242">
        <v>209.05</v>
      </c>
      <c r="AT9" s="242">
        <v>135.28</v>
      </c>
      <c r="AU9" s="242">
        <v>0</v>
      </c>
      <c r="AV9" s="242">
        <v>135.28</v>
      </c>
      <c r="AW9" s="242">
        <v>35.32</v>
      </c>
      <c r="AX9" s="242">
        <v>0</v>
      </c>
      <c r="AY9" s="242">
        <v>35.32</v>
      </c>
      <c r="AZ9" s="242">
        <v>62.09</v>
      </c>
      <c r="BA9" s="242">
        <v>0</v>
      </c>
      <c r="BB9" s="242">
        <v>62.09</v>
      </c>
      <c r="BC9" s="241">
        <v>1625.01</v>
      </c>
    </row>
    <row r="10" s="239" customFormat="1" ht="16.5" spans="1:55">
      <c r="A10" s="241">
        <v>4</v>
      </c>
      <c r="B10" s="241" t="s">
        <v>17</v>
      </c>
      <c r="C10" s="242">
        <v>28.61</v>
      </c>
      <c r="D10" s="242">
        <v>28.61</v>
      </c>
      <c r="E10" s="242">
        <v>64.82</v>
      </c>
      <c r="F10" s="242">
        <v>64.82</v>
      </c>
      <c r="G10" s="242">
        <v>0</v>
      </c>
      <c r="H10" s="242">
        <v>0</v>
      </c>
      <c r="I10" s="242">
        <v>0</v>
      </c>
      <c r="J10" s="242">
        <v>0</v>
      </c>
      <c r="K10" s="242">
        <v>241.28</v>
      </c>
      <c r="L10" s="242">
        <v>0</v>
      </c>
      <c r="M10" s="242">
        <v>241.28</v>
      </c>
      <c r="N10" s="242">
        <v>7.87</v>
      </c>
      <c r="O10" s="242">
        <v>7.87</v>
      </c>
      <c r="P10" s="242">
        <v>7.64</v>
      </c>
      <c r="Q10" s="242">
        <v>0</v>
      </c>
      <c r="R10" s="242">
        <v>7.64</v>
      </c>
      <c r="S10" s="242">
        <v>18.46</v>
      </c>
      <c r="T10" s="242">
        <v>17.44</v>
      </c>
      <c r="U10" s="242">
        <v>35.9</v>
      </c>
      <c r="V10" s="242">
        <v>37.11</v>
      </c>
      <c r="W10" s="242">
        <v>0</v>
      </c>
      <c r="X10" s="242">
        <v>37.11</v>
      </c>
      <c r="Y10" s="242">
        <v>6.55</v>
      </c>
      <c r="Z10" s="242">
        <v>0</v>
      </c>
      <c r="AA10" s="242">
        <v>6.55</v>
      </c>
      <c r="AB10" s="242">
        <v>40.08</v>
      </c>
      <c r="AC10" s="242">
        <v>0</v>
      </c>
      <c r="AD10" s="242">
        <v>40.08</v>
      </c>
      <c r="AE10" s="242">
        <v>127.57</v>
      </c>
      <c r="AF10" s="242">
        <v>0</v>
      </c>
      <c r="AG10" s="242">
        <v>127.57</v>
      </c>
      <c r="AH10" s="242">
        <v>295.09</v>
      </c>
      <c r="AI10" s="242">
        <v>0</v>
      </c>
      <c r="AJ10" s="242">
        <v>295.09</v>
      </c>
      <c r="AK10" s="242">
        <v>74.61</v>
      </c>
      <c r="AL10" s="242">
        <v>0</v>
      </c>
      <c r="AM10" s="242">
        <v>74.61</v>
      </c>
      <c r="AN10" s="242">
        <v>216.14</v>
      </c>
      <c r="AO10" s="242">
        <v>0</v>
      </c>
      <c r="AP10" s="242">
        <v>216.14</v>
      </c>
      <c r="AQ10" s="242">
        <v>209.05</v>
      </c>
      <c r="AR10" s="242">
        <v>0</v>
      </c>
      <c r="AS10" s="242">
        <v>209.05</v>
      </c>
      <c r="AT10" s="242">
        <v>135.28</v>
      </c>
      <c r="AU10" s="242">
        <v>0</v>
      </c>
      <c r="AV10" s="242">
        <v>135.28</v>
      </c>
      <c r="AW10" s="242">
        <v>35.32</v>
      </c>
      <c r="AX10" s="242">
        <v>0</v>
      </c>
      <c r="AY10" s="242">
        <v>35.32</v>
      </c>
      <c r="AZ10" s="242">
        <v>62.09</v>
      </c>
      <c r="BA10" s="242">
        <v>0</v>
      </c>
      <c r="BB10" s="242">
        <v>62.09</v>
      </c>
      <c r="BC10" s="241">
        <v>1625.01</v>
      </c>
    </row>
    <row r="11" s="239" customFormat="1" ht="16.5" spans="1:55">
      <c r="A11" s="241">
        <v>5</v>
      </c>
      <c r="B11" s="241" t="s">
        <v>18</v>
      </c>
      <c r="C11" s="242">
        <v>28.61</v>
      </c>
      <c r="D11" s="242">
        <v>28.61</v>
      </c>
      <c r="E11" s="242">
        <v>64.82</v>
      </c>
      <c r="F11" s="242">
        <v>64.82</v>
      </c>
      <c r="G11" s="242">
        <v>0</v>
      </c>
      <c r="H11" s="242">
        <v>0</v>
      </c>
      <c r="I11" s="242">
        <v>0</v>
      </c>
      <c r="J11" s="242">
        <v>0</v>
      </c>
      <c r="K11" s="242">
        <v>241.28</v>
      </c>
      <c r="L11" s="242">
        <v>0</v>
      </c>
      <c r="M11" s="242">
        <v>241.28</v>
      </c>
      <c r="N11" s="242">
        <v>7.87</v>
      </c>
      <c r="O11" s="242">
        <v>7.87</v>
      </c>
      <c r="P11" s="242">
        <v>7.64</v>
      </c>
      <c r="Q11" s="242">
        <v>0</v>
      </c>
      <c r="R11" s="242">
        <v>7.64</v>
      </c>
      <c r="S11" s="242">
        <v>18.46</v>
      </c>
      <c r="T11" s="242">
        <v>17.44</v>
      </c>
      <c r="U11" s="242">
        <v>35.9</v>
      </c>
      <c r="V11" s="242">
        <v>37.11</v>
      </c>
      <c r="W11" s="242">
        <v>0</v>
      </c>
      <c r="X11" s="242">
        <v>37.11</v>
      </c>
      <c r="Y11" s="242">
        <v>6.55</v>
      </c>
      <c r="Z11" s="242">
        <v>0</v>
      </c>
      <c r="AA11" s="242">
        <v>6.55</v>
      </c>
      <c r="AB11" s="242">
        <v>40.08</v>
      </c>
      <c r="AC11" s="242">
        <v>0</v>
      </c>
      <c r="AD11" s="242">
        <v>40.08</v>
      </c>
      <c r="AE11" s="242">
        <v>127.57</v>
      </c>
      <c r="AF11" s="242">
        <v>0</v>
      </c>
      <c r="AG11" s="242">
        <v>127.57</v>
      </c>
      <c r="AH11" s="242">
        <v>295.09</v>
      </c>
      <c r="AI11" s="242">
        <v>0</v>
      </c>
      <c r="AJ11" s="242">
        <v>295.09</v>
      </c>
      <c r="AK11" s="242">
        <v>74.61</v>
      </c>
      <c r="AL11" s="242">
        <v>0</v>
      </c>
      <c r="AM11" s="242">
        <v>74.61</v>
      </c>
      <c r="AN11" s="242">
        <v>216.14</v>
      </c>
      <c r="AO11" s="242">
        <v>0</v>
      </c>
      <c r="AP11" s="242">
        <v>216.14</v>
      </c>
      <c r="AQ11" s="242">
        <v>209.05</v>
      </c>
      <c r="AR11" s="242">
        <v>0</v>
      </c>
      <c r="AS11" s="242">
        <v>209.05</v>
      </c>
      <c r="AT11" s="242">
        <v>135.28</v>
      </c>
      <c r="AU11" s="242">
        <v>0</v>
      </c>
      <c r="AV11" s="242">
        <v>135.28</v>
      </c>
      <c r="AW11" s="242">
        <v>35.32</v>
      </c>
      <c r="AX11" s="242">
        <v>0</v>
      </c>
      <c r="AY11" s="242">
        <v>35.32</v>
      </c>
      <c r="AZ11" s="242">
        <v>62.09</v>
      </c>
      <c r="BA11" s="242">
        <v>0</v>
      </c>
      <c r="BB11" s="242">
        <v>62.09</v>
      </c>
      <c r="BC11" s="241">
        <v>1625.01</v>
      </c>
    </row>
    <row r="12" s="239" customFormat="1" ht="16.5" spans="1:55">
      <c r="A12" s="241">
        <v>6</v>
      </c>
      <c r="B12" s="241" t="s">
        <v>19</v>
      </c>
      <c r="C12" s="242">
        <v>28.61</v>
      </c>
      <c r="D12" s="242">
        <v>28.61</v>
      </c>
      <c r="E12" s="242">
        <v>64.82</v>
      </c>
      <c r="F12" s="242">
        <v>64.82</v>
      </c>
      <c r="G12" s="242">
        <v>0</v>
      </c>
      <c r="H12" s="242">
        <v>0</v>
      </c>
      <c r="I12" s="242">
        <v>0</v>
      </c>
      <c r="J12" s="242">
        <v>0</v>
      </c>
      <c r="K12" s="242">
        <v>241.28</v>
      </c>
      <c r="L12" s="242">
        <v>0</v>
      </c>
      <c r="M12" s="242">
        <v>241.28</v>
      </c>
      <c r="N12" s="242">
        <v>7.87</v>
      </c>
      <c r="O12" s="242">
        <v>7.87</v>
      </c>
      <c r="P12" s="242">
        <v>7.64</v>
      </c>
      <c r="Q12" s="242">
        <v>0</v>
      </c>
      <c r="R12" s="242">
        <v>7.64</v>
      </c>
      <c r="S12" s="242">
        <v>18.46</v>
      </c>
      <c r="T12" s="242">
        <v>17.44</v>
      </c>
      <c r="U12" s="242">
        <v>35.9</v>
      </c>
      <c r="V12" s="242">
        <v>37.11</v>
      </c>
      <c r="W12" s="242">
        <v>0</v>
      </c>
      <c r="X12" s="242">
        <v>37.11</v>
      </c>
      <c r="Y12" s="242">
        <v>6.55</v>
      </c>
      <c r="Z12" s="242">
        <v>0</v>
      </c>
      <c r="AA12" s="242">
        <v>6.55</v>
      </c>
      <c r="AB12" s="242">
        <v>40.08</v>
      </c>
      <c r="AC12" s="242">
        <v>0</v>
      </c>
      <c r="AD12" s="242">
        <v>40.08</v>
      </c>
      <c r="AE12" s="242">
        <v>127.57</v>
      </c>
      <c r="AF12" s="242">
        <v>0</v>
      </c>
      <c r="AG12" s="242">
        <v>127.57</v>
      </c>
      <c r="AH12" s="242">
        <v>295.09</v>
      </c>
      <c r="AI12" s="242">
        <v>0</v>
      </c>
      <c r="AJ12" s="242">
        <v>295.09</v>
      </c>
      <c r="AK12" s="242">
        <v>74.61</v>
      </c>
      <c r="AL12" s="242">
        <v>0</v>
      </c>
      <c r="AM12" s="242">
        <v>74.61</v>
      </c>
      <c r="AN12" s="242">
        <v>216.14</v>
      </c>
      <c r="AO12" s="242">
        <v>0</v>
      </c>
      <c r="AP12" s="242">
        <v>216.14</v>
      </c>
      <c r="AQ12" s="242">
        <v>209.05</v>
      </c>
      <c r="AR12" s="242">
        <v>0</v>
      </c>
      <c r="AS12" s="242">
        <v>209.05</v>
      </c>
      <c r="AT12" s="242">
        <v>135.28</v>
      </c>
      <c r="AU12" s="242">
        <v>0</v>
      </c>
      <c r="AV12" s="242">
        <v>135.28</v>
      </c>
      <c r="AW12" s="242">
        <v>35.32</v>
      </c>
      <c r="AX12" s="242">
        <v>0</v>
      </c>
      <c r="AY12" s="242">
        <v>35.32</v>
      </c>
      <c r="AZ12" s="242">
        <v>62.09</v>
      </c>
      <c r="BA12" s="242">
        <v>0</v>
      </c>
      <c r="BB12" s="242">
        <v>62.09</v>
      </c>
      <c r="BC12" s="241">
        <v>1625.01</v>
      </c>
    </row>
    <row r="13" s="239" customFormat="1" ht="16.5" spans="1:55">
      <c r="A13" s="241">
        <v>7</v>
      </c>
      <c r="B13" s="241" t="s">
        <v>20</v>
      </c>
      <c r="C13" s="242">
        <v>28.61</v>
      </c>
      <c r="D13" s="242">
        <v>28.61</v>
      </c>
      <c r="E13" s="242">
        <v>64.82</v>
      </c>
      <c r="F13" s="242">
        <v>64.82</v>
      </c>
      <c r="G13" s="242">
        <v>0</v>
      </c>
      <c r="H13" s="242">
        <v>0</v>
      </c>
      <c r="I13" s="242">
        <v>0</v>
      </c>
      <c r="J13" s="242">
        <v>0</v>
      </c>
      <c r="K13" s="242">
        <v>241.28</v>
      </c>
      <c r="L13" s="242">
        <v>0</v>
      </c>
      <c r="M13" s="242">
        <v>241.28</v>
      </c>
      <c r="N13" s="242">
        <v>7.87</v>
      </c>
      <c r="O13" s="242">
        <v>7.87</v>
      </c>
      <c r="P13" s="242">
        <v>7.64</v>
      </c>
      <c r="Q13" s="242">
        <v>0</v>
      </c>
      <c r="R13" s="242">
        <v>7.64</v>
      </c>
      <c r="S13" s="242">
        <v>18.46</v>
      </c>
      <c r="T13" s="242">
        <v>17.44</v>
      </c>
      <c r="U13" s="242">
        <v>35.9</v>
      </c>
      <c r="V13" s="242">
        <v>37.11</v>
      </c>
      <c r="W13" s="242">
        <v>0</v>
      </c>
      <c r="X13" s="242">
        <v>37.11</v>
      </c>
      <c r="Y13" s="242">
        <v>6.98</v>
      </c>
      <c r="Z13" s="242">
        <v>0</v>
      </c>
      <c r="AA13" s="242">
        <v>6.98</v>
      </c>
      <c r="AB13" s="242">
        <v>40.08</v>
      </c>
      <c r="AC13" s="242">
        <v>0</v>
      </c>
      <c r="AD13" s="242">
        <v>40.08</v>
      </c>
      <c r="AE13" s="242">
        <v>127.57</v>
      </c>
      <c r="AF13" s="242">
        <v>0</v>
      </c>
      <c r="AG13" s="242">
        <v>127.57</v>
      </c>
      <c r="AH13" s="242">
        <v>295.09</v>
      </c>
      <c r="AI13" s="242">
        <v>0</v>
      </c>
      <c r="AJ13" s="242">
        <v>295.09</v>
      </c>
      <c r="AK13" s="242">
        <v>74.61</v>
      </c>
      <c r="AL13" s="242">
        <v>0</v>
      </c>
      <c r="AM13" s="242">
        <v>74.61</v>
      </c>
      <c r="AN13" s="242">
        <v>216.14</v>
      </c>
      <c r="AO13" s="242">
        <v>0</v>
      </c>
      <c r="AP13" s="242">
        <v>216.14</v>
      </c>
      <c r="AQ13" s="242">
        <v>209.05</v>
      </c>
      <c r="AR13" s="242">
        <v>0</v>
      </c>
      <c r="AS13" s="242">
        <v>209.05</v>
      </c>
      <c r="AT13" s="242">
        <v>135.28</v>
      </c>
      <c r="AU13" s="242">
        <v>0</v>
      </c>
      <c r="AV13" s="242">
        <v>135.28</v>
      </c>
      <c r="AW13" s="242">
        <v>35.32</v>
      </c>
      <c r="AX13" s="242">
        <v>0</v>
      </c>
      <c r="AY13" s="242">
        <v>35.32</v>
      </c>
      <c r="AZ13" s="242">
        <v>62.09</v>
      </c>
      <c r="BA13" s="242">
        <v>0</v>
      </c>
      <c r="BB13" s="242">
        <v>62.09</v>
      </c>
      <c r="BC13" s="241">
        <v>1625.44</v>
      </c>
    </row>
    <row r="14" s="239" customFormat="1" ht="16.5" spans="1:55">
      <c r="A14" s="241">
        <v>8</v>
      </c>
      <c r="B14" s="241" t="s">
        <v>21</v>
      </c>
      <c r="C14" s="242">
        <v>28.61</v>
      </c>
      <c r="D14" s="242">
        <v>28.61</v>
      </c>
      <c r="E14" s="242">
        <v>64.82</v>
      </c>
      <c r="F14" s="242">
        <v>64.82</v>
      </c>
      <c r="G14" s="242">
        <v>0</v>
      </c>
      <c r="H14" s="242">
        <v>0</v>
      </c>
      <c r="I14" s="242">
        <v>0</v>
      </c>
      <c r="J14" s="242">
        <v>0</v>
      </c>
      <c r="K14" s="242">
        <v>241.28</v>
      </c>
      <c r="L14" s="242">
        <v>0</v>
      </c>
      <c r="M14" s="242">
        <v>241.28</v>
      </c>
      <c r="N14" s="242">
        <v>7.87</v>
      </c>
      <c r="O14" s="242">
        <v>7.87</v>
      </c>
      <c r="P14" s="242">
        <v>7.64</v>
      </c>
      <c r="Q14" s="242">
        <v>0</v>
      </c>
      <c r="R14" s="242">
        <v>7.64</v>
      </c>
      <c r="S14" s="242">
        <v>18.46</v>
      </c>
      <c r="T14" s="242">
        <v>17.44</v>
      </c>
      <c r="U14" s="242">
        <v>35.9</v>
      </c>
      <c r="V14" s="242">
        <v>37.11</v>
      </c>
      <c r="W14" s="242">
        <v>0</v>
      </c>
      <c r="X14" s="242">
        <v>37.11</v>
      </c>
      <c r="Y14" s="242">
        <v>6.98</v>
      </c>
      <c r="Z14" s="242">
        <v>0</v>
      </c>
      <c r="AA14" s="242">
        <v>6.98</v>
      </c>
      <c r="AB14" s="242">
        <v>40.08</v>
      </c>
      <c r="AC14" s="242">
        <v>0</v>
      </c>
      <c r="AD14" s="242">
        <v>40.08</v>
      </c>
      <c r="AE14" s="242">
        <v>127.57</v>
      </c>
      <c r="AF14" s="242">
        <v>0</v>
      </c>
      <c r="AG14" s="242">
        <v>127.57</v>
      </c>
      <c r="AH14" s="242">
        <v>295.09</v>
      </c>
      <c r="AI14" s="242">
        <v>0</v>
      </c>
      <c r="AJ14" s="242">
        <v>295.09</v>
      </c>
      <c r="AK14" s="242">
        <v>74.61</v>
      </c>
      <c r="AL14" s="242">
        <v>0</v>
      </c>
      <c r="AM14" s="242">
        <v>74.61</v>
      </c>
      <c r="AN14" s="242">
        <v>216.14</v>
      </c>
      <c r="AO14" s="242">
        <v>0</v>
      </c>
      <c r="AP14" s="242">
        <v>216.14</v>
      </c>
      <c r="AQ14" s="242">
        <v>209.05</v>
      </c>
      <c r="AR14" s="242">
        <v>0</v>
      </c>
      <c r="AS14" s="242">
        <v>209.05</v>
      </c>
      <c r="AT14" s="242">
        <v>135.28</v>
      </c>
      <c r="AU14" s="242">
        <v>0</v>
      </c>
      <c r="AV14" s="242">
        <v>135.28</v>
      </c>
      <c r="AW14" s="242">
        <v>35.32</v>
      </c>
      <c r="AX14" s="242">
        <v>0</v>
      </c>
      <c r="AY14" s="242">
        <v>35.32</v>
      </c>
      <c r="AZ14" s="242">
        <v>62.09</v>
      </c>
      <c r="BA14" s="242">
        <v>0</v>
      </c>
      <c r="BB14" s="242">
        <v>62.09</v>
      </c>
      <c r="BC14" s="241">
        <v>1625.44</v>
      </c>
    </row>
    <row r="15" s="239" customFormat="1" ht="16.5" spans="1:55">
      <c r="A15" s="241">
        <v>9</v>
      </c>
      <c r="B15" s="241" t="s">
        <v>22</v>
      </c>
      <c r="C15" s="242">
        <v>28.61</v>
      </c>
      <c r="D15" s="242">
        <v>28.61</v>
      </c>
      <c r="E15" s="242">
        <v>64.82</v>
      </c>
      <c r="F15" s="242">
        <v>64.82</v>
      </c>
      <c r="G15" s="242">
        <v>0</v>
      </c>
      <c r="H15" s="242">
        <v>0</v>
      </c>
      <c r="I15" s="242">
        <v>0</v>
      </c>
      <c r="J15" s="242">
        <v>0</v>
      </c>
      <c r="K15" s="242">
        <v>241.28</v>
      </c>
      <c r="L15" s="242">
        <v>0</v>
      </c>
      <c r="M15" s="242">
        <v>241.28</v>
      </c>
      <c r="N15" s="242">
        <v>7.87</v>
      </c>
      <c r="O15" s="242">
        <v>7.87</v>
      </c>
      <c r="P15" s="242">
        <v>7.64</v>
      </c>
      <c r="Q15" s="242">
        <v>0</v>
      </c>
      <c r="R15" s="242">
        <v>7.64</v>
      </c>
      <c r="S15" s="242">
        <v>18.46</v>
      </c>
      <c r="T15" s="242">
        <v>17.44</v>
      </c>
      <c r="U15" s="242">
        <v>35.9</v>
      </c>
      <c r="V15" s="242">
        <v>37.11</v>
      </c>
      <c r="W15" s="242">
        <v>0</v>
      </c>
      <c r="X15" s="242">
        <v>37.11</v>
      </c>
      <c r="Y15" s="242">
        <v>6.98</v>
      </c>
      <c r="Z15" s="242">
        <v>0</v>
      </c>
      <c r="AA15" s="242">
        <v>6.98</v>
      </c>
      <c r="AB15" s="242">
        <v>40.08</v>
      </c>
      <c r="AC15" s="242">
        <v>0</v>
      </c>
      <c r="AD15" s="242">
        <v>40.08</v>
      </c>
      <c r="AE15" s="242">
        <v>127.57</v>
      </c>
      <c r="AF15" s="242">
        <v>0</v>
      </c>
      <c r="AG15" s="242">
        <v>127.57</v>
      </c>
      <c r="AH15" s="242">
        <v>295.09</v>
      </c>
      <c r="AI15" s="242">
        <v>0</v>
      </c>
      <c r="AJ15" s="242">
        <v>295.09</v>
      </c>
      <c r="AK15" s="242">
        <v>74.61</v>
      </c>
      <c r="AL15" s="242">
        <v>0</v>
      </c>
      <c r="AM15" s="242">
        <v>74.61</v>
      </c>
      <c r="AN15" s="242">
        <v>216.14</v>
      </c>
      <c r="AO15" s="242">
        <v>0</v>
      </c>
      <c r="AP15" s="242">
        <v>216.14</v>
      </c>
      <c r="AQ15" s="242">
        <v>209.05</v>
      </c>
      <c r="AR15" s="242">
        <v>0</v>
      </c>
      <c r="AS15" s="242">
        <v>209.05</v>
      </c>
      <c r="AT15" s="242">
        <v>135.28</v>
      </c>
      <c r="AU15" s="242">
        <v>0</v>
      </c>
      <c r="AV15" s="242">
        <v>135.28</v>
      </c>
      <c r="AW15" s="242">
        <v>35.32</v>
      </c>
      <c r="AX15" s="242">
        <v>0</v>
      </c>
      <c r="AY15" s="242">
        <v>35.32</v>
      </c>
      <c r="AZ15" s="242">
        <v>62.09</v>
      </c>
      <c r="BA15" s="242">
        <v>0</v>
      </c>
      <c r="BB15" s="242">
        <v>62.09</v>
      </c>
      <c r="BC15" s="241">
        <v>1625.44</v>
      </c>
    </row>
    <row r="16" s="239" customFormat="1" ht="16.5" spans="1:55">
      <c r="A16" s="241">
        <v>10</v>
      </c>
      <c r="B16" s="241" t="s">
        <v>23</v>
      </c>
      <c r="C16" s="242">
        <v>28.61</v>
      </c>
      <c r="D16" s="242">
        <v>28.61</v>
      </c>
      <c r="E16" s="242">
        <v>64.82</v>
      </c>
      <c r="F16" s="242">
        <v>64.82</v>
      </c>
      <c r="G16" s="242">
        <v>0</v>
      </c>
      <c r="H16" s="242">
        <v>0</v>
      </c>
      <c r="I16" s="242">
        <v>0</v>
      </c>
      <c r="J16" s="242">
        <v>0</v>
      </c>
      <c r="K16" s="242">
        <v>241.28</v>
      </c>
      <c r="L16" s="242">
        <v>0</v>
      </c>
      <c r="M16" s="242">
        <v>241.28</v>
      </c>
      <c r="N16" s="242">
        <v>7.87</v>
      </c>
      <c r="O16" s="242">
        <v>7.87</v>
      </c>
      <c r="P16" s="242">
        <v>7.64</v>
      </c>
      <c r="Q16" s="242">
        <v>0</v>
      </c>
      <c r="R16" s="242">
        <v>7.64</v>
      </c>
      <c r="S16" s="242">
        <v>18.46</v>
      </c>
      <c r="T16" s="242">
        <v>17.44</v>
      </c>
      <c r="U16" s="242">
        <v>35.9</v>
      </c>
      <c r="V16" s="242">
        <v>37.11</v>
      </c>
      <c r="W16" s="242">
        <v>0</v>
      </c>
      <c r="X16" s="242">
        <v>37.11</v>
      </c>
      <c r="Y16" s="242">
        <v>6.98</v>
      </c>
      <c r="Z16" s="242">
        <v>0</v>
      </c>
      <c r="AA16" s="242">
        <v>6.98</v>
      </c>
      <c r="AB16" s="242">
        <v>40.08</v>
      </c>
      <c r="AC16" s="242">
        <v>0</v>
      </c>
      <c r="AD16" s="242">
        <v>40.08</v>
      </c>
      <c r="AE16" s="242">
        <v>127.57</v>
      </c>
      <c r="AF16" s="242">
        <v>0</v>
      </c>
      <c r="AG16" s="242">
        <v>127.57</v>
      </c>
      <c r="AH16" s="242">
        <v>295.09</v>
      </c>
      <c r="AI16" s="242">
        <v>0</v>
      </c>
      <c r="AJ16" s="242">
        <v>295.09</v>
      </c>
      <c r="AK16" s="242">
        <v>74.61</v>
      </c>
      <c r="AL16" s="242">
        <v>0</v>
      </c>
      <c r="AM16" s="242">
        <v>74.61</v>
      </c>
      <c r="AN16" s="242">
        <v>216.14</v>
      </c>
      <c r="AO16" s="242">
        <v>0</v>
      </c>
      <c r="AP16" s="242">
        <v>216.14</v>
      </c>
      <c r="AQ16" s="242">
        <v>209.05</v>
      </c>
      <c r="AR16" s="242">
        <v>0</v>
      </c>
      <c r="AS16" s="242">
        <v>209.05</v>
      </c>
      <c r="AT16" s="242">
        <v>135.28</v>
      </c>
      <c r="AU16" s="242">
        <v>0</v>
      </c>
      <c r="AV16" s="242">
        <v>135.28</v>
      </c>
      <c r="AW16" s="242">
        <v>35.32</v>
      </c>
      <c r="AX16" s="242">
        <v>0</v>
      </c>
      <c r="AY16" s="242">
        <v>35.32</v>
      </c>
      <c r="AZ16" s="242">
        <v>62.09</v>
      </c>
      <c r="BA16" s="242">
        <v>0</v>
      </c>
      <c r="BB16" s="242">
        <v>62.09</v>
      </c>
      <c r="BC16" s="241">
        <v>1625.44</v>
      </c>
    </row>
    <row r="17" s="239" customFormat="1" ht="16.5" spans="1:55">
      <c r="A17" s="241">
        <v>11</v>
      </c>
      <c r="B17" s="241" t="s">
        <v>24</v>
      </c>
      <c r="C17" s="242">
        <v>28.61</v>
      </c>
      <c r="D17" s="242">
        <v>28.61</v>
      </c>
      <c r="E17" s="242">
        <v>64.82</v>
      </c>
      <c r="F17" s="242">
        <v>64.82</v>
      </c>
      <c r="G17" s="242">
        <v>0</v>
      </c>
      <c r="H17" s="242">
        <v>0</v>
      </c>
      <c r="I17" s="242">
        <v>0</v>
      </c>
      <c r="J17" s="242">
        <v>0</v>
      </c>
      <c r="K17" s="242">
        <v>241.28</v>
      </c>
      <c r="L17" s="242">
        <v>0</v>
      </c>
      <c r="M17" s="242">
        <v>241.28</v>
      </c>
      <c r="N17" s="242">
        <v>7.87</v>
      </c>
      <c r="O17" s="242">
        <v>7.87</v>
      </c>
      <c r="P17" s="242">
        <v>7.64</v>
      </c>
      <c r="Q17" s="242">
        <v>0</v>
      </c>
      <c r="R17" s="242">
        <v>7.64</v>
      </c>
      <c r="S17" s="242">
        <v>18.46</v>
      </c>
      <c r="T17" s="242">
        <v>17.44</v>
      </c>
      <c r="U17" s="242">
        <v>35.9</v>
      </c>
      <c r="V17" s="242">
        <v>37.11</v>
      </c>
      <c r="W17" s="242">
        <v>0</v>
      </c>
      <c r="X17" s="242">
        <v>37.11</v>
      </c>
      <c r="Y17" s="242">
        <v>6.98</v>
      </c>
      <c r="Z17" s="242">
        <v>0</v>
      </c>
      <c r="AA17" s="242">
        <v>6.98</v>
      </c>
      <c r="AB17" s="242">
        <v>40.08</v>
      </c>
      <c r="AC17" s="242">
        <v>0</v>
      </c>
      <c r="AD17" s="242">
        <v>40.08</v>
      </c>
      <c r="AE17" s="242">
        <v>127.57</v>
      </c>
      <c r="AF17" s="242">
        <v>0</v>
      </c>
      <c r="AG17" s="242">
        <v>127.57</v>
      </c>
      <c r="AH17" s="242">
        <v>295.09</v>
      </c>
      <c r="AI17" s="242">
        <v>0</v>
      </c>
      <c r="AJ17" s="242">
        <v>295.09</v>
      </c>
      <c r="AK17" s="242">
        <v>74.61</v>
      </c>
      <c r="AL17" s="242">
        <v>0</v>
      </c>
      <c r="AM17" s="242">
        <v>74.61</v>
      </c>
      <c r="AN17" s="242">
        <v>216.14</v>
      </c>
      <c r="AO17" s="242">
        <v>0</v>
      </c>
      <c r="AP17" s="242">
        <v>216.14</v>
      </c>
      <c r="AQ17" s="242">
        <v>209.05</v>
      </c>
      <c r="AR17" s="242">
        <v>0</v>
      </c>
      <c r="AS17" s="242">
        <v>209.05</v>
      </c>
      <c r="AT17" s="242">
        <v>135.28</v>
      </c>
      <c r="AU17" s="242">
        <v>0</v>
      </c>
      <c r="AV17" s="242">
        <v>135.28</v>
      </c>
      <c r="AW17" s="242">
        <v>35.32</v>
      </c>
      <c r="AX17" s="242">
        <v>0</v>
      </c>
      <c r="AY17" s="242">
        <v>35.32</v>
      </c>
      <c r="AZ17" s="242">
        <v>62.09</v>
      </c>
      <c r="BA17" s="242">
        <v>0</v>
      </c>
      <c r="BB17" s="242">
        <v>62.09</v>
      </c>
      <c r="BC17" s="241">
        <v>1625.44</v>
      </c>
    </row>
    <row r="18" s="239" customFormat="1" ht="16.5" spans="1:55">
      <c r="A18" s="241">
        <v>12</v>
      </c>
      <c r="B18" s="241" t="s">
        <v>25</v>
      </c>
      <c r="C18" s="242">
        <v>28.61</v>
      </c>
      <c r="D18" s="242">
        <v>28.61</v>
      </c>
      <c r="E18" s="242">
        <v>64.82</v>
      </c>
      <c r="F18" s="242">
        <v>64.82</v>
      </c>
      <c r="G18" s="242">
        <v>0</v>
      </c>
      <c r="H18" s="242">
        <v>0</v>
      </c>
      <c r="I18" s="242">
        <v>0</v>
      </c>
      <c r="J18" s="242">
        <v>0</v>
      </c>
      <c r="K18" s="242">
        <v>241.28</v>
      </c>
      <c r="L18" s="242">
        <v>0</v>
      </c>
      <c r="M18" s="242">
        <v>241.28</v>
      </c>
      <c r="N18" s="242">
        <v>7.87</v>
      </c>
      <c r="O18" s="242">
        <v>7.87</v>
      </c>
      <c r="P18" s="242">
        <v>7.64</v>
      </c>
      <c r="Q18" s="242">
        <v>0</v>
      </c>
      <c r="R18" s="242">
        <v>7.64</v>
      </c>
      <c r="S18" s="242">
        <v>18.46</v>
      </c>
      <c r="T18" s="242">
        <v>17.44</v>
      </c>
      <c r="U18" s="242">
        <v>35.9</v>
      </c>
      <c r="V18" s="242">
        <v>37.11</v>
      </c>
      <c r="W18" s="242">
        <v>0</v>
      </c>
      <c r="X18" s="242">
        <v>37.11</v>
      </c>
      <c r="Y18" s="242">
        <v>6.98</v>
      </c>
      <c r="Z18" s="242">
        <v>0</v>
      </c>
      <c r="AA18" s="242">
        <v>6.98</v>
      </c>
      <c r="AB18" s="242">
        <v>40.08</v>
      </c>
      <c r="AC18" s="242">
        <v>0</v>
      </c>
      <c r="AD18" s="242">
        <v>40.08</v>
      </c>
      <c r="AE18" s="242">
        <v>127.57</v>
      </c>
      <c r="AF18" s="242">
        <v>0</v>
      </c>
      <c r="AG18" s="242">
        <v>127.57</v>
      </c>
      <c r="AH18" s="242">
        <v>295.09</v>
      </c>
      <c r="AI18" s="242">
        <v>0</v>
      </c>
      <c r="AJ18" s="242">
        <v>295.09</v>
      </c>
      <c r="AK18" s="242">
        <v>74.61</v>
      </c>
      <c r="AL18" s="242">
        <v>0</v>
      </c>
      <c r="AM18" s="242">
        <v>74.61</v>
      </c>
      <c r="AN18" s="242">
        <v>216.14</v>
      </c>
      <c r="AO18" s="242">
        <v>0</v>
      </c>
      <c r="AP18" s="242">
        <v>216.14</v>
      </c>
      <c r="AQ18" s="242">
        <v>209.05</v>
      </c>
      <c r="AR18" s="242">
        <v>0</v>
      </c>
      <c r="AS18" s="242">
        <v>209.05</v>
      </c>
      <c r="AT18" s="242">
        <v>135.28</v>
      </c>
      <c r="AU18" s="242">
        <v>0</v>
      </c>
      <c r="AV18" s="242">
        <v>135.28</v>
      </c>
      <c r="AW18" s="242">
        <v>35.32</v>
      </c>
      <c r="AX18" s="242">
        <v>0</v>
      </c>
      <c r="AY18" s="242">
        <v>35.32</v>
      </c>
      <c r="AZ18" s="242">
        <v>62.09</v>
      </c>
      <c r="BA18" s="242">
        <v>0</v>
      </c>
      <c r="BB18" s="242">
        <v>62.09</v>
      </c>
      <c r="BC18" s="241">
        <v>1625.44</v>
      </c>
    </row>
    <row r="19" s="239" customFormat="1" ht="16.5" spans="1:55">
      <c r="A19" s="241">
        <v>13</v>
      </c>
      <c r="B19" s="241" t="s">
        <v>26</v>
      </c>
      <c r="C19" s="242">
        <v>28.61</v>
      </c>
      <c r="D19" s="242">
        <v>28.61</v>
      </c>
      <c r="E19" s="242">
        <v>64.82</v>
      </c>
      <c r="F19" s="242">
        <v>64.82</v>
      </c>
      <c r="G19" s="242">
        <v>0</v>
      </c>
      <c r="H19" s="242">
        <v>0</v>
      </c>
      <c r="I19" s="242">
        <v>0</v>
      </c>
      <c r="J19" s="242">
        <v>0</v>
      </c>
      <c r="K19" s="242">
        <v>241.28</v>
      </c>
      <c r="L19" s="242">
        <v>0</v>
      </c>
      <c r="M19" s="242">
        <v>241.28</v>
      </c>
      <c r="N19" s="242">
        <v>7.87</v>
      </c>
      <c r="O19" s="242">
        <v>7.87</v>
      </c>
      <c r="P19" s="242">
        <v>7.64</v>
      </c>
      <c r="Q19" s="242">
        <v>0</v>
      </c>
      <c r="R19" s="242">
        <v>7.64</v>
      </c>
      <c r="S19" s="242">
        <v>18.46</v>
      </c>
      <c r="T19" s="242">
        <v>17.44</v>
      </c>
      <c r="U19" s="242">
        <v>35.9</v>
      </c>
      <c r="V19" s="242">
        <v>37.11</v>
      </c>
      <c r="W19" s="242">
        <v>0</v>
      </c>
      <c r="X19" s="242">
        <v>37.11</v>
      </c>
      <c r="Y19" s="242">
        <v>6.98</v>
      </c>
      <c r="Z19" s="242">
        <v>0</v>
      </c>
      <c r="AA19" s="242">
        <v>6.98</v>
      </c>
      <c r="AB19" s="242">
        <v>40.08</v>
      </c>
      <c r="AC19" s="242">
        <v>0</v>
      </c>
      <c r="AD19" s="242">
        <v>40.08</v>
      </c>
      <c r="AE19" s="242">
        <v>127.57</v>
      </c>
      <c r="AF19" s="242">
        <v>0</v>
      </c>
      <c r="AG19" s="242">
        <v>127.57</v>
      </c>
      <c r="AH19" s="242">
        <v>295.09</v>
      </c>
      <c r="AI19" s="242">
        <v>0</v>
      </c>
      <c r="AJ19" s="242">
        <v>295.09</v>
      </c>
      <c r="AK19" s="242">
        <v>74.61</v>
      </c>
      <c r="AL19" s="242">
        <v>0</v>
      </c>
      <c r="AM19" s="242">
        <v>74.61</v>
      </c>
      <c r="AN19" s="242">
        <v>216.14</v>
      </c>
      <c r="AO19" s="242">
        <v>0</v>
      </c>
      <c r="AP19" s="242">
        <v>216.14</v>
      </c>
      <c r="AQ19" s="242">
        <v>209.05</v>
      </c>
      <c r="AR19" s="242">
        <v>0</v>
      </c>
      <c r="AS19" s="242">
        <v>209.05</v>
      </c>
      <c r="AT19" s="242">
        <v>135.28</v>
      </c>
      <c r="AU19" s="242">
        <v>0</v>
      </c>
      <c r="AV19" s="242">
        <v>135.28</v>
      </c>
      <c r="AW19" s="242">
        <v>35.32</v>
      </c>
      <c r="AX19" s="242">
        <v>0</v>
      </c>
      <c r="AY19" s="242">
        <v>35.32</v>
      </c>
      <c r="AZ19" s="242">
        <v>62.09</v>
      </c>
      <c r="BA19" s="242">
        <v>0</v>
      </c>
      <c r="BB19" s="242">
        <v>62.09</v>
      </c>
      <c r="BC19" s="241">
        <v>1625.44</v>
      </c>
    </row>
    <row r="20" s="239" customFormat="1" ht="16.5" spans="1:55">
      <c r="A20" s="241">
        <v>14</v>
      </c>
      <c r="B20" s="241" t="s">
        <v>27</v>
      </c>
      <c r="C20" s="242">
        <v>28.61</v>
      </c>
      <c r="D20" s="242">
        <v>28.61</v>
      </c>
      <c r="E20" s="242">
        <v>64.82</v>
      </c>
      <c r="F20" s="242">
        <v>64.82</v>
      </c>
      <c r="G20" s="242">
        <v>0</v>
      </c>
      <c r="H20" s="242">
        <v>0</v>
      </c>
      <c r="I20" s="242">
        <v>0</v>
      </c>
      <c r="J20" s="242">
        <v>0</v>
      </c>
      <c r="K20" s="242">
        <v>241.28</v>
      </c>
      <c r="L20" s="242">
        <v>0</v>
      </c>
      <c r="M20" s="242">
        <v>241.28</v>
      </c>
      <c r="N20" s="242">
        <v>7.87</v>
      </c>
      <c r="O20" s="242">
        <v>7.87</v>
      </c>
      <c r="P20" s="242">
        <v>7.64</v>
      </c>
      <c r="Q20" s="242">
        <v>0</v>
      </c>
      <c r="R20" s="242">
        <v>7.64</v>
      </c>
      <c r="S20" s="242">
        <v>18.46</v>
      </c>
      <c r="T20" s="242">
        <v>17.44</v>
      </c>
      <c r="U20" s="242">
        <v>35.9</v>
      </c>
      <c r="V20" s="242">
        <v>37.11</v>
      </c>
      <c r="W20" s="242">
        <v>0</v>
      </c>
      <c r="X20" s="242">
        <v>37.11</v>
      </c>
      <c r="Y20" s="242">
        <v>6.98</v>
      </c>
      <c r="Z20" s="242">
        <v>0</v>
      </c>
      <c r="AA20" s="242">
        <v>6.98</v>
      </c>
      <c r="AB20" s="242">
        <v>40.08</v>
      </c>
      <c r="AC20" s="242">
        <v>0</v>
      </c>
      <c r="AD20" s="242">
        <v>40.08</v>
      </c>
      <c r="AE20" s="242">
        <v>127.57</v>
      </c>
      <c r="AF20" s="242">
        <v>0</v>
      </c>
      <c r="AG20" s="242">
        <v>127.57</v>
      </c>
      <c r="AH20" s="242">
        <v>295.09</v>
      </c>
      <c r="AI20" s="242">
        <v>0</v>
      </c>
      <c r="AJ20" s="242">
        <v>295.09</v>
      </c>
      <c r="AK20" s="242">
        <v>74.61</v>
      </c>
      <c r="AL20" s="242">
        <v>0</v>
      </c>
      <c r="AM20" s="242">
        <v>74.61</v>
      </c>
      <c r="AN20" s="242">
        <v>216.14</v>
      </c>
      <c r="AO20" s="242">
        <v>0</v>
      </c>
      <c r="AP20" s="242">
        <v>216.14</v>
      </c>
      <c r="AQ20" s="242">
        <v>209.05</v>
      </c>
      <c r="AR20" s="242">
        <v>0</v>
      </c>
      <c r="AS20" s="242">
        <v>209.05</v>
      </c>
      <c r="AT20" s="242">
        <v>135.28</v>
      </c>
      <c r="AU20" s="242">
        <v>0</v>
      </c>
      <c r="AV20" s="242">
        <v>135.28</v>
      </c>
      <c r="AW20" s="242">
        <v>35.32</v>
      </c>
      <c r="AX20" s="242">
        <v>0</v>
      </c>
      <c r="AY20" s="242">
        <v>35.32</v>
      </c>
      <c r="AZ20" s="242">
        <v>62.09</v>
      </c>
      <c r="BA20" s="242">
        <v>0</v>
      </c>
      <c r="BB20" s="242">
        <v>62.09</v>
      </c>
      <c r="BC20" s="241">
        <v>1625.44</v>
      </c>
    </row>
    <row r="21" s="239" customFormat="1" ht="16.5" spans="1:55">
      <c r="A21" s="241">
        <v>15</v>
      </c>
      <c r="B21" s="241" t="s">
        <v>28</v>
      </c>
      <c r="C21" s="242">
        <v>28.61</v>
      </c>
      <c r="D21" s="242">
        <v>28.61</v>
      </c>
      <c r="E21" s="242">
        <v>64.82</v>
      </c>
      <c r="F21" s="242">
        <v>64.82</v>
      </c>
      <c r="G21" s="242">
        <v>0</v>
      </c>
      <c r="H21" s="242">
        <v>0</v>
      </c>
      <c r="I21" s="242">
        <v>0</v>
      </c>
      <c r="J21" s="242">
        <v>0</v>
      </c>
      <c r="K21" s="242">
        <v>241.28</v>
      </c>
      <c r="L21" s="242">
        <v>0</v>
      </c>
      <c r="M21" s="242">
        <v>241.28</v>
      </c>
      <c r="N21" s="242">
        <v>7.87</v>
      </c>
      <c r="O21" s="242">
        <v>7.87</v>
      </c>
      <c r="P21" s="242">
        <v>7.64</v>
      </c>
      <c r="Q21" s="242">
        <v>0</v>
      </c>
      <c r="R21" s="242">
        <v>7.64</v>
      </c>
      <c r="S21" s="242">
        <v>18.46</v>
      </c>
      <c r="T21" s="242">
        <v>17.44</v>
      </c>
      <c r="U21" s="242">
        <v>35.9</v>
      </c>
      <c r="V21" s="242">
        <v>37.11</v>
      </c>
      <c r="W21" s="242">
        <v>0</v>
      </c>
      <c r="X21" s="242">
        <v>37.11</v>
      </c>
      <c r="Y21" s="242">
        <v>7.2</v>
      </c>
      <c r="Z21" s="242">
        <v>0</v>
      </c>
      <c r="AA21" s="242">
        <v>7.2</v>
      </c>
      <c r="AB21" s="242">
        <v>40.08</v>
      </c>
      <c r="AC21" s="242">
        <v>0</v>
      </c>
      <c r="AD21" s="242">
        <v>40.08</v>
      </c>
      <c r="AE21" s="242">
        <v>127.57</v>
      </c>
      <c r="AF21" s="242">
        <v>0</v>
      </c>
      <c r="AG21" s="242">
        <v>127.57</v>
      </c>
      <c r="AH21" s="242">
        <v>295.09</v>
      </c>
      <c r="AI21" s="242">
        <v>0</v>
      </c>
      <c r="AJ21" s="242">
        <v>295.09</v>
      </c>
      <c r="AK21" s="242">
        <v>74.61</v>
      </c>
      <c r="AL21" s="242">
        <v>0</v>
      </c>
      <c r="AM21" s="242">
        <v>74.61</v>
      </c>
      <c r="AN21" s="242">
        <v>216.14</v>
      </c>
      <c r="AO21" s="242">
        <v>0</v>
      </c>
      <c r="AP21" s="242">
        <v>216.14</v>
      </c>
      <c r="AQ21" s="242">
        <v>209.05</v>
      </c>
      <c r="AR21" s="242">
        <v>0</v>
      </c>
      <c r="AS21" s="242">
        <v>209.05</v>
      </c>
      <c r="AT21" s="242">
        <v>135.28</v>
      </c>
      <c r="AU21" s="242">
        <v>0</v>
      </c>
      <c r="AV21" s="242">
        <v>135.28</v>
      </c>
      <c r="AW21" s="242">
        <v>35.32</v>
      </c>
      <c r="AX21" s="242">
        <v>0</v>
      </c>
      <c r="AY21" s="242">
        <v>35.32</v>
      </c>
      <c r="AZ21" s="242">
        <v>62.09</v>
      </c>
      <c r="BA21" s="242">
        <v>0</v>
      </c>
      <c r="BB21" s="242">
        <v>62.09</v>
      </c>
      <c r="BC21" s="241">
        <v>1625.66</v>
      </c>
    </row>
    <row r="22" s="239" customFormat="1" ht="16.5" spans="1:55">
      <c r="A22" s="241">
        <v>16</v>
      </c>
      <c r="B22" s="241" t="s">
        <v>29</v>
      </c>
      <c r="C22" s="242">
        <v>28.61</v>
      </c>
      <c r="D22" s="242">
        <v>28.61</v>
      </c>
      <c r="E22" s="242">
        <v>64.82</v>
      </c>
      <c r="F22" s="242">
        <v>64.82</v>
      </c>
      <c r="G22" s="242">
        <v>0</v>
      </c>
      <c r="H22" s="242">
        <v>0</v>
      </c>
      <c r="I22" s="242">
        <v>0</v>
      </c>
      <c r="J22" s="242">
        <v>0</v>
      </c>
      <c r="K22" s="242">
        <v>241.28</v>
      </c>
      <c r="L22" s="242">
        <v>0</v>
      </c>
      <c r="M22" s="242">
        <v>241.28</v>
      </c>
      <c r="N22" s="242">
        <v>7.87</v>
      </c>
      <c r="O22" s="242">
        <v>7.87</v>
      </c>
      <c r="P22" s="242">
        <v>7.64</v>
      </c>
      <c r="Q22" s="242">
        <v>0</v>
      </c>
      <c r="R22" s="242">
        <v>7.64</v>
      </c>
      <c r="S22" s="242">
        <v>18.46</v>
      </c>
      <c r="T22" s="242">
        <v>17.44</v>
      </c>
      <c r="U22" s="242">
        <v>35.9</v>
      </c>
      <c r="V22" s="242">
        <v>37.11</v>
      </c>
      <c r="W22" s="242">
        <v>0</v>
      </c>
      <c r="X22" s="242">
        <v>37.11</v>
      </c>
      <c r="Y22" s="242">
        <v>7.2</v>
      </c>
      <c r="Z22" s="242">
        <v>0</v>
      </c>
      <c r="AA22" s="242">
        <v>7.2</v>
      </c>
      <c r="AB22" s="242">
        <v>40.08</v>
      </c>
      <c r="AC22" s="242">
        <v>0</v>
      </c>
      <c r="AD22" s="242">
        <v>40.08</v>
      </c>
      <c r="AE22" s="242">
        <v>127.57</v>
      </c>
      <c r="AF22" s="242">
        <v>0</v>
      </c>
      <c r="AG22" s="242">
        <v>127.57</v>
      </c>
      <c r="AH22" s="242">
        <v>295.09</v>
      </c>
      <c r="AI22" s="242">
        <v>0</v>
      </c>
      <c r="AJ22" s="242">
        <v>295.09</v>
      </c>
      <c r="AK22" s="242">
        <v>74.61</v>
      </c>
      <c r="AL22" s="242">
        <v>0</v>
      </c>
      <c r="AM22" s="242">
        <v>74.61</v>
      </c>
      <c r="AN22" s="242">
        <v>216.14</v>
      </c>
      <c r="AO22" s="242">
        <v>0</v>
      </c>
      <c r="AP22" s="242">
        <v>216.14</v>
      </c>
      <c r="AQ22" s="242">
        <v>209.05</v>
      </c>
      <c r="AR22" s="242">
        <v>0</v>
      </c>
      <c r="AS22" s="242">
        <v>209.05</v>
      </c>
      <c r="AT22" s="242">
        <v>135.28</v>
      </c>
      <c r="AU22" s="242">
        <v>0</v>
      </c>
      <c r="AV22" s="242">
        <v>135.28</v>
      </c>
      <c r="AW22" s="242">
        <v>35.32</v>
      </c>
      <c r="AX22" s="242">
        <v>0</v>
      </c>
      <c r="AY22" s="242">
        <v>35.32</v>
      </c>
      <c r="AZ22" s="242">
        <v>62.09</v>
      </c>
      <c r="BA22" s="242">
        <v>0</v>
      </c>
      <c r="BB22" s="242">
        <v>62.09</v>
      </c>
      <c r="BC22" s="241">
        <v>1625.66</v>
      </c>
    </row>
    <row r="23" s="239" customFormat="1" ht="16.5" spans="1:55">
      <c r="A23" s="241">
        <v>17</v>
      </c>
      <c r="B23" s="241" t="s">
        <v>30</v>
      </c>
      <c r="C23" s="242">
        <v>28.61</v>
      </c>
      <c r="D23" s="242">
        <v>28.61</v>
      </c>
      <c r="E23" s="242">
        <v>64.82</v>
      </c>
      <c r="F23" s="242">
        <v>64.82</v>
      </c>
      <c r="G23" s="242">
        <v>0</v>
      </c>
      <c r="H23" s="242">
        <v>0</v>
      </c>
      <c r="I23" s="242">
        <v>0</v>
      </c>
      <c r="J23" s="242">
        <v>0</v>
      </c>
      <c r="K23" s="242">
        <v>241.28</v>
      </c>
      <c r="L23" s="242">
        <v>0</v>
      </c>
      <c r="M23" s="242">
        <v>241.28</v>
      </c>
      <c r="N23" s="242">
        <v>7.87</v>
      </c>
      <c r="O23" s="242">
        <v>7.87</v>
      </c>
      <c r="P23" s="242">
        <v>7.64</v>
      </c>
      <c r="Q23" s="242">
        <v>0</v>
      </c>
      <c r="R23" s="242">
        <v>7.64</v>
      </c>
      <c r="S23" s="242">
        <v>18.46</v>
      </c>
      <c r="T23" s="242">
        <v>17.44</v>
      </c>
      <c r="U23" s="242">
        <v>35.9</v>
      </c>
      <c r="V23" s="242">
        <v>37.11</v>
      </c>
      <c r="W23" s="242">
        <v>0</v>
      </c>
      <c r="X23" s="242">
        <v>37.11</v>
      </c>
      <c r="Y23" s="242">
        <v>7.2</v>
      </c>
      <c r="Z23" s="242">
        <v>0</v>
      </c>
      <c r="AA23" s="242">
        <v>7.2</v>
      </c>
      <c r="AB23" s="242">
        <v>40.08</v>
      </c>
      <c r="AC23" s="242">
        <v>0</v>
      </c>
      <c r="AD23" s="242">
        <v>40.08</v>
      </c>
      <c r="AE23" s="242">
        <v>127.57</v>
      </c>
      <c r="AF23" s="242">
        <v>0</v>
      </c>
      <c r="AG23" s="242">
        <v>127.57</v>
      </c>
      <c r="AH23" s="242">
        <v>295.09</v>
      </c>
      <c r="AI23" s="242">
        <v>0</v>
      </c>
      <c r="AJ23" s="242">
        <v>295.09</v>
      </c>
      <c r="AK23" s="242">
        <v>74.61</v>
      </c>
      <c r="AL23" s="242">
        <v>0</v>
      </c>
      <c r="AM23" s="242">
        <v>74.61</v>
      </c>
      <c r="AN23" s="242">
        <v>216.14</v>
      </c>
      <c r="AO23" s="242">
        <v>0</v>
      </c>
      <c r="AP23" s="242">
        <v>216.14</v>
      </c>
      <c r="AQ23" s="242">
        <v>209.05</v>
      </c>
      <c r="AR23" s="242">
        <v>0</v>
      </c>
      <c r="AS23" s="242">
        <v>209.05</v>
      </c>
      <c r="AT23" s="242">
        <v>135.28</v>
      </c>
      <c r="AU23" s="242">
        <v>0</v>
      </c>
      <c r="AV23" s="242">
        <v>135.28</v>
      </c>
      <c r="AW23" s="242">
        <v>35.32</v>
      </c>
      <c r="AX23" s="242">
        <v>0</v>
      </c>
      <c r="AY23" s="242">
        <v>35.32</v>
      </c>
      <c r="AZ23" s="242">
        <v>62.09</v>
      </c>
      <c r="BA23" s="242">
        <v>0</v>
      </c>
      <c r="BB23" s="242">
        <v>62.09</v>
      </c>
      <c r="BC23" s="241">
        <v>1625.66</v>
      </c>
    </row>
    <row r="24" s="239" customFormat="1" ht="16.5" spans="1:55">
      <c r="A24" s="241">
        <v>18</v>
      </c>
      <c r="B24" s="241" t="s">
        <v>31</v>
      </c>
      <c r="C24" s="242">
        <v>28.61</v>
      </c>
      <c r="D24" s="242">
        <v>28.61</v>
      </c>
      <c r="E24" s="242">
        <v>64.82</v>
      </c>
      <c r="F24" s="242">
        <v>64.82</v>
      </c>
      <c r="G24" s="242">
        <v>0</v>
      </c>
      <c r="H24" s="242">
        <v>0</v>
      </c>
      <c r="I24" s="242">
        <v>0</v>
      </c>
      <c r="J24" s="242">
        <v>0</v>
      </c>
      <c r="K24" s="242">
        <v>241.28</v>
      </c>
      <c r="L24" s="242">
        <v>0</v>
      </c>
      <c r="M24" s="242">
        <v>241.28</v>
      </c>
      <c r="N24" s="242">
        <v>7.87</v>
      </c>
      <c r="O24" s="242">
        <v>7.87</v>
      </c>
      <c r="P24" s="242">
        <v>7.64</v>
      </c>
      <c r="Q24" s="242">
        <v>0</v>
      </c>
      <c r="R24" s="242">
        <v>7.64</v>
      </c>
      <c r="S24" s="242">
        <v>18.46</v>
      </c>
      <c r="T24" s="242">
        <v>17.44</v>
      </c>
      <c r="U24" s="242">
        <v>35.9</v>
      </c>
      <c r="V24" s="242">
        <v>37.11</v>
      </c>
      <c r="W24" s="242">
        <v>0</v>
      </c>
      <c r="X24" s="242">
        <v>37.11</v>
      </c>
      <c r="Y24" s="242">
        <v>7.2</v>
      </c>
      <c r="Z24" s="242">
        <v>0</v>
      </c>
      <c r="AA24" s="242">
        <v>7.2</v>
      </c>
      <c r="AB24" s="242">
        <v>40.08</v>
      </c>
      <c r="AC24" s="242">
        <v>0</v>
      </c>
      <c r="AD24" s="242">
        <v>40.08</v>
      </c>
      <c r="AE24" s="242">
        <v>127.57</v>
      </c>
      <c r="AF24" s="242">
        <v>0</v>
      </c>
      <c r="AG24" s="242">
        <v>127.57</v>
      </c>
      <c r="AH24" s="242">
        <v>295.09</v>
      </c>
      <c r="AI24" s="242">
        <v>0</v>
      </c>
      <c r="AJ24" s="242">
        <v>295.09</v>
      </c>
      <c r="AK24" s="242">
        <v>74.61</v>
      </c>
      <c r="AL24" s="242">
        <v>0</v>
      </c>
      <c r="AM24" s="242">
        <v>74.61</v>
      </c>
      <c r="AN24" s="242">
        <v>216.14</v>
      </c>
      <c r="AO24" s="242">
        <v>0</v>
      </c>
      <c r="AP24" s="242">
        <v>216.14</v>
      </c>
      <c r="AQ24" s="242">
        <v>209.05</v>
      </c>
      <c r="AR24" s="242">
        <v>0</v>
      </c>
      <c r="AS24" s="242">
        <v>209.05</v>
      </c>
      <c r="AT24" s="242">
        <v>135.28</v>
      </c>
      <c r="AU24" s="242">
        <v>0</v>
      </c>
      <c r="AV24" s="242">
        <v>135.28</v>
      </c>
      <c r="AW24" s="242">
        <v>35.32</v>
      </c>
      <c r="AX24" s="242">
        <v>0</v>
      </c>
      <c r="AY24" s="242">
        <v>35.32</v>
      </c>
      <c r="AZ24" s="242">
        <v>62.09</v>
      </c>
      <c r="BA24" s="242">
        <v>0</v>
      </c>
      <c r="BB24" s="242">
        <v>62.09</v>
      </c>
      <c r="BC24" s="241">
        <v>1625.66</v>
      </c>
    </row>
    <row r="25" s="239" customFormat="1" ht="16.5" spans="1:55">
      <c r="A25" s="241">
        <v>19</v>
      </c>
      <c r="B25" s="241" t="s">
        <v>32</v>
      </c>
      <c r="C25" s="242">
        <v>28.61</v>
      </c>
      <c r="D25" s="242">
        <v>28.61</v>
      </c>
      <c r="E25" s="242">
        <v>64.82</v>
      </c>
      <c r="F25" s="242">
        <v>64.82</v>
      </c>
      <c r="G25" s="242">
        <v>0</v>
      </c>
      <c r="H25" s="242">
        <v>0</v>
      </c>
      <c r="I25" s="242">
        <v>0</v>
      </c>
      <c r="J25" s="242">
        <v>0</v>
      </c>
      <c r="K25" s="242">
        <v>241.28</v>
      </c>
      <c r="L25" s="242">
        <v>0</v>
      </c>
      <c r="M25" s="242">
        <v>241.28</v>
      </c>
      <c r="N25" s="242">
        <v>7.87</v>
      </c>
      <c r="O25" s="242">
        <v>7.87</v>
      </c>
      <c r="P25" s="242">
        <v>7.64</v>
      </c>
      <c r="Q25" s="242">
        <v>0</v>
      </c>
      <c r="R25" s="242">
        <v>7.64</v>
      </c>
      <c r="S25" s="242">
        <v>18.46</v>
      </c>
      <c r="T25" s="242">
        <v>17.44</v>
      </c>
      <c r="U25" s="242">
        <v>35.9</v>
      </c>
      <c r="V25" s="242">
        <v>37.11</v>
      </c>
      <c r="W25" s="242">
        <v>0</v>
      </c>
      <c r="X25" s="242">
        <v>37.11</v>
      </c>
      <c r="Y25" s="242">
        <v>7.2</v>
      </c>
      <c r="Z25" s="242">
        <v>0</v>
      </c>
      <c r="AA25" s="242">
        <v>7.2</v>
      </c>
      <c r="AB25" s="242">
        <v>40.08</v>
      </c>
      <c r="AC25" s="242">
        <v>0</v>
      </c>
      <c r="AD25" s="242">
        <v>40.08</v>
      </c>
      <c r="AE25" s="242">
        <v>127.57</v>
      </c>
      <c r="AF25" s="242">
        <v>0</v>
      </c>
      <c r="AG25" s="242">
        <v>127.57</v>
      </c>
      <c r="AH25" s="242">
        <v>295.09</v>
      </c>
      <c r="AI25" s="242">
        <v>0</v>
      </c>
      <c r="AJ25" s="242">
        <v>295.09</v>
      </c>
      <c r="AK25" s="242">
        <v>74.61</v>
      </c>
      <c r="AL25" s="242">
        <v>0</v>
      </c>
      <c r="AM25" s="242">
        <v>74.61</v>
      </c>
      <c r="AN25" s="242">
        <v>216.14</v>
      </c>
      <c r="AO25" s="242">
        <v>0</v>
      </c>
      <c r="AP25" s="242">
        <v>216.14</v>
      </c>
      <c r="AQ25" s="242">
        <v>209.05</v>
      </c>
      <c r="AR25" s="242">
        <v>0</v>
      </c>
      <c r="AS25" s="242">
        <v>209.05</v>
      </c>
      <c r="AT25" s="242">
        <v>135.28</v>
      </c>
      <c r="AU25" s="242">
        <v>0</v>
      </c>
      <c r="AV25" s="242">
        <v>135.28</v>
      </c>
      <c r="AW25" s="242">
        <v>35.32</v>
      </c>
      <c r="AX25" s="242">
        <v>0</v>
      </c>
      <c r="AY25" s="242">
        <v>35.32</v>
      </c>
      <c r="AZ25" s="242">
        <v>62.09</v>
      </c>
      <c r="BA25" s="242">
        <v>0</v>
      </c>
      <c r="BB25" s="242">
        <v>62.09</v>
      </c>
      <c r="BC25" s="241">
        <v>1625.66</v>
      </c>
    </row>
    <row r="26" s="239" customFormat="1" ht="16.5" spans="1:55">
      <c r="A26" s="241">
        <v>20</v>
      </c>
      <c r="B26" s="241" t="s">
        <v>33</v>
      </c>
      <c r="C26" s="242">
        <v>28.61</v>
      </c>
      <c r="D26" s="242">
        <v>28.61</v>
      </c>
      <c r="E26" s="242">
        <v>64.82</v>
      </c>
      <c r="F26" s="242">
        <v>64.82</v>
      </c>
      <c r="G26" s="242">
        <v>0</v>
      </c>
      <c r="H26" s="242">
        <v>0</v>
      </c>
      <c r="I26" s="242">
        <v>0</v>
      </c>
      <c r="J26" s="242">
        <v>0</v>
      </c>
      <c r="K26" s="242">
        <v>241.28</v>
      </c>
      <c r="L26" s="242">
        <v>0</v>
      </c>
      <c r="M26" s="242">
        <v>241.28</v>
      </c>
      <c r="N26" s="242">
        <v>7.87</v>
      </c>
      <c r="O26" s="242">
        <v>7.87</v>
      </c>
      <c r="P26" s="242">
        <v>7.64</v>
      </c>
      <c r="Q26" s="242">
        <v>0</v>
      </c>
      <c r="R26" s="242">
        <v>7.64</v>
      </c>
      <c r="S26" s="242">
        <v>18.46</v>
      </c>
      <c r="T26" s="242">
        <v>17.44</v>
      </c>
      <c r="U26" s="242">
        <v>35.9</v>
      </c>
      <c r="V26" s="242">
        <v>37.11</v>
      </c>
      <c r="W26" s="242">
        <v>0</v>
      </c>
      <c r="X26" s="242">
        <v>37.11</v>
      </c>
      <c r="Y26" s="242">
        <v>7.2</v>
      </c>
      <c r="Z26" s="242">
        <v>0</v>
      </c>
      <c r="AA26" s="242">
        <v>7.2</v>
      </c>
      <c r="AB26" s="242">
        <v>40.08</v>
      </c>
      <c r="AC26" s="242">
        <v>0</v>
      </c>
      <c r="AD26" s="242">
        <v>40.08</v>
      </c>
      <c r="AE26" s="242">
        <v>127.57</v>
      </c>
      <c r="AF26" s="242">
        <v>0</v>
      </c>
      <c r="AG26" s="242">
        <v>127.57</v>
      </c>
      <c r="AH26" s="242">
        <v>295.09</v>
      </c>
      <c r="AI26" s="242">
        <v>0</v>
      </c>
      <c r="AJ26" s="242">
        <v>295.09</v>
      </c>
      <c r="AK26" s="242">
        <v>74.61</v>
      </c>
      <c r="AL26" s="242">
        <v>0</v>
      </c>
      <c r="AM26" s="242">
        <v>74.61</v>
      </c>
      <c r="AN26" s="242">
        <v>216.14</v>
      </c>
      <c r="AO26" s="242">
        <v>0</v>
      </c>
      <c r="AP26" s="242">
        <v>216.14</v>
      </c>
      <c r="AQ26" s="242">
        <v>209.05</v>
      </c>
      <c r="AR26" s="242">
        <v>0</v>
      </c>
      <c r="AS26" s="242">
        <v>209.05</v>
      </c>
      <c r="AT26" s="242">
        <v>135.28</v>
      </c>
      <c r="AU26" s="242">
        <v>0</v>
      </c>
      <c r="AV26" s="242">
        <v>135.28</v>
      </c>
      <c r="AW26" s="242">
        <v>35.32</v>
      </c>
      <c r="AX26" s="242">
        <v>0</v>
      </c>
      <c r="AY26" s="242">
        <v>35.32</v>
      </c>
      <c r="AZ26" s="242">
        <v>62.09</v>
      </c>
      <c r="BA26" s="242">
        <v>0</v>
      </c>
      <c r="BB26" s="242">
        <v>62.09</v>
      </c>
      <c r="BC26" s="241">
        <v>1625.66</v>
      </c>
    </row>
    <row r="27" s="239" customFormat="1" ht="16.5" spans="1:55">
      <c r="A27" s="241">
        <v>21</v>
      </c>
      <c r="B27" s="241" t="s">
        <v>34</v>
      </c>
      <c r="C27" s="242">
        <v>28.61</v>
      </c>
      <c r="D27" s="242">
        <v>28.61</v>
      </c>
      <c r="E27" s="242">
        <v>64.82</v>
      </c>
      <c r="F27" s="242">
        <v>64.82</v>
      </c>
      <c r="G27" s="242">
        <v>0</v>
      </c>
      <c r="H27" s="242">
        <v>0</v>
      </c>
      <c r="I27" s="242">
        <v>0</v>
      </c>
      <c r="J27" s="242">
        <v>0</v>
      </c>
      <c r="K27" s="242">
        <v>241.28</v>
      </c>
      <c r="L27" s="242">
        <v>0</v>
      </c>
      <c r="M27" s="242">
        <v>241.28</v>
      </c>
      <c r="N27" s="242">
        <v>7.87</v>
      </c>
      <c r="O27" s="242">
        <v>7.87</v>
      </c>
      <c r="P27" s="242">
        <v>7.64</v>
      </c>
      <c r="Q27" s="242">
        <v>0</v>
      </c>
      <c r="R27" s="242">
        <v>7.64</v>
      </c>
      <c r="S27" s="242">
        <v>18.46</v>
      </c>
      <c r="T27" s="242">
        <v>17.44</v>
      </c>
      <c r="U27" s="242">
        <v>35.9</v>
      </c>
      <c r="V27" s="242">
        <v>37.11</v>
      </c>
      <c r="W27" s="242">
        <v>0</v>
      </c>
      <c r="X27" s="242">
        <v>37.11</v>
      </c>
      <c r="Y27" s="242">
        <v>7.2</v>
      </c>
      <c r="Z27" s="242">
        <v>0</v>
      </c>
      <c r="AA27" s="242">
        <v>7.2</v>
      </c>
      <c r="AB27" s="242">
        <v>40.08</v>
      </c>
      <c r="AC27" s="242">
        <v>0</v>
      </c>
      <c r="AD27" s="242">
        <v>40.08</v>
      </c>
      <c r="AE27" s="242">
        <v>127.57</v>
      </c>
      <c r="AF27" s="242">
        <v>0</v>
      </c>
      <c r="AG27" s="242">
        <v>127.57</v>
      </c>
      <c r="AH27" s="242">
        <v>295.09</v>
      </c>
      <c r="AI27" s="242">
        <v>0</v>
      </c>
      <c r="AJ27" s="242">
        <v>295.09</v>
      </c>
      <c r="AK27" s="242">
        <v>74.61</v>
      </c>
      <c r="AL27" s="242">
        <v>0</v>
      </c>
      <c r="AM27" s="242">
        <v>74.61</v>
      </c>
      <c r="AN27" s="242">
        <v>216.14</v>
      </c>
      <c r="AO27" s="242">
        <v>0</v>
      </c>
      <c r="AP27" s="242">
        <v>216.14</v>
      </c>
      <c r="AQ27" s="242">
        <v>209.05</v>
      </c>
      <c r="AR27" s="242">
        <v>0</v>
      </c>
      <c r="AS27" s="242">
        <v>209.05</v>
      </c>
      <c r="AT27" s="242">
        <v>135.28</v>
      </c>
      <c r="AU27" s="242">
        <v>0</v>
      </c>
      <c r="AV27" s="242">
        <v>135.28</v>
      </c>
      <c r="AW27" s="242">
        <v>35.32</v>
      </c>
      <c r="AX27" s="242">
        <v>0</v>
      </c>
      <c r="AY27" s="242">
        <v>35.32</v>
      </c>
      <c r="AZ27" s="242">
        <v>62.09</v>
      </c>
      <c r="BA27" s="242">
        <v>0</v>
      </c>
      <c r="BB27" s="242">
        <v>62.09</v>
      </c>
      <c r="BC27" s="241">
        <v>1625.66</v>
      </c>
    </row>
    <row r="28" s="239" customFormat="1" ht="16.5" spans="1:55">
      <c r="A28" s="241">
        <v>22</v>
      </c>
      <c r="B28" s="241" t="s">
        <v>35</v>
      </c>
      <c r="C28" s="242">
        <v>28.61</v>
      </c>
      <c r="D28" s="242">
        <v>28.61</v>
      </c>
      <c r="E28" s="242">
        <v>64.82</v>
      </c>
      <c r="F28" s="242">
        <v>64.82</v>
      </c>
      <c r="G28" s="242">
        <v>0</v>
      </c>
      <c r="H28" s="242">
        <v>0</v>
      </c>
      <c r="I28" s="242">
        <v>0</v>
      </c>
      <c r="J28" s="242">
        <v>0</v>
      </c>
      <c r="K28" s="242">
        <v>241.28</v>
      </c>
      <c r="L28" s="242">
        <v>0</v>
      </c>
      <c r="M28" s="242">
        <v>241.28</v>
      </c>
      <c r="N28" s="242">
        <v>7.87</v>
      </c>
      <c r="O28" s="242">
        <v>7.87</v>
      </c>
      <c r="P28" s="242">
        <v>7.64</v>
      </c>
      <c r="Q28" s="242">
        <v>0</v>
      </c>
      <c r="R28" s="242">
        <v>7.64</v>
      </c>
      <c r="S28" s="242">
        <v>18.46</v>
      </c>
      <c r="T28" s="242">
        <v>17.44</v>
      </c>
      <c r="U28" s="242">
        <v>35.9</v>
      </c>
      <c r="V28" s="242">
        <v>37.11</v>
      </c>
      <c r="W28" s="242">
        <v>0</v>
      </c>
      <c r="X28" s="242">
        <v>37.11</v>
      </c>
      <c r="Y28" s="242">
        <v>7.2</v>
      </c>
      <c r="Z28" s="242">
        <v>0</v>
      </c>
      <c r="AA28" s="242">
        <v>7.2</v>
      </c>
      <c r="AB28" s="242">
        <v>40.08</v>
      </c>
      <c r="AC28" s="242">
        <v>0</v>
      </c>
      <c r="AD28" s="242">
        <v>40.08</v>
      </c>
      <c r="AE28" s="242">
        <v>127.57</v>
      </c>
      <c r="AF28" s="242">
        <v>0</v>
      </c>
      <c r="AG28" s="242">
        <v>127.57</v>
      </c>
      <c r="AH28" s="242">
        <v>295.09</v>
      </c>
      <c r="AI28" s="242">
        <v>0</v>
      </c>
      <c r="AJ28" s="242">
        <v>295.09</v>
      </c>
      <c r="AK28" s="242">
        <v>74.61</v>
      </c>
      <c r="AL28" s="242">
        <v>0</v>
      </c>
      <c r="AM28" s="242">
        <v>74.61</v>
      </c>
      <c r="AN28" s="242">
        <v>216.14</v>
      </c>
      <c r="AO28" s="242">
        <v>0</v>
      </c>
      <c r="AP28" s="242">
        <v>216.14</v>
      </c>
      <c r="AQ28" s="242">
        <v>209.05</v>
      </c>
      <c r="AR28" s="242">
        <v>0</v>
      </c>
      <c r="AS28" s="242">
        <v>209.05</v>
      </c>
      <c r="AT28" s="242">
        <v>135.28</v>
      </c>
      <c r="AU28" s="242">
        <v>0</v>
      </c>
      <c r="AV28" s="242">
        <v>135.28</v>
      </c>
      <c r="AW28" s="242">
        <v>35.32</v>
      </c>
      <c r="AX28" s="242">
        <v>0</v>
      </c>
      <c r="AY28" s="242">
        <v>35.32</v>
      </c>
      <c r="AZ28" s="242">
        <v>62.09</v>
      </c>
      <c r="BA28" s="242">
        <v>0</v>
      </c>
      <c r="BB28" s="242">
        <v>62.09</v>
      </c>
      <c r="BC28" s="241">
        <v>1625.66</v>
      </c>
    </row>
    <row r="29" s="239" customFormat="1" ht="16.5" spans="1:55">
      <c r="A29" s="241">
        <v>23</v>
      </c>
      <c r="B29" s="241" t="s">
        <v>36</v>
      </c>
      <c r="C29" s="242">
        <v>28.61</v>
      </c>
      <c r="D29" s="242">
        <v>28.61</v>
      </c>
      <c r="E29" s="242">
        <v>64.82</v>
      </c>
      <c r="F29" s="242">
        <v>64.82</v>
      </c>
      <c r="G29" s="242">
        <v>0</v>
      </c>
      <c r="H29" s="242">
        <v>0</v>
      </c>
      <c r="I29" s="242">
        <v>0</v>
      </c>
      <c r="J29" s="242">
        <v>0</v>
      </c>
      <c r="K29" s="242">
        <v>241.28</v>
      </c>
      <c r="L29" s="242">
        <v>0</v>
      </c>
      <c r="M29" s="242">
        <v>241.28</v>
      </c>
      <c r="N29" s="242">
        <v>7.87</v>
      </c>
      <c r="O29" s="242">
        <v>7.87</v>
      </c>
      <c r="P29" s="242">
        <v>7.64</v>
      </c>
      <c r="Q29" s="242">
        <v>0</v>
      </c>
      <c r="R29" s="242">
        <v>7.64</v>
      </c>
      <c r="S29" s="242">
        <v>18.46</v>
      </c>
      <c r="T29" s="242">
        <v>17.44</v>
      </c>
      <c r="U29" s="242">
        <v>35.9</v>
      </c>
      <c r="V29" s="242">
        <v>37.11</v>
      </c>
      <c r="W29" s="242">
        <v>0</v>
      </c>
      <c r="X29" s="242">
        <v>37.11</v>
      </c>
      <c r="Y29" s="242">
        <v>7.2</v>
      </c>
      <c r="Z29" s="242">
        <v>0</v>
      </c>
      <c r="AA29" s="242">
        <v>7.2</v>
      </c>
      <c r="AB29" s="242">
        <v>40.08</v>
      </c>
      <c r="AC29" s="242">
        <v>0</v>
      </c>
      <c r="AD29" s="242">
        <v>40.08</v>
      </c>
      <c r="AE29" s="242">
        <v>127.57</v>
      </c>
      <c r="AF29" s="242">
        <v>0</v>
      </c>
      <c r="AG29" s="242">
        <v>127.57</v>
      </c>
      <c r="AH29" s="242">
        <v>295.09</v>
      </c>
      <c r="AI29" s="242">
        <v>0</v>
      </c>
      <c r="AJ29" s="242">
        <v>295.09</v>
      </c>
      <c r="AK29" s="242">
        <v>74.61</v>
      </c>
      <c r="AL29" s="242">
        <v>0</v>
      </c>
      <c r="AM29" s="242">
        <v>74.61</v>
      </c>
      <c r="AN29" s="242">
        <v>216.14</v>
      </c>
      <c r="AO29" s="242">
        <v>0</v>
      </c>
      <c r="AP29" s="242">
        <v>216.14</v>
      </c>
      <c r="AQ29" s="242">
        <v>209.05</v>
      </c>
      <c r="AR29" s="242">
        <v>0</v>
      </c>
      <c r="AS29" s="242">
        <v>209.05</v>
      </c>
      <c r="AT29" s="242">
        <v>135.28</v>
      </c>
      <c r="AU29" s="242">
        <v>0</v>
      </c>
      <c r="AV29" s="242">
        <v>135.28</v>
      </c>
      <c r="AW29" s="242">
        <v>35.32</v>
      </c>
      <c r="AX29" s="242">
        <v>0</v>
      </c>
      <c r="AY29" s="242">
        <v>35.32</v>
      </c>
      <c r="AZ29" s="242">
        <v>62.09</v>
      </c>
      <c r="BA29" s="242">
        <v>0</v>
      </c>
      <c r="BB29" s="242">
        <v>62.09</v>
      </c>
      <c r="BC29" s="241">
        <v>1625.66</v>
      </c>
    </row>
    <row r="30" s="239" customFormat="1" ht="16.5" spans="1:55">
      <c r="A30" s="241">
        <v>24</v>
      </c>
      <c r="B30" s="241" t="s">
        <v>37</v>
      </c>
      <c r="C30" s="242">
        <v>28.61</v>
      </c>
      <c r="D30" s="242">
        <v>28.61</v>
      </c>
      <c r="E30" s="242">
        <v>64.82</v>
      </c>
      <c r="F30" s="242">
        <v>64.82</v>
      </c>
      <c r="G30" s="242">
        <v>0</v>
      </c>
      <c r="H30" s="242">
        <v>0</v>
      </c>
      <c r="I30" s="242">
        <v>0</v>
      </c>
      <c r="J30" s="242">
        <v>0</v>
      </c>
      <c r="K30" s="242">
        <v>241.28</v>
      </c>
      <c r="L30" s="242">
        <v>0</v>
      </c>
      <c r="M30" s="242">
        <v>241.28</v>
      </c>
      <c r="N30" s="242">
        <v>7.87</v>
      </c>
      <c r="O30" s="242">
        <v>7.87</v>
      </c>
      <c r="P30" s="242">
        <v>7.64</v>
      </c>
      <c r="Q30" s="242">
        <v>0</v>
      </c>
      <c r="R30" s="242">
        <v>7.64</v>
      </c>
      <c r="S30" s="242">
        <v>19.38</v>
      </c>
      <c r="T30" s="242">
        <v>17.44</v>
      </c>
      <c r="U30" s="242">
        <v>36.82</v>
      </c>
      <c r="V30" s="242">
        <v>38.43</v>
      </c>
      <c r="W30" s="242">
        <v>0</v>
      </c>
      <c r="X30" s="242">
        <v>38.43</v>
      </c>
      <c r="Y30" s="242">
        <v>7.2</v>
      </c>
      <c r="Z30" s="242">
        <v>0</v>
      </c>
      <c r="AA30" s="242">
        <v>7.2</v>
      </c>
      <c r="AB30" s="242">
        <v>40.08</v>
      </c>
      <c r="AC30" s="242">
        <v>0</v>
      </c>
      <c r="AD30" s="242">
        <v>40.08</v>
      </c>
      <c r="AE30" s="242">
        <v>127.57</v>
      </c>
      <c r="AF30" s="242">
        <v>0</v>
      </c>
      <c r="AG30" s="242">
        <v>127.57</v>
      </c>
      <c r="AH30" s="242">
        <v>295.09</v>
      </c>
      <c r="AI30" s="242">
        <v>0</v>
      </c>
      <c r="AJ30" s="242">
        <v>295.09</v>
      </c>
      <c r="AK30" s="242">
        <v>74.61</v>
      </c>
      <c r="AL30" s="242">
        <v>0</v>
      </c>
      <c r="AM30" s="242">
        <v>74.61</v>
      </c>
      <c r="AN30" s="242">
        <v>216.14</v>
      </c>
      <c r="AO30" s="242">
        <v>0</v>
      </c>
      <c r="AP30" s="242">
        <v>216.14</v>
      </c>
      <c r="AQ30" s="242">
        <v>209.05</v>
      </c>
      <c r="AR30" s="242">
        <v>0</v>
      </c>
      <c r="AS30" s="242">
        <v>209.05</v>
      </c>
      <c r="AT30" s="242">
        <v>135.28</v>
      </c>
      <c r="AU30" s="242">
        <v>0</v>
      </c>
      <c r="AV30" s="242">
        <v>135.28</v>
      </c>
      <c r="AW30" s="242">
        <v>35.32</v>
      </c>
      <c r="AX30" s="242">
        <v>0</v>
      </c>
      <c r="AY30" s="242">
        <v>35.32</v>
      </c>
      <c r="AZ30" s="242">
        <v>62.09</v>
      </c>
      <c r="BA30" s="242">
        <v>0</v>
      </c>
      <c r="BB30" s="242">
        <v>62.09</v>
      </c>
      <c r="BC30" s="241">
        <v>1627.9</v>
      </c>
    </row>
    <row r="31" s="239" customFormat="1" ht="16.5" spans="1:55">
      <c r="A31" s="241">
        <v>25</v>
      </c>
      <c r="B31" s="241" t="s">
        <v>38</v>
      </c>
      <c r="C31" s="242">
        <v>28.61</v>
      </c>
      <c r="D31" s="242">
        <v>28.61</v>
      </c>
      <c r="E31" s="242">
        <v>64.82</v>
      </c>
      <c r="F31" s="242">
        <v>64.82</v>
      </c>
      <c r="G31" s="242">
        <v>0</v>
      </c>
      <c r="H31" s="242">
        <v>0</v>
      </c>
      <c r="I31" s="242">
        <v>0</v>
      </c>
      <c r="J31" s="242">
        <v>0</v>
      </c>
      <c r="K31" s="242">
        <v>241.28</v>
      </c>
      <c r="L31" s="242">
        <v>0</v>
      </c>
      <c r="M31" s="242">
        <v>241.28</v>
      </c>
      <c r="N31" s="242">
        <v>7.87</v>
      </c>
      <c r="O31" s="242">
        <v>7.87</v>
      </c>
      <c r="P31" s="242">
        <v>7.64</v>
      </c>
      <c r="Q31" s="242">
        <v>0</v>
      </c>
      <c r="R31" s="242">
        <v>7.64</v>
      </c>
      <c r="S31" s="242">
        <v>19.38</v>
      </c>
      <c r="T31" s="242">
        <v>17.44</v>
      </c>
      <c r="U31" s="242">
        <v>36.82</v>
      </c>
      <c r="V31" s="242">
        <v>38.43</v>
      </c>
      <c r="W31" s="242">
        <v>0</v>
      </c>
      <c r="X31" s="242">
        <v>38.43</v>
      </c>
      <c r="Y31" s="242">
        <v>7.2</v>
      </c>
      <c r="Z31" s="242">
        <v>0</v>
      </c>
      <c r="AA31" s="242">
        <v>7.2</v>
      </c>
      <c r="AB31" s="242">
        <v>40.08</v>
      </c>
      <c r="AC31" s="242">
        <v>0</v>
      </c>
      <c r="AD31" s="242">
        <v>40.08</v>
      </c>
      <c r="AE31" s="242">
        <v>127.57</v>
      </c>
      <c r="AF31" s="242">
        <v>0</v>
      </c>
      <c r="AG31" s="242">
        <v>127.57</v>
      </c>
      <c r="AH31" s="242">
        <v>295.09</v>
      </c>
      <c r="AI31" s="242">
        <v>0</v>
      </c>
      <c r="AJ31" s="242">
        <v>295.09</v>
      </c>
      <c r="AK31" s="242">
        <v>74.61</v>
      </c>
      <c r="AL31" s="242">
        <v>0</v>
      </c>
      <c r="AM31" s="242">
        <v>74.61</v>
      </c>
      <c r="AN31" s="242">
        <v>216.14</v>
      </c>
      <c r="AO31" s="242">
        <v>0</v>
      </c>
      <c r="AP31" s="242">
        <v>216.14</v>
      </c>
      <c r="AQ31" s="242">
        <v>209.05</v>
      </c>
      <c r="AR31" s="242">
        <v>0</v>
      </c>
      <c r="AS31" s="242">
        <v>209.05</v>
      </c>
      <c r="AT31" s="242">
        <v>135.28</v>
      </c>
      <c r="AU31" s="242">
        <v>0</v>
      </c>
      <c r="AV31" s="242">
        <v>135.28</v>
      </c>
      <c r="AW31" s="242">
        <v>35.32</v>
      </c>
      <c r="AX31" s="242">
        <v>0</v>
      </c>
      <c r="AY31" s="242">
        <v>35.32</v>
      </c>
      <c r="AZ31" s="242">
        <v>62.09</v>
      </c>
      <c r="BA31" s="242">
        <v>0</v>
      </c>
      <c r="BB31" s="242">
        <v>62.09</v>
      </c>
      <c r="BC31" s="241">
        <v>1627.9</v>
      </c>
    </row>
    <row r="32" s="239" customFormat="1" ht="16.5" spans="1:55">
      <c r="A32" s="241">
        <v>26</v>
      </c>
      <c r="B32" s="241" t="s">
        <v>39</v>
      </c>
      <c r="C32" s="242">
        <v>28.61</v>
      </c>
      <c r="D32" s="242">
        <v>28.61</v>
      </c>
      <c r="E32" s="242">
        <v>64.82</v>
      </c>
      <c r="F32" s="242">
        <v>64.82</v>
      </c>
      <c r="G32" s="242">
        <v>0</v>
      </c>
      <c r="H32" s="242">
        <v>0</v>
      </c>
      <c r="I32" s="242">
        <v>0</v>
      </c>
      <c r="J32" s="242">
        <v>0</v>
      </c>
      <c r="K32" s="242">
        <v>241.28</v>
      </c>
      <c r="L32" s="242">
        <v>0</v>
      </c>
      <c r="M32" s="242">
        <v>241.28</v>
      </c>
      <c r="N32" s="242">
        <v>7.87</v>
      </c>
      <c r="O32" s="242">
        <v>7.87</v>
      </c>
      <c r="P32" s="242">
        <v>7.64</v>
      </c>
      <c r="Q32" s="242">
        <v>0</v>
      </c>
      <c r="R32" s="242">
        <v>7.64</v>
      </c>
      <c r="S32" s="242">
        <v>19.38</v>
      </c>
      <c r="T32" s="242">
        <v>17.44</v>
      </c>
      <c r="U32" s="242">
        <v>36.82</v>
      </c>
      <c r="V32" s="242">
        <v>38.43</v>
      </c>
      <c r="W32" s="242">
        <v>0</v>
      </c>
      <c r="X32" s="242">
        <v>38.43</v>
      </c>
      <c r="Y32" s="242">
        <v>7.2</v>
      </c>
      <c r="Z32" s="242">
        <v>0</v>
      </c>
      <c r="AA32" s="242">
        <v>7.2</v>
      </c>
      <c r="AB32" s="242">
        <v>40.08</v>
      </c>
      <c r="AC32" s="242">
        <v>0</v>
      </c>
      <c r="AD32" s="242">
        <v>40.08</v>
      </c>
      <c r="AE32" s="242">
        <v>127.57</v>
      </c>
      <c r="AF32" s="242">
        <v>0</v>
      </c>
      <c r="AG32" s="242">
        <v>127.57</v>
      </c>
      <c r="AH32" s="242">
        <v>295.09</v>
      </c>
      <c r="AI32" s="242">
        <v>0</v>
      </c>
      <c r="AJ32" s="242">
        <v>295.09</v>
      </c>
      <c r="AK32" s="242">
        <v>74.61</v>
      </c>
      <c r="AL32" s="242">
        <v>0</v>
      </c>
      <c r="AM32" s="242">
        <v>74.61</v>
      </c>
      <c r="AN32" s="242">
        <v>216.14</v>
      </c>
      <c r="AO32" s="242">
        <v>0</v>
      </c>
      <c r="AP32" s="242">
        <v>216.14</v>
      </c>
      <c r="AQ32" s="242">
        <v>209.05</v>
      </c>
      <c r="AR32" s="242">
        <v>0</v>
      </c>
      <c r="AS32" s="242">
        <v>209.05</v>
      </c>
      <c r="AT32" s="242">
        <v>135.28</v>
      </c>
      <c r="AU32" s="242">
        <v>0</v>
      </c>
      <c r="AV32" s="242">
        <v>135.28</v>
      </c>
      <c r="AW32" s="242">
        <v>35.32</v>
      </c>
      <c r="AX32" s="242">
        <v>0</v>
      </c>
      <c r="AY32" s="242">
        <v>35.32</v>
      </c>
      <c r="AZ32" s="242">
        <v>62.09</v>
      </c>
      <c r="BA32" s="242">
        <v>0</v>
      </c>
      <c r="BB32" s="242">
        <v>62.09</v>
      </c>
      <c r="BC32" s="241">
        <v>1627.9</v>
      </c>
    </row>
    <row r="33" s="239" customFormat="1" ht="16.5" spans="1:55">
      <c r="A33" s="241">
        <v>27</v>
      </c>
      <c r="B33" s="241" t="s">
        <v>40</v>
      </c>
      <c r="C33" s="242">
        <v>28.61</v>
      </c>
      <c r="D33" s="242">
        <v>28.61</v>
      </c>
      <c r="E33" s="242">
        <v>64.82</v>
      </c>
      <c r="F33" s="242">
        <v>64.82</v>
      </c>
      <c r="G33" s="242">
        <v>0</v>
      </c>
      <c r="H33" s="242">
        <v>0</v>
      </c>
      <c r="I33" s="242">
        <v>0</v>
      </c>
      <c r="J33" s="242">
        <v>0</v>
      </c>
      <c r="K33" s="242">
        <v>241.28</v>
      </c>
      <c r="L33" s="242">
        <v>0</v>
      </c>
      <c r="M33" s="242">
        <v>241.28</v>
      </c>
      <c r="N33" s="242">
        <v>7.87</v>
      </c>
      <c r="O33" s="242">
        <v>7.87</v>
      </c>
      <c r="P33" s="242">
        <v>7.64</v>
      </c>
      <c r="Q33" s="242">
        <v>0</v>
      </c>
      <c r="R33" s="242">
        <v>7.64</v>
      </c>
      <c r="S33" s="242">
        <v>19.38</v>
      </c>
      <c r="T33" s="242">
        <v>0</v>
      </c>
      <c r="U33" s="242">
        <v>19.38</v>
      </c>
      <c r="V33" s="242">
        <v>38.43</v>
      </c>
      <c r="W33" s="242">
        <v>0</v>
      </c>
      <c r="X33" s="242">
        <v>38.43</v>
      </c>
      <c r="Y33" s="242">
        <v>7.2</v>
      </c>
      <c r="Z33" s="242">
        <v>0</v>
      </c>
      <c r="AA33" s="242">
        <v>7.2</v>
      </c>
      <c r="AB33" s="242">
        <v>40.08</v>
      </c>
      <c r="AC33" s="242">
        <v>0</v>
      </c>
      <c r="AD33" s="242">
        <v>40.08</v>
      </c>
      <c r="AE33" s="242">
        <v>127.57</v>
      </c>
      <c r="AF33" s="242">
        <v>0</v>
      </c>
      <c r="AG33" s="242">
        <v>127.57</v>
      </c>
      <c r="AH33" s="242">
        <v>295.09</v>
      </c>
      <c r="AI33" s="242">
        <v>0</v>
      </c>
      <c r="AJ33" s="242">
        <v>295.09</v>
      </c>
      <c r="AK33" s="242">
        <v>74.61</v>
      </c>
      <c r="AL33" s="242">
        <v>0</v>
      </c>
      <c r="AM33" s="242">
        <v>74.61</v>
      </c>
      <c r="AN33" s="242">
        <v>216.14</v>
      </c>
      <c r="AO33" s="242">
        <v>0</v>
      </c>
      <c r="AP33" s="242">
        <v>216.14</v>
      </c>
      <c r="AQ33" s="242">
        <v>209.05</v>
      </c>
      <c r="AR33" s="242">
        <v>0</v>
      </c>
      <c r="AS33" s="242">
        <v>209.05</v>
      </c>
      <c r="AT33" s="242">
        <v>135.28</v>
      </c>
      <c r="AU33" s="242">
        <v>0</v>
      </c>
      <c r="AV33" s="242">
        <v>135.28</v>
      </c>
      <c r="AW33" s="242">
        <v>35.32</v>
      </c>
      <c r="AX33" s="242">
        <v>0</v>
      </c>
      <c r="AY33" s="242">
        <v>35.32</v>
      </c>
      <c r="AZ33" s="242">
        <v>62.09</v>
      </c>
      <c r="BA33" s="242">
        <v>0</v>
      </c>
      <c r="BB33" s="242">
        <v>62.09</v>
      </c>
      <c r="BC33" s="241">
        <v>1610.46</v>
      </c>
    </row>
    <row r="34" s="239" customFormat="1" ht="16.5" spans="1:55">
      <c r="A34" s="241">
        <v>28</v>
      </c>
      <c r="B34" s="241" t="s">
        <v>41</v>
      </c>
      <c r="C34" s="242">
        <v>28.61</v>
      </c>
      <c r="D34" s="242">
        <v>28.61</v>
      </c>
      <c r="E34" s="242">
        <v>64.82</v>
      </c>
      <c r="F34" s="242">
        <v>64.82</v>
      </c>
      <c r="G34" s="242">
        <v>0</v>
      </c>
      <c r="H34" s="242">
        <v>0</v>
      </c>
      <c r="I34" s="242">
        <v>0</v>
      </c>
      <c r="J34" s="242">
        <v>0</v>
      </c>
      <c r="K34" s="242">
        <v>241.28</v>
      </c>
      <c r="L34" s="242">
        <v>0</v>
      </c>
      <c r="M34" s="242">
        <v>241.28</v>
      </c>
      <c r="N34" s="242">
        <v>7.87</v>
      </c>
      <c r="O34" s="242">
        <v>7.87</v>
      </c>
      <c r="P34" s="242">
        <v>7.64</v>
      </c>
      <c r="Q34" s="242">
        <v>0</v>
      </c>
      <c r="R34" s="242">
        <v>7.64</v>
      </c>
      <c r="S34" s="242">
        <v>19.38</v>
      </c>
      <c r="T34" s="242">
        <v>0</v>
      </c>
      <c r="U34" s="242">
        <v>19.38</v>
      </c>
      <c r="V34" s="242">
        <v>38.43</v>
      </c>
      <c r="W34" s="242">
        <v>0</v>
      </c>
      <c r="X34" s="242">
        <v>38.43</v>
      </c>
      <c r="Y34" s="242">
        <v>7.2</v>
      </c>
      <c r="Z34" s="242">
        <v>0</v>
      </c>
      <c r="AA34" s="242">
        <v>7.2</v>
      </c>
      <c r="AB34" s="242">
        <v>40.08</v>
      </c>
      <c r="AC34" s="242">
        <v>0</v>
      </c>
      <c r="AD34" s="242">
        <v>40.08</v>
      </c>
      <c r="AE34" s="242">
        <v>127.57</v>
      </c>
      <c r="AF34" s="242">
        <v>0</v>
      </c>
      <c r="AG34" s="242">
        <v>127.57</v>
      </c>
      <c r="AH34" s="242">
        <v>295.09</v>
      </c>
      <c r="AI34" s="242">
        <v>0</v>
      </c>
      <c r="AJ34" s="242">
        <v>295.09</v>
      </c>
      <c r="AK34" s="242">
        <v>74.61</v>
      </c>
      <c r="AL34" s="242">
        <v>0</v>
      </c>
      <c r="AM34" s="242">
        <v>74.61</v>
      </c>
      <c r="AN34" s="242">
        <v>216.14</v>
      </c>
      <c r="AO34" s="242">
        <v>0</v>
      </c>
      <c r="AP34" s="242">
        <v>216.14</v>
      </c>
      <c r="AQ34" s="242">
        <v>209.05</v>
      </c>
      <c r="AR34" s="242">
        <v>0</v>
      </c>
      <c r="AS34" s="242">
        <v>209.05</v>
      </c>
      <c r="AT34" s="242">
        <v>135.28</v>
      </c>
      <c r="AU34" s="242">
        <v>0</v>
      </c>
      <c r="AV34" s="242">
        <v>135.28</v>
      </c>
      <c r="AW34" s="242">
        <v>35.32</v>
      </c>
      <c r="AX34" s="242">
        <v>0</v>
      </c>
      <c r="AY34" s="242">
        <v>35.32</v>
      </c>
      <c r="AZ34" s="242">
        <v>62.09</v>
      </c>
      <c r="BA34" s="242">
        <v>0</v>
      </c>
      <c r="BB34" s="242">
        <v>62.09</v>
      </c>
      <c r="BC34" s="241">
        <v>1610.46</v>
      </c>
    </row>
    <row r="35" s="239" customFormat="1" ht="16.5" spans="1:55">
      <c r="A35" s="241">
        <v>29</v>
      </c>
      <c r="B35" s="241" t="s">
        <v>42</v>
      </c>
      <c r="C35" s="242">
        <v>28.61</v>
      </c>
      <c r="D35" s="242">
        <v>28.61</v>
      </c>
      <c r="E35" s="242">
        <v>64.82</v>
      </c>
      <c r="F35" s="242">
        <v>64.82</v>
      </c>
      <c r="G35" s="242">
        <v>0</v>
      </c>
      <c r="H35" s="242">
        <v>0</v>
      </c>
      <c r="I35" s="242">
        <v>0</v>
      </c>
      <c r="J35" s="242">
        <v>0</v>
      </c>
      <c r="K35" s="242">
        <v>241.28</v>
      </c>
      <c r="L35" s="242">
        <v>0</v>
      </c>
      <c r="M35" s="242">
        <v>241.28</v>
      </c>
      <c r="N35" s="242">
        <v>7.87</v>
      </c>
      <c r="O35" s="242">
        <v>7.87</v>
      </c>
      <c r="P35" s="242">
        <v>7.64</v>
      </c>
      <c r="Q35" s="242">
        <v>0</v>
      </c>
      <c r="R35" s="242">
        <v>7.64</v>
      </c>
      <c r="S35" s="242">
        <v>18.83</v>
      </c>
      <c r="T35" s="242">
        <v>0</v>
      </c>
      <c r="U35" s="242">
        <v>18.83</v>
      </c>
      <c r="V35" s="242">
        <v>37.47</v>
      </c>
      <c r="W35" s="242">
        <v>0</v>
      </c>
      <c r="X35" s="242">
        <v>37.47</v>
      </c>
      <c r="Y35" s="242">
        <v>7.2</v>
      </c>
      <c r="Z35" s="242">
        <v>0</v>
      </c>
      <c r="AA35" s="242">
        <v>7.2</v>
      </c>
      <c r="AB35" s="242">
        <v>40.08</v>
      </c>
      <c r="AC35" s="242">
        <v>0</v>
      </c>
      <c r="AD35" s="242">
        <v>40.08</v>
      </c>
      <c r="AE35" s="242">
        <v>127.57</v>
      </c>
      <c r="AF35" s="242">
        <v>0</v>
      </c>
      <c r="AG35" s="242">
        <v>127.57</v>
      </c>
      <c r="AH35" s="242">
        <v>295.09</v>
      </c>
      <c r="AI35" s="242">
        <v>0</v>
      </c>
      <c r="AJ35" s="242">
        <v>295.09</v>
      </c>
      <c r="AK35" s="242">
        <v>74.61</v>
      </c>
      <c r="AL35" s="242">
        <v>0</v>
      </c>
      <c r="AM35" s="242">
        <v>74.61</v>
      </c>
      <c r="AN35" s="242">
        <v>216.14</v>
      </c>
      <c r="AO35" s="242">
        <v>0</v>
      </c>
      <c r="AP35" s="242">
        <v>216.14</v>
      </c>
      <c r="AQ35" s="242">
        <v>209.05</v>
      </c>
      <c r="AR35" s="242">
        <v>0</v>
      </c>
      <c r="AS35" s="242">
        <v>209.05</v>
      </c>
      <c r="AT35" s="242">
        <v>135.28</v>
      </c>
      <c r="AU35" s="242">
        <v>0</v>
      </c>
      <c r="AV35" s="242">
        <v>135.28</v>
      </c>
      <c r="AW35" s="242">
        <v>35.32</v>
      </c>
      <c r="AX35" s="242">
        <v>0</v>
      </c>
      <c r="AY35" s="242">
        <v>35.32</v>
      </c>
      <c r="AZ35" s="242">
        <v>62.09</v>
      </c>
      <c r="BA35" s="242">
        <v>0</v>
      </c>
      <c r="BB35" s="242">
        <v>62.09</v>
      </c>
      <c r="BC35" s="241">
        <v>1608.95</v>
      </c>
    </row>
    <row r="36" s="239" customFormat="1" ht="16.5" spans="1:55">
      <c r="A36" s="241">
        <v>30</v>
      </c>
      <c r="B36" s="241" t="s">
        <v>43</v>
      </c>
      <c r="C36" s="242">
        <v>28.61</v>
      </c>
      <c r="D36" s="242">
        <v>28.61</v>
      </c>
      <c r="E36" s="242">
        <v>64.82</v>
      </c>
      <c r="F36" s="242">
        <v>64.82</v>
      </c>
      <c r="G36" s="242">
        <v>0</v>
      </c>
      <c r="H36" s="242">
        <v>0</v>
      </c>
      <c r="I36" s="242">
        <v>0</v>
      </c>
      <c r="J36" s="242">
        <v>0</v>
      </c>
      <c r="K36" s="242">
        <v>241.28</v>
      </c>
      <c r="L36" s="242">
        <v>0</v>
      </c>
      <c r="M36" s="242">
        <v>241.28</v>
      </c>
      <c r="N36" s="242">
        <v>7.87</v>
      </c>
      <c r="O36" s="242">
        <v>7.87</v>
      </c>
      <c r="P36" s="242">
        <v>7.64</v>
      </c>
      <c r="Q36" s="242">
        <v>0</v>
      </c>
      <c r="R36" s="242">
        <v>7.64</v>
      </c>
      <c r="S36" s="242">
        <v>18.83</v>
      </c>
      <c r="T36" s="242">
        <v>0</v>
      </c>
      <c r="U36" s="242">
        <v>18.83</v>
      </c>
      <c r="V36" s="242">
        <v>37.47</v>
      </c>
      <c r="W36" s="242">
        <v>0</v>
      </c>
      <c r="X36" s="242">
        <v>37.47</v>
      </c>
      <c r="Y36" s="242">
        <v>7.2</v>
      </c>
      <c r="Z36" s="242">
        <v>0</v>
      </c>
      <c r="AA36" s="242">
        <v>7.2</v>
      </c>
      <c r="AB36" s="242">
        <v>40.08</v>
      </c>
      <c r="AC36" s="242">
        <v>0</v>
      </c>
      <c r="AD36" s="242">
        <v>40.08</v>
      </c>
      <c r="AE36" s="242">
        <v>127.57</v>
      </c>
      <c r="AF36" s="242">
        <v>0</v>
      </c>
      <c r="AG36" s="242">
        <v>127.57</v>
      </c>
      <c r="AH36" s="242">
        <v>295.09</v>
      </c>
      <c r="AI36" s="242">
        <v>0</v>
      </c>
      <c r="AJ36" s="242">
        <v>295.09</v>
      </c>
      <c r="AK36" s="242">
        <v>74.61</v>
      </c>
      <c r="AL36" s="242">
        <v>0</v>
      </c>
      <c r="AM36" s="242">
        <v>74.61</v>
      </c>
      <c r="AN36" s="242">
        <v>216.14</v>
      </c>
      <c r="AO36" s="242">
        <v>0</v>
      </c>
      <c r="AP36" s="242">
        <v>216.14</v>
      </c>
      <c r="AQ36" s="242">
        <v>209.05</v>
      </c>
      <c r="AR36" s="242">
        <v>0</v>
      </c>
      <c r="AS36" s="242">
        <v>209.05</v>
      </c>
      <c r="AT36" s="242">
        <v>135.28</v>
      </c>
      <c r="AU36" s="242">
        <v>0</v>
      </c>
      <c r="AV36" s="242">
        <v>135.28</v>
      </c>
      <c r="AW36" s="242">
        <v>35.32</v>
      </c>
      <c r="AX36" s="242">
        <v>0</v>
      </c>
      <c r="AY36" s="242">
        <v>35.32</v>
      </c>
      <c r="AZ36" s="242">
        <v>62.09</v>
      </c>
      <c r="BA36" s="242">
        <v>0</v>
      </c>
      <c r="BB36" s="242">
        <v>62.09</v>
      </c>
      <c r="BC36" s="241">
        <v>1608.95</v>
      </c>
    </row>
    <row r="37" s="239" customFormat="1" ht="16.5" spans="1:55">
      <c r="A37" s="241">
        <v>31</v>
      </c>
      <c r="B37" s="241" t="s">
        <v>44</v>
      </c>
      <c r="C37" s="242">
        <v>28.61</v>
      </c>
      <c r="D37" s="242">
        <v>28.61</v>
      </c>
      <c r="E37" s="242">
        <v>64.82</v>
      </c>
      <c r="F37" s="242">
        <v>64.82</v>
      </c>
      <c r="G37" s="242">
        <v>0</v>
      </c>
      <c r="H37" s="242">
        <v>0</v>
      </c>
      <c r="I37" s="242">
        <v>0</v>
      </c>
      <c r="J37" s="242">
        <v>0</v>
      </c>
      <c r="K37" s="242">
        <v>241.28</v>
      </c>
      <c r="L37" s="242">
        <v>0</v>
      </c>
      <c r="M37" s="242">
        <v>241.28</v>
      </c>
      <c r="N37" s="242">
        <v>7.87</v>
      </c>
      <c r="O37" s="242">
        <v>7.87</v>
      </c>
      <c r="P37" s="242">
        <v>7.64</v>
      </c>
      <c r="Q37" s="242">
        <v>0</v>
      </c>
      <c r="R37" s="242">
        <v>7.64</v>
      </c>
      <c r="S37" s="242">
        <v>23.07</v>
      </c>
      <c r="T37" s="242">
        <v>0</v>
      </c>
      <c r="U37" s="242">
        <v>23.07</v>
      </c>
      <c r="V37" s="242">
        <v>37.47</v>
      </c>
      <c r="W37" s="242">
        <v>0</v>
      </c>
      <c r="X37" s="242">
        <v>37.47</v>
      </c>
      <c r="Y37" s="242">
        <v>7.53</v>
      </c>
      <c r="Z37" s="242">
        <v>0</v>
      </c>
      <c r="AA37" s="242">
        <v>7.53</v>
      </c>
      <c r="AB37" s="242">
        <v>40.08</v>
      </c>
      <c r="AC37" s="242">
        <v>0</v>
      </c>
      <c r="AD37" s="242">
        <v>40.08</v>
      </c>
      <c r="AE37" s="242">
        <v>127.57</v>
      </c>
      <c r="AF37" s="242">
        <v>0</v>
      </c>
      <c r="AG37" s="242">
        <v>127.57</v>
      </c>
      <c r="AH37" s="242">
        <v>295.09</v>
      </c>
      <c r="AI37" s="242">
        <v>0</v>
      </c>
      <c r="AJ37" s="242">
        <v>295.09</v>
      </c>
      <c r="AK37" s="242">
        <v>74.61</v>
      </c>
      <c r="AL37" s="242">
        <v>0</v>
      </c>
      <c r="AM37" s="242">
        <v>74.61</v>
      </c>
      <c r="AN37" s="242">
        <v>216.14</v>
      </c>
      <c r="AO37" s="242">
        <v>0</v>
      </c>
      <c r="AP37" s="242">
        <v>216.14</v>
      </c>
      <c r="AQ37" s="242">
        <v>209.05</v>
      </c>
      <c r="AR37" s="242">
        <v>0</v>
      </c>
      <c r="AS37" s="242">
        <v>209.05</v>
      </c>
      <c r="AT37" s="242">
        <v>135.28</v>
      </c>
      <c r="AU37" s="242">
        <v>0</v>
      </c>
      <c r="AV37" s="242">
        <v>135.28</v>
      </c>
      <c r="AW37" s="242">
        <v>35.32</v>
      </c>
      <c r="AX37" s="242">
        <v>0</v>
      </c>
      <c r="AY37" s="242">
        <v>35.32</v>
      </c>
      <c r="AZ37" s="242">
        <v>62.09</v>
      </c>
      <c r="BA37" s="242">
        <v>0</v>
      </c>
      <c r="BB37" s="242">
        <v>62.09</v>
      </c>
      <c r="BC37" s="241">
        <v>1613.52</v>
      </c>
    </row>
    <row r="38" s="239" customFormat="1" ht="16.5" spans="1:55">
      <c r="A38" s="241">
        <v>32</v>
      </c>
      <c r="B38" s="241" t="s">
        <v>45</v>
      </c>
      <c r="C38" s="242">
        <v>28.61</v>
      </c>
      <c r="D38" s="242">
        <v>28.61</v>
      </c>
      <c r="E38" s="242">
        <v>64.82</v>
      </c>
      <c r="F38" s="242">
        <v>64.82</v>
      </c>
      <c r="G38" s="242">
        <v>0</v>
      </c>
      <c r="H38" s="242">
        <v>0</v>
      </c>
      <c r="I38" s="242">
        <v>0</v>
      </c>
      <c r="J38" s="242">
        <v>0</v>
      </c>
      <c r="K38" s="242">
        <v>241.28</v>
      </c>
      <c r="L38" s="242">
        <v>0</v>
      </c>
      <c r="M38" s="242">
        <v>241.28</v>
      </c>
      <c r="N38" s="242">
        <v>7.87</v>
      </c>
      <c r="O38" s="242">
        <v>7.87</v>
      </c>
      <c r="P38" s="242">
        <v>7.64</v>
      </c>
      <c r="Q38" s="242">
        <v>0</v>
      </c>
      <c r="R38" s="242">
        <v>7.64</v>
      </c>
      <c r="S38" s="242">
        <v>26.76</v>
      </c>
      <c r="T38" s="242">
        <v>0</v>
      </c>
      <c r="U38" s="242">
        <v>26.76</v>
      </c>
      <c r="V38" s="242">
        <v>37.47</v>
      </c>
      <c r="W38" s="242">
        <v>0</v>
      </c>
      <c r="X38" s="242">
        <v>37.47</v>
      </c>
      <c r="Y38" s="242">
        <v>7.53</v>
      </c>
      <c r="Z38" s="242">
        <v>0</v>
      </c>
      <c r="AA38" s="242">
        <v>7.53</v>
      </c>
      <c r="AB38" s="242">
        <v>40.08</v>
      </c>
      <c r="AC38" s="242">
        <v>0</v>
      </c>
      <c r="AD38" s="242">
        <v>40.08</v>
      </c>
      <c r="AE38" s="242">
        <v>127.57</v>
      </c>
      <c r="AF38" s="242">
        <v>0</v>
      </c>
      <c r="AG38" s="242">
        <v>127.57</v>
      </c>
      <c r="AH38" s="242">
        <v>295.09</v>
      </c>
      <c r="AI38" s="242">
        <v>0</v>
      </c>
      <c r="AJ38" s="242">
        <v>295.09</v>
      </c>
      <c r="AK38" s="242">
        <v>74.61</v>
      </c>
      <c r="AL38" s="242">
        <v>0</v>
      </c>
      <c r="AM38" s="242">
        <v>74.61</v>
      </c>
      <c r="AN38" s="242">
        <v>216.14</v>
      </c>
      <c r="AO38" s="242">
        <v>0</v>
      </c>
      <c r="AP38" s="242">
        <v>216.14</v>
      </c>
      <c r="AQ38" s="242">
        <v>209.05</v>
      </c>
      <c r="AR38" s="242">
        <v>0</v>
      </c>
      <c r="AS38" s="242">
        <v>209.05</v>
      </c>
      <c r="AT38" s="242">
        <v>135.28</v>
      </c>
      <c r="AU38" s="242">
        <v>0</v>
      </c>
      <c r="AV38" s="242">
        <v>135.28</v>
      </c>
      <c r="AW38" s="242">
        <v>35.32</v>
      </c>
      <c r="AX38" s="242">
        <v>0</v>
      </c>
      <c r="AY38" s="242">
        <v>35.32</v>
      </c>
      <c r="AZ38" s="242">
        <v>62.09</v>
      </c>
      <c r="BA38" s="242">
        <v>0</v>
      </c>
      <c r="BB38" s="242">
        <v>62.09</v>
      </c>
      <c r="BC38" s="241">
        <v>1617.21</v>
      </c>
    </row>
    <row r="39" s="239" customFormat="1" ht="16.5" spans="1:55">
      <c r="A39" s="241">
        <v>33</v>
      </c>
      <c r="B39" s="241" t="s">
        <v>46</v>
      </c>
      <c r="C39" s="242">
        <v>28.61</v>
      </c>
      <c r="D39" s="242">
        <v>28.61</v>
      </c>
      <c r="E39" s="242">
        <v>64.82</v>
      </c>
      <c r="F39" s="242">
        <v>64.82</v>
      </c>
      <c r="G39" s="242">
        <v>0</v>
      </c>
      <c r="H39" s="242">
        <v>0</v>
      </c>
      <c r="I39" s="242">
        <v>0</v>
      </c>
      <c r="J39" s="242">
        <v>0</v>
      </c>
      <c r="K39" s="242">
        <v>241.28</v>
      </c>
      <c r="L39" s="242">
        <v>0</v>
      </c>
      <c r="M39" s="242">
        <v>241.28</v>
      </c>
      <c r="N39" s="242">
        <v>7.87</v>
      </c>
      <c r="O39" s="242">
        <v>7.87</v>
      </c>
      <c r="P39" s="242">
        <v>7.64</v>
      </c>
      <c r="Q39" s="242">
        <v>0</v>
      </c>
      <c r="R39" s="242">
        <v>7.64</v>
      </c>
      <c r="S39" s="242">
        <v>29.53</v>
      </c>
      <c r="T39" s="242">
        <v>0</v>
      </c>
      <c r="U39" s="242">
        <v>29.53</v>
      </c>
      <c r="V39" s="242">
        <v>37.47</v>
      </c>
      <c r="W39" s="242">
        <v>0</v>
      </c>
      <c r="X39" s="242">
        <v>37.47</v>
      </c>
      <c r="Y39" s="242">
        <v>7.53</v>
      </c>
      <c r="Z39" s="242">
        <v>0</v>
      </c>
      <c r="AA39" s="242">
        <v>7.53</v>
      </c>
      <c r="AB39" s="242">
        <v>40.08</v>
      </c>
      <c r="AC39" s="242">
        <v>0</v>
      </c>
      <c r="AD39" s="242">
        <v>40.08</v>
      </c>
      <c r="AE39" s="242">
        <v>127.57</v>
      </c>
      <c r="AF39" s="242">
        <v>0</v>
      </c>
      <c r="AG39" s="242">
        <v>127.57</v>
      </c>
      <c r="AH39" s="242">
        <v>295.09</v>
      </c>
      <c r="AI39" s="242">
        <v>0</v>
      </c>
      <c r="AJ39" s="242">
        <v>295.09</v>
      </c>
      <c r="AK39" s="242">
        <v>74.61</v>
      </c>
      <c r="AL39" s="242">
        <v>0</v>
      </c>
      <c r="AM39" s="242">
        <v>74.61</v>
      </c>
      <c r="AN39" s="242">
        <v>216.14</v>
      </c>
      <c r="AO39" s="242">
        <v>0</v>
      </c>
      <c r="AP39" s="242">
        <v>216.14</v>
      </c>
      <c r="AQ39" s="242">
        <v>209.05</v>
      </c>
      <c r="AR39" s="242">
        <v>0</v>
      </c>
      <c r="AS39" s="242">
        <v>209.05</v>
      </c>
      <c r="AT39" s="242">
        <v>135.28</v>
      </c>
      <c r="AU39" s="242">
        <v>0</v>
      </c>
      <c r="AV39" s="242">
        <v>135.28</v>
      </c>
      <c r="AW39" s="242">
        <v>35.32</v>
      </c>
      <c r="AX39" s="242">
        <v>0</v>
      </c>
      <c r="AY39" s="242">
        <v>35.32</v>
      </c>
      <c r="AZ39" s="242">
        <v>62.09</v>
      </c>
      <c r="BA39" s="242">
        <v>0</v>
      </c>
      <c r="BB39" s="242">
        <v>62.09</v>
      </c>
      <c r="BC39" s="241">
        <v>1619.98</v>
      </c>
    </row>
    <row r="40" s="239" customFormat="1" ht="16.5" spans="1:55">
      <c r="A40" s="241">
        <v>34</v>
      </c>
      <c r="B40" s="241" t="s">
        <v>47</v>
      </c>
      <c r="C40" s="242">
        <v>28.61</v>
      </c>
      <c r="D40" s="242">
        <v>28.61</v>
      </c>
      <c r="E40" s="242">
        <v>64.82</v>
      </c>
      <c r="F40" s="242">
        <v>64.82</v>
      </c>
      <c r="G40" s="242">
        <v>0</v>
      </c>
      <c r="H40" s="242">
        <v>0</v>
      </c>
      <c r="I40" s="242">
        <v>0</v>
      </c>
      <c r="J40" s="242">
        <v>0</v>
      </c>
      <c r="K40" s="242">
        <v>241.28</v>
      </c>
      <c r="L40" s="242">
        <v>0</v>
      </c>
      <c r="M40" s="242">
        <v>241.28</v>
      </c>
      <c r="N40" s="242">
        <v>7.87</v>
      </c>
      <c r="O40" s="242">
        <v>7.87</v>
      </c>
      <c r="P40" s="242">
        <v>7.64</v>
      </c>
      <c r="Q40" s="242">
        <v>0</v>
      </c>
      <c r="R40" s="242">
        <v>7.64</v>
      </c>
      <c r="S40" s="242">
        <v>29.53</v>
      </c>
      <c r="T40" s="242">
        <v>0</v>
      </c>
      <c r="U40" s="242">
        <v>29.53</v>
      </c>
      <c r="V40" s="242">
        <v>37.47</v>
      </c>
      <c r="W40" s="242">
        <v>0</v>
      </c>
      <c r="X40" s="242">
        <v>37.47</v>
      </c>
      <c r="Y40" s="242">
        <v>7.53</v>
      </c>
      <c r="Z40" s="242">
        <v>0</v>
      </c>
      <c r="AA40" s="242">
        <v>7.53</v>
      </c>
      <c r="AB40" s="242">
        <v>40.08</v>
      </c>
      <c r="AC40" s="242">
        <v>0</v>
      </c>
      <c r="AD40" s="242">
        <v>40.08</v>
      </c>
      <c r="AE40" s="242">
        <v>127.57</v>
      </c>
      <c r="AF40" s="242">
        <v>0</v>
      </c>
      <c r="AG40" s="242">
        <v>127.57</v>
      </c>
      <c r="AH40" s="242">
        <v>295.09</v>
      </c>
      <c r="AI40" s="242">
        <v>0</v>
      </c>
      <c r="AJ40" s="242">
        <v>295.09</v>
      </c>
      <c r="AK40" s="242">
        <v>74.61</v>
      </c>
      <c r="AL40" s="242">
        <v>0</v>
      </c>
      <c r="AM40" s="242">
        <v>74.61</v>
      </c>
      <c r="AN40" s="242">
        <v>216.14</v>
      </c>
      <c r="AO40" s="242">
        <v>0</v>
      </c>
      <c r="AP40" s="242">
        <v>216.14</v>
      </c>
      <c r="AQ40" s="242">
        <v>209.05</v>
      </c>
      <c r="AR40" s="242">
        <v>0</v>
      </c>
      <c r="AS40" s="242">
        <v>209.05</v>
      </c>
      <c r="AT40" s="242">
        <v>135.28</v>
      </c>
      <c r="AU40" s="242">
        <v>0</v>
      </c>
      <c r="AV40" s="242">
        <v>135.28</v>
      </c>
      <c r="AW40" s="242">
        <v>35.32</v>
      </c>
      <c r="AX40" s="242">
        <v>0</v>
      </c>
      <c r="AY40" s="242">
        <v>35.32</v>
      </c>
      <c r="AZ40" s="242">
        <v>62.09</v>
      </c>
      <c r="BA40" s="242">
        <v>0</v>
      </c>
      <c r="BB40" s="242">
        <v>62.09</v>
      </c>
      <c r="BC40" s="241">
        <v>1619.98</v>
      </c>
    </row>
    <row r="41" s="239" customFormat="1" ht="16.5" spans="1:55">
      <c r="A41" s="241">
        <v>35</v>
      </c>
      <c r="B41" s="241" t="s">
        <v>48</v>
      </c>
      <c r="C41" s="242">
        <v>28.61</v>
      </c>
      <c r="D41" s="242">
        <v>28.61</v>
      </c>
      <c r="E41" s="242">
        <v>64.82</v>
      </c>
      <c r="F41" s="242">
        <v>64.82</v>
      </c>
      <c r="G41" s="242">
        <v>0</v>
      </c>
      <c r="H41" s="242">
        <v>0</v>
      </c>
      <c r="I41" s="242">
        <v>0</v>
      </c>
      <c r="J41" s="242">
        <v>0</v>
      </c>
      <c r="K41" s="242">
        <v>241.28</v>
      </c>
      <c r="L41" s="242">
        <v>0</v>
      </c>
      <c r="M41" s="242">
        <v>241.28</v>
      </c>
      <c r="N41" s="242">
        <v>7.87</v>
      </c>
      <c r="O41" s="242">
        <v>7.87</v>
      </c>
      <c r="P41" s="242">
        <v>7.64</v>
      </c>
      <c r="Q41" s="242">
        <v>0</v>
      </c>
      <c r="R41" s="242">
        <v>7.64</v>
      </c>
      <c r="S41" s="242">
        <v>29.99</v>
      </c>
      <c r="T41" s="242">
        <v>0</v>
      </c>
      <c r="U41" s="242">
        <v>29.99</v>
      </c>
      <c r="V41" s="242">
        <v>37.47</v>
      </c>
      <c r="W41" s="242">
        <v>0</v>
      </c>
      <c r="X41" s="242">
        <v>37.47</v>
      </c>
      <c r="Y41" s="242">
        <v>7.53</v>
      </c>
      <c r="Z41" s="242">
        <v>0</v>
      </c>
      <c r="AA41" s="242">
        <v>7.53</v>
      </c>
      <c r="AB41" s="242">
        <v>40.08</v>
      </c>
      <c r="AC41" s="242">
        <v>0</v>
      </c>
      <c r="AD41" s="242">
        <v>40.08</v>
      </c>
      <c r="AE41" s="242">
        <v>127.57</v>
      </c>
      <c r="AF41" s="242">
        <v>0</v>
      </c>
      <c r="AG41" s="242">
        <v>127.57</v>
      </c>
      <c r="AH41" s="242">
        <v>295.09</v>
      </c>
      <c r="AI41" s="242">
        <v>0</v>
      </c>
      <c r="AJ41" s="242">
        <v>295.09</v>
      </c>
      <c r="AK41" s="242">
        <v>74.61</v>
      </c>
      <c r="AL41" s="242">
        <v>0</v>
      </c>
      <c r="AM41" s="242">
        <v>74.61</v>
      </c>
      <c r="AN41" s="242">
        <v>216.14</v>
      </c>
      <c r="AO41" s="242">
        <v>0</v>
      </c>
      <c r="AP41" s="242">
        <v>216.14</v>
      </c>
      <c r="AQ41" s="242">
        <v>209.05</v>
      </c>
      <c r="AR41" s="242">
        <v>0</v>
      </c>
      <c r="AS41" s="242">
        <v>209.05</v>
      </c>
      <c r="AT41" s="242">
        <v>135.28</v>
      </c>
      <c r="AU41" s="242">
        <v>0</v>
      </c>
      <c r="AV41" s="242">
        <v>135.28</v>
      </c>
      <c r="AW41" s="242">
        <v>35.32</v>
      </c>
      <c r="AX41" s="242">
        <v>0</v>
      </c>
      <c r="AY41" s="242">
        <v>35.32</v>
      </c>
      <c r="AZ41" s="242">
        <v>62.09</v>
      </c>
      <c r="BA41" s="242">
        <v>0</v>
      </c>
      <c r="BB41" s="242">
        <v>62.09</v>
      </c>
      <c r="BC41" s="241">
        <v>1620.44</v>
      </c>
    </row>
    <row r="42" s="239" customFormat="1" ht="16.5" spans="1:55">
      <c r="A42" s="241">
        <v>36</v>
      </c>
      <c r="B42" s="241" t="s">
        <v>49</v>
      </c>
      <c r="C42" s="242">
        <v>28.61</v>
      </c>
      <c r="D42" s="242">
        <v>28.61</v>
      </c>
      <c r="E42" s="242">
        <v>64.82</v>
      </c>
      <c r="F42" s="242">
        <v>64.82</v>
      </c>
      <c r="G42" s="242">
        <v>0</v>
      </c>
      <c r="H42" s="242">
        <v>0</v>
      </c>
      <c r="I42" s="242">
        <v>0</v>
      </c>
      <c r="J42" s="242">
        <v>0</v>
      </c>
      <c r="K42" s="242">
        <v>241.28</v>
      </c>
      <c r="L42" s="242">
        <v>0</v>
      </c>
      <c r="M42" s="242">
        <v>241.28</v>
      </c>
      <c r="N42" s="242">
        <v>7.87</v>
      </c>
      <c r="O42" s="242">
        <v>7.87</v>
      </c>
      <c r="P42" s="242">
        <v>7.64</v>
      </c>
      <c r="Q42" s="242">
        <v>0</v>
      </c>
      <c r="R42" s="242">
        <v>7.64</v>
      </c>
      <c r="S42" s="242">
        <v>29.99</v>
      </c>
      <c r="T42" s="242">
        <v>0</v>
      </c>
      <c r="U42" s="242">
        <v>29.99</v>
      </c>
      <c r="V42" s="242">
        <v>37.47</v>
      </c>
      <c r="W42" s="242">
        <v>0</v>
      </c>
      <c r="X42" s="242">
        <v>37.47</v>
      </c>
      <c r="Y42" s="242">
        <v>7.53</v>
      </c>
      <c r="Z42" s="242">
        <v>0</v>
      </c>
      <c r="AA42" s="242">
        <v>7.53</v>
      </c>
      <c r="AB42" s="242">
        <v>40.08</v>
      </c>
      <c r="AC42" s="242">
        <v>0</v>
      </c>
      <c r="AD42" s="242">
        <v>40.08</v>
      </c>
      <c r="AE42" s="242">
        <v>127.57</v>
      </c>
      <c r="AF42" s="242">
        <v>0</v>
      </c>
      <c r="AG42" s="242">
        <v>127.57</v>
      </c>
      <c r="AH42" s="242">
        <v>295.09</v>
      </c>
      <c r="AI42" s="242">
        <v>0</v>
      </c>
      <c r="AJ42" s="242">
        <v>295.09</v>
      </c>
      <c r="AK42" s="242">
        <v>74.61</v>
      </c>
      <c r="AL42" s="242">
        <v>0</v>
      </c>
      <c r="AM42" s="242">
        <v>74.61</v>
      </c>
      <c r="AN42" s="242">
        <v>216.14</v>
      </c>
      <c r="AO42" s="242">
        <v>0</v>
      </c>
      <c r="AP42" s="242">
        <v>216.14</v>
      </c>
      <c r="AQ42" s="242">
        <v>209.05</v>
      </c>
      <c r="AR42" s="242">
        <v>0</v>
      </c>
      <c r="AS42" s="242">
        <v>209.05</v>
      </c>
      <c r="AT42" s="242">
        <v>135.28</v>
      </c>
      <c r="AU42" s="242">
        <v>0</v>
      </c>
      <c r="AV42" s="242">
        <v>135.28</v>
      </c>
      <c r="AW42" s="242">
        <v>35.32</v>
      </c>
      <c r="AX42" s="242">
        <v>0</v>
      </c>
      <c r="AY42" s="242">
        <v>35.32</v>
      </c>
      <c r="AZ42" s="242">
        <v>62.09</v>
      </c>
      <c r="BA42" s="242">
        <v>0</v>
      </c>
      <c r="BB42" s="242">
        <v>62.09</v>
      </c>
      <c r="BC42" s="241">
        <v>1620.44</v>
      </c>
    </row>
    <row r="43" s="239" customFormat="1" ht="16.5" spans="1:55">
      <c r="A43" s="241">
        <v>37</v>
      </c>
      <c r="B43" s="241" t="s">
        <v>50</v>
      </c>
      <c r="C43" s="242">
        <v>28.61</v>
      </c>
      <c r="D43" s="242">
        <v>28.61</v>
      </c>
      <c r="E43" s="242">
        <v>64.82</v>
      </c>
      <c r="F43" s="242">
        <v>64.82</v>
      </c>
      <c r="G43" s="242">
        <v>0</v>
      </c>
      <c r="H43" s="242">
        <v>0</v>
      </c>
      <c r="I43" s="242">
        <v>0</v>
      </c>
      <c r="J43" s="242">
        <v>0</v>
      </c>
      <c r="K43" s="242">
        <v>241.28</v>
      </c>
      <c r="L43" s="242">
        <v>0</v>
      </c>
      <c r="M43" s="242">
        <v>241.28</v>
      </c>
      <c r="N43" s="242">
        <v>7.87</v>
      </c>
      <c r="O43" s="242">
        <v>7.87</v>
      </c>
      <c r="P43" s="242">
        <v>7.64</v>
      </c>
      <c r="Q43" s="242">
        <v>0</v>
      </c>
      <c r="R43" s="242">
        <v>7.64</v>
      </c>
      <c r="S43" s="242">
        <v>29.99</v>
      </c>
      <c r="T43" s="242">
        <v>0</v>
      </c>
      <c r="U43" s="242">
        <v>29.99</v>
      </c>
      <c r="V43" s="242">
        <v>37.47</v>
      </c>
      <c r="W43" s="242">
        <v>0</v>
      </c>
      <c r="X43" s="242">
        <v>37.47</v>
      </c>
      <c r="Y43" s="242">
        <v>7.86</v>
      </c>
      <c r="Z43" s="242">
        <v>0</v>
      </c>
      <c r="AA43" s="242">
        <v>7.86</v>
      </c>
      <c r="AB43" s="242">
        <v>40.08</v>
      </c>
      <c r="AC43" s="242">
        <v>0</v>
      </c>
      <c r="AD43" s="242">
        <v>40.08</v>
      </c>
      <c r="AE43" s="242">
        <v>127.57</v>
      </c>
      <c r="AF43" s="242">
        <v>0</v>
      </c>
      <c r="AG43" s="242">
        <v>127.57</v>
      </c>
      <c r="AH43" s="242">
        <v>295.09</v>
      </c>
      <c r="AI43" s="242">
        <v>0</v>
      </c>
      <c r="AJ43" s="242">
        <v>295.09</v>
      </c>
      <c r="AK43" s="242">
        <v>74.61</v>
      </c>
      <c r="AL43" s="242">
        <v>0</v>
      </c>
      <c r="AM43" s="242">
        <v>74.61</v>
      </c>
      <c r="AN43" s="242">
        <v>216.14</v>
      </c>
      <c r="AO43" s="242">
        <v>0</v>
      </c>
      <c r="AP43" s="242">
        <v>216.14</v>
      </c>
      <c r="AQ43" s="242">
        <v>209.05</v>
      </c>
      <c r="AR43" s="242">
        <v>0</v>
      </c>
      <c r="AS43" s="242">
        <v>209.05</v>
      </c>
      <c r="AT43" s="242">
        <v>135.28</v>
      </c>
      <c r="AU43" s="242">
        <v>0</v>
      </c>
      <c r="AV43" s="242">
        <v>135.28</v>
      </c>
      <c r="AW43" s="242">
        <v>35.32</v>
      </c>
      <c r="AX43" s="242">
        <v>0</v>
      </c>
      <c r="AY43" s="242">
        <v>35.32</v>
      </c>
      <c r="AZ43" s="242">
        <v>62.09</v>
      </c>
      <c r="BA43" s="242">
        <v>0</v>
      </c>
      <c r="BB43" s="242">
        <v>62.09</v>
      </c>
      <c r="BC43" s="241">
        <v>1620.77</v>
      </c>
    </row>
    <row r="44" s="239" customFormat="1" ht="16.5" spans="1:55">
      <c r="A44" s="241">
        <v>38</v>
      </c>
      <c r="B44" s="241" t="s">
        <v>51</v>
      </c>
      <c r="C44" s="242">
        <v>28.61</v>
      </c>
      <c r="D44" s="242">
        <v>28.61</v>
      </c>
      <c r="E44" s="242">
        <v>64.82</v>
      </c>
      <c r="F44" s="242">
        <v>64.82</v>
      </c>
      <c r="G44" s="242">
        <v>0</v>
      </c>
      <c r="H44" s="242">
        <v>0</v>
      </c>
      <c r="I44" s="242">
        <v>0</v>
      </c>
      <c r="J44" s="242">
        <v>0</v>
      </c>
      <c r="K44" s="242">
        <v>241.28</v>
      </c>
      <c r="L44" s="242">
        <v>0</v>
      </c>
      <c r="M44" s="242">
        <v>241.28</v>
      </c>
      <c r="N44" s="242">
        <v>7.87</v>
      </c>
      <c r="O44" s="242">
        <v>7.87</v>
      </c>
      <c r="P44" s="242">
        <v>7.64</v>
      </c>
      <c r="Q44" s="242">
        <v>0</v>
      </c>
      <c r="R44" s="242">
        <v>7.64</v>
      </c>
      <c r="S44" s="242">
        <v>29.99</v>
      </c>
      <c r="T44" s="242">
        <v>0</v>
      </c>
      <c r="U44" s="242">
        <v>29.99</v>
      </c>
      <c r="V44" s="242">
        <v>37.47</v>
      </c>
      <c r="W44" s="242">
        <v>0</v>
      </c>
      <c r="X44" s="242">
        <v>37.47</v>
      </c>
      <c r="Y44" s="242">
        <v>7.86</v>
      </c>
      <c r="Z44" s="242">
        <v>0</v>
      </c>
      <c r="AA44" s="242">
        <v>7.86</v>
      </c>
      <c r="AB44" s="242">
        <v>40.08</v>
      </c>
      <c r="AC44" s="242">
        <v>0</v>
      </c>
      <c r="AD44" s="242">
        <v>40.08</v>
      </c>
      <c r="AE44" s="242">
        <v>127.57</v>
      </c>
      <c r="AF44" s="242">
        <v>0</v>
      </c>
      <c r="AG44" s="242">
        <v>127.57</v>
      </c>
      <c r="AH44" s="242">
        <v>295.09</v>
      </c>
      <c r="AI44" s="242">
        <v>0</v>
      </c>
      <c r="AJ44" s="242">
        <v>295.09</v>
      </c>
      <c r="AK44" s="242">
        <v>74.61</v>
      </c>
      <c r="AL44" s="242">
        <v>0</v>
      </c>
      <c r="AM44" s="242">
        <v>74.61</v>
      </c>
      <c r="AN44" s="242">
        <v>216.14</v>
      </c>
      <c r="AO44" s="242">
        <v>0</v>
      </c>
      <c r="AP44" s="242">
        <v>216.14</v>
      </c>
      <c r="AQ44" s="242">
        <v>209.05</v>
      </c>
      <c r="AR44" s="242">
        <v>0</v>
      </c>
      <c r="AS44" s="242">
        <v>209.05</v>
      </c>
      <c r="AT44" s="242">
        <v>135.28</v>
      </c>
      <c r="AU44" s="242">
        <v>0</v>
      </c>
      <c r="AV44" s="242">
        <v>135.28</v>
      </c>
      <c r="AW44" s="242">
        <v>35.32</v>
      </c>
      <c r="AX44" s="242">
        <v>0</v>
      </c>
      <c r="AY44" s="242">
        <v>35.32</v>
      </c>
      <c r="AZ44" s="242">
        <v>62.09</v>
      </c>
      <c r="BA44" s="242">
        <v>0</v>
      </c>
      <c r="BB44" s="242">
        <v>62.09</v>
      </c>
      <c r="BC44" s="241">
        <v>1620.77</v>
      </c>
    </row>
    <row r="45" s="239" customFormat="1" ht="16.5" spans="1:55">
      <c r="A45" s="241">
        <v>39</v>
      </c>
      <c r="B45" s="241" t="s">
        <v>52</v>
      </c>
      <c r="C45" s="242">
        <v>28.61</v>
      </c>
      <c r="D45" s="242">
        <v>28.61</v>
      </c>
      <c r="E45" s="242">
        <v>64.82</v>
      </c>
      <c r="F45" s="242">
        <v>64.82</v>
      </c>
      <c r="G45" s="242">
        <v>0</v>
      </c>
      <c r="H45" s="242">
        <v>0</v>
      </c>
      <c r="I45" s="242">
        <v>0</v>
      </c>
      <c r="J45" s="242">
        <v>0</v>
      </c>
      <c r="K45" s="242">
        <v>241.28</v>
      </c>
      <c r="L45" s="242">
        <v>0</v>
      </c>
      <c r="M45" s="242">
        <v>241.28</v>
      </c>
      <c r="N45" s="242">
        <v>7.87</v>
      </c>
      <c r="O45" s="242">
        <v>7.87</v>
      </c>
      <c r="P45" s="242">
        <v>7.64</v>
      </c>
      <c r="Q45" s="242">
        <v>0</v>
      </c>
      <c r="R45" s="242">
        <v>7.64</v>
      </c>
      <c r="S45" s="242">
        <v>29.99</v>
      </c>
      <c r="T45" s="242">
        <v>0</v>
      </c>
      <c r="U45" s="242">
        <v>29.99</v>
      </c>
      <c r="V45" s="242">
        <v>37.47</v>
      </c>
      <c r="W45" s="242">
        <v>0</v>
      </c>
      <c r="X45" s="242">
        <v>37.47</v>
      </c>
      <c r="Y45" s="242">
        <v>7.86</v>
      </c>
      <c r="Z45" s="242">
        <v>0</v>
      </c>
      <c r="AA45" s="242">
        <v>7.86</v>
      </c>
      <c r="AB45" s="242">
        <v>40.08</v>
      </c>
      <c r="AC45" s="242">
        <v>0</v>
      </c>
      <c r="AD45" s="242">
        <v>40.08</v>
      </c>
      <c r="AE45" s="242">
        <v>127.57</v>
      </c>
      <c r="AF45" s="242">
        <v>0</v>
      </c>
      <c r="AG45" s="242">
        <v>127.57</v>
      </c>
      <c r="AH45" s="242">
        <v>295.09</v>
      </c>
      <c r="AI45" s="242">
        <v>0</v>
      </c>
      <c r="AJ45" s="242">
        <v>295.09</v>
      </c>
      <c r="AK45" s="242">
        <v>74.61</v>
      </c>
      <c r="AL45" s="242">
        <v>0</v>
      </c>
      <c r="AM45" s="242">
        <v>74.61</v>
      </c>
      <c r="AN45" s="242">
        <v>216.14</v>
      </c>
      <c r="AO45" s="242">
        <v>0</v>
      </c>
      <c r="AP45" s="242">
        <v>216.14</v>
      </c>
      <c r="AQ45" s="242">
        <v>209.05</v>
      </c>
      <c r="AR45" s="242">
        <v>0</v>
      </c>
      <c r="AS45" s="242">
        <v>209.05</v>
      </c>
      <c r="AT45" s="242">
        <v>135.28</v>
      </c>
      <c r="AU45" s="242">
        <v>0</v>
      </c>
      <c r="AV45" s="242">
        <v>135.28</v>
      </c>
      <c r="AW45" s="242">
        <v>35.32</v>
      </c>
      <c r="AX45" s="242">
        <v>0</v>
      </c>
      <c r="AY45" s="242">
        <v>35.32</v>
      </c>
      <c r="AZ45" s="242">
        <v>62.09</v>
      </c>
      <c r="BA45" s="242">
        <v>0</v>
      </c>
      <c r="BB45" s="242">
        <v>62.09</v>
      </c>
      <c r="BC45" s="241">
        <v>1620.77</v>
      </c>
    </row>
    <row r="46" s="239" customFormat="1" ht="16.5" spans="1:55">
      <c r="A46" s="241">
        <v>40</v>
      </c>
      <c r="B46" s="241" t="s">
        <v>53</v>
      </c>
      <c r="C46" s="242">
        <v>28.61</v>
      </c>
      <c r="D46" s="242">
        <v>28.61</v>
      </c>
      <c r="E46" s="242">
        <v>64.82</v>
      </c>
      <c r="F46" s="242">
        <v>64.82</v>
      </c>
      <c r="G46" s="242">
        <v>0</v>
      </c>
      <c r="H46" s="242">
        <v>0</v>
      </c>
      <c r="I46" s="242">
        <v>0</v>
      </c>
      <c r="J46" s="242">
        <v>0</v>
      </c>
      <c r="K46" s="242">
        <v>241.28</v>
      </c>
      <c r="L46" s="242">
        <v>0</v>
      </c>
      <c r="M46" s="242">
        <v>241.28</v>
      </c>
      <c r="N46" s="242">
        <v>7.87</v>
      </c>
      <c r="O46" s="242">
        <v>7.87</v>
      </c>
      <c r="P46" s="242">
        <v>7.64</v>
      </c>
      <c r="Q46" s="242">
        <v>0</v>
      </c>
      <c r="R46" s="242">
        <v>7.64</v>
      </c>
      <c r="S46" s="242">
        <v>30.73</v>
      </c>
      <c r="T46" s="242">
        <v>0</v>
      </c>
      <c r="U46" s="242">
        <v>30.73</v>
      </c>
      <c r="V46" s="242">
        <v>38.43</v>
      </c>
      <c r="W46" s="242">
        <v>0</v>
      </c>
      <c r="X46" s="242">
        <v>38.43</v>
      </c>
      <c r="Y46" s="242">
        <v>7.86</v>
      </c>
      <c r="Z46" s="242">
        <v>0</v>
      </c>
      <c r="AA46" s="242">
        <v>7.86</v>
      </c>
      <c r="AB46" s="242">
        <v>40.08</v>
      </c>
      <c r="AC46" s="242">
        <v>0</v>
      </c>
      <c r="AD46" s="242">
        <v>40.08</v>
      </c>
      <c r="AE46" s="242">
        <v>127.57</v>
      </c>
      <c r="AF46" s="242">
        <v>0</v>
      </c>
      <c r="AG46" s="242">
        <v>127.57</v>
      </c>
      <c r="AH46" s="242">
        <v>295.09</v>
      </c>
      <c r="AI46" s="242">
        <v>0</v>
      </c>
      <c r="AJ46" s="242">
        <v>295.09</v>
      </c>
      <c r="AK46" s="242">
        <v>74.61</v>
      </c>
      <c r="AL46" s="242">
        <v>0</v>
      </c>
      <c r="AM46" s="242">
        <v>74.61</v>
      </c>
      <c r="AN46" s="242">
        <v>216.14</v>
      </c>
      <c r="AO46" s="242">
        <v>0</v>
      </c>
      <c r="AP46" s="242">
        <v>216.14</v>
      </c>
      <c r="AQ46" s="242">
        <v>209.05</v>
      </c>
      <c r="AR46" s="242">
        <v>0</v>
      </c>
      <c r="AS46" s="242">
        <v>209.05</v>
      </c>
      <c r="AT46" s="242">
        <v>135.28</v>
      </c>
      <c r="AU46" s="242">
        <v>0</v>
      </c>
      <c r="AV46" s="242">
        <v>135.28</v>
      </c>
      <c r="AW46" s="242">
        <v>35.32</v>
      </c>
      <c r="AX46" s="242">
        <v>0</v>
      </c>
      <c r="AY46" s="242">
        <v>35.32</v>
      </c>
      <c r="AZ46" s="242">
        <v>62.09</v>
      </c>
      <c r="BA46" s="242">
        <v>0</v>
      </c>
      <c r="BB46" s="242">
        <v>62.09</v>
      </c>
      <c r="BC46" s="241">
        <v>1622.47</v>
      </c>
    </row>
    <row r="47" s="239" customFormat="1" ht="16.5" spans="1:55">
      <c r="A47" s="241">
        <v>41</v>
      </c>
      <c r="B47" s="241" t="s">
        <v>54</v>
      </c>
      <c r="C47" s="242">
        <v>28.61</v>
      </c>
      <c r="D47" s="242">
        <v>28.61</v>
      </c>
      <c r="E47" s="242">
        <v>64.82</v>
      </c>
      <c r="F47" s="242">
        <v>64.82</v>
      </c>
      <c r="G47" s="242">
        <v>0</v>
      </c>
      <c r="H47" s="242">
        <v>0</v>
      </c>
      <c r="I47" s="242">
        <v>0</v>
      </c>
      <c r="J47" s="242">
        <v>0</v>
      </c>
      <c r="K47" s="242">
        <v>241.28</v>
      </c>
      <c r="L47" s="242">
        <v>0</v>
      </c>
      <c r="M47" s="242">
        <v>241.28</v>
      </c>
      <c r="N47" s="242">
        <v>7.87</v>
      </c>
      <c r="O47" s="242">
        <v>7.87</v>
      </c>
      <c r="P47" s="242">
        <v>7.64</v>
      </c>
      <c r="Q47" s="242">
        <v>0</v>
      </c>
      <c r="R47" s="242">
        <v>7.64</v>
      </c>
      <c r="S47" s="242">
        <v>30.73</v>
      </c>
      <c r="T47" s="242">
        <v>0</v>
      </c>
      <c r="U47" s="242">
        <v>30.73</v>
      </c>
      <c r="V47" s="242">
        <v>38.43</v>
      </c>
      <c r="W47" s="242">
        <v>0</v>
      </c>
      <c r="X47" s="242">
        <v>38.43</v>
      </c>
      <c r="Y47" s="242">
        <v>7.86</v>
      </c>
      <c r="Z47" s="242">
        <v>0</v>
      </c>
      <c r="AA47" s="242">
        <v>7.86</v>
      </c>
      <c r="AB47" s="242">
        <v>40.08</v>
      </c>
      <c r="AC47" s="242">
        <v>0</v>
      </c>
      <c r="AD47" s="242">
        <v>40.08</v>
      </c>
      <c r="AE47" s="242">
        <v>127.57</v>
      </c>
      <c r="AF47" s="242">
        <v>0</v>
      </c>
      <c r="AG47" s="242">
        <v>127.57</v>
      </c>
      <c r="AH47" s="242">
        <v>295.09</v>
      </c>
      <c r="AI47" s="242">
        <v>0</v>
      </c>
      <c r="AJ47" s="242">
        <v>295.09</v>
      </c>
      <c r="AK47" s="242">
        <v>74.61</v>
      </c>
      <c r="AL47" s="242">
        <v>0</v>
      </c>
      <c r="AM47" s="242">
        <v>74.61</v>
      </c>
      <c r="AN47" s="242">
        <v>216.14</v>
      </c>
      <c r="AO47" s="242">
        <v>0</v>
      </c>
      <c r="AP47" s="242">
        <v>216.14</v>
      </c>
      <c r="AQ47" s="242">
        <v>209.05</v>
      </c>
      <c r="AR47" s="242">
        <v>0</v>
      </c>
      <c r="AS47" s="242">
        <v>209.05</v>
      </c>
      <c r="AT47" s="242">
        <v>135.28</v>
      </c>
      <c r="AU47" s="242">
        <v>0</v>
      </c>
      <c r="AV47" s="242">
        <v>135.28</v>
      </c>
      <c r="AW47" s="242">
        <v>35.32</v>
      </c>
      <c r="AX47" s="242">
        <v>0</v>
      </c>
      <c r="AY47" s="242">
        <v>35.32</v>
      </c>
      <c r="AZ47" s="242">
        <v>62.09</v>
      </c>
      <c r="BA47" s="242">
        <v>0</v>
      </c>
      <c r="BB47" s="242">
        <v>62.09</v>
      </c>
      <c r="BC47" s="241">
        <v>1622.47</v>
      </c>
    </row>
    <row r="48" s="239" customFormat="1" ht="16.5" spans="1:55">
      <c r="A48" s="241">
        <v>42</v>
      </c>
      <c r="B48" s="241" t="s">
        <v>55</v>
      </c>
      <c r="C48" s="242">
        <v>28.61</v>
      </c>
      <c r="D48" s="242">
        <v>28.61</v>
      </c>
      <c r="E48" s="242">
        <v>64.82</v>
      </c>
      <c r="F48" s="242">
        <v>64.82</v>
      </c>
      <c r="G48" s="242">
        <v>0</v>
      </c>
      <c r="H48" s="242">
        <v>0</v>
      </c>
      <c r="I48" s="242">
        <v>0</v>
      </c>
      <c r="J48" s="242">
        <v>0</v>
      </c>
      <c r="K48" s="242">
        <v>241.28</v>
      </c>
      <c r="L48" s="242">
        <v>0</v>
      </c>
      <c r="M48" s="242">
        <v>241.28</v>
      </c>
      <c r="N48" s="242">
        <v>7.87</v>
      </c>
      <c r="O48" s="242">
        <v>7.87</v>
      </c>
      <c r="P48" s="242">
        <v>7.64</v>
      </c>
      <c r="Q48" s="242">
        <v>0</v>
      </c>
      <c r="R48" s="242">
        <v>7.64</v>
      </c>
      <c r="S48" s="242">
        <v>32.12</v>
      </c>
      <c r="T48" s="242">
        <v>0</v>
      </c>
      <c r="U48" s="242">
        <v>32.12</v>
      </c>
      <c r="V48" s="242">
        <v>39.87</v>
      </c>
      <c r="W48" s="242">
        <v>0</v>
      </c>
      <c r="X48" s="242">
        <v>39.87</v>
      </c>
      <c r="Y48" s="242">
        <v>7.86</v>
      </c>
      <c r="Z48" s="242">
        <v>0</v>
      </c>
      <c r="AA48" s="242">
        <v>7.86</v>
      </c>
      <c r="AB48" s="242">
        <v>40.08</v>
      </c>
      <c r="AC48" s="242">
        <v>0</v>
      </c>
      <c r="AD48" s="242">
        <v>40.08</v>
      </c>
      <c r="AE48" s="242">
        <v>127.57</v>
      </c>
      <c r="AF48" s="242">
        <v>0</v>
      </c>
      <c r="AG48" s="242">
        <v>127.57</v>
      </c>
      <c r="AH48" s="242">
        <v>295.09</v>
      </c>
      <c r="AI48" s="242">
        <v>0</v>
      </c>
      <c r="AJ48" s="242">
        <v>295.09</v>
      </c>
      <c r="AK48" s="242">
        <v>74.61</v>
      </c>
      <c r="AL48" s="242">
        <v>0</v>
      </c>
      <c r="AM48" s="242">
        <v>74.61</v>
      </c>
      <c r="AN48" s="242">
        <v>216.14</v>
      </c>
      <c r="AO48" s="242">
        <v>0</v>
      </c>
      <c r="AP48" s="242">
        <v>216.14</v>
      </c>
      <c r="AQ48" s="242">
        <v>209.05</v>
      </c>
      <c r="AR48" s="242">
        <v>0</v>
      </c>
      <c r="AS48" s="242">
        <v>209.05</v>
      </c>
      <c r="AT48" s="242">
        <v>135.28</v>
      </c>
      <c r="AU48" s="242">
        <v>0</v>
      </c>
      <c r="AV48" s="242">
        <v>135.28</v>
      </c>
      <c r="AW48" s="242">
        <v>35.32</v>
      </c>
      <c r="AX48" s="242">
        <v>0</v>
      </c>
      <c r="AY48" s="242">
        <v>35.32</v>
      </c>
      <c r="AZ48" s="242">
        <v>62.09</v>
      </c>
      <c r="BA48" s="242">
        <v>0</v>
      </c>
      <c r="BB48" s="242">
        <v>62.09</v>
      </c>
      <c r="BC48" s="241">
        <v>1625.3</v>
      </c>
    </row>
    <row r="49" s="239" customFormat="1" ht="16.5" spans="1:55">
      <c r="A49" s="241">
        <v>43</v>
      </c>
      <c r="B49" s="241" t="s">
        <v>56</v>
      </c>
      <c r="C49" s="242">
        <v>28.61</v>
      </c>
      <c r="D49" s="242">
        <v>28.61</v>
      </c>
      <c r="E49" s="242">
        <v>64.82</v>
      </c>
      <c r="F49" s="242">
        <v>64.82</v>
      </c>
      <c r="G49" s="242">
        <v>0</v>
      </c>
      <c r="H49" s="242">
        <v>0</v>
      </c>
      <c r="I49" s="242">
        <v>0</v>
      </c>
      <c r="J49" s="242">
        <v>0</v>
      </c>
      <c r="K49" s="242">
        <v>241.28</v>
      </c>
      <c r="L49" s="242">
        <v>0</v>
      </c>
      <c r="M49" s="242">
        <v>241.28</v>
      </c>
      <c r="N49" s="242">
        <v>7.87</v>
      </c>
      <c r="O49" s="242">
        <v>7.87</v>
      </c>
      <c r="P49" s="242">
        <v>7.64</v>
      </c>
      <c r="Q49" s="242">
        <v>0</v>
      </c>
      <c r="R49" s="242">
        <v>7.64</v>
      </c>
      <c r="S49" s="242">
        <v>32.12</v>
      </c>
      <c r="T49" s="242">
        <v>0</v>
      </c>
      <c r="U49" s="242">
        <v>32.12</v>
      </c>
      <c r="V49" s="242">
        <v>39.87</v>
      </c>
      <c r="W49" s="242">
        <v>0</v>
      </c>
      <c r="X49" s="242">
        <v>39.87</v>
      </c>
      <c r="Y49" s="242">
        <v>7.86</v>
      </c>
      <c r="Z49" s="242">
        <v>0</v>
      </c>
      <c r="AA49" s="242">
        <v>7.86</v>
      </c>
      <c r="AB49" s="242">
        <v>40.08</v>
      </c>
      <c r="AC49" s="242">
        <v>0</v>
      </c>
      <c r="AD49" s="242">
        <v>40.08</v>
      </c>
      <c r="AE49" s="242">
        <v>127.57</v>
      </c>
      <c r="AF49" s="242">
        <v>0</v>
      </c>
      <c r="AG49" s="242">
        <v>127.57</v>
      </c>
      <c r="AH49" s="242">
        <v>295.09</v>
      </c>
      <c r="AI49" s="242">
        <v>0</v>
      </c>
      <c r="AJ49" s="242">
        <v>295.09</v>
      </c>
      <c r="AK49" s="242">
        <v>74.61</v>
      </c>
      <c r="AL49" s="242">
        <v>0</v>
      </c>
      <c r="AM49" s="242">
        <v>74.61</v>
      </c>
      <c r="AN49" s="242">
        <v>216.14</v>
      </c>
      <c r="AO49" s="242">
        <v>0</v>
      </c>
      <c r="AP49" s="242">
        <v>216.14</v>
      </c>
      <c r="AQ49" s="242">
        <v>209.05</v>
      </c>
      <c r="AR49" s="242">
        <v>0</v>
      </c>
      <c r="AS49" s="242">
        <v>209.05</v>
      </c>
      <c r="AT49" s="242">
        <v>135.28</v>
      </c>
      <c r="AU49" s="242">
        <v>0</v>
      </c>
      <c r="AV49" s="242">
        <v>135.28</v>
      </c>
      <c r="AW49" s="242">
        <v>35.32</v>
      </c>
      <c r="AX49" s="242">
        <v>0</v>
      </c>
      <c r="AY49" s="242">
        <v>35.32</v>
      </c>
      <c r="AZ49" s="242">
        <v>62.09</v>
      </c>
      <c r="BA49" s="242">
        <v>0</v>
      </c>
      <c r="BB49" s="242">
        <v>62.09</v>
      </c>
      <c r="BC49" s="241">
        <v>1625.3</v>
      </c>
    </row>
    <row r="50" s="239" customFormat="1" ht="16.5" spans="1:55">
      <c r="A50" s="241">
        <v>44</v>
      </c>
      <c r="B50" s="241" t="s">
        <v>57</v>
      </c>
      <c r="C50" s="242">
        <v>28.61</v>
      </c>
      <c r="D50" s="242">
        <v>28.61</v>
      </c>
      <c r="E50" s="242">
        <v>64.82</v>
      </c>
      <c r="F50" s="242">
        <v>64.82</v>
      </c>
      <c r="G50" s="242">
        <v>0</v>
      </c>
      <c r="H50" s="242">
        <v>0</v>
      </c>
      <c r="I50" s="242">
        <v>0</v>
      </c>
      <c r="J50" s="242">
        <v>0</v>
      </c>
      <c r="K50" s="242">
        <v>241.28</v>
      </c>
      <c r="L50" s="242">
        <v>0</v>
      </c>
      <c r="M50" s="242">
        <v>241.28</v>
      </c>
      <c r="N50" s="242">
        <v>7.87</v>
      </c>
      <c r="O50" s="242">
        <v>7.87</v>
      </c>
      <c r="P50" s="242">
        <v>7.64</v>
      </c>
      <c r="Q50" s="242">
        <v>0</v>
      </c>
      <c r="R50" s="242">
        <v>7.64</v>
      </c>
      <c r="S50" s="242">
        <v>32.12</v>
      </c>
      <c r="T50" s="242">
        <v>0</v>
      </c>
      <c r="U50" s="242">
        <v>32.12</v>
      </c>
      <c r="V50" s="242">
        <v>39.87</v>
      </c>
      <c r="W50" s="242">
        <v>0</v>
      </c>
      <c r="X50" s="242">
        <v>39.87</v>
      </c>
      <c r="Y50" s="242">
        <v>7.86</v>
      </c>
      <c r="Z50" s="242">
        <v>0</v>
      </c>
      <c r="AA50" s="242">
        <v>7.86</v>
      </c>
      <c r="AB50" s="242">
        <v>40.08</v>
      </c>
      <c r="AC50" s="242">
        <v>0</v>
      </c>
      <c r="AD50" s="242">
        <v>40.08</v>
      </c>
      <c r="AE50" s="242">
        <v>127.57</v>
      </c>
      <c r="AF50" s="242">
        <v>0</v>
      </c>
      <c r="AG50" s="242">
        <v>127.57</v>
      </c>
      <c r="AH50" s="242">
        <v>295.09</v>
      </c>
      <c r="AI50" s="242">
        <v>0</v>
      </c>
      <c r="AJ50" s="242">
        <v>295.09</v>
      </c>
      <c r="AK50" s="242">
        <v>74.61</v>
      </c>
      <c r="AL50" s="242">
        <v>0</v>
      </c>
      <c r="AM50" s="242">
        <v>74.61</v>
      </c>
      <c r="AN50" s="242">
        <v>216.14</v>
      </c>
      <c r="AO50" s="242">
        <v>0</v>
      </c>
      <c r="AP50" s="242">
        <v>216.14</v>
      </c>
      <c r="AQ50" s="242">
        <v>209.05</v>
      </c>
      <c r="AR50" s="242">
        <v>0</v>
      </c>
      <c r="AS50" s="242">
        <v>209.05</v>
      </c>
      <c r="AT50" s="242">
        <v>135.28</v>
      </c>
      <c r="AU50" s="242">
        <v>0</v>
      </c>
      <c r="AV50" s="242">
        <v>135.28</v>
      </c>
      <c r="AW50" s="242">
        <v>35.32</v>
      </c>
      <c r="AX50" s="242">
        <v>0</v>
      </c>
      <c r="AY50" s="242">
        <v>35.32</v>
      </c>
      <c r="AZ50" s="242">
        <v>62.09</v>
      </c>
      <c r="BA50" s="242">
        <v>0</v>
      </c>
      <c r="BB50" s="242">
        <v>62.09</v>
      </c>
      <c r="BC50" s="241">
        <v>1625.3</v>
      </c>
    </row>
    <row r="51" s="239" customFormat="1" ht="16.5" spans="1:55">
      <c r="A51" s="241">
        <v>45</v>
      </c>
      <c r="B51" s="241" t="s">
        <v>58</v>
      </c>
      <c r="C51" s="242">
        <v>28.61</v>
      </c>
      <c r="D51" s="242">
        <v>28.61</v>
      </c>
      <c r="E51" s="242">
        <v>64.82</v>
      </c>
      <c r="F51" s="242">
        <v>64.82</v>
      </c>
      <c r="G51" s="242">
        <v>0</v>
      </c>
      <c r="H51" s="242">
        <v>0</v>
      </c>
      <c r="I51" s="242">
        <v>0</v>
      </c>
      <c r="J51" s="242">
        <v>0</v>
      </c>
      <c r="K51" s="242">
        <v>241.28</v>
      </c>
      <c r="L51" s="242">
        <v>0</v>
      </c>
      <c r="M51" s="242">
        <v>241.28</v>
      </c>
      <c r="N51" s="242">
        <v>7.87</v>
      </c>
      <c r="O51" s="242">
        <v>7.87</v>
      </c>
      <c r="P51" s="242">
        <v>7.64</v>
      </c>
      <c r="Q51" s="242">
        <v>0</v>
      </c>
      <c r="R51" s="242">
        <v>7.64</v>
      </c>
      <c r="S51" s="242">
        <v>32.12</v>
      </c>
      <c r="T51" s="242">
        <v>0</v>
      </c>
      <c r="U51" s="242">
        <v>32.12</v>
      </c>
      <c r="V51" s="242">
        <v>39.87</v>
      </c>
      <c r="W51" s="242">
        <v>0</v>
      </c>
      <c r="X51" s="242">
        <v>39.87</v>
      </c>
      <c r="Y51" s="242">
        <v>7.86</v>
      </c>
      <c r="Z51" s="242">
        <v>0</v>
      </c>
      <c r="AA51" s="242">
        <v>7.86</v>
      </c>
      <c r="AB51" s="242">
        <v>40.08</v>
      </c>
      <c r="AC51" s="242">
        <v>0</v>
      </c>
      <c r="AD51" s="242">
        <v>40.08</v>
      </c>
      <c r="AE51" s="242">
        <v>127.57</v>
      </c>
      <c r="AF51" s="242">
        <v>0</v>
      </c>
      <c r="AG51" s="242">
        <v>127.57</v>
      </c>
      <c r="AH51" s="242">
        <v>295.09</v>
      </c>
      <c r="AI51" s="242">
        <v>0</v>
      </c>
      <c r="AJ51" s="242">
        <v>295.09</v>
      </c>
      <c r="AK51" s="242">
        <v>74.61</v>
      </c>
      <c r="AL51" s="242">
        <v>0</v>
      </c>
      <c r="AM51" s="242">
        <v>74.61</v>
      </c>
      <c r="AN51" s="242">
        <v>216.14</v>
      </c>
      <c r="AO51" s="242">
        <v>0</v>
      </c>
      <c r="AP51" s="242">
        <v>216.14</v>
      </c>
      <c r="AQ51" s="242">
        <v>209.05</v>
      </c>
      <c r="AR51" s="242">
        <v>0</v>
      </c>
      <c r="AS51" s="242">
        <v>209.05</v>
      </c>
      <c r="AT51" s="242">
        <v>135.28</v>
      </c>
      <c r="AU51" s="242">
        <v>0</v>
      </c>
      <c r="AV51" s="242">
        <v>135.28</v>
      </c>
      <c r="AW51" s="242">
        <v>35.32</v>
      </c>
      <c r="AX51" s="242">
        <v>0</v>
      </c>
      <c r="AY51" s="242">
        <v>35.32</v>
      </c>
      <c r="AZ51" s="242">
        <v>62.09</v>
      </c>
      <c r="BA51" s="242">
        <v>0</v>
      </c>
      <c r="BB51" s="242">
        <v>62.09</v>
      </c>
      <c r="BC51" s="241">
        <v>1625.3</v>
      </c>
    </row>
    <row r="52" s="239" customFormat="1" ht="16.5" spans="1:55">
      <c r="A52" s="241">
        <v>46</v>
      </c>
      <c r="B52" s="241" t="s">
        <v>59</v>
      </c>
      <c r="C52" s="242">
        <v>28.61</v>
      </c>
      <c r="D52" s="242">
        <v>28.61</v>
      </c>
      <c r="E52" s="242">
        <v>64.82</v>
      </c>
      <c r="F52" s="242">
        <v>64.82</v>
      </c>
      <c r="G52" s="242">
        <v>0</v>
      </c>
      <c r="H52" s="242">
        <v>0</v>
      </c>
      <c r="I52" s="242">
        <v>0</v>
      </c>
      <c r="J52" s="242">
        <v>0</v>
      </c>
      <c r="K52" s="242">
        <v>241.28</v>
      </c>
      <c r="L52" s="242">
        <v>0</v>
      </c>
      <c r="M52" s="242">
        <v>241.28</v>
      </c>
      <c r="N52" s="242">
        <v>7.87</v>
      </c>
      <c r="O52" s="242">
        <v>7.87</v>
      </c>
      <c r="P52" s="242">
        <v>7.64</v>
      </c>
      <c r="Q52" s="242">
        <v>0</v>
      </c>
      <c r="R52" s="242">
        <v>7.64</v>
      </c>
      <c r="S52" s="242">
        <v>32.12</v>
      </c>
      <c r="T52" s="242">
        <v>0</v>
      </c>
      <c r="U52" s="242">
        <v>32.12</v>
      </c>
      <c r="V52" s="242">
        <v>39.87</v>
      </c>
      <c r="W52" s="242">
        <v>0</v>
      </c>
      <c r="X52" s="242">
        <v>39.87</v>
      </c>
      <c r="Y52" s="242">
        <v>7.86</v>
      </c>
      <c r="Z52" s="242">
        <v>0</v>
      </c>
      <c r="AA52" s="242">
        <v>7.86</v>
      </c>
      <c r="AB52" s="242">
        <v>40.08</v>
      </c>
      <c r="AC52" s="242">
        <v>0</v>
      </c>
      <c r="AD52" s="242">
        <v>40.08</v>
      </c>
      <c r="AE52" s="242">
        <v>127.57</v>
      </c>
      <c r="AF52" s="242">
        <v>0</v>
      </c>
      <c r="AG52" s="242">
        <v>127.57</v>
      </c>
      <c r="AH52" s="242">
        <v>295.09</v>
      </c>
      <c r="AI52" s="242">
        <v>0</v>
      </c>
      <c r="AJ52" s="242">
        <v>295.09</v>
      </c>
      <c r="AK52" s="242">
        <v>74.61</v>
      </c>
      <c r="AL52" s="242">
        <v>0</v>
      </c>
      <c r="AM52" s="242">
        <v>74.61</v>
      </c>
      <c r="AN52" s="242">
        <v>216.14</v>
      </c>
      <c r="AO52" s="242">
        <v>0</v>
      </c>
      <c r="AP52" s="242">
        <v>216.14</v>
      </c>
      <c r="AQ52" s="242">
        <v>209.05</v>
      </c>
      <c r="AR52" s="242">
        <v>0</v>
      </c>
      <c r="AS52" s="242">
        <v>209.05</v>
      </c>
      <c r="AT52" s="242">
        <v>135.28</v>
      </c>
      <c r="AU52" s="242">
        <v>0</v>
      </c>
      <c r="AV52" s="242">
        <v>135.28</v>
      </c>
      <c r="AW52" s="242">
        <v>35.32</v>
      </c>
      <c r="AX52" s="242">
        <v>0</v>
      </c>
      <c r="AY52" s="242">
        <v>35.32</v>
      </c>
      <c r="AZ52" s="242">
        <v>62.09</v>
      </c>
      <c r="BA52" s="242">
        <v>0</v>
      </c>
      <c r="BB52" s="242">
        <v>62.09</v>
      </c>
      <c r="BC52" s="241">
        <v>1625.3</v>
      </c>
    </row>
    <row r="53" s="239" customFormat="1" ht="16.5" spans="1:55">
      <c r="A53" s="241">
        <v>47</v>
      </c>
      <c r="B53" s="241" t="s">
        <v>60</v>
      </c>
      <c r="C53" s="242">
        <v>28.61</v>
      </c>
      <c r="D53" s="242">
        <v>28.61</v>
      </c>
      <c r="E53" s="242">
        <v>64.82</v>
      </c>
      <c r="F53" s="242">
        <v>64.82</v>
      </c>
      <c r="G53" s="242">
        <v>0</v>
      </c>
      <c r="H53" s="242">
        <v>0</v>
      </c>
      <c r="I53" s="242">
        <v>0</v>
      </c>
      <c r="J53" s="242">
        <v>0</v>
      </c>
      <c r="K53" s="242">
        <v>241.28</v>
      </c>
      <c r="L53" s="242">
        <v>0</v>
      </c>
      <c r="M53" s="242">
        <v>241.28</v>
      </c>
      <c r="N53" s="242">
        <v>7.87</v>
      </c>
      <c r="O53" s="242">
        <v>7.87</v>
      </c>
      <c r="P53" s="242">
        <v>7.64</v>
      </c>
      <c r="Q53" s="242">
        <v>0</v>
      </c>
      <c r="R53" s="242">
        <v>7.64</v>
      </c>
      <c r="S53" s="242">
        <v>32.12</v>
      </c>
      <c r="T53" s="242">
        <v>0</v>
      </c>
      <c r="U53" s="242">
        <v>32.12</v>
      </c>
      <c r="V53" s="242">
        <v>39.87</v>
      </c>
      <c r="W53" s="242">
        <v>0</v>
      </c>
      <c r="X53" s="242">
        <v>39.87</v>
      </c>
      <c r="Y53" s="242">
        <v>7.86</v>
      </c>
      <c r="Z53" s="242">
        <v>0</v>
      </c>
      <c r="AA53" s="242">
        <v>7.86</v>
      </c>
      <c r="AB53" s="242">
        <v>40.08</v>
      </c>
      <c r="AC53" s="242">
        <v>0</v>
      </c>
      <c r="AD53" s="242">
        <v>40.08</v>
      </c>
      <c r="AE53" s="242">
        <v>127.57</v>
      </c>
      <c r="AF53" s="242">
        <v>0</v>
      </c>
      <c r="AG53" s="242">
        <v>127.57</v>
      </c>
      <c r="AH53" s="242">
        <v>295.09</v>
      </c>
      <c r="AI53" s="242">
        <v>0</v>
      </c>
      <c r="AJ53" s="242">
        <v>295.09</v>
      </c>
      <c r="AK53" s="242">
        <v>74.61</v>
      </c>
      <c r="AL53" s="242">
        <v>0</v>
      </c>
      <c r="AM53" s="242">
        <v>74.61</v>
      </c>
      <c r="AN53" s="242">
        <v>216.14</v>
      </c>
      <c r="AO53" s="242">
        <v>0</v>
      </c>
      <c r="AP53" s="242">
        <v>216.14</v>
      </c>
      <c r="AQ53" s="242">
        <v>209.05</v>
      </c>
      <c r="AR53" s="242">
        <v>0</v>
      </c>
      <c r="AS53" s="242">
        <v>209.05</v>
      </c>
      <c r="AT53" s="242">
        <v>135.28</v>
      </c>
      <c r="AU53" s="242">
        <v>0</v>
      </c>
      <c r="AV53" s="242">
        <v>135.28</v>
      </c>
      <c r="AW53" s="242">
        <v>35.32</v>
      </c>
      <c r="AX53" s="242">
        <v>0</v>
      </c>
      <c r="AY53" s="242">
        <v>35.32</v>
      </c>
      <c r="AZ53" s="242">
        <v>62.09</v>
      </c>
      <c r="BA53" s="242">
        <v>0</v>
      </c>
      <c r="BB53" s="242">
        <v>62.09</v>
      </c>
      <c r="BC53" s="241">
        <v>1625.3</v>
      </c>
    </row>
    <row r="54" s="239" customFormat="1" ht="16.5" spans="1:55">
      <c r="A54" s="241">
        <v>48</v>
      </c>
      <c r="B54" s="241" t="s">
        <v>61</v>
      </c>
      <c r="C54" s="242">
        <v>28.61</v>
      </c>
      <c r="D54" s="242">
        <v>28.61</v>
      </c>
      <c r="E54" s="242">
        <v>64.82</v>
      </c>
      <c r="F54" s="242">
        <v>64.82</v>
      </c>
      <c r="G54" s="242">
        <v>0</v>
      </c>
      <c r="H54" s="242">
        <v>0</v>
      </c>
      <c r="I54" s="242">
        <v>0</v>
      </c>
      <c r="J54" s="242">
        <v>0</v>
      </c>
      <c r="K54" s="242">
        <v>241.28</v>
      </c>
      <c r="L54" s="242">
        <v>0</v>
      </c>
      <c r="M54" s="242">
        <v>241.28</v>
      </c>
      <c r="N54" s="242">
        <v>7.87</v>
      </c>
      <c r="O54" s="242">
        <v>7.87</v>
      </c>
      <c r="P54" s="242">
        <v>7.64</v>
      </c>
      <c r="Q54" s="242">
        <v>0</v>
      </c>
      <c r="R54" s="242">
        <v>7.64</v>
      </c>
      <c r="S54" s="242">
        <v>32.12</v>
      </c>
      <c r="T54" s="242">
        <v>0</v>
      </c>
      <c r="U54" s="242">
        <v>32.12</v>
      </c>
      <c r="V54" s="242">
        <v>39.87</v>
      </c>
      <c r="W54" s="242">
        <v>0</v>
      </c>
      <c r="X54" s="242">
        <v>39.87</v>
      </c>
      <c r="Y54" s="242">
        <v>7.86</v>
      </c>
      <c r="Z54" s="242">
        <v>0</v>
      </c>
      <c r="AA54" s="242">
        <v>7.86</v>
      </c>
      <c r="AB54" s="242">
        <v>40.08</v>
      </c>
      <c r="AC54" s="242">
        <v>0</v>
      </c>
      <c r="AD54" s="242">
        <v>40.08</v>
      </c>
      <c r="AE54" s="242">
        <v>127.57</v>
      </c>
      <c r="AF54" s="242">
        <v>0</v>
      </c>
      <c r="AG54" s="242">
        <v>127.57</v>
      </c>
      <c r="AH54" s="242">
        <v>295.09</v>
      </c>
      <c r="AI54" s="242">
        <v>0</v>
      </c>
      <c r="AJ54" s="242">
        <v>295.09</v>
      </c>
      <c r="AK54" s="242">
        <v>74.61</v>
      </c>
      <c r="AL54" s="242">
        <v>0</v>
      </c>
      <c r="AM54" s="242">
        <v>74.61</v>
      </c>
      <c r="AN54" s="242">
        <v>216.14</v>
      </c>
      <c r="AO54" s="242">
        <v>0</v>
      </c>
      <c r="AP54" s="242">
        <v>216.14</v>
      </c>
      <c r="AQ54" s="242">
        <v>209.05</v>
      </c>
      <c r="AR54" s="242">
        <v>0</v>
      </c>
      <c r="AS54" s="242">
        <v>209.05</v>
      </c>
      <c r="AT54" s="242">
        <v>135.28</v>
      </c>
      <c r="AU54" s="242">
        <v>0</v>
      </c>
      <c r="AV54" s="242">
        <v>135.28</v>
      </c>
      <c r="AW54" s="242">
        <v>35.32</v>
      </c>
      <c r="AX54" s="242">
        <v>0</v>
      </c>
      <c r="AY54" s="242">
        <v>35.32</v>
      </c>
      <c r="AZ54" s="242">
        <v>62.09</v>
      </c>
      <c r="BA54" s="242">
        <v>0</v>
      </c>
      <c r="BB54" s="242">
        <v>62.09</v>
      </c>
      <c r="BC54" s="241">
        <v>1625.3</v>
      </c>
    </row>
    <row r="55" s="239" customFormat="1" ht="16.5" spans="1:55">
      <c r="A55" s="241">
        <v>49</v>
      </c>
      <c r="B55" s="241" t="s">
        <v>62</v>
      </c>
      <c r="C55" s="242">
        <v>28.61</v>
      </c>
      <c r="D55" s="242">
        <v>28.61</v>
      </c>
      <c r="E55" s="242">
        <v>64.82</v>
      </c>
      <c r="F55" s="242">
        <v>64.82</v>
      </c>
      <c r="G55" s="242">
        <v>0</v>
      </c>
      <c r="H55" s="242">
        <v>0</v>
      </c>
      <c r="I55" s="242">
        <v>0</v>
      </c>
      <c r="J55" s="242">
        <v>0</v>
      </c>
      <c r="K55" s="242">
        <v>241.28</v>
      </c>
      <c r="L55" s="242">
        <v>0</v>
      </c>
      <c r="M55" s="242">
        <v>241.28</v>
      </c>
      <c r="N55" s="242">
        <v>7.87</v>
      </c>
      <c r="O55" s="242">
        <v>7.87</v>
      </c>
      <c r="P55" s="242">
        <v>7.64</v>
      </c>
      <c r="Q55" s="242">
        <v>0</v>
      </c>
      <c r="R55" s="242">
        <v>7.64</v>
      </c>
      <c r="S55" s="242">
        <v>32.12</v>
      </c>
      <c r="T55" s="242">
        <v>0</v>
      </c>
      <c r="U55" s="242">
        <v>32.12</v>
      </c>
      <c r="V55" s="242">
        <v>39.87</v>
      </c>
      <c r="W55" s="242">
        <v>0</v>
      </c>
      <c r="X55" s="242">
        <v>39.87</v>
      </c>
      <c r="Y55" s="242">
        <v>7.86</v>
      </c>
      <c r="Z55" s="242">
        <v>0</v>
      </c>
      <c r="AA55" s="242">
        <v>7.86</v>
      </c>
      <c r="AB55" s="242">
        <v>40.08</v>
      </c>
      <c r="AC55" s="242">
        <v>0</v>
      </c>
      <c r="AD55" s="242">
        <v>40.08</v>
      </c>
      <c r="AE55" s="242">
        <v>127.57</v>
      </c>
      <c r="AF55" s="242">
        <v>0</v>
      </c>
      <c r="AG55" s="242">
        <v>127.57</v>
      </c>
      <c r="AH55" s="242">
        <v>295.09</v>
      </c>
      <c r="AI55" s="242">
        <v>0</v>
      </c>
      <c r="AJ55" s="242">
        <v>295.09</v>
      </c>
      <c r="AK55" s="242">
        <v>74.61</v>
      </c>
      <c r="AL55" s="242">
        <v>0</v>
      </c>
      <c r="AM55" s="242">
        <v>74.61</v>
      </c>
      <c r="AN55" s="242">
        <v>216.14</v>
      </c>
      <c r="AO55" s="242">
        <v>0</v>
      </c>
      <c r="AP55" s="242">
        <v>216.14</v>
      </c>
      <c r="AQ55" s="242">
        <v>209.05</v>
      </c>
      <c r="AR55" s="242">
        <v>0</v>
      </c>
      <c r="AS55" s="242">
        <v>209.05</v>
      </c>
      <c r="AT55" s="242">
        <v>135.28</v>
      </c>
      <c r="AU55" s="242">
        <v>0</v>
      </c>
      <c r="AV55" s="242">
        <v>135.28</v>
      </c>
      <c r="AW55" s="242">
        <v>35.32</v>
      </c>
      <c r="AX55" s="242">
        <v>0</v>
      </c>
      <c r="AY55" s="242">
        <v>35.32</v>
      </c>
      <c r="AZ55" s="242">
        <v>62.09</v>
      </c>
      <c r="BA55" s="242">
        <v>0</v>
      </c>
      <c r="BB55" s="242">
        <v>62.09</v>
      </c>
      <c r="BC55" s="241">
        <v>1625.3</v>
      </c>
    </row>
    <row r="56" s="239" customFormat="1" ht="16.5" spans="1:55">
      <c r="A56" s="241">
        <v>50</v>
      </c>
      <c r="B56" s="241" t="s">
        <v>63</v>
      </c>
      <c r="C56" s="242">
        <v>28.61</v>
      </c>
      <c r="D56" s="242">
        <v>28.61</v>
      </c>
      <c r="E56" s="242">
        <v>64.82</v>
      </c>
      <c r="F56" s="242">
        <v>64.82</v>
      </c>
      <c r="G56" s="242">
        <v>0</v>
      </c>
      <c r="H56" s="242">
        <v>0</v>
      </c>
      <c r="I56" s="242">
        <v>0</v>
      </c>
      <c r="J56" s="242">
        <v>0</v>
      </c>
      <c r="K56" s="242">
        <v>241.28</v>
      </c>
      <c r="L56" s="242">
        <v>0</v>
      </c>
      <c r="M56" s="242">
        <v>241.28</v>
      </c>
      <c r="N56" s="242">
        <v>7.87</v>
      </c>
      <c r="O56" s="242">
        <v>7.87</v>
      </c>
      <c r="P56" s="242">
        <v>7.64</v>
      </c>
      <c r="Q56" s="242">
        <v>0</v>
      </c>
      <c r="R56" s="242">
        <v>7.64</v>
      </c>
      <c r="S56" s="242">
        <v>32.12</v>
      </c>
      <c r="T56" s="242">
        <v>0</v>
      </c>
      <c r="U56" s="242">
        <v>32.12</v>
      </c>
      <c r="V56" s="242">
        <v>39.87</v>
      </c>
      <c r="W56" s="242">
        <v>0</v>
      </c>
      <c r="X56" s="242">
        <v>39.87</v>
      </c>
      <c r="Y56" s="242">
        <v>7.86</v>
      </c>
      <c r="Z56" s="242">
        <v>0</v>
      </c>
      <c r="AA56" s="242">
        <v>7.86</v>
      </c>
      <c r="AB56" s="242">
        <v>40.08</v>
      </c>
      <c r="AC56" s="242">
        <v>0</v>
      </c>
      <c r="AD56" s="242">
        <v>40.08</v>
      </c>
      <c r="AE56" s="242">
        <v>127.57</v>
      </c>
      <c r="AF56" s="242">
        <v>0</v>
      </c>
      <c r="AG56" s="242">
        <v>127.57</v>
      </c>
      <c r="AH56" s="242">
        <v>295.09</v>
      </c>
      <c r="AI56" s="242">
        <v>0</v>
      </c>
      <c r="AJ56" s="242">
        <v>295.09</v>
      </c>
      <c r="AK56" s="242">
        <v>74.61</v>
      </c>
      <c r="AL56" s="242">
        <v>0</v>
      </c>
      <c r="AM56" s="242">
        <v>74.61</v>
      </c>
      <c r="AN56" s="242">
        <v>216.14</v>
      </c>
      <c r="AO56" s="242">
        <v>0</v>
      </c>
      <c r="AP56" s="242">
        <v>216.14</v>
      </c>
      <c r="AQ56" s="242">
        <v>209.05</v>
      </c>
      <c r="AR56" s="242">
        <v>0</v>
      </c>
      <c r="AS56" s="242">
        <v>209.05</v>
      </c>
      <c r="AT56" s="242">
        <v>135.28</v>
      </c>
      <c r="AU56" s="242">
        <v>0</v>
      </c>
      <c r="AV56" s="242">
        <v>135.28</v>
      </c>
      <c r="AW56" s="242">
        <v>35.32</v>
      </c>
      <c r="AX56" s="242">
        <v>0</v>
      </c>
      <c r="AY56" s="242">
        <v>35.32</v>
      </c>
      <c r="AZ56" s="242">
        <v>62.09</v>
      </c>
      <c r="BA56" s="242">
        <v>0</v>
      </c>
      <c r="BB56" s="242">
        <v>62.09</v>
      </c>
      <c r="BC56" s="241">
        <v>1625.3</v>
      </c>
    </row>
    <row r="57" s="239" customFormat="1" ht="16.5" spans="1:55">
      <c r="A57" s="241">
        <v>51</v>
      </c>
      <c r="B57" s="241" t="s">
        <v>64</v>
      </c>
      <c r="C57" s="242">
        <v>28.61</v>
      </c>
      <c r="D57" s="242">
        <v>28.61</v>
      </c>
      <c r="E57" s="242">
        <v>64.82</v>
      </c>
      <c r="F57" s="242">
        <v>64.82</v>
      </c>
      <c r="G57" s="242">
        <v>0</v>
      </c>
      <c r="H57" s="242">
        <v>0</v>
      </c>
      <c r="I57" s="242">
        <v>0</v>
      </c>
      <c r="J57" s="242">
        <v>0</v>
      </c>
      <c r="K57" s="242">
        <v>241.28</v>
      </c>
      <c r="L57" s="242">
        <v>0</v>
      </c>
      <c r="M57" s="242">
        <v>241.28</v>
      </c>
      <c r="N57" s="242">
        <v>7.87</v>
      </c>
      <c r="O57" s="242">
        <v>7.87</v>
      </c>
      <c r="P57" s="242">
        <v>6.77</v>
      </c>
      <c r="Q57" s="242">
        <v>0</v>
      </c>
      <c r="R57" s="242">
        <v>6.77</v>
      </c>
      <c r="S57" s="242">
        <v>32.12</v>
      </c>
      <c r="T57" s="242">
        <v>0</v>
      </c>
      <c r="U57" s="242">
        <v>32.12</v>
      </c>
      <c r="V57" s="242">
        <v>39.87</v>
      </c>
      <c r="W57" s="242">
        <v>0</v>
      </c>
      <c r="X57" s="242">
        <v>39.87</v>
      </c>
      <c r="Y57" s="242">
        <v>7.86</v>
      </c>
      <c r="Z57" s="242">
        <v>0</v>
      </c>
      <c r="AA57" s="242">
        <v>7.86</v>
      </c>
      <c r="AB57" s="242">
        <v>40.08</v>
      </c>
      <c r="AC57" s="242">
        <v>0</v>
      </c>
      <c r="AD57" s="242">
        <v>40.08</v>
      </c>
      <c r="AE57" s="242">
        <v>127.57</v>
      </c>
      <c r="AF57" s="242">
        <v>0</v>
      </c>
      <c r="AG57" s="242">
        <v>127.57</v>
      </c>
      <c r="AH57" s="242">
        <v>295.09</v>
      </c>
      <c r="AI57" s="242">
        <v>0</v>
      </c>
      <c r="AJ57" s="242">
        <v>295.09</v>
      </c>
      <c r="AK57" s="242">
        <v>74.61</v>
      </c>
      <c r="AL57" s="242">
        <v>0</v>
      </c>
      <c r="AM57" s="242">
        <v>74.61</v>
      </c>
      <c r="AN57" s="242">
        <v>216.14</v>
      </c>
      <c r="AO57" s="242">
        <v>0</v>
      </c>
      <c r="AP57" s="242">
        <v>216.14</v>
      </c>
      <c r="AQ57" s="242">
        <v>209.05</v>
      </c>
      <c r="AR57" s="242">
        <v>0</v>
      </c>
      <c r="AS57" s="242">
        <v>209.05</v>
      </c>
      <c r="AT57" s="242">
        <v>135.28</v>
      </c>
      <c r="AU57" s="242">
        <v>0</v>
      </c>
      <c r="AV57" s="242">
        <v>135.28</v>
      </c>
      <c r="AW57" s="242">
        <v>35.32</v>
      </c>
      <c r="AX57" s="242">
        <v>0</v>
      </c>
      <c r="AY57" s="242">
        <v>35.32</v>
      </c>
      <c r="AZ57" s="242">
        <v>62.09</v>
      </c>
      <c r="BA57" s="242">
        <v>0</v>
      </c>
      <c r="BB57" s="242">
        <v>62.09</v>
      </c>
      <c r="BC57" s="241">
        <v>1624.43</v>
      </c>
    </row>
    <row r="58" s="239" customFormat="1" ht="16.5" spans="1:55">
      <c r="A58" s="241">
        <v>52</v>
      </c>
      <c r="B58" s="241" t="s">
        <v>65</v>
      </c>
      <c r="C58" s="242">
        <v>28.61</v>
      </c>
      <c r="D58" s="242">
        <v>28.61</v>
      </c>
      <c r="E58" s="242">
        <v>64.82</v>
      </c>
      <c r="F58" s="242">
        <v>64.82</v>
      </c>
      <c r="G58" s="242">
        <v>0</v>
      </c>
      <c r="H58" s="242">
        <v>0</v>
      </c>
      <c r="I58" s="242">
        <v>0</v>
      </c>
      <c r="J58" s="242">
        <v>0</v>
      </c>
      <c r="K58" s="242">
        <v>241.28</v>
      </c>
      <c r="L58" s="242">
        <v>0</v>
      </c>
      <c r="M58" s="242">
        <v>241.28</v>
      </c>
      <c r="N58" s="242">
        <v>7.87</v>
      </c>
      <c r="O58" s="242">
        <v>7.87</v>
      </c>
      <c r="P58" s="242">
        <v>6.77</v>
      </c>
      <c r="Q58" s="242">
        <v>0</v>
      </c>
      <c r="R58" s="242">
        <v>6.77</v>
      </c>
      <c r="S58" s="242">
        <v>30.55</v>
      </c>
      <c r="T58" s="242">
        <v>0</v>
      </c>
      <c r="U58" s="242">
        <v>30.55</v>
      </c>
      <c r="V58" s="242">
        <v>38.19</v>
      </c>
      <c r="W58" s="242">
        <v>0</v>
      </c>
      <c r="X58" s="242">
        <v>38.19</v>
      </c>
      <c r="Y58" s="242">
        <v>7.86</v>
      </c>
      <c r="Z58" s="242">
        <v>0</v>
      </c>
      <c r="AA58" s="242">
        <v>7.86</v>
      </c>
      <c r="AB58" s="242">
        <v>40.08</v>
      </c>
      <c r="AC58" s="242">
        <v>0</v>
      </c>
      <c r="AD58" s="242">
        <v>40.08</v>
      </c>
      <c r="AE58" s="242">
        <v>127.57</v>
      </c>
      <c r="AF58" s="242">
        <v>0</v>
      </c>
      <c r="AG58" s="242">
        <v>127.57</v>
      </c>
      <c r="AH58" s="242">
        <v>295.09</v>
      </c>
      <c r="AI58" s="242">
        <v>0</v>
      </c>
      <c r="AJ58" s="242">
        <v>295.09</v>
      </c>
      <c r="AK58" s="242">
        <v>74.61</v>
      </c>
      <c r="AL58" s="242">
        <v>0</v>
      </c>
      <c r="AM58" s="242">
        <v>74.61</v>
      </c>
      <c r="AN58" s="242">
        <v>216.14</v>
      </c>
      <c r="AO58" s="242">
        <v>0</v>
      </c>
      <c r="AP58" s="242">
        <v>216.14</v>
      </c>
      <c r="AQ58" s="242">
        <v>209.05</v>
      </c>
      <c r="AR58" s="242">
        <v>0</v>
      </c>
      <c r="AS58" s="242">
        <v>209.05</v>
      </c>
      <c r="AT58" s="242">
        <v>135.28</v>
      </c>
      <c r="AU58" s="242">
        <v>0</v>
      </c>
      <c r="AV58" s="242">
        <v>135.28</v>
      </c>
      <c r="AW58" s="242">
        <v>35.32</v>
      </c>
      <c r="AX58" s="242">
        <v>0</v>
      </c>
      <c r="AY58" s="242">
        <v>35.32</v>
      </c>
      <c r="AZ58" s="242">
        <v>62.09</v>
      </c>
      <c r="BA58" s="242">
        <v>0</v>
      </c>
      <c r="BB58" s="242">
        <v>62.09</v>
      </c>
      <c r="BC58" s="241">
        <v>1621.18</v>
      </c>
    </row>
    <row r="59" s="239" customFormat="1" ht="16.5" spans="1:55">
      <c r="A59" s="241">
        <v>53</v>
      </c>
      <c r="B59" s="241" t="s">
        <v>66</v>
      </c>
      <c r="C59" s="242">
        <v>28.61</v>
      </c>
      <c r="D59" s="242">
        <v>28.61</v>
      </c>
      <c r="E59" s="242">
        <v>64.82</v>
      </c>
      <c r="F59" s="242">
        <v>64.82</v>
      </c>
      <c r="G59" s="242">
        <v>0</v>
      </c>
      <c r="H59" s="242">
        <v>0</v>
      </c>
      <c r="I59" s="242">
        <v>0</v>
      </c>
      <c r="J59" s="242">
        <v>0</v>
      </c>
      <c r="K59" s="242">
        <v>241.28</v>
      </c>
      <c r="L59" s="242">
        <v>0</v>
      </c>
      <c r="M59" s="242">
        <v>241.28</v>
      </c>
      <c r="N59" s="242">
        <v>7.87</v>
      </c>
      <c r="O59" s="242">
        <v>7.87</v>
      </c>
      <c r="P59" s="242">
        <v>6.77</v>
      </c>
      <c r="Q59" s="242">
        <v>0</v>
      </c>
      <c r="R59" s="242">
        <v>6.77</v>
      </c>
      <c r="S59" s="242">
        <v>30.55</v>
      </c>
      <c r="T59" s="242">
        <v>0</v>
      </c>
      <c r="U59" s="242">
        <v>30.55</v>
      </c>
      <c r="V59" s="242">
        <v>38.19</v>
      </c>
      <c r="W59" s="242">
        <v>0</v>
      </c>
      <c r="X59" s="242">
        <v>38.19</v>
      </c>
      <c r="Y59" s="242">
        <v>7.86</v>
      </c>
      <c r="Z59" s="242">
        <v>0</v>
      </c>
      <c r="AA59" s="242">
        <v>7.86</v>
      </c>
      <c r="AB59" s="242">
        <v>40.08</v>
      </c>
      <c r="AC59" s="242">
        <v>0</v>
      </c>
      <c r="AD59" s="242">
        <v>40.08</v>
      </c>
      <c r="AE59" s="242">
        <v>127.57</v>
      </c>
      <c r="AF59" s="242">
        <v>0</v>
      </c>
      <c r="AG59" s="242">
        <v>127.57</v>
      </c>
      <c r="AH59" s="242">
        <v>295.09</v>
      </c>
      <c r="AI59" s="242">
        <v>0</v>
      </c>
      <c r="AJ59" s="242">
        <v>295.09</v>
      </c>
      <c r="AK59" s="242">
        <v>74.61</v>
      </c>
      <c r="AL59" s="242">
        <v>0</v>
      </c>
      <c r="AM59" s="242">
        <v>74.61</v>
      </c>
      <c r="AN59" s="242">
        <v>216.14</v>
      </c>
      <c r="AO59" s="242">
        <v>0</v>
      </c>
      <c r="AP59" s="242">
        <v>216.14</v>
      </c>
      <c r="AQ59" s="242">
        <v>209.05</v>
      </c>
      <c r="AR59" s="242">
        <v>0</v>
      </c>
      <c r="AS59" s="242">
        <v>209.05</v>
      </c>
      <c r="AT59" s="242">
        <v>135.28</v>
      </c>
      <c r="AU59" s="242">
        <v>0</v>
      </c>
      <c r="AV59" s="242">
        <v>135.28</v>
      </c>
      <c r="AW59" s="242">
        <v>35.32</v>
      </c>
      <c r="AX59" s="242">
        <v>0</v>
      </c>
      <c r="AY59" s="242">
        <v>35.32</v>
      </c>
      <c r="AZ59" s="242">
        <v>62.09</v>
      </c>
      <c r="BA59" s="242">
        <v>0</v>
      </c>
      <c r="BB59" s="242">
        <v>62.09</v>
      </c>
      <c r="BC59" s="241">
        <v>1621.18</v>
      </c>
    </row>
    <row r="60" s="239" customFormat="1" ht="16.5" spans="1:55">
      <c r="A60" s="241">
        <v>54</v>
      </c>
      <c r="B60" s="241" t="s">
        <v>67</v>
      </c>
      <c r="C60" s="242">
        <v>28.61</v>
      </c>
      <c r="D60" s="242">
        <v>28.61</v>
      </c>
      <c r="E60" s="242">
        <v>64.82</v>
      </c>
      <c r="F60" s="242">
        <v>64.82</v>
      </c>
      <c r="G60" s="242">
        <v>0</v>
      </c>
      <c r="H60" s="242">
        <v>0</v>
      </c>
      <c r="I60" s="242">
        <v>0</v>
      </c>
      <c r="J60" s="242">
        <v>0</v>
      </c>
      <c r="K60" s="242">
        <v>241.28</v>
      </c>
      <c r="L60" s="242">
        <v>0</v>
      </c>
      <c r="M60" s="242">
        <v>241.28</v>
      </c>
      <c r="N60" s="242">
        <v>7.87</v>
      </c>
      <c r="O60" s="242">
        <v>7.87</v>
      </c>
      <c r="P60" s="242">
        <v>6.77</v>
      </c>
      <c r="Q60" s="242">
        <v>0</v>
      </c>
      <c r="R60" s="242">
        <v>6.77</v>
      </c>
      <c r="S60" s="242">
        <v>30.55</v>
      </c>
      <c r="T60" s="242">
        <v>0</v>
      </c>
      <c r="U60" s="242">
        <v>30.55</v>
      </c>
      <c r="V60" s="242">
        <v>38.19</v>
      </c>
      <c r="W60" s="242">
        <v>0</v>
      </c>
      <c r="X60" s="242">
        <v>38.19</v>
      </c>
      <c r="Y60" s="242">
        <v>7.86</v>
      </c>
      <c r="Z60" s="242">
        <v>0</v>
      </c>
      <c r="AA60" s="242">
        <v>7.86</v>
      </c>
      <c r="AB60" s="242">
        <v>40.08</v>
      </c>
      <c r="AC60" s="242">
        <v>0</v>
      </c>
      <c r="AD60" s="242">
        <v>40.08</v>
      </c>
      <c r="AE60" s="242">
        <v>127.57</v>
      </c>
      <c r="AF60" s="242">
        <v>0</v>
      </c>
      <c r="AG60" s="242">
        <v>127.57</v>
      </c>
      <c r="AH60" s="242">
        <v>295.09</v>
      </c>
      <c r="AI60" s="242">
        <v>0</v>
      </c>
      <c r="AJ60" s="242">
        <v>295.09</v>
      </c>
      <c r="AK60" s="242">
        <v>74.61</v>
      </c>
      <c r="AL60" s="242">
        <v>0</v>
      </c>
      <c r="AM60" s="242">
        <v>74.61</v>
      </c>
      <c r="AN60" s="242">
        <v>216.14</v>
      </c>
      <c r="AO60" s="242">
        <v>0</v>
      </c>
      <c r="AP60" s="242">
        <v>216.14</v>
      </c>
      <c r="AQ60" s="242">
        <v>209.05</v>
      </c>
      <c r="AR60" s="242">
        <v>0</v>
      </c>
      <c r="AS60" s="242">
        <v>209.05</v>
      </c>
      <c r="AT60" s="242">
        <v>135.28</v>
      </c>
      <c r="AU60" s="242">
        <v>0</v>
      </c>
      <c r="AV60" s="242">
        <v>135.28</v>
      </c>
      <c r="AW60" s="242">
        <v>35.32</v>
      </c>
      <c r="AX60" s="242">
        <v>0</v>
      </c>
      <c r="AY60" s="242">
        <v>35.32</v>
      </c>
      <c r="AZ60" s="242">
        <v>62.09</v>
      </c>
      <c r="BA60" s="242">
        <v>0</v>
      </c>
      <c r="BB60" s="242">
        <v>62.09</v>
      </c>
      <c r="BC60" s="241">
        <v>1621.18</v>
      </c>
    </row>
    <row r="61" s="239" customFormat="1" ht="16.5" spans="1:55">
      <c r="A61" s="241">
        <v>55</v>
      </c>
      <c r="B61" s="241" t="s">
        <v>68</v>
      </c>
      <c r="C61" s="242">
        <v>28.61</v>
      </c>
      <c r="D61" s="242">
        <v>28.61</v>
      </c>
      <c r="E61" s="242">
        <v>64.82</v>
      </c>
      <c r="F61" s="242">
        <v>64.82</v>
      </c>
      <c r="G61" s="242">
        <v>0</v>
      </c>
      <c r="H61" s="242">
        <v>0</v>
      </c>
      <c r="I61" s="242">
        <v>0</v>
      </c>
      <c r="J61" s="242">
        <v>0</v>
      </c>
      <c r="K61" s="242">
        <v>241.28</v>
      </c>
      <c r="L61" s="242">
        <v>0</v>
      </c>
      <c r="M61" s="242">
        <v>241.28</v>
      </c>
      <c r="N61" s="242">
        <v>7.87</v>
      </c>
      <c r="O61" s="242">
        <v>7.87</v>
      </c>
      <c r="P61" s="242">
        <v>6.77</v>
      </c>
      <c r="Q61" s="242">
        <v>0</v>
      </c>
      <c r="R61" s="242">
        <v>6.77</v>
      </c>
      <c r="S61" s="242">
        <v>30.55</v>
      </c>
      <c r="T61" s="242">
        <v>0</v>
      </c>
      <c r="U61" s="242">
        <v>30.55</v>
      </c>
      <c r="V61" s="242">
        <v>38.19</v>
      </c>
      <c r="W61" s="242">
        <v>0</v>
      </c>
      <c r="X61" s="242">
        <v>38.19</v>
      </c>
      <c r="Y61" s="242">
        <v>7.86</v>
      </c>
      <c r="Z61" s="242">
        <v>0</v>
      </c>
      <c r="AA61" s="242">
        <v>7.86</v>
      </c>
      <c r="AB61" s="242">
        <v>40.08</v>
      </c>
      <c r="AC61" s="242">
        <v>0</v>
      </c>
      <c r="AD61" s="242">
        <v>40.08</v>
      </c>
      <c r="AE61" s="242">
        <v>127.57</v>
      </c>
      <c r="AF61" s="242">
        <v>0</v>
      </c>
      <c r="AG61" s="242">
        <v>127.57</v>
      </c>
      <c r="AH61" s="242">
        <v>295.09</v>
      </c>
      <c r="AI61" s="242">
        <v>0</v>
      </c>
      <c r="AJ61" s="242">
        <v>295.09</v>
      </c>
      <c r="AK61" s="242">
        <v>74.61</v>
      </c>
      <c r="AL61" s="242">
        <v>0</v>
      </c>
      <c r="AM61" s="242">
        <v>74.61</v>
      </c>
      <c r="AN61" s="242">
        <v>216.14</v>
      </c>
      <c r="AO61" s="242">
        <v>0</v>
      </c>
      <c r="AP61" s="242">
        <v>216.14</v>
      </c>
      <c r="AQ61" s="242">
        <v>209.05</v>
      </c>
      <c r="AR61" s="242">
        <v>0</v>
      </c>
      <c r="AS61" s="242">
        <v>209.05</v>
      </c>
      <c r="AT61" s="242">
        <v>135.28</v>
      </c>
      <c r="AU61" s="242">
        <v>0</v>
      </c>
      <c r="AV61" s="242">
        <v>135.28</v>
      </c>
      <c r="AW61" s="242">
        <v>35.32</v>
      </c>
      <c r="AX61" s="242">
        <v>0</v>
      </c>
      <c r="AY61" s="242">
        <v>35.32</v>
      </c>
      <c r="AZ61" s="242">
        <v>62.09</v>
      </c>
      <c r="BA61" s="242">
        <v>0</v>
      </c>
      <c r="BB61" s="242">
        <v>62.09</v>
      </c>
      <c r="BC61" s="241">
        <v>1621.18</v>
      </c>
    </row>
    <row r="62" s="239" customFormat="1" ht="16.5" spans="1:55">
      <c r="A62" s="241">
        <v>56</v>
      </c>
      <c r="B62" s="241" t="s">
        <v>69</v>
      </c>
      <c r="C62" s="242">
        <v>28.61</v>
      </c>
      <c r="D62" s="242">
        <v>28.61</v>
      </c>
      <c r="E62" s="242">
        <v>64.82</v>
      </c>
      <c r="F62" s="242">
        <v>64.82</v>
      </c>
      <c r="G62" s="242">
        <v>0</v>
      </c>
      <c r="H62" s="242">
        <v>0</v>
      </c>
      <c r="I62" s="242">
        <v>0</v>
      </c>
      <c r="J62" s="242">
        <v>0</v>
      </c>
      <c r="K62" s="242">
        <v>241.28</v>
      </c>
      <c r="L62" s="242">
        <v>0</v>
      </c>
      <c r="M62" s="242">
        <v>241.28</v>
      </c>
      <c r="N62" s="242">
        <v>7.87</v>
      </c>
      <c r="O62" s="242">
        <v>7.87</v>
      </c>
      <c r="P62" s="242">
        <v>6.77</v>
      </c>
      <c r="Q62" s="242">
        <v>0</v>
      </c>
      <c r="R62" s="242">
        <v>6.77</v>
      </c>
      <c r="S62" s="242">
        <v>30.55</v>
      </c>
      <c r="T62" s="242">
        <v>0</v>
      </c>
      <c r="U62" s="242">
        <v>30.55</v>
      </c>
      <c r="V62" s="242">
        <v>38.19</v>
      </c>
      <c r="W62" s="242">
        <v>0</v>
      </c>
      <c r="X62" s="242">
        <v>38.19</v>
      </c>
      <c r="Y62" s="242">
        <v>7.86</v>
      </c>
      <c r="Z62" s="242">
        <v>0</v>
      </c>
      <c r="AA62" s="242">
        <v>7.86</v>
      </c>
      <c r="AB62" s="242">
        <v>40.08</v>
      </c>
      <c r="AC62" s="242">
        <v>0</v>
      </c>
      <c r="AD62" s="242">
        <v>40.08</v>
      </c>
      <c r="AE62" s="242">
        <v>127.57</v>
      </c>
      <c r="AF62" s="242">
        <v>0</v>
      </c>
      <c r="AG62" s="242">
        <v>127.57</v>
      </c>
      <c r="AH62" s="242">
        <v>295.09</v>
      </c>
      <c r="AI62" s="242">
        <v>0</v>
      </c>
      <c r="AJ62" s="242">
        <v>295.09</v>
      </c>
      <c r="AK62" s="242">
        <v>74.61</v>
      </c>
      <c r="AL62" s="242">
        <v>0</v>
      </c>
      <c r="AM62" s="242">
        <v>74.61</v>
      </c>
      <c r="AN62" s="242">
        <v>216.14</v>
      </c>
      <c r="AO62" s="242">
        <v>0</v>
      </c>
      <c r="AP62" s="242">
        <v>216.14</v>
      </c>
      <c r="AQ62" s="242">
        <v>209.05</v>
      </c>
      <c r="AR62" s="242">
        <v>0</v>
      </c>
      <c r="AS62" s="242">
        <v>209.05</v>
      </c>
      <c r="AT62" s="242">
        <v>135.28</v>
      </c>
      <c r="AU62" s="242">
        <v>0</v>
      </c>
      <c r="AV62" s="242">
        <v>135.28</v>
      </c>
      <c r="AW62" s="242">
        <v>35.32</v>
      </c>
      <c r="AX62" s="242">
        <v>0</v>
      </c>
      <c r="AY62" s="242">
        <v>35.32</v>
      </c>
      <c r="AZ62" s="242">
        <v>62.09</v>
      </c>
      <c r="BA62" s="242">
        <v>0</v>
      </c>
      <c r="BB62" s="242">
        <v>62.09</v>
      </c>
      <c r="BC62" s="241">
        <v>1621.18</v>
      </c>
    </row>
    <row r="63" s="239" customFormat="1" ht="16.5" spans="1:55">
      <c r="A63" s="241">
        <v>57</v>
      </c>
      <c r="B63" s="241" t="s">
        <v>70</v>
      </c>
      <c r="C63" s="242">
        <v>28.61</v>
      </c>
      <c r="D63" s="242">
        <v>28.61</v>
      </c>
      <c r="E63" s="242">
        <v>64.82</v>
      </c>
      <c r="F63" s="242">
        <v>64.82</v>
      </c>
      <c r="G63" s="242">
        <v>0</v>
      </c>
      <c r="H63" s="242">
        <v>0</v>
      </c>
      <c r="I63" s="242">
        <v>0</v>
      </c>
      <c r="J63" s="242">
        <v>0</v>
      </c>
      <c r="K63" s="242">
        <v>241.28</v>
      </c>
      <c r="L63" s="242">
        <v>0</v>
      </c>
      <c r="M63" s="242">
        <v>241.28</v>
      </c>
      <c r="N63" s="242">
        <v>7.87</v>
      </c>
      <c r="O63" s="242">
        <v>7.87</v>
      </c>
      <c r="P63" s="242">
        <v>6.77</v>
      </c>
      <c r="Q63" s="242">
        <v>0</v>
      </c>
      <c r="R63" s="242">
        <v>6.77</v>
      </c>
      <c r="S63" s="242">
        <v>30.55</v>
      </c>
      <c r="T63" s="242">
        <v>0</v>
      </c>
      <c r="U63" s="242">
        <v>30.55</v>
      </c>
      <c r="V63" s="242">
        <v>38.19</v>
      </c>
      <c r="W63" s="242">
        <v>0</v>
      </c>
      <c r="X63" s="242">
        <v>38.19</v>
      </c>
      <c r="Y63" s="242">
        <v>7.86</v>
      </c>
      <c r="Z63" s="242">
        <v>0</v>
      </c>
      <c r="AA63" s="242">
        <v>7.86</v>
      </c>
      <c r="AB63" s="242">
        <v>40.08</v>
      </c>
      <c r="AC63" s="242">
        <v>0</v>
      </c>
      <c r="AD63" s="242">
        <v>40.08</v>
      </c>
      <c r="AE63" s="242">
        <v>127.57</v>
      </c>
      <c r="AF63" s="242">
        <v>0</v>
      </c>
      <c r="AG63" s="242">
        <v>127.57</v>
      </c>
      <c r="AH63" s="242">
        <v>295.09</v>
      </c>
      <c r="AI63" s="242">
        <v>0</v>
      </c>
      <c r="AJ63" s="242">
        <v>295.09</v>
      </c>
      <c r="AK63" s="242">
        <v>74.61</v>
      </c>
      <c r="AL63" s="242">
        <v>0</v>
      </c>
      <c r="AM63" s="242">
        <v>74.61</v>
      </c>
      <c r="AN63" s="242">
        <v>216.14</v>
      </c>
      <c r="AO63" s="242">
        <v>0</v>
      </c>
      <c r="AP63" s="242">
        <v>216.14</v>
      </c>
      <c r="AQ63" s="242">
        <v>209.05</v>
      </c>
      <c r="AR63" s="242">
        <v>0</v>
      </c>
      <c r="AS63" s="242">
        <v>209.05</v>
      </c>
      <c r="AT63" s="242">
        <v>135.28</v>
      </c>
      <c r="AU63" s="242">
        <v>0</v>
      </c>
      <c r="AV63" s="242">
        <v>135.28</v>
      </c>
      <c r="AW63" s="242">
        <v>35.32</v>
      </c>
      <c r="AX63" s="242">
        <v>0</v>
      </c>
      <c r="AY63" s="242">
        <v>35.32</v>
      </c>
      <c r="AZ63" s="242">
        <v>62.09</v>
      </c>
      <c r="BA63" s="242">
        <v>0</v>
      </c>
      <c r="BB63" s="242">
        <v>62.09</v>
      </c>
      <c r="BC63" s="241">
        <v>1621.18</v>
      </c>
    </row>
    <row r="64" s="239" customFormat="1" ht="16.5" spans="1:55">
      <c r="A64" s="241">
        <v>58</v>
      </c>
      <c r="B64" s="241" t="s">
        <v>71</v>
      </c>
      <c r="C64" s="242">
        <v>28.61</v>
      </c>
      <c r="D64" s="242">
        <v>28.61</v>
      </c>
      <c r="E64" s="242">
        <v>64.82</v>
      </c>
      <c r="F64" s="242">
        <v>64.82</v>
      </c>
      <c r="G64" s="242">
        <v>0</v>
      </c>
      <c r="H64" s="242">
        <v>0</v>
      </c>
      <c r="I64" s="242">
        <v>0</v>
      </c>
      <c r="J64" s="242">
        <v>0</v>
      </c>
      <c r="K64" s="242">
        <v>241.28</v>
      </c>
      <c r="L64" s="242">
        <v>0</v>
      </c>
      <c r="M64" s="242">
        <v>241.28</v>
      </c>
      <c r="N64" s="242">
        <v>7.87</v>
      </c>
      <c r="O64" s="242">
        <v>7.87</v>
      </c>
      <c r="P64" s="242">
        <v>6.77</v>
      </c>
      <c r="Q64" s="242">
        <v>0</v>
      </c>
      <c r="R64" s="242">
        <v>6.77</v>
      </c>
      <c r="S64" s="242">
        <v>30.55</v>
      </c>
      <c r="T64" s="242">
        <v>0</v>
      </c>
      <c r="U64" s="242">
        <v>30.55</v>
      </c>
      <c r="V64" s="242">
        <v>38.19</v>
      </c>
      <c r="W64" s="242">
        <v>0</v>
      </c>
      <c r="X64" s="242">
        <v>38.19</v>
      </c>
      <c r="Y64" s="242">
        <v>7.86</v>
      </c>
      <c r="Z64" s="242">
        <v>0</v>
      </c>
      <c r="AA64" s="242">
        <v>7.86</v>
      </c>
      <c r="AB64" s="242">
        <v>40.08</v>
      </c>
      <c r="AC64" s="242">
        <v>0</v>
      </c>
      <c r="AD64" s="242">
        <v>40.08</v>
      </c>
      <c r="AE64" s="242">
        <v>127.57</v>
      </c>
      <c r="AF64" s="242">
        <v>0</v>
      </c>
      <c r="AG64" s="242">
        <v>127.57</v>
      </c>
      <c r="AH64" s="242">
        <v>295.09</v>
      </c>
      <c r="AI64" s="242">
        <v>0</v>
      </c>
      <c r="AJ64" s="242">
        <v>295.09</v>
      </c>
      <c r="AK64" s="242">
        <v>74.61</v>
      </c>
      <c r="AL64" s="242">
        <v>0</v>
      </c>
      <c r="AM64" s="242">
        <v>74.61</v>
      </c>
      <c r="AN64" s="242">
        <v>216.14</v>
      </c>
      <c r="AO64" s="242">
        <v>0</v>
      </c>
      <c r="AP64" s="242">
        <v>216.14</v>
      </c>
      <c r="AQ64" s="242">
        <v>209.05</v>
      </c>
      <c r="AR64" s="242">
        <v>0</v>
      </c>
      <c r="AS64" s="242">
        <v>209.05</v>
      </c>
      <c r="AT64" s="242">
        <v>135.28</v>
      </c>
      <c r="AU64" s="242">
        <v>0</v>
      </c>
      <c r="AV64" s="242">
        <v>135.28</v>
      </c>
      <c r="AW64" s="242">
        <v>35.32</v>
      </c>
      <c r="AX64" s="242">
        <v>0</v>
      </c>
      <c r="AY64" s="242">
        <v>35.32</v>
      </c>
      <c r="AZ64" s="242">
        <v>62.09</v>
      </c>
      <c r="BA64" s="242">
        <v>0</v>
      </c>
      <c r="BB64" s="242">
        <v>62.09</v>
      </c>
      <c r="BC64" s="241">
        <v>1621.18</v>
      </c>
    </row>
    <row r="65" s="239" customFormat="1" ht="16.5" spans="1:55">
      <c r="A65" s="241">
        <v>59</v>
      </c>
      <c r="B65" s="241" t="s">
        <v>72</v>
      </c>
      <c r="C65" s="242">
        <v>28.61</v>
      </c>
      <c r="D65" s="242">
        <v>28.61</v>
      </c>
      <c r="E65" s="242">
        <v>64.82</v>
      </c>
      <c r="F65" s="242">
        <v>64.82</v>
      </c>
      <c r="G65" s="242">
        <v>0</v>
      </c>
      <c r="H65" s="242">
        <v>0</v>
      </c>
      <c r="I65" s="242">
        <v>0</v>
      </c>
      <c r="J65" s="242">
        <v>0</v>
      </c>
      <c r="K65" s="242">
        <v>241.28</v>
      </c>
      <c r="L65" s="242">
        <v>0</v>
      </c>
      <c r="M65" s="242">
        <v>241.28</v>
      </c>
      <c r="N65" s="242">
        <v>7.87</v>
      </c>
      <c r="O65" s="242">
        <v>7.87</v>
      </c>
      <c r="P65" s="242">
        <v>6.77</v>
      </c>
      <c r="Q65" s="242">
        <v>0</v>
      </c>
      <c r="R65" s="242">
        <v>6.77</v>
      </c>
      <c r="S65" s="242">
        <v>30.55</v>
      </c>
      <c r="T65" s="242">
        <v>0</v>
      </c>
      <c r="U65" s="242">
        <v>30.55</v>
      </c>
      <c r="V65" s="242">
        <v>38.19</v>
      </c>
      <c r="W65" s="242">
        <v>0</v>
      </c>
      <c r="X65" s="242">
        <v>38.19</v>
      </c>
      <c r="Y65" s="242">
        <v>7.86</v>
      </c>
      <c r="Z65" s="242">
        <v>0</v>
      </c>
      <c r="AA65" s="242">
        <v>7.86</v>
      </c>
      <c r="AB65" s="242">
        <v>40.08</v>
      </c>
      <c r="AC65" s="242">
        <v>0</v>
      </c>
      <c r="AD65" s="242">
        <v>40.08</v>
      </c>
      <c r="AE65" s="242">
        <v>127.57</v>
      </c>
      <c r="AF65" s="242">
        <v>0</v>
      </c>
      <c r="AG65" s="242">
        <v>127.57</v>
      </c>
      <c r="AH65" s="242">
        <v>295.09</v>
      </c>
      <c r="AI65" s="242">
        <v>0</v>
      </c>
      <c r="AJ65" s="242">
        <v>295.09</v>
      </c>
      <c r="AK65" s="242">
        <v>74.61</v>
      </c>
      <c r="AL65" s="242">
        <v>0</v>
      </c>
      <c r="AM65" s="242">
        <v>74.61</v>
      </c>
      <c r="AN65" s="242">
        <v>216.14</v>
      </c>
      <c r="AO65" s="242">
        <v>0</v>
      </c>
      <c r="AP65" s="242">
        <v>216.14</v>
      </c>
      <c r="AQ65" s="242">
        <v>209.05</v>
      </c>
      <c r="AR65" s="242">
        <v>0</v>
      </c>
      <c r="AS65" s="242">
        <v>209.05</v>
      </c>
      <c r="AT65" s="242">
        <v>135.28</v>
      </c>
      <c r="AU65" s="242">
        <v>0</v>
      </c>
      <c r="AV65" s="242">
        <v>135.28</v>
      </c>
      <c r="AW65" s="242">
        <v>35.32</v>
      </c>
      <c r="AX65" s="242">
        <v>0</v>
      </c>
      <c r="AY65" s="242">
        <v>35.32</v>
      </c>
      <c r="AZ65" s="242">
        <v>62.09</v>
      </c>
      <c r="BA65" s="242">
        <v>0</v>
      </c>
      <c r="BB65" s="242">
        <v>62.09</v>
      </c>
      <c r="BC65" s="241">
        <v>1621.18</v>
      </c>
    </row>
    <row r="66" s="239" customFormat="1" ht="16.5" spans="1:55">
      <c r="A66" s="241">
        <v>60</v>
      </c>
      <c r="B66" s="241" t="s">
        <v>73</v>
      </c>
      <c r="C66" s="242">
        <v>28.61</v>
      </c>
      <c r="D66" s="242">
        <v>28.61</v>
      </c>
      <c r="E66" s="242">
        <v>64.82</v>
      </c>
      <c r="F66" s="242">
        <v>64.82</v>
      </c>
      <c r="G66" s="242">
        <v>0</v>
      </c>
      <c r="H66" s="242">
        <v>0</v>
      </c>
      <c r="I66" s="242">
        <v>0</v>
      </c>
      <c r="J66" s="242">
        <v>0</v>
      </c>
      <c r="K66" s="242">
        <v>241.28</v>
      </c>
      <c r="L66" s="242">
        <v>0</v>
      </c>
      <c r="M66" s="242">
        <v>241.28</v>
      </c>
      <c r="N66" s="242">
        <v>7.87</v>
      </c>
      <c r="O66" s="242">
        <v>7.87</v>
      </c>
      <c r="P66" s="242">
        <v>6.77</v>
      </c>
      <c r="Q66" s="242">
        <v>0</v>
      </c>
      <c r="R66" s="242">
        <v>6.77</v>
      </c>
      <c r="S66" s="242">
        <v>29.62</v>
      </c>
      <c r="T66" s="242">
        <v>0</v>
      </c>
      <c r="U66" s="242">
        <v>29.62</v>
      </c>
      <c r="V66" s="242">
        <v>37.11</v>
      </c>
      <c r="W66" s="242">
        <v>0</v>
      </c>
      <c r="X66" s="242">
        <v>37.11</v>
      </c>
      <c r="Y66" s="242">
        <v>7.86</v>
      </c>
      <c r="Z66" s="242">
        <v>0</v>
      </c>
      <c r="AA66" s="242">
        <v>7.86</v>
      </c>
      <c r="AB66" s="242">
        <v>40.08</v>
      </c>
      <c r="AC66" s="242">
        <v>0</v>
      </c>
      <c r="AD66" s="242">
        <v>40.08</v>
      </c>
      <c r="AE66" s="242">
        <v>127.57</v>
      </c>
      <c r="AF66" s="242">
        <v>0</v>
      </c>
      <c r="AG66" s="242">
        <v>127.57</v>
      </c>
      <c r="AH66" s="242">
        <v>295.09</v>
      </c>
      <c r="AI66" s="242">
        <v>0</v>
      </c>
      <c r="AJ66" s="242">
        <v>295.09</v>
      </c>
      <c r="AK66" s="242">
        <v>74.61</v>
      </c>
      <c r="AL66" s="242">
        <v>0</v>
      </c>
      <c r="AM66" s="242">
        <v>74.61</v>
      </c>
      <c r="AN66" s="242">
        <v>216.14</v>
      </c>
      <c r="AO66" s="242">
        <v>0</v>
      </c>
      <c r="AP66" s="242">
        <v>216.14</v>
      </c>
      <c r="AQ66" s="242">
        <v>209.05</v>
      </c>
      <c r="AR66" s="242">
        <v>0</v>
      </c>
      <c r="AS66" s="242">
        <v>209.05</v>
      </c>
      <c r="AT66" s="242">
        <v>135.28</v>
      </c>
      <c r="AU66" s="242">
        <v>0</v>
      </c>
      <c r="AV66" s="242">
        <v>135.28</v>
      </c>
      <c r="AW66" s="242">
        <v>35.32</v>
      </c>
      <c r="AX66" s="242">
        <v>0</v>
      </c>
      <c r="AY66" s="242">
        <v>35.32</v>
      </c>
      <c r="AZ66" s="242">
        <v>62.09</v>
      </c>
      <c r="BA66" s="242">
        <v>0</v>
      </c>
      <c r="BB66" s="242">
        <v>62.09</v>
      </c>
      <c r="BC66" s="241">
        <v>1619.17</v>
      </c>
    </row>
    <row r="67" s="239" customFormat="1" ht="16.5" spans="1:55">
      <c r="A67" s="241">
        <v>61</v>
      </c>
      <c r="B67" s="241" t="s">
        <v>74</v>
      </c>
      <c r="C67" s="242">
        <v>28.61</v>
      </c>
      <c r="D67" s="242">
        <v>28.61</v>
      </c>
      <c r="E67" s="242">
        <v>64.82</v>
      </c>
      <c r="F67" s="242">
        <v>64.82</v>
      </c>
      <c r="G67" s="242">
        <v>0</v>
      </c>
      <c r="H67" s="242">
        <v>0</v>
      </c>
      <c r="I67" s="242">
        <v>0</v>
      </c>
      <c r="J67" s="242">
        <v>0</v>
      </c>
      <c r="K67" s="242">
        <v>241.28</v>
      </c>
      <c r="L67" s="242">
        <v>0</v>
      </c>
      <c r="M67" s="242">
        <v>241.28</v>
      </c>
      <c r="N67" s="242">
        <v>7.87</v>
      </c>
      <c r="O67" s="242">
        <v>7.87</v>
      </c>
      <c r="P67" s="242">
        <v>6.77</v>
      </c>
      <c r="Q67" s="242">
        <v>0</v>
      </c>
      <c r="R67" s="242">
        <v>6.77</v>
      </c>
      <c r="S67" s="242">
        <v>29.62</v>
      </c>
      <c r="T67" s="242">
        <v>0</v>
      </c>
      <c r="U67" s="242">
        <v>29.62</v>
      </c>
      <c r="V67" s="242">
        <v>37.11</v>
      </c>
      <c r="W67" s="242">
        <v>0</v>
      </c>
      <c r="X67" s="242">
        <v>37.11</v>
      </c>
      <c r="Y67" s="242">
        <v>7.86</v>
      </c>
      <c r="Z67" s="242">
        <v>0</v>
      </c>
      <c r="AA67" s="242">
        <v>7.86</v>
      </c>
      <c r="AB67" s="242">
        <v>40.08</v>
      </c>
      <c r="AC67" s="242">
        <v>0</v>
      </c>
      <c r="AD67" s="242">
        <v>40.08</v>
      </c>
      <c r="AE67" s="242">
        <v>127.57</v>
      </c>
      <c r="AF67" s="242">
        <v>0</v>
      </c>
      <c r="AG67" s="242">
        <v>127.57</v>
      </c>
      <c r="AH67" s="242">
        <v>295.09</v>
      </c>
      <c r="AI67" s="242">
        <v>0</v>
      </c>
      <c r="AJ67" s="242">
        <v>295.09</v>
      </c>
      <c r="AK67" s="242">
        <v>74.61</v>
      </c>
      <c r="AL67" s="242">
        <v>0</v>
      </c>
      <c r="AM67" s="242">
        <v>74.61</v>
      </c>
      <c r="AN67" s="242">
        <v>216.14</v>
      </c>
      <c r="AO67" s="242">
        <v>0</v>
      </c>
      <c r="AP67" s="242">
        <v>216.14</v>
      </c>
      <c r="AQ67" s="242">
        <v>209.05</v>
      </c>
      <c r="AR67" s="242">
        <v>0</v>
      </c>
      <c r="AS67" s="242">
        <v>209.05</v>
      </c>
      <c r="AT67" s="242">
        <v>135.28</v>
      </c>
      <c r="AU67" s="242">
        <v>0</v>
      </c>
      <c r="AV67" s="242">
        <v>135.28</v>
      </c>
      <c r="AW67" s="242">
        <v>35.32</v>
      </c>
      <c r="AX67" s="242">
        <v>0</v>
      </c>
      <c r="AY67" s="242">
        <v>35.32</v>
      </c>
      <c r="AZ67" s="242">
        <v>62.09</v>
      </c>
      <c r="BA67" s="242">
        <v>0</v>
      </c>
      <c r="BB67" s="242">
        <v>62.09</v>
      </c>
      <c r="BC67" s="241">
        <v>1619.17</v>
      </c>
    </row>
    <row r="68" s="239" customFormat="1" ht="16.5" spans="1:55">
      <c r="A68" s="241">
        <v>62</v>
      </c>
      <c r="B68" s="241" t="s">
        <v>75</v>
      </c>
      <c r="C68" s="242">
        <v>28.61</v>
      </c>
      <c r="D68" s="242">
        <v>28.61</v>
      </c>
      <c r="E68" s="242">
        <v>64.82</v>
      </c>
      <c r="F68" s="242">
        <v>64.82</v>
      </c>
      <c r="G68" s="242">
        <v>0</v>
      </c>
      <c r="H68" s="242">
        <v>0</v>
      </c>
      <c r="I68" s="242">
        <v>0</v>
      </c>
      <c r="J68" s="242">
        <v>0</v>
      </c>
      <c r="K68" s="242">
        <v>241.28</v>
      </c>
      <c r="L68" s="242">
        <v>0</v>
      </c>
      <c r="M68" s="242">
        <v>241.28</v>
      </c>
      <c r="N68" s="242">
        <v>7.87</v>
      </c>
      <c r="O68" s="242">
        <v>7.87</v>
      </c>
      <c r="P68" s="242">
        <v>6.77</v>
      </c>
      <c r="Q68" s="242">
        <v>0</v>
      </c>
      <c r="R68" s="242">
        <v>6.77</v>
      </c>
      <c r="S68" s="242">
        <v>29.62</v>
      </c>
      <c r="T68" s="242">
        <v>0</v>
      </c>
      <c r="U68" s="242">
        <v>29.62</v>
      </c>
      <c r="V68" s="242">
        <v>37.11</v>
      </c>
      <c r="W68" s="242">
        <v>0</v>
      </c>
      <c r="X68" s="242">
        <v>37.11</v>
      </c>
      <c r="Y68" s="242">
        <v>7.86</v>
      </c>
      <c r="Z68" s="242">
        <v>0</v>
      </c>
      <c r="AA68" s="242">
        <v>7.86</v>
      </c>
      <c r="AB68" s="242">
        <v>40.08</v>
      </c>
      <c r="AC68" s="242">
        <v>0</v>
      </c>
      <c r="AD68" s="242">
        <v>40.08</v>
      </c>
      <c r="AE68" s="242">
        <v>127.57</v>
      </c>
      <c r="AF68" s="242">
        <v>0</v>
      </c>
      <c r="AG68" s="242">
        <v>127.57</v>
      </c>
      <c r="AH68" s="242">
        <v>295.09</v>
      </c>
      <c r="AI68" s="242">
        <v>0</v>
      </c>
      <c r="AJ68" s="242">
        <v>295.09</v>
      </c>
      <c r="AK68" s="242">
        <v>74.61</v>
      </c>
      <c r="AL68" s="242">
        <v>0</v>
      </c>
      <c r="AM68" s="242">
        <v>74.61</v>
      </c>
      <c r="AN68" s="242">
        <v>216.14</v>
      </c>
      <c r="AO68" s="242">
        <v>0</v>
      </c>
      <c r="AP68" s="242">
        <v>216.14</v>
      </c>
      <c r="AQ68" s="242">
        <v>209.05</v>
      </c>
      <c r="AR68" s="242">
        <v>0</v>
      </c>
      <c r="AS68" s="242">
        <v>209.05</v>
      </c>
      <c r="AT68" s="242">
        <v>135.28</v>
      </c>
      <c r="AU68" s="242">
        <v>0</v>
      </c>
      <c r="AV68" s="242">
        <v>135.28</v>
      </c>
      <c r="AW68" s="242">
        <v>35.32</v>
      </c>
      <c r="AX68" s="242">
        <v>0</v>
      </c>
      <c r="AY68" s="242">
        <v>35.32</v>
      </c>
      <c r="AZ68" s="242">
        <v>62.09</v>
      </c>
      <c r="BA68" s="242">
        <v>0</v>
      </c>
      <c r="BB68" s="242">
        <v>62.09</v>
      </c>
      <c r="BC68" s="241">
        <v>1619.17</v>
      </c>
    </row>
    <row r="69" s="239" customFormat="1" ht="16.5" spans="1:55">
      <c r="A69" s="241">
        <v>63</v>
      </c>
      <c r="B69" s="241" t="s">
        <v>76</v>
      </c>
      <c r="C69" s="242">
        <v>28.61</v>
      </c>
      <c r="D69" s="242">
        <v>28.61</v>
      </c>
      <c r="E69" s="242">
        <v>64.82</v>
      </c>
      <c r="F69" s="242">
        <v>64.82</v>
      </c>
      <c r="G69" s="242">
        <v>0</v>
      </c>
      <c r="H69" s="242">
        <v>0</v>
      </c>
      <c r="I69" s="242">
        <v>0</v>
      </c>
      <c r="J69" s="242">
        <v>0</v>
      </c>
      <c r="K69" s="242">
        <v>241.28</v>
      </c>
      <c r="L69" s="242">
        <v>0</v>
      </c>
      <c r="M69" s="242">
        <v>241.28</v>
      </c>
      <c r="N69" s="242">
        <v>7.87</v>
      </c>
      <c r="O69" s="242">
        <v>7.87</v>
      </c>
      <c r="P69" s="242">
        <v>6.77</v>
      </c>
      <c r="Q69" s="242">
        <v>0</v>
      </c>
      <c r="R69" s="242">
        <v>6.77</v>
      </c>
      <c r="S69" s="242">
        <v>29.62</v>
      </c>
      <c r="T69" s="242">
        <v>0</v>
      </c>
      <c r="U69" s="242">
        <v>29.62</v>
      </c>
      <c r="V69" s="242">
        <v>37.11</v>
      </c>
      <c r="W69" s="242">
        <v>0</v>
      </c>
      <c r="X69" s="242">
        <v>37.11</v>
      </c>
      <c r="Y69" s="242">
        <v>7.86</v>
      </c>
      <c r="Z69" s="242">
        <v>0</v>
      </c>
      <c r="AA69" s="242">
        <v>7.86</v>
      </c>
      <c r="AB69" s="242">
        <v>40.08</v>
      </c>
      <c r="AC69" s="242">
        <v>0</v>
      </c>
      <c r="AD69" s="242">
        <v>40.08</v>
      </c>
      <c r="AE69" s="242">
        <v>127.57</v>
      </c>
      <c r="AF69" s="242">
        <v>0</v>
      </c>
      <c r="AG69" s="242">
        <v>127.57</v>
      </c>
      <c r="AH69" s="242">
        <v>295.09</v>
      </c>
      <c r="AI69" s="242">
        <v>0</v>
      </c>
      <c r="AJ69" s="242">
        <v>295.09</v>
      </c>
      <c r="AK69" s="242">
        <v>74.61</v>
      </c>
      <c r="AL69" s="242">
        <v>0</v>
      </c>
      <c r="AM69" s="242">
        <v>74.61</v>
      </c>
      <c r="AN69" s="242">
        <v>216.14</v>
      </c>
      <c r="AO69" s="242">
        <v>0</v>
      </c>
      <c r="AP69" s="242">
        <v>216.14</v>
      </c>
      <c r="AQ69" s="242">
        <v>209.05</v>
      </c>
      <c r="AR69" s="242">
        <v>0</v>
      </c>
      <c r="AS69" s="242">
        <v>209.05</v>
      </c>
      <c r="AT69" s="242">
        <v>135.28</v>
      </c>
      <c r="AU69" s="242">
        <v>0</v>
      </c>
      <c r="AV69" s="242">
        <v>135.28</v>
      </c>
      <c r="AW69" s="242">
        <v>35.32</v>
      </c>
      <c r="AX69" s="242">
        <v>0</v>
      </c>
      <c r="AY69" s="242">
        <v>35.32</v>
      </c>
      <c r="AZ69" s="242">
        <v>62.09</v>
      </c>
      <c r="BA69" s="242">
        <v>0</v>
      </c>
      <c r="BB69" s="242">
        <v>62.09</v>
      </c>
      <c r="BC69" s="241">
        <v>1619.17</v>
      </c>
    </row>
    <row r="70" s="239" customFormat="1" ht="16.5" spans="1:55">
      <c r="A70" s="241">
        <v>64</v>
      </c>
      <c r="B70" s="241" t="s">
        <v>77</v>
      </c>
      <c r="C70" s="242">
        <v>28.61</v>
      </c>
      <c r="D70" s="242">
        <v>28.61</v>
      </c>
      <c r="E70" s="242">
        <v>64.82</v>
      </c>
      <c r="F70" s="242">
        <v>64.82</v>
      </c>
      <c r="G70" s="242">
        <v>0</v>
      </c>
      <c r="H70" s="242">
        <v>0</v>
      </c>
      <c r="I70" s="242">
        <v>0</v>
      </c>
      <c r="J70" s="242">
        <v>0</v>
      </c>
      <c r="K70" s="242">
        <v>241.28</v>
      </c>
      <c r="L70" s="242">
        <v>0</v>
      </c>
      <c r="M70" s="242">
        <v>241.28</v>
      </c>
      <c r="N70" s="242">
        <v>7.87</v>
      </c>
      <c r="O70" s="242">
        <v>7.87</v>
      </c>
      <c r="P70" s="242">
        <v>6.77</v>
      </c>
      <c r="Q70" s="242">
        <v>0</v>
      </c>
      <c r="R70" s="242">
        <v>6.77</v>
      </c>
      <c r="S70" s="242">
        <v>29.62</v>
      </c>
      <c r="T70" s="242">
        <v>0</v>
      </c>
      <c r="U70" s="242">
        <v>29.62</v>
      </c>
      <c r="V70" s="242">
        <v>37.11</v>
      </c>
      <c r="W70" s="242">
        <v>0</v>
      </c>
      <c r="X70" s="242">
        <v>37.11</v>
      </c>
      <c r="Y70" s="242">
        <v>7.86</v>
      </c>
      <c r="Z70" s="242">
        <v>0</v>
      </c>
      <c r="AA70" s="242">
        <v>7.86</v>
      </c>
      <c r="AB70" s="242">
        <v>40.08</v>
      </c>
      <c r="AC70" s="242">
        <v>0</v>
      </c>
      <c r="AD70" s="242">
        <v>40.08</v>
      </c>
      <c r="AE70" s="242">
        <v>127.57</v>
      </c>
      <c r="AF70" s="242">
        <v>0</v>
      </c>
      <c r="AG70" s="242">
        <v>127.57</v>
      </c>
      <c r="AH70" s="242">
        <v>295.09</v>
      </c>
      <c r="AI70" s="242">
        <v>0</v>
      </c>
      <c r="AJ70" s="242">
        <v>295.09</v>
      </c>
      <c r="AK70" s="242">
        <v>74.61</v>
      </c>
      <c r="AL70" s="242">
        <v>0</v>
      </c>
      <c r="AM70" s="242">
        <v>74.61</v>
      </c>
      <c r="AN70" s="242">
        <v>216.14</v>
      </c>
      <c r="AO70" s="242">
        <v>0</v>
      </c>
      <c r="AP70" s="242">
        <v>216.14</v>
      </c>
      <c r="AQ70" s="242">
        <v>209.05</v>
      </c>
      <c r="AR70" s="242">
        <v>0</v>
      </c>
      <c r="AS70" s="242">
        <v>209.05</v>
      </c>
      <c r="AT70" s="242">
        <v>135.28</v>
      </c>
      <c r="AU70" s="242">
        <v>0</v>
      </c>
      <c r="AV70" s="242">
        <v>135.28</v>
      </c>
      <c r="AW70" s="242">
        <v>35.32</v>
      </c>
      <c r="AX70" s="242">
        <v>0</v>
      </c>
      <c r="AY70" s="242">
        <v>35.32</v>
      </c>
      <c r="AZ70" s="242">
        <v>62.09</v>
      </c>
      <c r="BA70" s="242">
        <v>0</v>
      </c>
      <c r="BB70" s="242">
        <v>62.09</v>
      </c>
      <c r="BC70" s="241">
        <v>1619.17</v>
      </c>
    </row>
    <row r="71" s="239" customFormat="1" ht="16.5" spans="1:55">
      <c r="A71" s="241">
        <v>65</v>
      </c>
      <c r="B71" s="241" t="s">
        <v>78</v>
      </c>
      <c r="C71" s="242">
        <v>28.61</v>
      </c>
      <c r="D71" s="242">
        <v>28.61</v>
      </c>
      <c r="E71" s="242">
        <v>64.82</v>
      </c>
      <c r="F71" s="242">
        <v>64.82</v>
      </c>
      <c r="G71" s="242">
        <v>0</v>
      </c>
      <c r="H71" s="242">
        <v>0</v>
      </c>
      <c r="I71" s="242">
        <v>0</v>
      </c>
      <c r="J71" s="242">
        <v>0</v>
      </c>
      <c r="K71" s="242">
        <v>241.28</v>
      </c>
      <c r="L71" s="242">
        <v>0</v>
      </c>
      <c r="M71" s="242">
        <v>241.28</v>
      </c>
      <c r="N71" s="242">
        <v>7.87</v>
      </c>
      <c r="O71" s="242">
        <v>7.87</v>
      </c>
      <c r="P71" s="242">
        <v>6.77</v>
      </c>
      <c r="Q71" s="242">
        <v>0</v>
      </c>
      <c r="R71" s="242">
        <v>6.77</v>
      </c>
      <c r="S71" s="242">
        <v>29.62</v>
      </c>
      <c r="T71" s="242">
        <v>0</v>
      </c>
      <c r="U71" s="242">
        <v>29.62</v>
      </c>
      <c r="V71" s="242">
        <v>37.11</v>
      </c>
      <c r="W71" s="242">
        <v>0</v>
      </c>
      <c r="X71" s="242">
        <v>37.11</v>
      </c>
      <c r="Y71" s="242">
        <v>7.86</v>
      </c>
      <c r="Z71" s="242">
        <v>0</v>
      </c>
      <c r="AA71" s="242">
        <v>7.86</v>
      </c>
      <c r="AB71" s="242">
        <v>40.08</v>
      </c>
      <c r="AC71" s="242">
        <v>0</v>
      </c>
      <c r="AD71" s="242">
        <v>40.08</v>
      </c>
      <c r="AE71" s="242">
        <v>127.57</v>
      </c>
      <c r="AF71" s="242">
        <v>0</v>
      </c>
      <c r="AG71" s="242">
        <v>127.57</v>
      </c>
      <c r="AH71" s="242">
        <v>295.09</v>
      </c>
      <c r="AI71" s="242">
        <v>0</v>
      </c>
      <c r="AJ71" s="242">
        <v>295.09</v>
      </c>
      <c r="AK71" s="242">
        <v>74.61</v>
      </c>
      <c r="AL71" s="242">
        <v>0</v>
      </c>
      <c r="AM71" s="242">
        <v>74.61</v>
      </c>
      <c r="AN71" s="242">
        <v>216.14</v>
      </c>
      <c r="AO71" s="242">
        <v>0</v>
      </c>
      <c r="AP71" s="242">
        <v>216.14</v>
      </c>
      <c r="AQ71" s="242">
        <v>209.05</v>
      </c>
      <c r="AR71" s="242">
        <v>0</v>
      </c>
      <c r="AS71" s="242">
        <v>209.05</v>
      </c>
      <c r="AT71" s="242">
        <v>135.28</v>
      </c>
      <c r="AU71" s="242">
        <v>0</v>
      </c>
      <c r="AV71" s="242">
        <v>135.28</v>
      </c>
      <c r="AW71" s="242">
        <v>35.32</v>
      </c>
      <c r="AX71" s="242">
        <v>0</v>
      </c>
      <c r="AY71" s="242">
        <v>35.32</v>
      </c>
      <c r="AZ71" s="242">
        <v>62.09</v>
      </c>
      <c r="BA71" s="242">
        <v>0</v>
      </c>
      <c r="BB71" s="242">
        <v>62.09</v>
      </c>
      <c r="BC71" s="241">
        <v>1619.17</v>
      </c>
    </row>
    <row r="72" s="239" customFormat="1" ht="16.5" spans="1:55">
      <c r="A72" s="241">
        <v>66</v>
      </c>
      <c r="B72" s="241" t="s">
        <v>79</v>
      </c>
      <c r="C72" s="242">
        <v>28.61</v>
      </c>
      <c r="D72" s="242">
        <v>28.61</v>
      </c>
      <c r="E72" s="242">
        <v>64.82</v>
      </c>
      <c r="F72" s="242">
        <v>64.82</v>
      </c>
      <c r="G72" s="242">
        <v>0</v>
      </c>
      <c r="H72" s="242">
        <v>0</v>
      </c>
      <c r="I72" s="242">
        <v>0</v>
      </c>
      <c r="J72" s="242">
        <v>0</v>
      </c>
      <c r="K72" s="242">
        <v>241.28</v>
      </c>
      <c r="L72" s="242">
        <v>0</v>
      </c>
      <c r="M72" s="242">
        <v>241.28</v>
      </c>
      <c r="N72" s="242">
        <v>7.87</v>
      </c>
      <c r="O72" s="242">
        <v>7.87</v>
      </c>
      <c r="P72" s="242">
        <v>6.77</v>
      </c>
      <c r="Q72" s="242">
        <v>0</v>
      </c>
      <c r="R72" s="242">
        <v>6.77</v>
      </c>
      <c r="S72" s="242">
        <v>29.62</v>
      </c>
      <c r="T72" s="242">
        <v>0</v>
      </c>
      <c r="U72" s="242">
        <v>29.62</v>
      </c>
      <c r="V72" s="242">
        <v>37.11</v>
      </c>
      <c r="W72" s="242">
        <v>0</v>
      </c>
      <c r="X72" s="242">
        <v>37.11</v>
      </c>
      <c r="Y72" s="242">
        <v>7.86</v>
      </c>
      <c r="Z72" s="242">
        <v>0</v>
      </c>
      <c r="AA72" s="242">
        <v>7.86</v>
      </c>
      <c r="AB72" s="242">
        <v>40.08</v>
      </c>
      <c r="AC72" s="242">
        <v>0</v>
      </c>
      <c r="AD72" s="242">
        <v>40.08</v>
      </c>
      <c r="AE72" s="242">
        <v>127.57</v>
      </c>
      <c r="AF72" s="242">
        <v>0</v>
      </c>
      <c r="AG72" s="242">
        <v>127.57</v>
      </c>
      <c r="AH72" s="242">
        <v>295.09</v>
      </c>
      <c r="AI72" s="242">
        <v>0</v>
      </c>
      <c r="AJ72" s="242">
        <v>295.09</v>
      </c>
      <c r="AK72" s="242">
        <v>74.61</v>
      </c>
      <c r="AL72" s="242">
        <v>0</v>
      </c>
      <c r="AM72" s="242">
        <v>74.61</v>
      </c>
      <c r="AN72" s="242">
        <v>216.14</v>
      </c>
      <c r="AO72" s="242">
        <v>0</v>
      </c>
      <c r="AP72" s="242">
        <v>216.14</v>
      </c>
      <c r="AQ72" s="242">
        <v>209.05</v>
      </c>
      <c r="AR72" s="242">
        <v>0</v>
      </c>
      <c r="AS72" s="242">
        <v>209.05</v>
      </c>
      <c r="AT72" s="242">
        <v>135.28</v>
      </c>
      <c r="AU72" s="242">
        <v>0</v>
      </c>
      <c r="AV72" s="242">
        <v>135.28</v>
      </c>
      <c r="AW72" s="242">
        <v>35.32</v>
      </c>
      <c r="AX72" s="242">
        <v>0</v>
      </c>
      <c r="AY72" s="242">
        <v>35.32</v>
      </c>
      <c r="AZ72" s="242">
        <v>62.09</v>
      </c>
      <c r="BA72" s="242">
        <v>0</v>
      </c>
      <c r="BB72" s="242">
        <v>62.09</v>
      </c>
      <c r="BC72" s="241">
        <v>1619.17</v>
      </c>
    </row>
    <row r="73" s="239" customFormat="1" ht="16.5" spans="1:55">
      <c r="A73" s="241">
        <v>67</v>
      </c>
      <c r="B73" s="241" t="s">
        <v>80</v>
      </c>
      <c r="C73" s="242">
        <v>28.61</v>
      </c>
      <c r="D73" s="242">
        <v>28.61</v>
      </c>
      <c r="E73" s="242">
        <v>64.82</v>
      </c>
      <c r="F73" s="242">
        <v>64.82</v>
      </c>
      <c r="G73" s="242">
        <v>0</v>
      </c>
      <c r="H73" s="242">
        <v>0</v>
      </c>
      <c r="I73" s="242">
        <v>0</v>
      </c>
      <c r="J73" s="242">
        <v>0</v>
      </c>
      <c r="K73" s="242">
        <v>241.28</v>
      </c>
      <c r="L73" s="242">
        <v>0</v>
      </c>
      <c r="M73" s="242">
        <v>241.28</v>
      </c>
      <c r="N73" s="242">
        <v>7.87</v>
      </c>
      <c r="O73" s="242">
        <v>7.87</v>
      </c>
      <c r="P73" s="242">
        <v>6.77</v>
      </c>
      <c r="Q73" s="242">
        <v>0</v>
      </c>
      <c r="R73" s="242">
        <v>6.77</v>
      </c>
      <c r="S73" s="242">
        <v>29.62</v>
      </c>
      <c r="T73" s="242">
        <v>0</v>
      </c>
      <c r="U73" s="242">
        <v>29.62</v>
      </c>
      <c r="V73" s="242">
        <v>37.11</v>
      </c>
      <c r="W73" s="242">
        <v>0</v>
      </c>
      <c r="X73" s="242">
        <v>37.11</v>
      </c>
      <c r="Y73" s="242">
        <v>7.86</v>
      </c>
      <c r="Z73" s="242">
        <v>0</v>
      </c>
      <c r="AA73" s="242">
        <v>7.86</v>
      </c>
      <c r="AB73" s="242">
        <v>40.08</v>
      </c>
      <c r="AC73" s="242">
        <v>0</v>
      </c>
      <c r="AD73" s="242">
        <v>40.08</v>
      </c>
      <c r="AE73" s="242">
        <v>127.57</v>
      </c>
      <c r="AF73" s="242">
        <v>0</v>
      </c>
      <c r="AG73" s="242">
        <v>127.57</v>
      </c>
      <c r="AH73" s="242">
        <v>295.09</v>
      </c>
      <c r="AI73" s="242">
        <v>0</v>
      </c>
      <c r="AJ73" s="242">
        <v>295.09</v>
      </c>
      <c r="AK73" s="242">
        <v>74.61</v>
      </c>
      <c r="AL73" s="242">
        <v>0</v>
      </c>
      <c r="AM73" s="242">
        <v>74.61</v>
      </c>
      <c r="AN73" s="242">
        <v>216.14</v>
      </c>
      <c r="AO73" s="242">
        <v>0</v>
      </c>
      <c r="AP73" s="242">
        <v>216.14</v>
      </c>
      <c r="AQ73" s="242">
        <v>209.05</v>
      </c>
      <c r="AR73" s="242">
        <v>0</v>
      </c>
      <c r="AS73" s="242">
        <v>209.05</v>
      </c>
      <c r="AT73" s="242">
        <v>135.28</v>
      </c>
      <c r="AU73" s="242">
        <v>0</v>
      </c>
      <c r="AV73" s="242">
        <v>135.28</v>
      </c>
      <c r="AW73" s="242">
        <v>35.32</v>
      </c>
      <c r="AX73" s="242">
        <v>0</v>
      </c>
      <c r="AY73" s="242">
        <v>35.32</v>
      </c>
      <c r="AZ73" s="242">
        <v>62.09</v>
      </c>
      <c r="BA73" s="242">
        <v>0</v>
      </c>
      <c r="BB73" s="242">
        <v>62.09</v>
      </c>
      <c r="BC73" s="241">
        <v>1619.17</v>
      </c>
    </row>
    <row r="74" s="239" customFormat="1" ht="16.5" spans="1:55">
      <c r="A74" s="241">
        <v>68</v>
      </c>
      <c r="B74" s="241" t="s">
        <v>81</v>
      </c>
      <c r="C74" s="242">
        <v>28.61</v>
      </c>
      <c r="D74" s="242">
        <v>28.61</v>
      </c>
      <c r="E74" s="242">
        <v>64.82</v>
      </c>
      <c r="F74" s="242">
        <v>64.82</v>
      </c>
      <c r="G74" s="242">
        <v>0</v>
      </c>
      <c r="H74" s="242">
        <v>0</v>
      </c>
      <c r="I74" s="242">
        <v>0</v>
      </c>
      <c r="J74" s="242">
        <v>0</v>
      </c>
      <c r="K74" s="242">
        <v>241.28</v>
      </c>
      <c r="L74" s="242">
        <v>0</v>
      </c>
      <c r="M74" s="242">
        <v>241.28</v>
      </c>
      <c r="N74" s="242">
        <v>7.87</v>
      </c>
      <c r="O74" s="242">
        <v>7.87</v>
      </c>
      <c r="P74" s="242">
        <v>6.77</v>
      </c>
      <c r="Q74" s="242">
        <v>0</v>
      </c>
      <c r="R74" s="242">
        <v>6.77</v>
      </c>
      <c r="S74" s="242">
        <v>29.62</v>
      </c>
      <c r="T74" s="242">
        <v>0</v>
      </c>
      <c r="U74" s="242">
        <v>29.62</v>
      </c>
      <c r="V74" s="242">
        <v>37.11</v>
      </c>
      <c r="W74" s="242">
        <v>0</v>
      </c>
      <c r="X74" s="242">
        <v>37.11</v>
      </c>
      <c r="Y74" s="242">
        <v>7.86</v>
      </c>
      <c r="Z74" s="242">
        <v>0</v>
      </c>
      <c r="AA74" s="242">
        <v>7.86</v>
      </c>
      <c r="AB74" s="242">
        <v>40.08</v>
      </c>
      <c r="AC74" s="242">
        <v>0</v>
      </c>
      <c r="AD74" s="242">
        <v>40.08</v>
      </c>
      <c r="AE74" s="242">
        <v>127.57</v>
      </c>
      <c r="AF74" s="242">
        <v>0</v>
      </c>
      <c r="AG74" s="242">
        <v>127.57</v>
      </c>
      <c r="AH74" s="242">
        <v>295.09</v>
      </c>
      <c r="AI74" s="242">
        <v>0</v>
      </c>
      <c r="AJ74" s="242">
        <v>295.09</v>
      </c>
      <c r="AK74" s="242">
        <v>74.61</v>
      </c>
      <c r="AL74" s="242">
        <v>0</v>
      </c>
      <c r="AM74" s="242">
        <v>74.61</v>
      </c>
      <c r="AN74" s="242">
        <v>216.14</v>
      </c>
      <c r="AO74" s="242">
        <v>0</v>
      </c>
      <c r="AP74" s="242">
        <v>216.14</v>
      </c>
      <c r="AQ74" s="242">
        <v>209.05</v>
      </c>
      <c r="AR74" s="242">
        <v>0</v>
      </c>
      <c r="AS74" s="242">
        <v>209.05</v>
      </c>
      <c r="AT74" s="242">
        <v>135.28</v>
      </c>
      <c r="AU74" s="242">
        <v>0</v>
      </c>
      <c r="AV74" s="242">
        <v>135.28</v>
      </c>
      <c r="AW74" s="242">
        <v>35.32</v>
      </c>
      <c r="AX74" s="242">
        <v>0</v>
      </c>
      <c r="AY74" s="242">
        <v>35.32</v>
      </c>
      <c r="AZ74" s="242">
        <v>62.09</v>
      </c>
      <c r="BA74" s="242">
        <v>0</v>
      </c>
      <c r="BB74" s="242">
        <v>62.09</v>
      </c>
      <c r="BC74" s="241">
        <v>1619.17</v>
      </c>
    </row>
    <row r="75" s="239" customFormat="1" ht="16.5" spans="1:55">
      <c r="A75" s="241">
        <v>69</v>
      </c>
      <c r="B75" s="241" t="s">
        <v>82</v>
      </c>
      <c r="C75" s="242">
        <v>28.61</v>
      </c>
      <c r="D75" s="242">
        <v>28.61</v>
      </c>
      <c r="E75" s="242">
        <v>64.82</v>
      </c>
      <c r="F75" s="242">
        <v>64.82</v>
      </c>
      <c r="G75" s="242">
        <v>0</v>
      </c>
      <c r="H75" s="242">
        <v>0</v>
      </c>
      <c r="I75" s="242">
        <v>0</v>
      </c>
      <c r="J75" s="242">
        <v>0</v>
      </c>
      <c r="K75" s="242">
        <v>241.28</v>
      </c>
      <c r="L75" s="242">
        <v>0</v>
      </c>
      <c r="M75" s="242">
        <v>241.28</v>
      </c>
      <c r="N75" s="242">
        <v>7.87</v>
      </c>
      <c r="O75" s="242">
        <v>7.87</v>
      </c>
      <c r="P75" s="242">
        <v>6.77</v>
      </c>
      <c r="Q75" s="242">
        <v>0</v>
      </c>
      <c r="R75" s="242">
        <v>6.77</v>
      </c>
      <c r="S75" s="242">
        <v>29.62</v>
      </c>
      <c r="T75" s="242">
        <v>0</v>
      </c>
      <c r="U75" s="242">
        <v>29.62</v>
      </c>
      <c r="V75" s="242">
        <v>37.11</v>
      </c>
      <c r="W75" s="242">
        <v>0</v>
      </c>
      <c r="X75" s="242">
        <v>37.11</v>
      </c>
      <c r="Y75" s="242">
        <v>7.86</v>
      </c>
      <c r="Z75" s="242">
        <v>0</v>
      </c>
      <c r="AA75" s="242">
        <v>7.86</v>
      </c>
      <c r="AB75" s="242">
        <v>40.08</v>
      </c>
      <c r="AC75" s="242">
        <v>0</v>
      </c>
      <c r="AD75" s="242">
        <v>40.08</v>
      </c>
      <c r="AE75" s="242">
        <v>127.57</v>
      </c>
      <c r="AF75" s="242">
        <v>0</v>
      </c>
      <c r="AG75" s="242">
        <v>127.57</v>
      </c>
      <c r="AH75" s="242">
        <v>295.09</v>
      </c>
      <c r="AI75" s="242">
        <v>0</v>
      </c>
      <c r="AJ75" s="242">
        <v>295.09</v>
      </c>
      <c r="AK75" s="242">
        <v>74.61</v>
      </c>
      <c r="AL75" s="242">
        <v>0</v>
      </c>
      <c r="AM75" s="242">
        <v>74.61</v>
      </c>
      <c r="AN75" s="242">
        <v>216.14</v>
      </c>
      <c r="AO75" s="242">
        <v>0</v>
      </c>
      <c r="AP75" s="242">
        <v>216.14</v>
      </c>
      <c r="AQ75" s="242">
        <v>209.05</v>
      </c>
      <c r="AR75" s="242">
        <v>0</v>
      </c>
      <c r="AS75" s="242">
        <v>209.05</v>
      </c>
      <c r="AT75" s="242">
        <v>135.28</v>
      </c>
      <c r="AU75" s="242">
        <v>0</v>
      </c>
      <c r="AV75" s="242">
        <v>135.28</v>
      </c>
      <c r="AW75" s="242">
        <v>35.32</v>
      </c>
      <c r="AX75" s="242">
        <v>0</v>
      </c>
      <c r="AY75" s="242">
        <v>35.32</v>
      </c>
      <c r="AZ75" s="242">
        <v>62.09</v>
      </c>
      <c r="BA75" s="242">
        <v>0</v>
      </c>
      <c r="BB75" s="242">
        <v>62.09</v>
      </c>
      <c r="BC75" s="241">
        <v>1619.17</v>
      </c>
    </row>
    <row r="76" s="239" customFormat="1" ht="16.5" spans="1:55">
      <c r="A76" s="241">
        <v>70</v>
      </c>
      <c r="B76" s="241" t="s">
        <v>83</v>
      </c>
      <c r="C76" s="242">
        <v>28.61</v>
      </c>
      <c r="D76" s="242">
        <v>28.61</v>
      </c>
      <c r="E76" s="242">
        <v>64.82</v>
      </c>
      <c r="F76" s="242">
        <v>64.82</v>
      </c>
      <c r="G76" s="242">
        <v>0</v>
      </c>
      <c r="H76" s="242">
        <v>0</v>
      </c>
      <c r="I76" s="242">
        <v>0</v>
      </c>
      <c r="J76" s="242">
        <v>0</v>
      </c>
      <c r="K76" s="242">
        <v>241.28</v>
      </c>
      <c r="L76" s="242">
        <v>0</v>
      </c>
      <c r="M76" s="242">
        <v>241.28</v>
      </c>
      <c r="N76" s="242">
        <v>7.87</v>
      </c>
      <c r="O76" s="242">
        <v>7.87</v>
      </c>
      <c r="P76" s="242">
        <v>6.77</v>
      </c>
      <c r="Q76" s="242">
        <v>0</v>
      </c>
      <c r="R76" s="242">
        <v>6.77</v>
      </c>
      <c r="S76" s="242">
        <v>29.62</v>
      </c>
      <c r="T76" s="242">
        <v>0</v>
      </c>
      <c r="U76" s="242">
        <v>29.62</v>
      </c>
      <c r="V76" s="242">
        <v>37.11</v>
      </c>
      <c r="W76" s="242">
        <v>0</v>
      </c>
      <c r="X76" s="242">
        <v>37.11</v>
      </c>
      <c r="Y76" s="242">
        <v>7.86</v>
      </c>
      <c r="Z76" s="242">
        <v>0</v>
      </c>
      <c r="AA76" s="242">
        <v>7.86</v>
      </c>
      <c r="AB76" s="242">
        <v>40.08</v>
      </c>
      <c r="AC76" s="242">
        <v>0</v>
      </c>
      <c r="AD76" s="242">
        <v>40.08</v>
      </c>
      <c r="AE76" s="242">
        <v>127.57</v>
      </c>
      <c r="AF76" s="242">
        <v>0</v>
      </c>
      <c r="AG76" s="242">
        <v>127.57</v>
      </c>
      <c r="AH76" s="242">
        <v>295.09</v>
      </c>
      <c r="AI76" s="242">
        <v>0</v>
      </c>
      <c r="AJ76" s="242">
        <v>295.09</v>
      </c>
      <c r="AK76" s="242">
        <v>74.61</v>
      </c>
      <c r="AL76" s="242">
        <v>0</v>
      </c>
      <c r="AM76" s="242">
        <v>74.61</v>
      </c>
      <c r="AN76" s="242">
        <v>216.14</v>
      </c>
      <c r="AO76" s="242">
        <v>0</v>
      </c>
      <c r="AP76" s="242">
        <v>216.14</v>
      </c>
      <c r="AQ76" s="242">
        <v>209.05</v>
      </c>
      <c r="AR76" s="242">
        <v>0</v>
      </c>
      <c r="AS76" s="242">
        <v>209.05</v>
      </c>
      <c r="AT76" s="242">
        <v>135.28</v>
      </c>
      <c r="AU76" s="242">
        <v>0</v>
      </c>
      <c r="AV76" s="242">
        <v>135.28</v>
      </c>
      <c r="AW76" s="242">
        <v>35.32</v>
      </c>
      <c r="AX76" s="242">
        <v>0</v>
      </c>
      <c r="AY76" s="242">
        <v>35.32</v>
      </c>
      <c r="AZ76" s="242">
        <v>62.09</v>
      </c>
      <c r="BA76" s="242">
        <v>0</v>
      </c>
      <c r="BB76" s="242">
        <v>62.09</v>
      </c>
      <c r="BC76" s="241">
        <v>1619.17</v>
      </c>
    </row>
    <row r="77" s="239" customFormat="1" ht="16.5" spans="1:55">
      <c r="A77" s="241">
        <v>71</v>
      </c>
      <c r="B77" s="241" t="s">
        <v>84</v>
      </c>
      <c r="C77" s="242">
        <v>28.61</v>
      </c>
      <c r="D77" s="242">
        <v>28.61</v>
      </c>
      <c r="E77" s="242">
        <v>64.82</v>
      </c>
      <c r="F77" s="242">
        <v>64.82</v>
      </c>
      <c r="G77" s="242">
        <v>0</v>
      </c>
      <c r="H77" s="242">
        <v>0</v>
      </c>
      <c r="I77" s="242">
        <v>0</v>
      </c>
      <c r="J77" s="242">
        <v>0</v>
      </c>
      <c r="K77" s="242">
        <v>241.28</v>
      </c>
      <c r="L77" s="242">
        <v>0</v>
      </c>
      <c r="M77" s="242">
        <v>241.28</v>
      </c>
      <c r="N77" s="242">
        <v>7.87</v>
      </c>
      <c r="O77" s="242">
        <v>7.87</v>
      </c>
      <c r="P77" s="242">
        <v>6.77</v>
      </c>
      <c r="Q77" s="242">
        <v>0</v>
      </c>
      <c r="R77" s="242">
        <v>6.77</v>
      </c>
      <c r="S77" s="242">
        <v>29.62</v>
      </c>
      <c r="T77" s="242">
        <v>0</v>
      </c>
      <c r="U77" s="242">
        <v>29.62</v>
      </c>
      <c r="V77" s="242">
        <v>37.11</v>
      </c>
      <c r="W77" s="242">
        <v>0</v>
      </c>
      <c r="X77" s="242">
        <v>37.11</v>
      </c>
      <c r="Y77" s="242">
        <v>7.86</v>
      </c>
      <c r="Z77" s="242">
        <v>0</v>
      </c>
      <c r="AA77" s="242">
        <v>7.86</v>
      </c>
      <c r="AB77" s="242">
        <v>40.08</v>
      </c>
      <c r="AC77" s="242">
        <v>0</v>
      </c>
      <c r="AD77" s="242">
        <v>40.08</v>
      </c>
      <c r="AE77" s="242">
        <v>127.57</v>
      </c>
      <c r="AF77" s="242">
        <v>0</v>
      </c>
      <c r="AG77" s="242">
        <v>127.57</v>
      </c>
      <c r="AH77" s="242">
        <v>295.09</v>
      </c>
      <c r="AI77" s="242">
        <v>0</v>
      </c>
      <c r="AJ77" s="242">
        <v>295.09</v>
      </c>
      <c r="AK77" s="242">
        <v>74.61</v>
      </c>
      <c r="AL77" s="242">
        <v>0</v>
      </c>
      <c r="AM77" s="242">
        <v>74.61</v>
      </c>
      <c r="AN77" s="242">
        <v>216.14</v>
      </c>
      <c r="AO77" s="242">
        <v>0</v>
      </c>
      <c r="AP77" s="242">
        <v>216.14</v>
      </c>
      <c r="AQ77" s="242">
        <v>209.05</v>
      </c>
      <c r="AR77" s="242">
        <v>0</v>
      </c>
      <c r="AS77" s="242">
        <v>209.05</v>
      </c>
      <c r="AT77" s="242">
        <v>135.28</v>
      </c>
      <c r="AU77" s="242">
        <v>0</v>
      </c>
      <c r="AV77" s="242">
        <v>135.28</v>
      </c>
      <c r="AW77" s="242">
        <v>35.32</v>
      </c>
      <c r="AX77" s="242">
        <v>0</v>
      </c>
      <c r="AY77" s="242">
        <v>35.32</v>
      </c>
      <c r="AZ77" s="242">
        <v>62.09</v>
      </c>
      <c r="BA77" s="242">
        <v>0</v>
      </c>
      <c r="BB77" s="242">
        <v>62.09</v>
      </c>
      <c r="BC77" s="241">
        <v>1619.17</v>
      </c>
    </row>
    <row r="78" s="239" customFormat="1" ht="16.5" spans="1:55">
      <c r="A78" s="241">
        <v>72</v>
      </c>
      <c r="B78" s="241" t="s">
        <v>85</v>
      </c>
      <c r="C78" s="242">
        <v>28.61</v>
      </c>
      <c r="D78" s="242">
        <v>28.61</v>
      </c>
      <c r="E78" s="242">
        <v>64.82</v>
      </c>
      <c r="F78" s="242">
        <v>64.82</v>
      </c>
      <c r="G78" s="242">
        <v>0</v>
      </c>
      <c r="H78" s="242">
        <v>0</v>
      </c>
      <c r="I78" s="242">
        <v>0</v>
      </c>
      <c r="J78" s="242">
        <v>0</v>
      </c>
      <c r="K78" s="242">
        <v>241.28</v>
      </c>
      <c r="L78" s="242">
        <v>0</v>
      </c>
      <c r="M78" s="242">
        <v>241.28</v>
      </c>
      <c r="N78" s="242">
        <v>7.87</v>
      </c>
      <c r="O78" s="242">
        <v>7.87</v>
      </c>
      <c r="P78" s="242">
        <v>6.77</v>
      </c>
      <c r="Q78" s="242">
        <v>0</v>
      </c>
      <c r="R78" s="242">
        <v>6.77</v>
      </c>
      <c r="S78" s="242">
        <v>29.62</v>
      </c>
      <c r="T78" s="242">
        <v>0</v>
      </c>
      <c r="U78" s="242">
        <v>29.62</v>
      </c>
      <c r="V78" s="242">
        <v>37.11</v>
      </c>
      <c r="W78" s="242">
        <v>0</v>
      </c>
      <c r="X78" s="242">
        <v>37.11</v>
      </c>
      <c r="Y78" s="242">
        <v>7.86</v>
      </c>
      <c r="Z78" s="242">
        <v>0</v>
      </c>
      <c r="AA78" s="242">
        <v>7.86</v>
      </c>
      <c r="AB78" s="242">
        <v>40.08</v>
      </c>
      <c r="AC78" s="242">
        <v>0</v>
      </c>
      <c r="AD78" s="242">
        <v>40.08</v>
      </c>
      <c r="AE78" s="242">
        <v>127.57</v>
      </c>
      <c r="AF78" s="242">
        <v>0</v>
      </c>
      <c r="AG78" s="242">
        <v>127.57</v>
      </c>
      <c r="AH78" s="242">
        <v>295.09</v>
      </c>
      <c r="AI78" s="242">
        <v>0</v>
      </c>
      <c r="AJ78" s="242">
        <v>295.09</v>
      </c>
      <c r="AK78" s="242">
        <v>74.61</v>
      </c>
      <c r="AL78" s="242">
        <v>0</v>
      </c>
      <c r="AM78" s="242">
        <v>74.61</v>
      </c>
      <c r="AN78" s="242">
        <v>216.14</v>
      </c>
      <c r="AO78" s="242">
        <v>0</v>
      </c>
      <c r="AP78" s="242">
        <v>216.14</v>
      </c>
      <c r="AQ78" s="242">
        <v>209.05</v>
      </c>
      <c r="AR78" s="242">
        <v>0</v>
      </c>
      <c r="AS78" s="242">
        <v>209.05</v>
      </c>
      <c r="AT78" s="242">
        <v>135.28</v>
      </c>
      <c r="AU78" s="242">
        <v>0</v>
      </c>
      <c r="AV78" s="242">
        <v>135.28</v>
      </c>
      <c r="AW78" s="242">
        <v>35.32</v>
      </c>
      <c r="AX78" s="242">
        <v>0</v>
      </c>
      <c r="AY78" s="242">
        <v>35.32</v>
      </c>
      <c r="AZ78" s="242">
        <v>62.09</v>
      </c>
      <c r="BA78" s="242">
        <v>0</v>
      </c>
      <c r="BB78" s="242">
        <v>62.09</v>
      </c>
      <c r="BC78" s="241">
        <v>1619.17</v>
      </c>
    </row>
    <row r="79" s="239" customFormat="1" ht="16.5" spans="1:55">
      <c r="A79" s="241">
        <v>73</v>
      </c>
      <c r="B79" s="241" t="s">
        <v>86</v>
      </c>
      <c r="C79" s="242">
        <v>28.61</v>
      </c>
      <c r="D79" s="242">
        <v>28.61</v>
      </c>
      <c r="E79" s="242">
        <v>64.82</v>
      </c>
      <c r="F79" s="242">
        <v>64.82</v>
      </c>
      <c r="G79" s="242">
        <v>0</v>
      </c>
      <c r="H79" s="242">
        <v>0</v>
      </c>
      <c r="I79" s="242">
        <v>0</v>
      </c>
      <c r="J79" s="242">
        <v>0</v>
      </c>
      <c r="K79" s="242">
        <v>241.28</v>
      </c>
      <c r="L79" s="242">
        <v>0</v>
      </c>
      <c r="M79" s="242">
        <v>241.28</v>
      </c>
      <c r="N79" s="242">
        <v>7.87</v>
      </c>
      <c r="O79" s="242">
        <v>7.87</v>
      </c>
      <c r="P79" s="242">
        <v>6.77</v>
      </c>
      <c r="Q79" s="242">
        <v>0</v>
      </c>
      <c r="R79" s="242">
        <v>6.77</v>
      </c>
      <c r="S79" s="242">
        <v>29.62</v>
      </c>
      <c r="T79" s="242">
        <v>0</v>
      </c>
      <c r="U79" s="242">
        <v>29.62</v>
      </c>
      <c r="V79" s="242">
        <v>37.11</v>
      </c>
      <c r="W79" s="242">
        <v>0</v>
      </c>
      <c r="X79" s="242">
        <v>37.11</v>
      </c>
      <c r="Y79" s="242">
        <v>7.86</v>
      </c>
      <c r="Z79" s="242">
        <v>0</v>
      </c>
      <c r="AA79" s="242">
        <v>7.86</v>
      </c>
      <c r="AB79" s="242">
        <v>40.08</v>
      </c>
      <c r="AC79" s="242">
        <v>0</v>
      </c>
      <c r="AD79" s="242">
        <v>40.08</v>
      </c>
      <c r="AE79" s="242">
        <v>127.57</v>
      </c>
      <c r="AF79" s="242">
        <v>0</v>
      </c>
      <c r="AG79" s="242">
        <v>127.57</v>
      </c>
      <c r="AH79" s="242">
        <v>295.09</v>
      </c>
      <c r="AI79" s="242">
        <v>0</v>
      </c>
      <c r="AJ79" s="242">
        <v>295.09</v>
      </c>
      <c r="AK79" s="242">
        <v>74.61</v>
      </c>
      <c r="AL79" s="242">
        <v>0</v>
      </c>
      <c r="AM79" s="242">
        <v>74.61</v>
      </c>
      <c r="AN79" s="242">
        <v>216.14</v>
      </c>
      <c r="AO79" s="242">
        <v>0</v>
      </c>
      <c r="AP79" s="242">
        <v>216.14</v>
      </c>
      <c r="AQ79" s="242">
        <v>209.05</v>
      </c>
      <c r="AR79" s="242">
        <v>0</v>
      </c>
      <c r="AS79" s="242">
        <v>209.05</v>
      </c>
      <c r="AT79" s="242">
        <v>135.28</v>
      </c>
      <c r="AU79" s="242">
        <v>0</v>
      </c>
      <c r="AV79" s="242">
        <v>135.28</v>
      </c>
      <c r="AW79" s="242">
        <v>35.32</v>
      </c>
      <c r="AX79" s="242">
        <v>0</v>
      </c>
      <c r="AY79" s="242">
        <v>35.32</v>
      </c>
      <c r="AZ79" s="242">
        <v>62.09</v>
      </c>
      <c r="BA79" s="242">
        <v>0</v>
      </c>
      <c r="BB79" s="242">
        <v>62.09</v>
      </c>
      <c r="BC79" s="241">
        <v>1619.17</v>
      </c>
    </row>
    <row r="80" s="239" customFormat="1" ht="16.5" spans="1:55">
      <c r="A80" s="241">
        <v>74</v>
      </c>
      <c r="B80" s="241" t="s">
        <v>87</v>
      </c>
      <c r="C80" s="242">
        <v>28.61</v>
      </c>
      <c r="D80" s="242">
        <v>28.61</v>
      </c>
      <c r="E80" s="242">
        <v>64.82</v>
      </c>
      <c r="F80" s="242">
        <v>64.82</v>
      </c>
      <c r="G80" s="242">
        <v>0</v>
      </c>
      <c r="H80" s="242">
        <v>0</v>
      </c>
      <c r="I80" s="242">
        <v>0</v>
      </c>
      <c r="J80" s="242">
        <v>0</v>
      </c>
      <c r="K80" s="242">
        <v>241.28</v>
      </c>
      <c r="L80" s="242">
        <v>0</v>
      </c>
      <c r="M80" s="242">
        <v>241.28</v>
      </c>
      <c r="N80" s="242">
        <v>7.87</v>
      </c>
      <c r="O80" s="242">
        <v>7.87</v>
      </c>
      <c r="P80" s="242">
        <v>6.77</v>
      </c>
      <c r="Q80" s="242">
        <v>0</v>
      </c>
      <c r="R80" s="242">
        <v>6.77</v>
      </c>
      <c r="S80" s="242">
        <v>29.62</v>
      </c>
      <c r="T80" s="242">
        <v>0</v>
      </c>
      <c r="U80" s="242">
        <v>29.62</v>
      </c>
      <c r="V80" s="242">
        <v>37.11</v>
      </c>
      <c r="W80" s="242">
        <v>0</v>
      </c>
      <c r="X80" s="242">
        <v>37.11</v>
      </c>
      <c r="Y80" s="242">
        <v>7.86</v>
      </c>
      <c r="Z80" s="242">
        <v>0</v>
      </c>
      <c r="AA80" s="242">
        <v>7.86</v>
      </c>
      <c r="AB80" s="242">
        <v>40.08</v>
      </c>
      <c r="AC80" s="242">
        <v>0</v>
      </c>
      <c r="AD80" s="242">
        <v>40.08</v>
      </c>
      <c r="AE80" s="242">
        <v>127.57</v>
      </c>
      <c r="AF80" s="242">
        <v>0</v>
      </c>
      <c r="AG80" s="242">
        <v>127.57</v>
      </c>
      <c r="AH80" s="242">
        <v>295.09</v>
      </c>
      <c r="AI80" s="242">
        <v>0</v>
      </c>
      <c r="AJ80" s="242">
        <v>295.09</v>
      </c>
      <c r="AK80" s="242">
        <v>74.61</v>
      </c>
      <c r="AL80" s="242">
        <v>0</v>
      </c>
      <c r="AM80" s="242">
        <v>74.61</v>
      </c>
      <c r="AN80" s="242">
        <v>216.14</v>
      </c>
      <c r="AO80" s="242">
        <v>0</v>
      </c>
      <c r="AP80" s="242">
        <v>216.14</v>
      </c>
      <c r="AQ80" s="242">
        <v>209.05</v>
      </c>
      <c r="AR80" s="242">
        <v>0</v>
      </c>
      <c r="AS80" s="242">
        <v>209.05</v>
      </c>
      <c r="AT80" s="242">
        <v>135.28</v>
      </c>
      <c r="AU80" s="242">
        <v>0</v>
      </c>
      <c r="AV80" s="242">
        <v>135.28</v>
      </c>
      <c r="AW80" s="242">
        <v>35.32</v>
      </c>
      <c r="AX80" s="242">
        <v>0</v>
      </c>
      <c r="AY80" s="242">
        <v>35.32</v>
      </c>
      <c r="AZ80" s="242">
        <v>62.09</v>
      </c>
      <c r="BA80" s="242">
        <v>0</v>
      </c>
      <c r="BB80" s="242">
        <v>62.09</v>
      </c>
      <c r="BC80" s="241">
        <v>1619.17</v>
      </c>
    </row>
    <row r="81" s="239" customFormat="1" ht="16.5" spans="1:55">
      <c r="A81" s="241">
        <v>75</v>
      </c>
      <c r="B81" s="241" t="s">
        <v>88</v>
      </c>
      <c r="C81" s="242">
        <v>28.61</v>
      </c>
      <c r="D81" s="242">
        <v>28.61</v>
      </c>
      <c r="E81" s="242">
        <v>64.82</v>
      </c>
      <c r="F81" s="242">
        <v>64.82</v>
      </c>
      <c r="G81" s="242">
        <v>0</v>
      </c>
      <c r="H81" s="242">
        <v>0</v>
      </c>
      <c r="I81" s="242">
        <v>0</v>
      </c>
      <c r="J81" s="242">
        <v>0</v>
      </c>
      <c r="K81" s="242">
        <v>241.28</v>
      </c>
      <c r="L81" s="242">
        <v>0</v>
      </c>
      <c r="M81" s="242">
        <v>241.28</v>
      </c>
      <c r="N81" s="242">
        <v>7.87</v>
      </c>
      <c r="O81" s="242">
        <v>7.87</v>
      </c>
      <c r="P81" s="242">
        <v>6.77</v>
      </c>
      <c r="Q81" s="242">
        <v>0</v>
      </c>
      <c r="R81" s="242">
        <v>6.77</v>
      </c>
      <c r="S81" s="242">
        <v>29.62</v>
      </c>
      <c r="T81" s="242">
        <v>0</v>
      </c>
      <c r="U81" s="242">
        <v>29.62</v>
      </c>
      <c r="V81" s="242">
        <v>37.11</v>
      </c>
      <c r="W81" s="242">
        <v>0</v>
      </c>
      <c r="X81" s="242">
        <v>37.11</v>
      </c>
      <c r="Y81" s="242">
        <v>7.86</v>
      </c>
      <c r="Z81" s="242">
        <v>0</v>
      </c>
      <c r="AA81" s="242">
        <v>7.86</v>
      </c>
      <c r="AB81" s="242">
        <v>40.08</v>
      </c>
      <c r="AC81" s="242">
        <v>0</v>
      </c>
      <c r="AD81" s="242">
        <v>40.08</v>
      </c>
      <c r="AE81" s="242">
        <v>127.57</v>
      </c>
      <c r="AF81" s="242">
        <v>0</v>
      </c>
      <c r="AG81" s="242">
        <v>127.57</v>
      </c>
      <c r="AH81" s="242">
        <v>295.09</v>
      </c>
      <c r="AI81" s="242">
        <v>0</v>
      </c>
      <c r="AJ81" s="242">
        <v>295.09</v>
      </c>
      <c r="AK81" s="242">
        <v>74.61</v>
      </c>
      <c r="AL81" s="242">
        <v>0</v>
      </c>
      <c r="AM81" s="242">
        <v>74.61</v>
      </c>
      <c r="AN81" s="242">
        <v>216.14</v>
      </c>
      <c r="AO81" s="242">
        <v>0</v>
      </c>
      <c r="AP81" s="242">
        <v>216.14</v>
      </c>
      <c r="AQ81" s="242">
        <v>209.05</v>
      </c>
      <c r="AR81" s="242">
        <v>0</v>
      </c>
      <c r="AS81" s="242">
        <v>209.05</v>
      </c>
      <c r="AT81" s="242">
        <v>135.28</v>
      </c>
      <c r="AU81" s="242">
        <v>0</v>
      </c>
      <c r="AV81" s="242">
        <v>135.28</v>
      </c>
      <c r="AW81" s="242">
        <v>35.32</v>
      </c>
      <c r="AX81" s="242">
        <v>0</v>
      </c>
      <c r="AY81" s="242">
        <v>35.32</v>
      </c>
      <c r="AZ81" s="242">
        <v>62.09</v>
      </c>
      <c r="BA81" s="242">
        <v>0</v>
      </c>
      <c r="BB81" s="242">
        <v>62.09</v>
      </c>
      <c r="BC81" s="241">
        <v>1619.17</v>
      </c>
    </row>
    <row r="82" s="239" customFormat="1" ht="16.5" spans="1:55">
      <c r="A82" s="241">
        <v>76</v>
      </c>
      <c r="B82" s="241" t="s">
        <v>89</v>
      </c>
      <c r="C82" s="242">
        <v>28.61</v>
      </c>
      <c r="D82" s="242">
        <v>28.61</v>
      </c>
      <c r="E82" s="242">
        <v>64.82</v>
      </c>
      <c r="F82" s="242">
        <v>64.82</v>
      </c>
      <c r="G82" s="242">
        <v>0</v>
      </c>
      <c r="H82" s="242">
        <v>0</v>
      </c>
      <c r="I82" s="242">
        <v>0</v>
      </c>
      <c r="J82" s="242">
        <v>0</v>
      </c>
      <c r="K82" s="242">
        <v>241.28</v>
      </c>
      <c r="L82" s="242">
        <v>0</v>
      </c>
      <c r="M82" s="242">
        <v>241.28</v>
      </c>
      <c r="N82" s="242">
        <v>7.87</v>
      </c>
      <c r="O82" s="242">
        <v>7.87</v>
      </c>
      <c r="P82" s="242">
        <v>6.77</v>
      </c>
      <c r="Q82" s="242">
        <v>0</v>
      </c>
      <c r="R82" s="242">
        <v>6.77</v>
      </c>
      <c r="S82" s="242">
        <v>29.62</v>
      </c>
      <c r="T82" s="242">
        <v>0</v>
      </c>
      <c r="U82" s="242">
        <v>29.62</v>
      </c>
      <c r="V82" s="242">
        <v>37.11</v>
      </c>
      <c r="W82" s="242">
        <v>0</v>
      </c>
      <c r="X82" s="242">
        <v>37.11</v>
      </c>
      <c r="Y82" s="242">
        <v>7.86</v>
      </c>
      <c r="Z82" s="242">
        <v>0</v>
      </c>
      <c r="AA82" s="242">
        <v>7.86</v>
      </c>
      <c r="AB82" s="242">
        <v>40.08</v>
      </c>
      <c r="AC82" s="242">
        <v>0</v>
      </c>
      <c r="AD82" s="242">
        <v>40.08</v>
      </c>
      <c r="AE82" s="242">
        <v>127.57</v>
      </c>
      <c r="AF82" s="242">
        <v>0</v>
      </c>
      <c r="AG82" s="242">
        <v>127.57</v>
      </c>
      <c r="AH82" s="242">
        <v>295.09</v>
      </c>
      <c r="AI82" s="242">
        <v>0</v>
      </c>
      <c r="AJ82" s="242">
        <v>295.09</v>
      </c>
      <c r="AK82" s="242">
        <v>74.61</v>
      </c>
      <c r="AL82" s="242">
        <v>0</v>
      </c>
      <c r="AM82" s="242">
        <v>74.61</v>
      </c>
      <c r="AN82" s="242">
        <v>216.14</v>
      </c>
      <c r="AO82" s="242">
        <v>0</v>
      </c>
      <c r="AP82" s="242">
        <v>216.14</v>
      </c>
      <c r="AQ82" s="242">
        <v>209.05</v>
      </c>
      <c r="AR82" s="242">
        <v>0</v>
      </c>
      <c r="AS82" s="242">
        <v>209.05</v>
      </c>
      <c r="AT82" s="242">
        <v>135.28</v>
      </c>
      <c r="AU82" s="242">
        <v>0</v>
      </c>
      <c r="AV82" s="242">
        <v>135.28</v>
      </c>
      <c r="AW82" s="242">
        <v>35.32</v>
      </c>
      <c r="AX82" s="242">
        <v>0</v>
      </c>
      <c r="AY82" s="242">
        <v>35.32</v>
      </c>
      <c r="AZ82" s="242">
        <v>62.09</v>
      </c>
      <c r="BA82" s="242">
        <v>0</v>
      </c>
      <c r="BB82" s="242">
        <v>62.09</v>
      </c>
      <c r="BC82" s="241">
        <v>1619.17</v>
      </c>
    </row>
    <row r="83" s="239" customFormat="1" ht="16.5" spans="1:55">
      <c r="A83" s="241">
        <v>77</v>
      </c>
      <c r="B83" s="241" t="s">
        <v>90</v>
      </c>
      <c r="C83" s="242">
        <v>28.61</v>
      </c>
      <c r="D83" s="242">
        <v>28.61</v>
      </c>
      <c r="E83" s="242">
        <v>64.82</v>
      </c>
      <c r="F83" s="242">
        <v>64.82</v>
      </c>
      <c r="G83" s="242">
        <v>0</v>
      </c>
      <c r="H83" s="242">
        <v>0</v>
      </c>
      <c r="I83" s="242">
        <v>0</v>
      </c>
      <c r="J83" s="242">
        <v>0</v>
      </c>
      <c r="K83" s="242">
        <v>241.28</v>
      </c>
      <c r="L83" s="242">
        <v>0</v>
      </c>
      <c r="M83" s="242">
        <v>241.28</v>
      </c>
      <c r="N83" s="242">
        <v>7.87</v>
      </c>
      <c r="O83" s="242">
        <v>7.87</v>
      </c>
      <c r="P83" s="242">
        <v>6.77</v>
      </c>
      <c r="Q83" s="242">
        <v>0</v>
      </c>
      <c r="R83" s="242">
        <v>6.77</v>
      </c>
      <c r="S83" s="242">
        <v>29.62</v>
      </c>
      <c r="T83" s="242">
        <v>0</v>
      </c>
      <c r="U83" s="242">
        <v>29.62</v>
      </c>
      <c r="V83" s="242">
        <v>37.11</v>
      </c>
      <c r="W83" s="242">
        <v>0</v>
      </c>
      <c r="X83" s="242">
        <v>37.11</v>
      </c>
      <c r="Y83" s="242">
        <v>7.86</v>
      </c>
      <c r="Z83" s="242">
        <v>0</v>
      </c>
      <c r="AA83" s="242">
        <v>7.86</v>
      </c>
      <c r="AB83" s="242">
        <v>41.8</v>
      </c>
      <c r="AC83" s="242">
        <v>0</v>
      </c>
      <c r="AD83" s="242">
        <v>41.8</v>
      </c>
      <c r="AE83" s="242">
        <v>127.57</v>
      </c>
      <c r="AF83" s="242">
        <v>0</v>
      </c>
      <c r="AG83" s="242">
        <v>127.57</v>
      </c>
      <c r="AH83" s="242">
        <v>295.09</v>
      </c>
      <c r="AI83" s="242">
        <v>0</v>
      </c>
      <c r="AJ83" s="242">
        <v>295.09</v>
      </c>
      <c r="AK83" s="242">
        <v>74.61</v>
      </c>
      <c r="AL83" s="242">
        <v>0</v>
      </c>
      <c r="AM83" s="242">
        <v>74.61</v>
      </c>
      <c r="AN83" s="242">
        <v>216.14</v>
      </c>
      <c r="AO83" s="242">
        <v>0</v>
      </c>
      <c r="AP83" s="242">
        <v>216.14</v>
      </c>
      <c r="AQ83" s="242">
        <v>209.05</v>
      </c>
      <c r="AR83" s="242">
        <v>0</v>
      </c>
      <c r="AS83" s="242">
        <v>209.05</v>
      </c>
      <c r="AT83" s="242">
        <v>135.28</v>
      </c>
      <c r="AU83" s="242">
        <v>0</v>
      </c>
      <c r="AV83" s="242">
        <v>135.28</v>
      </c>
      <c r="AW83" s="242">
        <v>35.32</v>
      </c>
      <c r="AX83" s="242">
        <v>0</v>
      </c>
      <c r="AY83" s="242">
        <v>35.32</v>
      </c>
      <c r="AZ83" s="242">
        <v>62.09</v>
      </c>
      <c r="BA83" s="242">
        <v>0</v>
      </c>
      <c r="BB83" s="242">
        <v>62.09</v>
      </c>
      <c r="BC83" s="241">
        <v>1620.89</v>
      </c>
    </row>
    <row r="84" s="239" customFormat="1" ht="16.5" spans="1:55">
      <c r="A84" s="241">
        <v>78</v>
      </c>
      <c r="B84" s="241" t="s">
        <v>91</v>
      </c>
      <c r="C84" s="242">
        <v>28.61</v>
      </c>
      <c r="D84" s="242">
        <v>28.61</v>
      </c>
      <c r="E84" s="242">
        <v>64.82</v>
      </c>
      <c r="F84" s="242">
        <v>64.82</v>
      </c>
      <c r="G84" s="242">
        <v>0</v>
      </c>
      <c r="H84" s="242">
        <v>0</v>
      </c>
      <c r="I84" s="242">
        <v>0</v>
      </c>
      <c r="J84" s="242">
        <v>0</v>
      </c>
      <c r="K84" s="242">
        <v>241.28</v>
      </c>
      <c r="L84" s="242">
        <v>0</v>
      </c>
      <c r="M84" s="242">
        <v>241.28</v>
      </c>
      <c r="N84" s="242">
        <v>7.87</v>
      </c>
      <c r="O84" s="242">
        <v>7.87</v>
      </c>
      <c r="P84" s="242">
        <v>6.77</v>
      </c>
      <c r="Q84" s="242">
        <v>0</v>
      </c>
      <c r="R84" s="242">
        <v>6.77</v>
      </c>
      <c r="S84" s="242">
        <v>29.62</v>
      </c>
      <c r="T84" s="242">
        <v>0</v>
      </c>
      <c r="U84" s="242">
        <v>29.62</v>
      </c>
      <c r="V84" s="242">
        <v>37.11</v>
      </c>
      <c r="W84" s="242">
        <v>0</v>
      </c>
      <c r="X84" s="242">
        <v>37.11</v>
      </c>
      <c r="Y84" s="242">
        <v>7.86</v>
      </c>
      <c r="Z84" s="242">
        <v>0</v>
      </c>
      <c r="AA84" s="242">
        <v>7.86</v>
      </c>
      <c r="AB84" s="242">
        <v>41.8</v>
      </c>
      <c r="AC84" s="242">
        <v>0</v>
      </c>
      <c r="AD84" s="242">
        <v>41.8</v>
      </c>
      <c r="AE84" s="242">
        <v>127.57</v>
      </c>
      <c r="AF84" s="242">
        <v>0</v>
      </c>
      <c r="AG84" s="242">
        <v>127.57</v>
      </c>
      <c r="AH84" s="242">
        <v>295.09</v>
      </c>
      <c r="AI84" s="242">
        <v>0</v>
      </c>
      <c r="AJ84" s="242">
        <v>295.09</v>
      </c>
      <c r="AK84" s="242">
        <v>74.61</v>
      </c>
      <c r="AL84" s="242">
        <v>0</v>
      </c>
      <c r="AM84" s="242">
        <v>74.61</v>
      </c>
      <c r="AN84" s="242">
        <v>216.14</v>
      </c>
      <c r="AO84" s="242">
        <v>0</v>
      </c>
      <c r="AP84" s="242">
        <v>216.14</v>
      </c>
      <c r="AQ84" s="242">
        <v>209.05</v>
      </c>
      <c r="AR84" s="242">
        <v>0</v>
      </c>
      <c r="AS84" s="242">
        <v>209.05</v>
      </c>
      <c r="AT84" s="242">
        <v>135.28</v>
      </c>
      <c r="AU84" s="242">
        <v>0</v>
      </c>
      <c r="AV84" s="242">
        <v>135.28</v>
      </c>
      <c r="AW84" s="242">
        <v>35.32</v>
      </c>
      <c r="AX84" s="242">
        <v>0</v>
      </c>
      <c r="AY84" s="242">
        <v>35.32</v>
      </c>
      <c r="AZ84" s="242">
        <v>62.09</v>
      </c>
      <c r="BA84" s="242">
        <v>0</v>
      </c>
      <c r="BB84" s="242">
        <v>62.09</v>
      </c>
      <c r="BC84" s="241">
        <v>1620.89</v>
      </c>
    </row>
    <row r="85" s="239" customFormat="1" ht="16.5" spans="1:55">
      <c r="A85" s="241">
        <v>79</v>
      </c>
      <c r="B85" s="241" t="s">
        <v>92</v>
      </c>
      <c r="C85" s="242">
        <v>28.61</v>
      </c>
      <c r="D85" s="242">
        <v>28.61</v>
      </c>
      <c r="E85" s="242">
        <v>64.82</v>
      </c>
      <c r="F85" s="242">
        <v>64.82</v>
      </c>
      <c r="G85" s="242">
        <v>0</v>
      </c>
      <c r="H85" s="242">
        <v>0</v>
      </c>
      <c r="I85" s="242">
        <v>0</v>
      </c>
      <c r="J85" s="242">
        <v>0</v>
      </c>
      <c r="K85" s="242">
        <v>241.28</v>
      </c>
      <c r="L85" s="242">
        <v>0</v>
      </c>
      <c r="M85" s="242">
        <v>241.28</v>
      </c>
      <c r="N85" s="242">
        <v>7.87</v>
      </c>
      <c r="O85" s="242">
        <v>7.87</v>
      </c>
      <c r="P85" s="242">
        <v>6.77</v>
      </c>
      <c r="Q85" s="242">
        <v>0</v>
      </c>
      <c r="R85" s="242">
        <v>6.77</v>
      </c>
      <c r="S85" s="242">
        <v>29.62</v>
      </c>
      <c r="T85" s="242">
        <v>0</v>
      </c>
      <c r="U85" s="242">
        <v>29.62</v>
      </c>
      <c r="V85" s="242">
        <v>37.11</v>
      </c>
      <c r="W85" s="242">
        <v>0</v>
      </c>
      <c r="X85" s="242">
        <v>37.11</v>
      </c>
      <c r="Y85" s="242">
        <v>7.86</v>
      </c>
      <c r="Z85" s="242">
        <v>0</v>
      </c>
      <c r="AA85" s="242">
        <v>7.86</v>
      </c>
      <c r="AB85" s="242">
        <v>41.8</v>
      </c>
      <c r="AC85" s="242">
        <v>0</v>
      </c>
      <c r="AD85" s="242">
        <v>41.8</v>
      </c>
      <c r="AE85" s="242">
        <v>127.57</v>
      </c>
      <c r="AF85" s="242">
        <v>0</v>
      </c>
      <c r="AG85" s="242">
        <v>127.57</v>
      </c>
      <c r="AH85" s="242">
        <v>295.09</v>
      </c>
      <c r="AI85" s="242">
        <v>0</v>
      </c>
      <c r="AJ85" s="242">
        <v>295.09</v>
      </c>
      <c r="AK85" s="242">
        <v>74.61</v>
      </c>
      <c r="AL85" s="242">
        <v>0</v>
      </c>
      <c r="AM85" s="242">
        <v>74.61</v>
      </c>
      <c r="AN85" s="242">
        <v>216.14</v>
      </c>
      <c r="AO85" s="242">
        <v>0</v>
      </c>
      <c r="AP85" s="242">
        <v>216.14</v>
      </c>
      <c r="AQ85" s="242">
        <v>209.05</v>
      </c>
      <c r="AR85" s="242">
        <v>0</v>
      </c>
      <c r="AS85" s="242">
        <v>209.05</v>
      </c>
      <c r="AT85" s="242">
        <v>135.28</v>
      </c>
      <c r="AU85" s="242">
        <v>0</v>
      </c>
      <c r="AV85" s="242">
        <v>135.28</v>
      </c>
      <c r="AW85" s="242">
        <v>35.32</v>
      </c>
      <c r="AX85" s="242">
        <v>0</v>
      </c>
      <c r="AY85" s="242">
        <v>35.32</v>
      </c>
      <c r="AZ85" s="242">
        <v>62.09</v>
      </c>
      <c r="BA85" s="242">
        <v>0</v>
      </c>
      <c r="BB85" s="242">
        <v>62.09</v>
      </c>
      <c r="BC85" s="241">
        <v>1620.89</v>
      </c>
    </row>
    <row r="86" s="239" customFormat="1" ht="16.5" spans="1:55">
      <c r="A86" s="241">
        <v>80</v>
      </c>
      <c r="B86" s="241" t="s">
        <v>93</v>
      </c>
      <c r="C86" s="242">
        <v>28.61</v>
      </c>
      <c r="D86" s="242">
        <v>28.61</v>
      </c>
      <c r="E86" s="242">
        <v>64.82</v>
      </c>
      <c r="F86" s="242">
        <v>64.82</v>
      </c>
      <c r="G86" s="242">
        <v>0</v>
      </c>
      <c r="H86" s="242">
        <v>0</v>
      </c>
      <c r="I86" s="242">
        <v>0</v>
      </c>
      <c r="J86" s="242">
        <v>0</v>
      </c>
      <c r="K86" s="242">
        <v>241.28</v>
      </c>
      <c r="L86" s="242">
        <v>0</v>
      </c>
      <c r="M86" s="242">
        <v>241.28</v>
      </c>
      <c r="N86" s="242">
        <v>7.87</v>
      </c>
      <c r="O86" s="242">
        <v>7.87</v>
      </c>
      <c r="P86" s="242">
        <v>6.77</v>
      </c>
      <c r="Q86" s="242">
        <v>0</v>
      </c>
      <c r="R86" s="242">
        <v>6.77</v>
      </c>
      <c r="S86" s="242">
        <v>29.62</v>
      </c>
      <c r="T86" s="242">
        <v>0</v>
      </c>
      <c r="U86" s="242">
        <v>29.62</v>
      </c>
      <c r="V86" s="242">
        <v>37.11</v>
      </c>
      <c r="W86" s="242">
        <v>0</v>
      </c>
      <c r="X86" s="242">
        <v>37.11</v>
      </c>
      <c r="Y86" s="242">
        <v>7.86</v>
      </c>
      <c r="Z86" s="242">
        <v>0</v>
      </c>
      <c r="AA86" s="242">
        <v>7.86</v>
      </c>
      <c r="AB86" s="242">
        <v>41.8</v>
      </c>
      <c r="AC86" s="242">
        <v>0</v>
      </c>
      <c r="AD86" s="242">
        <v>41.8</v>
      </c>
      <c r="AE86" s="242">
        <v>127.57</v>
      </c>
      <c r="AF86" s="242">
        <v>0</v>
      </c>
      <c r="AG86" s="242">
        <v>127.57</v>
      </c>
      <c r="AH86" s="242">
        <v>295.09</v>
      </c>
      <c r="AI86" s="242">
        <v>0</v>
      </c>
      <c r="AJ86" s="242">
        <v>295.09</v>
      </c>
      <c r="AK86" s="242">
        <v>74.61</v>
      </c>
      <c r="AL86" s="242">
        <v>0</v>
      </c>
      <c r="AM86" s="242">
        <v>74.61</v>
      </c>
      <c r="AN86" s="242">
        <v>216.14</v>
      </c>
      <c r="AO86" s="242">
        <v>0</v>
      </c>
      <c r="AP86" s="242">
        <v>216.14</v>
      </c>
      <c r="AQ86" s="242">
        <v>209.05</v>
      </c>
      <c r="AR86" s="242">
        <v>0</v>
      </c>
      <c r="AS86" s="242">
        <v>209.05</v>
      </c>
      <c r="AT86" s="242">
        <v>135.28</v>
      </c>
      <c r="AU86" s="242">
        <v>0</v>
      </c>
      <c r="AV86" s="242">
        <v>135.28</v>
      </c>
      <c r="AW86" s="242">
        <v>35.32</v>
      </c>
      <c r="AX86" s="242">
        <v>0</v>
      </c>
      <c r="AY86" s="242">
        <v>35.32</v>
      </c>
      <c r="AZ86" s="242">
        <v>62.09</v>
      </c>
      <c r="BA86" s="242">
        <v>0</v>
      </c>
      <c r="BB86" s="242">
        <v>62.09</v>
      </c>
      <c r="BC86" s="241">
        <v>1620.89</v>
      </c>
    </row>
    <row r="87" s="239" customFormat="1" ht="16.5" spans="1:55">
      <c r="A87" s="241">
        <v>81</v>
      </c>
      <c r="B87" s="241" t="s">
        <v>94</v>
      </c>
      <c r="C87" s="242">
        <v>28.61</v>
      </c>
      <c r="D87" s="242">
        <v>28.61</v>
      </c>
      <c r="E87" s="242">
        <v>64.82</v>
      </c>
      <c r="F87" s="242">
        <v>64.82</v>
      </c>
      <c r="G87" s="242">
        <v>0</v>
      </c>
      <c r="H87" s="242">
        <v>0</v>
      </c>
      <c r="I87" s="242">
        <v>0</v>
      </c>
      <c r="J87" s="242">
        <v>0</v>
      </c>
      <c r="K87" s="242">
        <v>241.28</v>
      </c>
      <c r="L87" s="242">
        <v>0</v>
      </c>
      <c r="M87" s="242">
        <v>241.28</v>
      </c>
      <c r="N87" s="242">
        <v>7.87</v>
      </c>
      <c r="O87" s="242">
        <v>7.87</v>
      </c>
      <c r="P87" s="242">
        <v>6.77</v>
      </c>
      <c r="Q87" s="242">
        <v>0</v>
      </c>
      <c r="R87" s="242">
        <v>6.77</v>
      </c>
      <c r="S87" s="242">
        <v>29.62</v>
      </c>
      <c r="T87" s="242">
        <v>0</v>
      </c>
      <c r="U87" s="242">
        <v>29.62</v>
      </c>
      <c r="V87" s="242">
        <v>37.11</v>
      </c>
      <c r="W87" s="242">
        <v>0</v>
      </c>
      <c r="X87" s="242">
        <v>37.11</v>
      </c>
      <c r="Y87" s="242">
        <v>7.86</v>
      </c>
      <c r="Z87" s="242">
        <v>0</v>
      </c>
      <c r="AA87" s="242">
        <v>7.86</v>
      </c>
      <c r="AB87" s="242">
        <v>41.8</v>
      </c>
      <c r="AC87" s="242">
        <v>0</v>
      </c>
      <c r="AD87" s="242">
        <v>41.8</v>
      </c>
      <c r="AE87" s="242">
        <v>127.57</v>
      </c>
      <c r="AF87" s="242">
        <v>0</v>
      </c>
      <c r="AG87" s="242">
        <v>127.57</v>
      </c>
      <c r="AH87" s="242">
        <v>295.09</v>
      </c>
      <c r="AI87" s="242">
        <v>0</v>
      </c>
      <c r="AJ87" s="242">
        <v>295.09</v>
      </c>
      <c r="AK87" s="242">
        <v>74.61</v>
      </c>
      <c r="AL87" s="242">
        <v>0</v>
      </c>
      <c r="AM87" s="242">
        <v>74.61</v>
      </c>
      <c r="AN87" s="242">
        <v>216.14</v>
      </c>
      <c r="AO87" s="242">
        <v>0</v>
      </c>
      <c r="AP87" s="242">
        <v>216.14</v>
      </c>
      <c r="AQ87" s="242">
        <v>209.05</v>
      </c>
      <c r="AR87" s="242">
        <v>0</v>
      </c>
      <c r="AS87" s="242">
        <v>209.05</v>
      </c>
      <c r="AT87" s="242">
        <v>135.28</v>
      </c>
      <c r="AU87" s="242">
        <v>0</v>
      </c>
      <c r="AV87" s="242">
        <v>135.28</v>
      </c>
      <c r="AW87" s="242">
        <v>35.32</v>
      </c>
      <c r="AX87" s="242">
        <v>0</v>
      </c>
      <c r="AY87" s="242">
        <v>35.32</v>
      </c>
      <c r="AZ87" s="242">
        <v>62.09</v>
      </c>
      <c r="BA87" s="242">
        <v>0</v>
      </c>
      <c r="BB87" s="242">
        <v>62.09</v>
      </c>
      <c r="BC87" s="241">
        <v>1620.89</v>
      </c>
    </row>
    <row r="88" s="239" customFormat="1" ht="16.5" spans="1:55">
      <c r="A88" s="241">
        <v>82</v>
      </c>
      <c r="B88" s="241" t="s">
        <v>95</v>
      </c>
      <c r="C88" s="242">
        <v>28.61</v>
      </c>
      <c r="D88" s="242">
        <v>28.61</v>
      </c>
      <c r="E88" s="242">
        <v>64.82</v>
      </c>
      <c r="F88" s="242">
        <v>64.82</v>
      </c>
      <c r="G88" s="242">
        <v>0</v>
      </c>
      <c r="H88" s="242">
        <v>0</v>
      </c>
      <c r="I88" s="242">
        <v>0</v>
      </c>
      <c r="J88" s="242">
        <v>0</v>
      </c>
      <c r="K88" s="242">
        <v>241.28</v>
      </c>
      <c r="L88" s="242">
        <v>0</v>
      </c>
      <c r="M88" s="242">
        <v>241.28</v>
      </c>
      <c r="N88" s="242">
        <v>7.87</v>
      </c>
      <c r="O88" s="242">
        <v>7.87</v>
      </c>
      <c r="P88" s="242">
        <v>6.77</v>
      </c>
      <c r="Q88" s="242">
        <v>0</v>
      </c>
      <c r="R88" s="242">
        <v>6.77</v>
      </c>
      <c r="S88" s="242">
        <v>29.62</v>
      </c>
      <c r="T88" s="242">
        <v>0</v>
      </c>
      <c r="U88" s="242">
        <v>29.62</v>
      </c>
      <c r="V88" s="242">
        <v>37.11</v>
      </c>
      <c r="W88" s="242">
        <v>0</v>
      </c>
      <c r="X88" s="242">
        <v>37.11</v>
      </c>
      <c r="Y88" s="242">
        <v>7.86</v>
      </c>
      <c r="Z88" s="242">
        <v>0</v>
      </c>
      <c r="AA88" s="242">
        <v>7.86</v>
      </c>
      <c r="AB88" s="242">
        <v>41.8</v>
      </c>
      <c r="AC88" s="242">
        <v>0</v>
      </c>
      <c r="AD88" s="242">
        <v>41.8</v>
      </c>
      <c r="AE88" s="242">
        <v>127.57</v>
      </c>
      <c r="AF88" s="242">
        <v>0</v>
      </c>
      <c r="AG88" s="242">
        <v>127.57</v>
      </c>
      <c r="AH88" s="242">
        <v>295.09</v>
      </c>
      <c r="AI88" s="242">
        <v>0</v>
      </c>
      <c r="AJ88" s="242">
        <v>295.09</v>
      </c>
      <c r="AK88" s="242">
        <v>74.61</v>
      </c>
      <c r="AL88" s="242">
        <v>0</v>
      </c>
      <c r="AM88" s="242">
        <v>74.61</v>
      </c>
      <c r="AN88" s="242">
        <v>216.14</v>
      </c>
      <c r="AO88" s="242">
        <v>0</v>
      </c>
      <c r="AP88" s="242">
        <v>216.14</v>
      </c>
      <c r="AQ88" s="242">
        <v>209.05</v>
      </c>
      <c r="AR88" s="242">
        <v>0</v>
      </c>
      <c r="AS88" s="242">
        <v>209.05</v>
      </c>
      <c r="AT88" s="242">
        <v>135.28</v>
      </c>
      <c r="AU88" s="242">
        <v>0</v>
      </c>
      <c r="AV88" s="242">
        <v>135.28</v>
      </c>
      <c r="AW88" s="242">
        <v>35.32</v>
      </c>
      <c r="AX88" s="242">
        <v>0</v>
      </c>
      <c r="AY88" s="242">
        <v>35.32</v>
      </c>
      <c r="AZ88" s="242">
        <v>62.09</v>
      </c>
      <c r="BA88" s="242">
        <v>0</v>
      </c>
      <c r="BB88" s="242">
        <v>62.09</v>
      </c>
      <c r="BC88" s="241">
        <v>1620.89</v>
      </c>
    </row>
    <row r="89" s="239" customFormat="1" ht="16.5" spans="1:55">
      <c r="A89" s="241">
        <v>83</v>
      </c>
      <c r="B89" s="241" t="s">
        <v>96</v>
      </c>
      <c r="C89" s="242">
        <v>28.61</v>
      </c>
      <c r="D89" s="242">
        <v>28.61</v>
      </c>
      <c r="E89" s="242">
        <v>64.82</v>
      </c>
      <c r="F89" s="242">
        <v>64.82</v>
      </c>
      <c r="G89" s="242">
        <v>0</v>
      </c>
      <c r="H89" s="242">
        <v>0</v>
      </c>
      <c r="I89" s="242">
        <v>0</v>
      </c>
      <c r="J89" s="242">
        <v>0</v>
      </c>
      <c r="K89" s="242">
        <v>241.28</v>
      </c>
      <c r="L89" s="242">
        <v>0</v>
      </c>
      <c r="M89" s="242">
        <v>241.28</v>
      </c>
      <c r="N89" s="242">
        <v>7.87</v>
      </c>
      <c r="O89" s="242">
        <v>7.87</v>
      </c>
      <c r="P89" s="242">
        <v>7.2</v>
      </c>
      <c r="Q89" s="242">
        <v>0</v>
      </c>
      <c r="R89" s="242">
        <v>7.2</v>
      </c>
      <c r="S89" s="242">
        <v>29.62</v>
      </c>
      <c r="T89" s="242">
        <v>0</v>
      </c>
      <c r="U89" s="242">
        <v>29.62</v>
      </c>
      <c r="V89" s="242">
        <v>37.11</v>
      </c>
      <c r="W89" s="242">
        <v>0</v>
      </c>
      <c r="X89" s="242">
        <v>37.11</v>
      </c>
      <c r="Y89" s="242">
        <v>7.86</v>
      </c>
      <c r="Z89" s="242">
        <v>0</v>
      </c>
      <c r="AA89" s="242">
        <v>7.86</v>
      </c>
      <c r="AB89" s="242">
        <v>41.8</v>
      </c>
      <c r="AC89" s="242">
        <v>0</v>
      </c>
      <c r="AD89" s="242">
        <v>41.8</v>
      </c>
      <c r="AE89" s="242">
        <v>127.57</v>
      </c>
      <c r="AF89" s="242">
        <v>0</v>
      </c>
      <c r="AG89" s="242">
        <v>127.57</v>
      </c>
      <c r="AH89" s="242">
        <v>295.09</v>
      </c>
      <c r="AI89" s="242">
        <v>0</v>
      </c>
      <c r="AJ89" s="242">
        <v>295.09</v>
      </c>
      <c r="AK89" s="242">
        <v>74.61</v>
      </c>
      <c r="AL89" s="242">
        <v>0</v>
      </c>
      <c r="AM89" s="242">
        <v>74.61</v>
      </c>
      <c r="AN89" s="242">
        <v>216.14</v>
      </c>
      <c r="AO89" s="242">
        <v>0</v>
      </c>
      <c r="AP89" s="242">
        <v>216.14</v>
      </c>
      <c r="AQ89" s="242">
        <v>209.05</v>
      </c>
      <c r="AR89" s="242">
        <v>0</v>
      </c>
      <c r="AS89" s="242">
        <v>209.05</v>
      </c>
      <c r="AT89" s="242">
        <v>135.28</v>
      </c>
      <c r="AU89" s="242">
        <v>0</v>
      </c>
      <c r="AV89" s="242">
        <v>135.28</v>
      </c>
      <c r="AW89" s="242">
        <v>35.32</v>
      </c>
      <c r="AX89" s="242">
        <v>0</v>
      </c>
      <c r="AY89" s="242">
        <v>35.32</v>
      </c>
      <c r="AZ89" s="242">
        <v>62.09</v>
      </c>
      <c r="BA89" s="242">
        <v>0</v>
      </c>
      <c r="BB89" s="242">
        <v>62.09</v>
      </c>
      <c r="BC89" s="241">
        <v>1621.32</v>
      </c>
    </row>
    <row r="90" s="239" customFormat="1" ht="16.5" spans="1:55">
      <c r="A90" s="241">
        <v>84</v>
      </c>
      <c r="B90" s="241" t="s">
        <v>97</v>
      </c>
      <c r="C90" s="242">
        <v>28.61</v>
      </c>
      <c r="D90" s="242">
        <v>28.61</v>
      </c>
      <c r="E90" s="242">
        <v>64.82</v>
      </c>
      <c r="F90" s="242">
        <v>64.82</v>
      </c>
      <c r="G90" s="242">
        <v>0</v>
      </c>
      <c r="H90" s="242">
        <v>0</v>
      </c>
      <c r="I90" s="242">
        <v>0</v>
      </c>
      <c r="J90" s="242">
        <v>0</v>
      </c>
      <c r="K90" s="242">
        <v>241.28</v>
      </c>
      <c r="L90" s="242">
        <v>0</v>
      </c>
      <c r="M90" s="242">
        <v>241.28</v>
      </c>
      <c r="N90" s="242">
        <v>7.87</v>
      </c>
      <c r="O90" s="242">
        <v>7.87</v>
      </c>
      <c r="P90" s="242">
        <v>7.2</v>
      </c>
      <c r="Q90" s="242">
        <v>0</v>
      </c>
      <c r="R90" s="242">
        <v>7.2</v>
      </c>
      <c r="S90" s="242">
        <v>29.62</v>
      </c>
      <c r="T90" s="242">
        <v>0</v>
      </c>
      <c r="U90" s="242">
        <v>29.62</v>
      </c>
      <c r="V90" s="242">
        <v>37.11</v>
      </c>
      <c r="W90" s="242">
        <v>0</v>
      </c>
      <c r="X90" s="242">
        <v>37.11</v>
      </c>
      <c r="Y90" s="242">
        <v>7.86</v>
      </c>
      <c r="Z90" s="242">
        <v>0</v>
      </c>
      <c r="AA90" s="242">
        <v>7.86</v>
      </c>
      <c r="AB90" s="242">
        <v>41.8</v>
      </c>
      <c r="AC90" s="242">
        <v>0</v>
      </c>
      <c r="AD90" s="242">
        <v>41.8</v>
      </c>
      <c r="AE90" s="242">
        <v>127.57</v>
      </c>
      <c r="AF90" s="242">
        <v>0</v>
      </c>
      <c r="AG90" s="242">
        <v>127.57</v>
      </c>
      <c r="AH90" s="242">
        <v>295.09</v>
      </c>
      <c r="AI90" s="242">
        <v>0</v>
      </c>
      <c r="AJ90" s="242">
        <v>295.09</v>
      </c>
      <c r="AK90" s="242">
        <v>74.61</v>
      </c>
      <c r="AL90" s="242">
        <v>0</v>
      </c>
      <c r="AM90" s="242">
        <v>74.61</v>
      </c>
      <c r="AN90" s="242">
        <v>216.14</v>
      </c>
      <c r="AO90" s="242">
        <v>0</v>
      </c>
      <c r="AP90" s="242">
        <v>216.14</v>
      </c>
      <c r="AQ90" s="242">
        <v>209.05</v>
      </c>
      <c r="AR90" s="242">
        <v>0</v>
      </c>
      <c r="AS90" s="242">
        <v>209.05</v>
      </c>
      <c r="AT90" s="242">
        <v>135.28</v>
      </c>
      <c r="AU90" s="242">
        <v>0</v>
      </c>
      <c r="AV90" s="242">
        <v>135.28</v>
      </c>
      <c r="AW90" s="242">
        <v>35.32</v>
      </c>
      <c r="AX90" s="242">
        <v>0</v>
      </c>
      <c r="AY90" s="242">
        <v>35.32</v>
      </c>
      <c r="AZ90" s="242">
        <v>62.09</v>
      </c>
      <c r="BA90" s="242">
        <v>0</v>
      </c>
      <c r="BB90" s="242">
        <v>62.09</v>
      </c>
      <c r="BC90" s="241">
        <v>1621.32</v>
      </c>
    </row>
    <row r="91" s="239" customFormat="1" ht="16.5" spans="1:55">
      <c r="A91" s="241">
        <v>85</v>
      </c>
      <c r="B91" s="241" t="s">
        <v>98</v>
      </c>
      <c r="C91" s="242">
        <v>28.61</v>
      </c>
      <c r="D91" s="242">
        <v>28.61</v>
      </c>
      <c r="E91" s="242">
        <v>64.82</v>
      </c>
      <c r="F91" s="242">
        <v>64.82</v>
      </c>
      <c r="G91" s="242">
        <v>0</v>
      </c>
      <c r="H91" s="242">
        <v>0</v>
      </c>
      <c r="I91" s="242">
        <v>0</v>
      </c>
      <c r="J91" s="242">
        <v>0</v>
      </c>
      <c r="K91" s="242">
        <v>241.28</v>
      </c>
      <c r="L91" s="242">
        <v>0</v>
      </c>
      <c r="M91" s="242">
        <v>241.28</v>
      </c>
      <c r="N91" s="242">
        <v>7.87</v>
      </c>
      <c r="O91" s="242">
        <v>7.87</v>
      </c>
      <c r="P91" s="242">
        <v>7.2</v>
      </c>
      <c r="Q91" s="242">
        <v>0</v>
      </c>
      <c r="R91" s="242">
        <v>7.2</v>
      </c>
      <c r="S91" s="242">
        <v>29.62</v>
      </c>
      <c r="T91" s="242">
        <v>0</v>
      </c>
      <c r="U91" s="242">
        <v>29.62</v>
      </c>
      <c r="V91" s="242">
        <v>37.11</v>
      </c>
      <c r="W91" s="242">
        <v>0</v>
      </c>
      <c r="X91" s="242">
        <v>37.11</v>
      </c>
      <c r="Y91" s="242">
        <v>7.86</v>
      </c>
      <c r="Z91" s="242">
        <v>0</v>
      </c>
      <c r="AA91" s="242">
        <v>7.86</v>
      </c>
      <c r="AB91" s="242">
        <v>41.8</v>
      </c>
      <c r="AC91" s="242">
        <v>0</v>
      </c>
      <c r="AD91" s="242">
        <v>41.8</v>
      </c>
      <c r="AE91" s="242">
        <v>127.57</v>
      </c>
      <c r="AF91" s="242">
        <v>0</v>
      </c>
      <c r="AG91" s="242">
        <v>127.57</v>
      </c>
      <c r="AH91" s="242">
        <v>295.09</v>
      </c>
      <c r="AI91" s="242">
        <v>0</v>
      </c>
      <c r="AJ91" s="242">
        <v>295.09</v>
      </c>
      <c r="AK91" s="242">
        <v>74.61</v>
      </c>
      <c r="AL91" s="242">
        <v>0</v>
      </c>
      <c r="AM91" s="242">
        <v>74.61</v>
      </c>
      <c r="AN91" s="242">
        <v>216.14</v>
      </c>
      <c r="AO91" s="242">
        <v>0</v>
      </c>
      <c r="AP91" s="242">
        <v>216.14</v>
      </c>
      <c r="AQ91" s="242">
        <v>209.05</v>
      </c>
      <c r="AR91" s="242">
        <v>0</v>
      </c>
      <c r="AS91" s="242">
        <v>209.05</v>
      </c>
      <c r="AT91" s="242">
        <v>135.28</v>
      </c>
      <c r="AU91" s="242">
        <v>0</v>
      </c>
      <c r="AV91" s="242">
        <v>135.28</v>
      </c>
      <c r="AW91" s="242">
        <v>35.32</v>
      </c>
      <c r="AX91" s="242">
        <v>0</v>
      </c>
      <c r="AY91" s="242">
        <v>35.32</v>
      </c>
      <c r="AZ91" s="242">
        <v>62.09</v>
      </c>
      <c r="BA91" s="242">
        <v>0</v>
      </c>
      <c r="BB91" s="242">
        <v>62.09</v>
      </c>
      <c r="BC91" s="241">
        <v>1621.32</v>
      </c>
    </row>
    <row r="92" s="239" customFormat="1" ht="16.5" spans="1:55">
      <c r="A92" s="241">
        <v>86</v>
      </c>
      <c r="B92" s="241" t="s">
        <v>99</v>
      </c>
      <c r="C92" s="242">
        <v>28.61</v>
      </c>
      <c r="D92" s="242">
        <v>28.61</v>
      </c>
      <c r="E92" s="242">
        <v>64.82</v>
      </c>
      <c r="F92" s="242">
        <v>64.82</v>
      </c>
      <c r="G92" s="242">
        <v>0</v>
      </c>
      <c r="H92" s="242">
        <v>0</v>
      </c>
      <c r="I92" s="242">
        <v>0</v>
      </c>
      <c r="J92" s="242">
        <v>0</v>
      </c>
      <c r="K92" s="242">
        <v>241.28</v>
      </c>
      <c r="L92" s="242">
        <v>0</v>
      </c>
      <c r="M92" s="242">
        <v>241.28</v>
      </c>
      <c r="N92" s="242">
        <v>7.87</v>
      </c>
      <c r="O92" s="242">
        <v>7.87</v>
      </c>
      <c r="P92" s="242">
        <v>7.2</v>
      </c>
      <c r="Q92" s="242">
        <v>0</v>
      </c>
      <c r="R92" s="242">
        <v>7.2</v>
      </c>
      <c r="S92" s="242">
        <v>29.62</v>
      </c>
      <c r="T92" s="242">
        <v>0</v>
      </c>
      <c r="U92" s="242">
        <v>29.62</v>
      </c>
      <c r="V92" s="242">
        <v>37.11</v>
      </c>
      <c r="W92" s="242">
        <v>0</v>
      </c>
      <c r="X92" s="242">
        <v>37.11</v>
      </c>
      <c r="Y92" s="242">
        <v>7.86</v>
      </c>
      <c r="Z92" s="242">
        <v>0</v>
      </c>
      <c r="AA92" s="242">
        <v>7.86</v>
      </c>
      <c r="AB92" s="242">
        <v>41.8</v>
      </c>
      <c r="AC92" s="242">
        <v>0</v>
      </c>
      <c r="AD92" s="242">
        <v>41.8</v>
      </c>
      <c r="AE92" s="242">
        <v>127.57</v>
      </c>
      <c r="AF92" s="242">
        <v>0</v>
      </c>
      <c r="AG92" s="242">
        <v>127.57</v>
      </c>
      <c r="AH92" s="242">
        <v>295.09</v>
      </c>
      <c r="AI92" s="242">
        <v>0</v>
      </c>
      <c r="AJ92" s="242">
        <v>295.09</v>
      </c>
      <c r="AK92" s="242">
        <v>74.61</v>
      </c>
      <c r="AL92" s="242">
        <v>0</v>
      </c>
      <c r="AM92" s="242">
        <v>74.61</v>
      </c>
      <c r="AN92" s="242">
        <v>216.14</v>
      </c>
      <c r="AO92" s="242">
        <v>0</v>
      </c>
      <c r="AP92" s="242">
        <v>216.14</v>
      </c>
      <c r="AQ92" s="242">
        <v>209.05</v>
      </c>
      <c r="AR92" s="242">
        <v>0</v>
      </c>
      <c r="AS92" s="242">
        <v>209.05</v>
      </c>
      <c r="AT92" s="242">
        <v>135.28</v>
      </c>
      <c r="AU92" s="242">
        <v>0</v>
      </c>
      <c r="AV92" s="242">
        <v>135.28</v>
      </c>
      <c r="AW92" s="242">
        <v>35.32</v>
      </c>
      <c r="AX92" s="242">
        <v>0</v>
      </c>
      <c r="AY92" s="242">
        <v>35.32</v>
      </c>
      <c r="AZ92" s="242">
        <v>62.09</v>
      </c>
      <c r="BA92" s="242">
        <v>0</v>
      </c>
      <c r="BB92" s="242">
        <v>62.09</v>
      </c>
      <c r="BC92" s="241">
        <v>1621.32</v>
      </c>
    </row>
    <row r="93" s="239" customFormat="1" ht="16.5" spans="1:55">
      <c r="A93" s="241">
        <v>87</v>
      </c>
      <c r="B93" s="241" t="s">
        <v>100</v>
      </c>
      <c r="C93" s="242">
        <v>28.61</v>
      </c>
      <c r="D93" s="242">
        <v>28.61</v>
      </c>
      <c r="E93" s="242">
        <v>64.82</v>
      </c>
      <c r="F93" s="242">
        <v>64.82</v>
      </c>
      <c r="G93" s="242">
        <v>0</v>
      </c>
      <c r="H93" s="242">
        <v>0</v>
      </c>
      <c r="I93" s="242">
        <v>0</v>
      </c>
      <c r="J93" s="242">
        <v>0</v>
      </c>
      <c r="K93" s="242">
        <v>241.28</v>
      </c>
      <c r="L93" s="242">
        <v>0</v>
      </c>
      <c r="M93" s="242">
        <v>241.28</v>
      </c>
      <c r="N93" s="242">
        <v>7.87</v>
      </c>
      <c r="O93" s="242">
        <v>7.87</v>
      </c>
      <c r="P93" s="242">
        <v>7.2</v>
      </c>
      <c r="Q93" s="242">
        <v>0</v>
      </c>
      <c r="R93" s="242">
        <v>7.2</v>
      </c>
      <c r="S93" s="242">
        <v>29.62</v>
      </c>
      <c r="T93" s="242">
        <v>0</v>
      </c>
      <c r="U93" s="242">
        <v>29.62</v>
      </c>
      <c r="V93" s="242">
        <v>37.11</v>
      </c>
      <c r="W93" s="242">
        <v>0</v>
      </c>
      <c r="X93" s="242">
        <v>37.11</v>
      </c>
      <c r="Y93" s="242">
        <v>7.86</v>
      </c>
      <c r="Z93" s="242">
        <v>0</v>
      </c>
      <c r="AA93" s="242">
        <v>7.86</v>
      </c>
      <c r="AB93" s="242">
        <v>41.8</v>
      </c>
      <c r="AC93" s="242">
        <v>0</v>
      </c>
      <c r="AD93" s="242">
        <v>41.8</v>
      </c>
      <c r="AE93" s="242">
        <v>127.57</v>
      </c>
      <c r="AF93" s="242">
        <v>0</v>
      </c>
      <c r="AG93" s="242">
        <v>127.57</v>
      </c>
      <c r="AH93" s="242">
        <v>295.09</v>
      </c>
      <c r="AI93" s="242">
        <v>0</v>
      </c>
      <c r="AJ93" s="242">
        <v>295.09</v>
      </c>
      <c r="AK93" s="242">
        <v>74.61</v>
      </c>
      <c r="AL93" s="242">
        <v>0</v>
      </c>
      <c r="AM93" s="242">
        <v>74.61</v>
      </c>
      <c r="AN93" s="242">
        <v>216.14</v>
      </c>
      <c r="AO93" s="242">
        <v>0</v>
      </c>
      <c r="AP93" s="242">
        <v>216.14</v>
      </c>
      <c r="AQ93" s="242">
        <v>209.05</v>
      </c>
      <c r="AR93" s="242">
        <v>0</v>
      </c>
      <c r="AS93" s="242">
        <v>209.05</v>
      </c>
      <c r="AT93" s="242">
        <v>135.28</v>
      </c>
      <c r="AU93" s="242">
        <v>0</v>
      </c>
      <c r="AV93" s="242">
        <v>135.28</v>
      </c>
      <c r="AW93" s="242">
        <v>35.32</v>
      </c>
      <c r="AX93" s="242">
        <v>0</v>
      </c>
      <c r="AY93" s="242">
        <v>35.32</v>
      </c>
      <c r="AZ93" s="242">
        <v>65.87</v>
      </c>
      <c r="BA93" s="242">
        <v>0</v>
      </c>
      <c r="BB93" s="242">
        <v>65.87</v>
      </c>
      <c r="BC93" s="241">
        <v>1625.1</v>
      </c>
    </row>
    <row r="94" s="239" customFormat="1" ht="16.5" spans="1:55">
      <c r="A94" s="241">
        <v>88</v>
      </c>
      <c r="B94" s="241" t="s">
        <v>101</v>
      </c>
      <c r="C94" s="242">
        <v>28.61</v>
      </c>
      <c r="D94" s="242">
        <v>28.61</v>
      </c>
      <c r="E94" s="242">
        <v>64.82</v>
      </c>
      <c r="F94" s="242">
        <v>64.82</v>
      </c>
      <c r="G94" s="242">
        <v>0</v>
      </c>
      <c r="H94" s="242">
        <v>0</v>
      </c>
      <c r="I94" s="242">
        <v>0</v>
      </c>
      <c r="J94" s="242">
        <v>0</v>
      </c>
      <c r="K94" s="242">
        <v>241.28</v>
      </c>
      <c r="L94" s="242">
        <v>0</v>
      </c>
      <c r="M94" s="242">
        <v>241.28</v>
      </c>
      <c r="N94" s="242">
        <v>7.87</v>
      </c>
      <c r="O94" s="242">
        <v>7.87</v>
      </c>
      <c r="P94" s="242">
        <v>7.2</v>
      </c>
      <c r="Q94" s="242">
        <v>0</v>
      </c>
      <c r="R94" s="242">
        <v>7.2</v>
      </c>
      <c r="S94" s="242">
        <v>29.62</v>
      </c>
      <c r="T94" s="242">
        <v>0</v>
      </c>
      <c r="U94" s="242">
        <v>29.62</v>
      </c>
      <c r="V94" s="242">
        <v>37.11</v>
      </c>
      <c r="W94" s="242">
        <v>0</v>
      </c>
      <c r="X94" s="242">
        <v>37.11</v>
      </c>
      <c r="Y94" s="242">
        <v>7.86</v>
      </c>
      <c r="Z94" s="242">
        <v>0</v>
      </c>
      <c r="AA94" s="242">
        <v>7.86</v>
      </c>
      <c r="AB94" s="242">
        <v>41.8</v>
      </c>
      <c r="AC94" s="242">
        <v>0</v>
      </c>
      <c r="AD94" s="242">
        <v>41.8</v>
      </c>
      <c r="AE94" s="242">
        <v>127.57</v>
      </c>
      <c r="AF94" s="242">
        <v>0</v>
      </c>
      <c r="AG94" s="242">
        <v>127.57</v>
      </c>
      <c r="AH94" s="242">
        <v>295.09</v>
      </c>
      <c r="AI94" s="242">
        <v>0</v>
      </c>
      <c r="AJ94" s="242">
        <v>295.09</v>
      </c>
      <c r="AK94" s="242">
        <v>74.61</v>
      </c>
      <c r="AL94" s="242">
        <v>0</v>
      </c>
      <c r="AM94" s="242">
        <v>74.61</v>
      </c>
      <c r="AN94" s="242">
        <v>216.14</v>
      </c>
      <c r="AO94" s="242">
        <v>0</v>
      </c>
      <c r="AP94" s="242">
        <v>216.14</v>
      </c>
      <c r="AQ94" s="242">
        <v>209.05</v>
      </c>
      <c r="AR94" s="242">
        <v>0</v>
      </c>
      <c r="AS94" s="242">
        <v>209.05</v>
      </c>
      <c r="AT94" s="242">
        <v>135.28</v>
      </c>
      <c r="AU94" s="242">
        <v>0</v>
      </c>
      <c r="AV94" s="242">
        <v>135.28</v>
      </c>
      <c r="AW94" s="242">
        <v>35.32</v>
      </c>
      <c r="AX94" s="242">
        <v>0</v>
      </c>
      <c r="AY94" s="242">
        <v>35.32</v>
      </c>
      <c r="AZ94" s="242">
        <v>65.87</v>
      </c>
      <c r="BA94" s="242">
        <v>0</v>
      </c>
      <c r="BB94" s="242">
        <v>65.87</v>
      </c>
      <c r="BC94" s="241">
        <v>1625.1</v>
      </c>
    </row>
    <row r="95" s="239" customFormat="1" ht="16.5" spans="1:55">
      <c r="A95" s="241">
        <v>89</v>
      </c>
      <c r="B95" s="241" t="s">
        <v>102</v>
      </c>
      <c r="C95" s="242">
        <v>28.61</v>
      </c>
      <c r="D95" s="242">
        <v>28.61</v>
      </c>
      <c r="E95" s="242">
        <v>64.82</v>
      </c>
      <c r="F95" s="242">
        <v>64.82</v>
      </c>
      <c r="G95" s="242">
        <v>0</v>
      </c>
      <c r="H95" s="242">
        <v>0</v>
      </c>
      <c r="I95" s="242">
        <v>0</v>
      </c>
      <c r="J95" s="242">
        <v>0</v>
      </c>
      <c r="K95" s="242">
        <v>241.28</v>
      </c>
      <c r="L95" s="242">
        <v>0</v>
      </c>
      <c r="M95" s="242">
        <v>241.28</v>
      </c>
      <c r="N95" s="242">
        <v>7.87</v>
      </c>
      <c r="O95" s="242">
        <v>7.87</v>
      </c>
      <c r="P95" s="242">
        <v>7.2</v>
      </c>
      <c r="Q95" s="242">
        <v>0</v>
      </c>
      <c r="R95" s="242">
        <v>7.2</v>
      </c>
      <c r="S95" s="242">
        <v>30.73</v>
      </c>
      <c r="T95" s="242">
        <v>0</v>
      </c>
      <c r="U95" s="242">
        <v>30.73</v>
      </c>
      <c r="V95" s="242">
        <v>38.43</v>
      </c>
      <c r="W95" s="242">
        <v>0</v>
      </c>
      <c r="X95" s="242">
        <v>38.43</v>
      </c>
      <c r="Y95" s="242">
        <v>7.86</v>
      </c>
      <c r="Z95" s="242">
        <v>0</v>
      </c>
      <c r="AA95" s="242">
        <v>7.86</v>
      </c>
      <c r="AB95" s="242">
        <v>41.8</v>
      </c>
      <c r="AC95" s="242">
        <v>0</v>
      </c>
      <c r="AD95" s="242">
        <v>41.8</v>
      </c>
      <c r="AE95" s="242">
        <v>127.57</v>
      </c>
      <c r="AF95" s="242">
        <v>0</v>
      </c>
      <c r="AG95" s="242">
        <v>127.57</v>
      </c>
      <c r="AH95" s="242">
        <v>295.09</v>
      </c>
      <c r="AI95" s="242">
        <v>0</v>
      </c>
      <c r="AJ95" s="242">
        <v>295.09</v>
      </c>
      <c r="AK95" s="242">
        <v>74.61</v>
      </c>
      <c r="AL95" s="242">
        <v>0</v>
      </c>
      <c r="AM95" s="242">
        <v>74.61</v>
      </c>
      <c r="AN95" s="242">
        <v>216.14</v>
      </c>
      <c r="AO95" s="242">
        <v>0</v>
      </c>
      <c r="AP95" s="242">
        <v>216.14</v>
      </c>
      <c r="AQ95" s="242">
        <v>209.05</v>
      </c>
      <c r="AR95" s="242">
        <v>0</v>
      </c>
      <c r="AS95" s="242">
        <v>209.05</v>
      </c>
      <c r="AT95" s="242">
        <v>135.28</v>
      </c>
      <c r="AU95" s="242">
        <v>0</v>
      </c>
      <c r="AV95" s="242">
        <v>135.28</v>
      </c>
      <c r="AW95" s="242">
        <v>35.32</v>
      </c>
      <c r="AX95" s="242">
        <v>0</v>
      </c>
      <c r="AY95" s="242">
        <v>35.32</v>
      </c>
      <c r="AZ95" s="242">
        <v>69.17</v>
      </c>
      <c r="BA95" s="242">
        <v>0</v>
      </c>
      <c r="BB95" s="242">
        <v>69.17</v>
      </c>
      <c r="BC95" s="241">
        <v>1630.83</v>
      </c>
    </row>
    <row r="96" s="239" customFormat="1" ht="16.5" spans="1:55">
      <c r="A96" s="241">
        <v>90</v>
      </c>
      <c r="B96" s="241" t="s">
        <v>103</v>
      </c>
      <c r="C96" s="242">
        <v>28.61</v>
      </c>
      <c r="D96" s="242">
        <v>28.61</v>
      </c>
      <c r="E96" s="242">
        <v>64.82</v>
      </c>
      <c r="F96" s="242">
        <v>64.82</v>
      </c>
      <c r="G96" s="242">
        <v>0</v>
      </c>
      <c r="H96" s="242">
        <v>0</v>
      </c>
      <c r="I96" s="242">
        <v>0</v>
      </c>
      <c r="J96" s="242">
        <v>0</v>
      </c>
      <c r="K96" s="242">
        <v>241.28</v>
      </c>
      <c r="L96" s="242">
        <v>0</v>
      </c>
      <c r="M96" s="242">
        <v>241.28</v>
      </c>
      <c r="N96" s="242">
        <v>7.87</v>
      </c>
      <c r="O96" s="242">
        <v>7.87</v>
      </c>
      <c r="P96" s="242">
        <v>7.2</v>
      </c>
      <c r="Q96" s="242">
        <v>0</v>
      </c>
      <c r="R96" s="242">
        <v>7.2</v>
      </c>
      <c r="S96" s="242">
        <v>30.73</v>
      </c>
      <c r="T96" s="242">
        <v>0</v>
      </c>
      <c r="U96" s="242">
        <v>30.73</v>
      </c>
      <c r="V96" s="242">
        <v>38.43</v>
      </c>
      <c r="W96" s="242">
        <v>0</v>
      </c>
      <c r="X96" s="242">
        <v>38.43</v>
      </c>
      <c r="Y96" s="242">
        <v>7.86</v>
      </c>
      <c r="Z96" s="242">
        <v>0</v>
      </c>
      <c r="AA96" s="242">
        <v>7.86</v>
      </c>
      <c r="AB96" s="242">
        <v>41.8</v>
      </c>
      <c r="AC96" s="242">
        <v>0</v>
      </c>
      <c r="AD96" s="242">
        <v>41.8</v>
      </c>
      <c r="AE96" s="242">
        <v>127.57</v>
      </c>
      <c r="AF96" s="242">
        <v>0</v>
      </c>
      <c r="AG96" s="242">
        <v>127.57</v>
      </c>
      <c r="AH96" s="242">
        <v>295.09</v>
      </c>
      <c r="AI96" s="242">
        <v>0</v>
      </c>
      <c r="AJ96" s="242">
        <v>295.09</v>
      </c>
      <c r="AK96" s="242">
        <v>74.61</v>
      </c>
      <c r="AL96" s="242">
        <v>0</v>
      </c>
      <c r="AM96" s="242">
        <v>74.61</v>
      </c>
      <c r="AN96" s="242">
        <v>216.14</v>
      </c>
      <c r="AO96" s="242">
        <v>0</v>
      </c>
      <c r="AP96" s="242">
        <v>216.14</v>
      </c>
      <c r="AQ96" s="242">
        <v>209.05</v>
      </c>
      <c r="AR96" s="242">
        <v>0</v>
      </c>
      <c r="AS96" s="242">
        <v>209.05</v>
      </c>
      <c r="AT96" s="242">
        <v>135.28</v>
      </c>
      <c r="AU96" s="242">
        <v>0</v>
      </c>
      <c r="AV96" s="242">
        <v>135.28</v>
      </c>
      <c r="AW96" s="242">
        <v>35.32</v>
      </c>
      <c r="AX96" s="242">
        <v>0</v>
      </c>
      <c r="AY96" s="242">
        <v>35.32</v>
      </c>
      <c r="AZ96" s="242">
        <v>69.17</v>
      </c>
      <c r="BA96" s="242">
        <v>0</v>
      </c>
      <c r="BB96" s="242">
        <v>69.17</v>
      </c>
      <c r="BC96" s="241">
        <v>1630.83</v>
      </c>
    </row>
    <row r="97" s="239" customFormat="1" ht="16.5" spans="1:55">
      <c r="A97" s="241">
        <v>91</v>
      </c>
      <c r="B97" s="241" t="s">
        <v>104</v>
      </c>
      <c r="C97" s="242">
        <v>28.61</v>
      </c>
      <c r="D97" s="242">
        <v>28.61</v>
      </c>
      <c r="E97" s="242">
        <v>64.82</v>
      </c>
      <c r="F97" s="242">
        <v>64.82</v>
      </c>
      <c r="G97" s="242">
        <v>0</v>
      </c>
      <c r="H97" s="242">
        <v>0</v>
      </c>
      <c r="I97" s="242">
        <v>0</v>
      </c>
      <c r="J97" s="242">
        <v>0</v>
      </c>
      <c r="K97" s="242">
        <v>241.28</v>
      </c>
      <c r="L97" s="242">
        <v>0</v>
      </c>
      <c r="M97" s="242">
        <v>241.28</v>
      </c>
      <c r="N97" s="242">
        <v>7.87</v>
      </c>
      <c r="O97" s="242">
        <v>7.87</v>
      </c>
      <c r="P97" s="242">
        <v>7.2</v>
      </c>
      <c r="Q97" s="242">
        <v>0</v>
      </c>
      <c r="R97" s="242">
        <v>7.2</v>
      </c>
      <c r="S97" s="242">
        <v>30.73</v>
      </c>
      <c r="T97" s="242">
        <v>0</v>
      </c>
      <c r="U97" s="242">
        <v>30.73</v>
      </c>
      <c r="V97" s="242">
        <v>38.43</v>
      </c>
      <c r="W97" s="242">
        <v>0</v>
      </c>
      <c r="X97" s="242">
        <v>38.43</v>
      </c>
      <c r="Y97" s="242">
        <v>7.86</v>
      </c>
      <c r="Z97" s="242">
        <v>0</v>
      </c>
      <c r="AA97" s="242">
        <v>7.86</v>
      </c>
      <c r="AB97" s="242">
        <v>41.8</v>
      </c>
      <c r="AC97" s="242">
        <v>0</v>
      </c>
      <c r="AD97" s="242">
        <v>41.8</v>
      </c>
      <c r="AE97" s="242">
        <v>127.57</v>
      </c>
      <c r="AF97" s="242">
        <v>0</v>
      </c>
      <c r="AG97" s="242">
        <v>127.57</v>
      </c>
      <c r="AH97" s="242">
        <v>295.09</v>
      </c>
      <c r="AI97" s="242">
        <v>0</v>
      </c>
      <c r="AJ97" s="242">
        <v>295.09</v>
      </c>
      <c r="AK97" s="242">
        <v>74.61</v>
      </c>
      <c r="AL97" s="242">
        <v>0</v>
      </c>
      <c r="AM97" s="242">
        <v>74.61</v>
      </c>
      <c r="AN97" s="242">
        <v>216.14</v>
      </c>
      <c r="AO97" s="242">
        <v>0</v>
      </c>
      <c r="AP97" s="242">
        <v>216.14</v>
      </c>
      <c r="AQ97" s="242">
        <v>209.05</v>
      </c>
      <c r="AR97" s="242">
        <v>0</v>
      </c>
      <c r="AS97" s="242">
        <v>209.05</v>
      </c>
      <c r="AT97" s="242">
        <v>135.28</v>
      </c>
      <c r="AU97" s="242">
        <v>0</v>
      </c>
      <c r="AV97" s="242">
        <v>135.28</v>
      </c>
      <c r="AW97" s="242">
        <v>35.32</v>
      </c>
      <c r="AX97" s="242">
        <v>0</v>
      </c>
      <c r="AY97" s="242">
        <v>35.32</v>
      </c>
      <c r="AZ97" s="242">
        <v>69.17</v>
      </c>
      <c r="BA97" s="242">
        <v>0</v>
      </c>
      <c r="BB97" s="242">
        <v>69.17</v>
      </c>
      <c r="BC97" s="241">
        <v>1630.83</v>
      </c>
    </row>
    <row r="98" s="239" customFormat="1" ht="16.5" spans="1:55">
      <c r="A98" s="241">
        <v>92</v>
      </c>
      <c r="B98" s="241" t="s">
        <v>105</v>
      </c>
      <c r="C98" s="242">
        <v>28.61</v>
      </c>
      <c r="D98" s="242">
        <v>28.61</v>
      </c>
      <c r="E98" s="242">
        <v>64.82</v>
      </c>
      <c r="F98" s="242">
        <v>64.82</v>
      </c>
      <c r="G98" s="242">
        <v>0</v>
      </c>
      <c r="H98" s="242">
        <v>0</v>
      </c>
      <c r="I98" s="242">
        <v>0</v>
      </c>
      <c r="J98" s="242">
        <v>0</v>
      </c>
      <c r="K98" s="242">
        <v>241.28</v>
      </c>
      <c r="L98" s="242">
        <v>0</v>
      </c>
      <c r="M98" s="242">
        <v>241.28</v>
      </c>
      <c r="N98" s="242">
        <v>7.87</v>
      </c>
      <c r="O98" s="242">
        <v>7.87</v>
      </c>
      <c r="P98" s="242">
        <v>7.2</v>
      </c>
      <c r="Q98" s="242">
        <v>0</v>
      </c>
      <c r="R98" s="242">
        <v>7.2</v>
      </c>
      <c r="S98" s="242">
        <v>29.81</v>
      </c>
      <c r="T98" s="242">
        <v>0</v>
      </c>
      <c r="U98" s="242">
        <v>29.81</v>
      </c>
      <c r="V98" s="242">
        <v>37.23</v>
      </c>
      <c r="W98" s="242">
        <v>0</v>
      </c>
      <c r="X98" s="242">
        <v>37.23</v>
      </c>
      <c r="Y98" s="242">
        <v>7.86</v>
      </c>
      <c r="Z98" s="242">
        <v>0</v>
      </c>
      <c r="AA98" s="242">
        <v>7.86</v>
      </c>
      <c r="AB98" s="242">
        <v>41.8</v>
      </c>
      <c r="AC98" s="242">
        <v>0</v>
      </c>
      <c r="AD98" s="242">
        <v>41.8</v>
      </c>
      <c r="AE98" s="242">
        <v>127.57</v>
      </c>
      <c r="AF98" s="242">
        <v>0</v>
      </c>
      <c r="AG98" s="242">
        <v>127.57</v>
      </c>
      <c r="AH98" s="242">
        <v>295.09</v>
      </c>
      <c r="AI98" s="242">
        <v>0</v>
      </c>
      <c r="AJ98" s="242">
        <v>295.09</v>
      </c>
      <c r="AK98" s="242">
        <v>74.61</v>
      </c>
      <c r="AL98" s="242">
        <v>0</v>
      </c>
      <c r="AM98" s="242">
        <v>74.61</v>
      </c>
      <c r="AN98" s="242">
        <v>216.14</v>
      </c>
      <c r="AO98" s="242">
        <v>0</v>
      </c>
      <c r="AP98" s="242">
        <v>216.14</v>
      </c>
      <c r="AQ98" s="242">
        <v>209.05</v>
      </c>
      <c r="AR98" s="242">
        <v>0</v>
      </c>
      <c r="AS98" s="242">
        <v>209.05</v>
      </c>
      <c r="AT98" s="242">
        <v>135.28</v>
      </c>
      <c r="AU98" s="242">
        <v>0</v>
      </c>
      <c r="AV98" s="242">
        <v>135.28</v>
      </c>
      <c r="AW98" s="242">
        <v>35.32</v>
      </c>
      <c r="AX98" s="242">
        <v>0</v>
      </c>
      <c r="AY98" s="242">
        <v>35.32</v>
      </c>
      <c r="AZ98" s="242">
        <v>69.17</v>
      </c>
      <c r="BA98" s="242">
        <v>0</v>
      </c>
      <c r="BB98" s="242">
        <v>69.17</v>
      </c>
      <c r="BC98" s="241">
        <v>1628.71</v>
      </c>
    </row>
    <row r="99" s="239" customFormat="1" ht="16.5" spans="1:55">
      <c r="A99" s="241">
        <v>93</v>
      </c>
      <c r="B99" s="241" t="s">
        <v>106</v>
      </c>
      <c r="C99" s="242">
        <v>28.61</v>
      </c>
      <c r="D99" s="242">
        <v>28.61</v>
      </c>
      <c r="E99" s="242">
        <v>64.82</v>
      </c>
      <c r="F99" s="242">
        <v>64.82</v>
      </c>
      <c r="G99" s="242">
        <v>0</v>
      </c>
      <c r="H99" s="242">
        <v>0</v>
      </c>
      <c r="I99" s="242">
        <v>0</v>
      </c>
      <c r="J99" s="242">
        <v>0</v>
      </c>
      <c r="K99" s="242">
        <v>241.28</v>
      </c>
      <c r="L99" s="242">
        <v>0</v>
      </c>
      <c r="M99" s="242">
        <v>241.28</v>
      </c>
      <c r="N99" s="242">
        <v>7.87</v>
      </c>
      <c r="O99" s="242">
        <v>7.87</v>
      </c>
      <c r="P99" s="242">
        <v>7.2</v>
      </c>
      <c r="Q99" s="242">
        <v>0</v>
      </c>
      <c r="R99" s="242">
        <v>7.2</v>
      </c>
      <c r="S99" s="242">
        <v>29.81</v>
      </c>
      <c r="T99" s="242">
        <v>0</v>
      </c>
      <c r="U99" s="242">
        <v>29.81</v>
      </c>
      <c r="V99" s="242">
        <v>37.23</v>
      </c>
      <c r="W99" s="242">
        <v>0</v>
      </c>
      <c r="X99" s="242">
        <v>37.23</v>
      </c>
      <c r="Y99" s="242">
        <v>7.86</v>
      </c>
      <c r="Z99" s="242">
        <v>0</v>
      </c>
      <c r="AA99" s="242">
        <v>7.86</v>
      </c>
      <c r="AB99" s="242">
        <v>41.8</v>
      </c>
      <c r="AC99" s="242">
        <v>0</v>
      </c>
      <c r="AD99" s="242">
        <v>41.8</v>
      </c>
      <c r="AE99" s="242">
        <v>127.57</v>
      </c>
      <c r="AF99" s="242">
        <v>0</v>
      </c>
      <c r="AG99" s="242">
        <v>127.57</v>
      </c>
      <c r="AH99" s="242">
        <v>295.09</v>
      </c>
      <c r="AI99" s="242">
        <v>0</v>
      </c>
      <c r="AJ99" s="242">
        <v>295.09</v>
      </c>
      <c r="AK99" s="242">
        <v>74.61</v>
      </c>
      <c r="AL99" s="242">
        <v>0</v>
      </c>
      <c r="AM99" s="242">
        <v>74.61</v>
      </c>
      <c r="AN99" s="242">
        <v>216.14</v>
      </c>
      <c r="AO99" s="242">
        <v>0</v>
      </c>
      <c r="AP99" s="242">
        <v>216.14</v>
      </c>
      <c r="AQ99" s="242">
        <v>209.05</v>
      </c>
      <c r="AR99" s="242">
        <v>0</v>
      </c>
      <c r="AS99" s="242">
        <v>209.05</v>
      </c>
      <c r="AT99" s="242">
        <v>135.28</v>
      </c>
      <c r="AU99" s="242">
        <v>0</v>
      </c>
      <c r="AV99" s="242">
        <v>135.28</v>
      </c>
      <c r="AW99" s="242">
        <v>35.32</v>
      </c>
      <c r="AX99" s="242">
        <v>0</v>
      </c>
      <c r="AY99" s="242">
        <v>35.32</v>
      </c>
      <c r="AZ99" s="242">
        <v>71.14</v>
      </c>
      <c r="BA99" s="242">
        <v>0</v>
      </c>
      <c r="BB99" s="242">
        <v>71.14</v>
      </c>
      <c r="BC99" s="241">
        <v>1630.68</v>
      </c>
    </row>
    <row r="100" s="239" customFormat="1" ht="16.5" spans="1:55">
      <c r="A100" s="241">
        <v>94</v>
      </c>
      <c r="B100" s="241" t="s">
        <v>107</v>
      </c>
      <c r="C100" s="242">
        <v>28.61</v>
      </c>
      <c r="D100" s="242">
        <v>28.61</v>
      </c>
      <c r="E100" s="242">
        <v>64.82</v>
      </c>
      <c r="F100" s="242">
        <v>64.82</v>
      </c>
      <c r="G100" s="242">
        <v>0</v>
      </c>
      <c r="H100" s="242">
        <v>0</v>
      </c>
      <c r="I100" s="242">
        <v>0</v>
      </c>
      <c r="J100" s="242">
        <v>0</v>
      </c>
      <c r="K100" s="242">
        <v>241.28</v>
      </c>
      <c r="L100" s="242">
        <v>0</v>
      </c>
      <c r="M100" s="242">
        <v>241.28</v>
      </c>
      <c r="N100" s="242">
        <v>7.87</v>
      </c>
      <c r="O100" s="242">
        <v>7.87</v>
      </c>
      <c r="P100" s="242">
        <v>7.2</v>
      </c>
      <c r="Q100" s="242">
        <v>0</v>
      </c>
      <c r="R100" s="242">
        <v>7.2</v>
      </c>
      <c r="S100" s="242">
        <v>29.81</v>
      </c>
      <c r="T100" s="242">
        <v>0</v>
      </c>
      <c r="U100" s="242">
        <v>29.81</v>
      </c>
      <c r="V100" s="242">
        <v>37.23</v>
      </c>
      <c r="W100" s="242">
        <v>0</v>
      </c>
      <c r="X100" s="242">
        <v>37.23</v>
      </c>
      <c r="Y100" s="242">
        <v>7.86</v>
      </c>
      <c r="Z100" s="242">
        <v>0</v>
      </c>
      <c r="AA100" s="242">
        <v>7.86</v>
      </c>
      <c r="AB100" s="242">
        <v>41.8</v>
      </c>
      <c r="AC100" s="242">
        <v>0</v>
      </c>
      <c r="AD100" s="242">
        <v>41.8</v>
      </c>
      <c r="AE100" s="242">
        <v>127.57</v>
      </c>
      <c r="AF100" s="242">
        <v>0</v>
      </c>
      <c r="AG100" s="242">
        <v>127.57</v>
      </c>
      <c r="AH100" s="242">
        <v>295.09</v>
      </c>
      <c r="AI100" s="242">
        <v>0</v>
      </c>
      <c r="AJ100" s="242">
        <v>295.09</v>
      </c>
      <c r="AK100" s="242">
        <v>74.61</v>
      </c>
      <c r="AL100" s="242">
        <v>0</v>
      </c>
      <c r="AM100" s="242">
        <v>74.61</v>
      </c>
      <c r="AN100" s="242">
        <v>216.14</v>
      </c>
      <c r="AO100" s="242">
        <v>0</v>
      </c>
      <c r="AP100" s="242">
        <v>216.14</v>
      </c>
      <c r="AQ100" s="242">
        <v>209.05</v>
      </c>
      <c r="AR100" s="242">
        <v>0</v>
      </c>
      <c r="AS100" s="242">
        <v>209.05</v>
      </c>
      <c r="AT100" s="242">
        <v>135.28</v>
      </c>
      <c r="AU100" s="242">
        <v>0</v>
      </c>
      <c r="AV100" s="242">
        <v>135.28</v>
      </c>
      <c r="AW100" s="242">
        <v>35.32</v>
      </c>
      <c r="AX100" s="242">
        <v>0</v>
      </c>
      <c r="AY100" s="242">
        <v>35.32</v>
      </c>
      <c r="AZ100" s="242">
        <v>73.12</v>
      </c>
      <c r="BA100" s="242">
        <v>0</v>
      </c>
      <c r="BB100" s="242">
        <v>73.12</v>
      </c>
      <c r="BC100" s="241">
        <v>1632.66</v>
      </c>
    </row>
    <row r="101" s="239" customFormat="1" ht="16.5" spans="1:55">
      <c r="A101" s="241">
        <v>95</v>
      </c>
      <c r="B101" s="241" t="s">
        <v>108</v>
      </c>
      <c r="C101" s="242">
        <v>28.61</v>
      </c>
      <c r="D101" s="242">
        <v>28.61</v>
      </c>
      <c r="E101" s="242">
        <v>64.82</v>
      </c>
      <c r="F101" s="242">
        <v>64.82</v>
      </c>
      <c r="G101" s="242">
        <v>0</v>
      </c>
      <c r="H101" s="242">
        <v>0</v>
      </c>
      <c r="I101" s="242">
        <v>0</v>
      </c>
      <c r="J101" s="242">
        <v>0</v>
      </c>
      <c r="K101" s="242">
        <v>241.28</v>
      </c>
      <c r="L101" s="242">
        <v>0</v>
      </c>
      <c r="M101" s="242">
        <v>241.28</v>
      </c>
      <c r="N101" s="242">
        <v>7.87</v>
      </c>
      <c r="O101" s="242">
        <v>7.87</v>
      </c>
      <c r="P101" s="242">
        <v>7.2</v>
      </c>
      <c r="Q101" s="242">
        <v>0</v>
      </c>
      <c r="R101" s="242">
        <v>7.2</v>
      </c>
      <c r="S101" s="242">
        <v>29.81</v>
      </c>
      <c r="T101" s="242">
        <v>0</v>
      </c>
      <c r="U101" s="242">
        <v>29.81</v>
      </c>
      <c r="V101" s="242">
        <v>37.23</v>
      </c>
      <c r="W101" s="242">
        <v>0</v>
      </c>
      <c r="X101" s="242">
        <v>37.23</v>
      </c>
      <c r="Y101" s="242">
        <v>7.86</v>
      </c>
      <c r="Z101" s="242">
        <v>0</v>
      </c>
      <c r="AA101" s="242">
        <v>7.86</v>
      </c>
      <c r="AB101" s="242">
        <v>41.8</v>
      </c>
      <c r="AC101" s="242">
        <v>0</v>
      </c>
      <c r="AD101" s="242">
        <v>41.8</v>
      </c>
      <c r="AE101" s="242">
        <v>127.57</v>
      </c>
      <c r="AF101" s="242">
        <v>0</v>
      </c>
      <c r="AG101" s="242">
        <v>127.57</v>
      </c>
      <c r="AH101" s="242">
        <v>295.09</v>
      </c>
      <c r="AI101" s="242">
        <v>0</v>
      </c>
      <c r="AJ101" s="242">
        <v>295.09</v>
      </c>
      <c r="AK101" s="242">
        <v>74.61</v>
      </c>
      <c r="AL101" s="242">
        <v>0</v>
      </c>
      <c r="AM101" s="242">
        <v>74.61</v>
      </c>
      <c r="AN101" s="242">
        <v>216.14</v>
      </c>
      <c r="AO101" s="242">
        <v>0</v>
      </c>
      <c r="AP101" s="242">
        <v>216.14</v>
      </c>
      <c r="AQ101" s="242">
        <v>209.05</v>
      </c>
      <c r="AR101" s="242">
        <v>0</v>
      </c>
      <c r="AS101" s="242">
        <v>209.05</v>
      </c>
      <c r="AT101" s="242">
        <v>135.28</v>
      </c>
      <c r="AU101" s="242">
        <v>0</v>
      </c>
      <c r="AV101" s="242">
        <v>135.28</v>
      </c>
      <c r="AW101" s="242">
        <v>35.32</v>
      </c>
      <c r="AX101" s="242">
        <v>0</v>
      </c>
      <c r="AY101" s="242">
        <v>35.32</v>
      </c>
      <c r="AZ101" s="242">
        <v>62.09</v>
      </c>
      <c r="BA101" s="242">
        <v>0</v>
      </c>
      <c r="BB101" s="242">
        <v>62.09</v>
      </c>
      <c r="BC101" s="241">
        <v>1621.63</v>
      </c>
    </row>
    <row r="102" s="239" customFormat="1" ht="16.5" spans="1:55">
      <c r="A102" s="241">
        <v>96</v>
      </c>
      <c r="B102" s="241" t="s">
        <v>109</v>
      </c>
      <c r="C102" s="242">
        <v>28.61</v>
      </c>
      <c r="D102" s="242">
        <v>28.61</v>
      </c>
      <c r="E102" s="242">
        <v>64.82</v>
      </c>
      <c r="F102" s="242">
        <v>64.82</v>
      </c>
      <c r="G102" s="242">
        <v>0</v>
      </c>
      <c r="H102" s="242">
        <v>0</v>
      </c>
      <c r="I102" s="242">
        <v>0</v>
      </c>
      <c r="J102" s="242">
        <v>0</v>
      </c>
      <c r="K102" s="242">
        <v>241.28</v>
      </c>
      <c r="L102" s="242">
        <v>0</v>
      </c>
      <c r="M102" s="242">
        <v>241.28</v>
      </c>
      <c r="N102" s="242">
        <v>7.87</v>
      </c>
      <c r="O102" s="242">
        <v>7.87</v>
      </c>
      <c r="P102" s="242">
        <v>7.2</v>
      </c>
      <c r="Q102" s="242">
        <v>0</v>
      </c>
      <c r="R102" s="242">
        <v>7.2</v>
      </c>
      <c r="S102" s="242">
        <v>29.81</v>
      </c>
      <c r="T102" s="242">
        <v>0</v>
      </c>
      <c r="U102" s="242">
        <v>29.81</v>
      </c>
      <c r="V102" s="242">
        <v>37.23</v>
      </c>
      <c r="W102" s="242">
        <v>0</v>
      </c>
      <c r="X102" s="242">
        <v>37.23</v>
      </c>
      <c r="Y102" s="242">
        <v>7.86</v>
      </c>
      <c r="Z102" s="242">
        <v>0</v>
      </c>
      <c r="AA102" s="242">
        <v>7.86</v>
      </c>
      <c r="AB102" s="242">
        <v>41.8</v>
      </c>
      <c r="AC102" s="242">
        <v>0</v>
      </c>
      <c r="AD102" s="242">
        <v>41.8</v>
      </c>
      <c r="AE102" s="242">
        <v>127.57</v>
      </c>
      <c r="AF102" s="242">
        <v>0</v>
      </c>
      <c r="AG102" s="242">
        <v>127.57</v>
      </c>
      <c r="AH102" s="242">
        <v>295.09</v>
      </c>
      <c r="AI102" s="242">
        <v>0</v>
      </c>
      <c r="AJ102" s="242">
        <v>295.09</v>
      </c>
      <c r="AK102" s="242">
        <v>74.61</v>
      </c>
      <c r="AL102" s="242">
        <v>0</v>
      </c>
      <c r="AM102" s="242">
        <v>74.61</v>
      </c>
      <c r="AN102" s="242">
        <v>216.14</v>
      </c>
      <c r="AO102" s="242">
        <v>0</v>
      </c>
      <c r="AP102" s="242">
        <v>216.14</v>
      </c>
      <c r="AQ102" s="242">
        <v>209.05</v>
      </c>
      <c r="AR102" s="242">
        <v>0</v>
      </c>
      <c r="AS102" s="242">
        <v>209.05</v>
      </c>
      <c r="AT102" s="242">
        <v>135.28</v>
      </c>
      <c r="AU102" s="242">
        <v>0</v>
      </c>
      <c r="AV102" s="242">
        <v>135.28</v>
      </c>
      <c r="AW102" s="242">
        <v>35.32</v>
      </c>
      <c r="AX102" s="242">
        <v>0</v>
      </c>
      <c r="AY102" s="242">
        <v>35.32</v>
      </c>
      <c r="AZ102" s="242">
        <v>62.09</v>
      </c>
      <c r="BA102" s="242">
        <v>0</v>
      </c>
      <c r="BB102" s="242">
        <v>62.09</v>
      </c>
      <c r="BC102" s="241">
        <v>1621.63</v>
      </c>
    </row>
    <row r="103" s="239" customFormat="1" ht="16.5" spans="1:55">
      <c r="A103" s="241"/>
      <c r="B103" s="241" t="s">
        <v>226</v>
      </c>
      <c r="C103" s="241">
        <v>28.61</v>
      </c>
      <c r="D103" s="241">
        <v>28.61</v>
      </c>
      <c r="E103" s="241">
        <v>64.82</v>
      </c>
      <c r="F103" s="241">
        <v>64.82</v>
      </c>
      <c r="G103" s="241">
        <v>0</v>
      </c>
      <c r="H103" s="241">
        <v>0</v>
      </c>
      <c r="I103" s="241">
        <v>0</v>
      </c>
      <c r="J103" s="241">
        <v>0</v>
      </c>
      <c r="K103" s="241">
        <v>241.28</v>
      </c>
      <c r="L103" s="241">
        <v>0</v>
      </c>
      <c r="M103" s="241">
        <v>241.28</v>
      </c>
      <c r="N103" s="241">
        <v>7.87</v>
      </c>
      <c r="O103" s="241">
        <v>7.87</v>
      </c>
      <c r="P103" s="241">
        <v>7.28583333333333</v>
      </c>
      <c r="Q103" s="241">
        <v>0</v>
      </c>
      <c r="R103" s="241">
        <v>7.29</v>
      </c>
      <c r="S103" s="241">
        <v>26.513125</v>
      </c>
      <c r="T103" s="241">
        <v>4.72333333333333</v>
      </c>
      <c r="U103" s="241">
        <v>31.24</v>
      </c>
      <c r="V103" s="241">
        <v>37.6725</v>
      </c>
      <c r="W103" s="241">
        <v>0</v>
      </c>
      <c r="X103" s="241">
        <v>37.67</v>
      </c>
      <c r="Y103" s="241">
        <v>7.57416666666667</v>
      </c>
      <c r="Z103" s="241">
        <v>0</v>
      </c>
      <c r="AA103" s="241">
        <v>7.57</v>
      </c>
      <c r="AB103" s="241">
        <v>40.4383333333333</v>
      </c>
      <c r="AC103" s="241">
        <v>0</v>
      </c>
      <c r="AD103" s="241">
        <v>40.44</v>
      </c>
      <c r="AE103" s="241">
        <v>127.57</v>
      </c>
      <c r="AF103" s="241">
        <v>0</v>
      </c>
      <c r="AG103" s="241">
        <v>127.57</v>
      </c>
      <c r="AH103" s="241">
        <v>295.09</v>
      </c>
      <c r="AI103" s="241">
        <v>0</v>
      </c>
      <c r="AJ103" s="241">
        <v>295.09</v>
      </c>
      <c r="AK103" s="241">
        <v>74.61</v>
      </c>
      <c r="AL103" s="241">
        <v>0</v>
      </c>
      <c r="AM103" s="241">
        <v>74.61</v>
      </c>
      <c r="AN103" s="241">
        <v>216.14</v>
      </c>
      <c r="AO103" s="241">
        <v>0</v>
      </c>
      <c r="AP103" s="241">
        <v>216.14</v>
      </c>
      <c r="AQ103" s="241">
        <v>209.05</v>
      </c>
      <c r="AR103" s="241">
        <v>0</v>
      </c>
      <c r="AS103" s="241">
        <v>209.05</v>
      </c>
      <c r="AT103" s="241">
        <v>135.28</v>
      </c>
      <c r="AU103" s="241">
        <v>0</v>
      </c>
      <c r="AV103" s="241">
        <v>135.28</v>
      </c>
      <c r="AW103" s="241">
        <v>35.32</v>
      </c>
      <c r="AX103" s="241">
        <v>0</v>
      </c>
      <c r="AY103" s="241">
        <v>35.32</v>
      </c>
      <c r="AZ103" s="241">
        <v>62.6729166666667</v>
      </c>
      <c r="BA103" s="241">
        <v>0</v>
      </c>
      <c r="BB103" s="241">
        <v>62.67</v>
      </c>
      <c r="BC103" s="241">
        <v>1622.52020833333</v>
      </c>
    </row>
    <row r="104" s="239" customFormat="1" ht="16.5" spans="1:55">
      <c r="A104" s="241"/>
      <c r="B104" s="241" t="s">
        <v>115</v>
      </c>
      <c r="C104" s="241">
        <v>28.61</v>
      </c>
      <c r="D104" s="241">
        <v>28.61</v>
      </c>
      <c r="E104" s="241">
        <v>64.82</v>
      </c>
      <c r="F104" s="241">
        <v>64.82</v>
      </c>
      <c r="G104" s="241">
        <v>0</v>
      </c>
      <c r="H104" s="241">
        <v>0</v>
      </c>
      <c r="I104" s="241">
        <v>0</v>
      </c>
      <c r="J104" s="241">
        <v>0</v>
      </c>
      <c r="K104" s="241">
        <v>241.28</v>
      </c>
      <c r="L104" s="241">
        <v>0</v>
      </c>
      <c r="M104" s="241">
        <v>241.28</v>
      </c>
      <c r="N104" s="241">
        <v>7.87</v>
      </c>
      <c r="O104" s="241">
        <v>7.87</v>
      </c>
      <c r="P104" s="241">
        <v>6.77</v>
      </c>
      <c r="Q104" s="241">
        <v>0</v>
      </c>
      <c r="R104" s="241">
        <v>6.77</v>
      </c>
      <c r="S104" s="241">
        <v>18.46</v>
      </c>
      <c r="T104" s="241">
        <v>0</v>
      </c>
      <c r="U104" s="241">
        <v>18.46</v>
      </c>
      <c r="V104" s="241">
        <v>37.11</v>
      </c>
      <c r="W104" s="241">
        <v>0</v>
      </c>
      <c r="X104" s="241">
        <v>37.11</v>
      </c>
      <c r="Y104" s="241">
        <v>6.55</v>
      </c>
      <c r="Z104" s="241">
        <v>0</v>
      </c>
      <c r="AA104" s="241">
        <v>6.55</v>
      </c>
      <c r="AB104" s="241">
        <v>40.08</v>
      </c>
      <c r="AC104" s="241">
        <v>0</v>
      </c>
      <c r="AD104" s="241">
        <v>40.08</v>
      </c>
      <c r="AE104" s="241">
        <v>127.57</v>
      </c>
      <c r="AF104" s="241">
        <v>0</v>
      </c>
      <c r="AG104" s="241">
        <v>127.57</v>
      </c>
      <c r="AH104" s="241">
        <v>295.09</v>
      </c>
      <c r="AI104" s="241">
        <v>0</v>
      </c>
      <c r="AJ104" s="241">
        <v>295.09</v>
      </c>
      <c r="AK104" s="241">
        <v>74.61</v>
      </c>
      <c r="AL104" s="241">
        <v>0</v>
      </c>
      <c r="AM104" s="241">
        <v>74.61</v>
      </c>
      <c r="AN104" s="241">
        <v>216.14</v>
      </c>
      <c r="AO104" s="241">
        <v>0</v>
      </c>
      <c r="AP104" s="241">
        <v>216.14</v>
      </c>
      <c r="AQ104" s="241">
        <v>209.05</v>
      </c>
      <c r="AR104" s="241">
        <v>0</v>
      </c>
      <c r="AS104" s="241">
        <v>209.05</v>
      </c>
      <c r="AT104" s="241">
        <v>135.28</v>
      </c>
      <c r="AU104" s="241">
        <v>0</v>
      </c>
      <c r="AV104" s="241">
        <v>135.28</v>
      </c>
      <c r="AW104" s="241">
        <v>35.32</v>
      </c>
      <c r="AX104" s="241">
        <v>0</v>
      </c>
      <c r="AY104" s="241">
        <v>35.32</v>
      </c>
      <c r="AZ104" s="241">
        <v>62.09</v>
      </c>
      <c r="BA104" s="241">
        <v>0</v>
      </c>
      <c r="BB104" s="241">
        <v>62.09</v>
      </c>
      <c r="BC104" s="241">
        <v>1606.7</v>
      </c>
    </row>
    <row r="105" s="239" customFormat="1" ht="16.5" spans="1:55">
      <c r="A105" s="241"/>
      <c r="B105" s="241" t="s">
        <v>116</v>
      </c>
      <c r="C105" s="241">
        <v>28.61</v>
      </c>
      <c r="D105" s="241">
        <v>28.61</v>
      </c>
      <c r="E105" s="241">
        <v>64.82</v>
      </c>
      <c r="F105" s="241">
        <v>64.82</v>
      </c>
      <c r="G105" s="241">
        <v>0</v>
      </c>
      <c r="H105" s="241">
        <v>0</v>
      </c>
      <c r="I105" s="241">
        <v>0</v>
      </c>
      <c r="J105" s="241">
        <v>0</v>
      </c>
      <c r="K105" s="241">
        <v>241.28</v>
      </c>
      <c r="L105" s="241">
        <v>0</v>
      </c>
      <c r="M105" s="241">
        <v>241.28</v>
      </c>
      <c r="N105" s="241">
        <v>7.87</v>
      </c>
      <c r="O105" s="241">
        <v>7.87</v>
      </c>
      <c r="P105" s="241">
        <v>7.64</v>
      </c>
      <c r="Q105" s="241">
        <v>0</v>
      </c>
      <c r="R105" s="241">
        <v>7.64</v>
      </c>
      <c r="S105" s="241">
        <v>32.12</v>
      </c>
      <c r="T105" s="241">
        <v>17.44</v>
      </c>
      <c r="U105" s="241">
        <v>49.56</v>
      </c>
      <c r="V105" s="241">
        <v>39.87</v>
      </c>
      <c r="W105" s="241">
        <v>0</v>
      </c>
      <c r="X105" s="241">
        <v>39.87</v>
      </c>
      <c r="Y105" s="241">
        <v>7.86</v>
      </c>
      <c r="Z105" s="241">
        <v>0</v>
      </c>
      <c r="AA105" s="241">
        <v>7.86</v>
      </c>
      <c r="AB105" s="241">
        <v>41.8</v>
      </c>
      <c r="AC105" s="241">
        <v>0</v>
      </c>
      <c r="AD105" s="241">
        <v>41.8</v>
      </c>
      <c r="AE105" s="241">
        <v>127.57</v>
      </c>
      <c r="AF105" s="241">
        <v>0</v>
      </c>
      <c r="AG105" s="241">
        <v>127.57</v>
      </c>
      <c r="AH105" s="241">
        <v>295.09</v>
      </c>
      <c r="AI105" s="241">
        <v>0</v>
      </c>
      <c r="AJ105" s="241">
        <v>295.09</v>
      </c>
      <c r="AK105" s="241">
        <v>74.61</v>
      </c>
      <c r="AL105" s="241">
        <v>0</v>
      </c>
      <c r="AM105" s="241">
        <v>74.61</v>
      </c>
      <c r="AN105" s="241">
        <v>216.14</v>
      </c>
      <c r="AO105" s="241">
        <v>0</v>
      </c>
      <c r="AP105" s="241">
        <v>216.14</v>
      </c>
      <c r="AQ105" s="241">
        <v>209.05</v>
      </c>
      <c r="AR105" s="241">
        <v>0</v>
      </c>
      <c r="AS105" s="241">
        <v>209.05</v>
      </c>
      <c r="AT105" s="241">
        <v>135.28</v>
      </c>
      <c r="AU105" s="241">
        <v>0</v>
      </c>
      <c r="AV105" s="241">
        <v>135.28</v>
      </c>
      <c r="AW105" s="241">
        <v>35.32</v>
      </c>
      <c r="AX105" s="241">
        <v>0</v>
      </c>
      <c r="AY105" s="241">
        <v>35.32</v>
      </c>
      <c r="AZ105" s="241">
        <v>73.12</v>
      </c>
      <c r="BA105" s="241">
        <v>0</v>
      </c>
      <c r="BB105" s="241">
        <v>73.12</v>
      </c>
      <c r="BC105" s="241">
        <v>1655.49</v>
      </c>
    </row>
    <row r="106" s="239" customFormat="1" ht="16.5" spans="1:55">
      <c r="A106" s="241"/>
      <c r="B106" s="241" t="s">
        <v>227</v>
      </c>
      <c r="C106" s="241">
        <v>686.64</v>
      </c>
      <c r="D106" s="241">
        <v>686.64</v>
      </c>
      <c r="E106" s="241">
        <v>1555.68</v>
      </c>
      <c r="F106" s="241">
        <v>1555.68</v>
      </c>
      <c r="G106" s="241">
        <v>0</v>
      </c>
      <c r="H106" s="241">
        <v>0</v>
      </c>
      <c r="I106" s="241">
        <v>0</v>
      </c>
      <c r="J106" s="241">
        <v>0</v>
      </c>
      <c r="K106" s="241">
        <v>5790.72</v>
      </c>
      <c r="L106" s="241">
        <v>0</v>
      </c>
      <c r="M106" s="241">
        <v>5790.72</v>
      </c>
      <c r="N106" s="241">
        <v>188.88</v>
      </c>
      <c r="O106" s="241">
        <v>188.88</v>
      </c>
      <c r="P106" s="241">
        <v>174.86</v>
      </c>
      <c r="Q106" s="241">
        <v>0</v>
      </c>
      <c r="R106" s="241">
        <v>174.86</v>
      </c>
      <c r="S106" s="241">
        <v>636.315</v>
      </c>
      <c r="T106" s="241">
        <v>113.36</v>
      </c>
      <c r="U106" s="241">
        <v>749.68</v>
      </c>
      <c r="V106" s="241">
        <v>904.14</v>
      </c>
      <c r="W106" s="241">
        <v>0</v>
      </c>
      <c r="X106" s="241">
        <v>904.14</v>
      </c>
      <c r="Y106" s="241">
        <v>181.78</v>
      </c>
      <c r="Z106" s="241">
        <v>0</v>
      </c>
      <c r="AA106" s="241">
        <v>181.78</v>
      </c>
      <c r="AB106" s="241">
        <v>970.52</v>
      </c>
      <c r="AC106" s="241">
        <v>0</v>
      </c>
      <c r="AD106" s="241">
        <v>970.52</v>
      </c>
      <c r="AE106" s="241">
        <v>3061.68</v>
      </c>
      <c r="AF106" s="241">
        <v>0</v>
      </c>
      <c r="AG106" s="241">
        <v>3061.68</v>
      </c>
      <c r="AH106" s="241">
        <v>7082.16</v>
      </c>
      <c r="AI106" s="241">
        <v>0</v>
      </c>
      <c r="AJ106" s="241">
        <v>7082.16</v>
      </c>
      <c r="AK106" s="241">
        <v>1790.64</v>
      </c>
      <c r="AL106" s="241">
        <v>0</v>
      </c>
      <c r="AM106" s="241">
        <v>1790.64</v>
      </c>
      <c r="AN106" s="241">
        <v>5187.36</v>
      </c>
      <c r="AO106" s="241">
        <v>0</v>
      </c>
      <c r="AP106" s="241">
        <v>5187.36</v>
      </c>
      <c r="AQ106" s="241">
        <v>5017.2</v>
      </c>
      <c r="AR106" s="241">
        <v>0</v>
      </c>
      <c r="AS106" s="241">
        <v>5017.2</v>
      </c>
      <c r="AT106" s="241">
        <v>3246.72</v>
      </c>
      <c r="AU106" s="241">
        <v>0</v>
      </c>
      <c r="AV106" s="241">
        <v>3246.72</v>
      </c>
      <c r="AW106" s="241">
        <v>847.68</v>
      </c>
      <c r="AX106" s="241">
        <v>0</v>
      </c>
      <c r="AY106" s="241">
        <v>847.68</v>
      </c>
      <c r="AZ106" s="241">
        <v>1504.15</v>
      </c>
      <c r="BA106" s="241">
        <v>0</v>
      </c>
      <c r="BB106" s="241">
        <v>1504.15</v>
      </c>
      <c r="BC106" s="241">
        <v>38940.485</v>
      </c>
    </row>
    <row r="109" s="238" customFormat="1" ht="20" customHeight="1" spans="1:10">
      <c r="A109" s="243" t="s">
        <v>228</v>
      </c>
      <c r="B109" s="243"/>
      <c r="C109" s="243"/>
      <c r="D109" s="243"/>
      <c r="E109" s="243"/>
      <c r="F109" s="243"/>
      <c r="G109" s="243"/>
      <c r="H109" s="243"/>
      <c r="I109" s="243"/>
      <c r="J109" s="243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H80" sqref="$A1:$XFD1048576"/>
    </sheetView>
  </sheetViews>
  <sheetFormatPr defaultColWidth="15.7142857142857" defaultRowHeight="15" customHeight="1"/>
  <cols>
    <col min="1" max="16384" width="15.7142857142857" style="239" customWidth="1"/>
  </cols>
  <sheetData>
    <row r="2" s="238" customFormat="1" ht="20" customHeight="1" spans="1:10">
      <c r="A2" s="240" t="s">
        <v>229</v>
      </c>
      <c r="B2" s="240"/>
      <c r="C2" s="240"/>
      <c r="D2" s="240"/>
      <c r="E2" s="240"/>
      <c r="F2" s="240"/>
      <c r="G2" s="240"/>
      <c r="H2" s="240"/>
      <c r="I2" s="240"/>
      <c r="J2" s="240"/>
    </row>
    <row r="4" s="239" customFormat="1" ht="16.5" spans="1:22">
      <c r="A4" s="241" t="s">
        <v>230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</row>
    <row r="5" s="239" customFormat="1" ht="16.5" spans="1:22">
      <c r="A5" s="241" t="s">
        <v>231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</row>
    <row r="6" s="239" customFormat="1" ht="16.5" spans="1:22">
      <c r="A6" s="241" t="s">
        <v>232</v>
      </c>
      <c r="B6" s="241"/>
      <c r="C6" s="241" t="s">
        <v>200</v>
      </c>
      <c r="D6" s="241" t="s">
        <v>201</v>
      </c>
      <c r="E6" s="241" t="s">
        <v>202</v>
      </c>
      <c r="F6" s="241" t="s">
        <v>203</v>
      </c>
      <c r="G6" s="241" t="s">
        <v>204</v>
      </c>
      <c r="H6" s="241" t="s">
        <v>205</v>
      </c>
      <c r="I6" s="241" t="s">
        <v>206</v>
      </c>
      <c r="J6" s="241" t="s">
        <v>207</v>
      </c>
      <c r="K6" s="241" t="s">
        <v>208</v>
      </c>
      <c r="L6" s="241" t="s">
        <v>209</v>
      </c>
      <c r="M6" s="241" t="s">
        <v>210</v>
      </c>
      <c r="N6" s="241" t="s">
        <v>211</v>
      </c>
      <c r="O6" s="241" t="s">
        <v>212</v>
      </c>
      <c r="P6" s="241" t="s">
        <v>213</v>
      </c>
      <c r="Q6" s="241" t="s">
        <v>214</v>
      </c>
      <c r="R6" s="241" t="s">
        <v>215</v>
      </c>
      <c r="S6" s="241" t="s">
        <v>216</v>
      </c>
      <c r="T6" s="241" t="s">
        <v>217</v>
      </c>
      <c r="U6" s="241" t="s">
        <v>218</v>
      </c>
      <c r="V6" s="241"/>
    </row>
    <row r="7" s="239" customFormat="1" ht="16.5" spans="1:22">
      <c r="A7" s="241" t="s">
        <v>233</v>
      </c>
      <c r="B7" s="241"/>
      <c r="C7" s="241" t="s">
        <v>234</v>
      </c>
      <c r="D7" s="241" t="s">
        <v>234</v>
      </c>
      <c r="E7" s="241" t="s">
        <v>234</v>
      </c>
      <c r="F7" s="241" t="s">
        <v>234</v>
      </c>
      <c r="G7" s="241" t="s">
        <v>234</v>
      </c>
      <c r="H7" s="241" t="s">
        <v>234</v>
      </c>
      <c r="I7" s="241" t="s">
        <v>234</v>
      </c>
      <c r="J7" s="241" t="s">
        <v>234</v>
      </c>
      <c r="K7" s="241" t="s">
        <v>234</v>
      </c>
      <c r="L7" s="241" t="s">
        <v>234</v>
      </c>
      <c r="M7" s="241" t="s">
        <v>234</v>
      </c>
      <c r="N7" s="241" t="s">
        <v>234</v>
      </c>
      <c r="O7" s="241" t="s">
        <v>234</v>
      </c>
      <c r="P7" s="241" t="s">
        <v>234</v>
      </c>
      <c r="Q7" s="241" t="s">
        <v>234</v>
      </c>
      <c r="R7" s="241" t="s">
        <v>234</v>
      </c>
      <c r="S7" s="241" t="s">
        <v>234</v>
      </c>
      <c r="T7" s="241" t="s">
        <v>234</v>
      </c>
      <c r="U7" s="241" t="s">
        <v>234</v>
      </c>
      <c r="V7" s="241"/>
    </row>
    <row r="8" s="239" customFormat="1" ht="16.5" spans="1:22">
      <c r="A8" s="241" t="s">
        <v>235</v>
      </c>
      <c r="B8" s="241"/>
      <c r="C8" s="241" t="s">
        <v>220</v>
      </c>
      <c r="D8" s="241" t="s">
        <v>220</v>
      </c>
      <c r="E8" s="241" t="s">
        <v>220</v>
      </c>
      <c r="F8" s="241" t="s">
        <v>220</v>
      </c>
      <c r="G8" s="241" t="s">
        <v>220</v>
      </c>
      <c r="H8" s="241" t="s">
        <v>220</v>
      </c>
      <c r="I8" s="241" t="s">
        <v>220</v>
      </c>
      <c r="J8" s="241" t="s">
        <v>220</v>
      </c>
      <c r="K8" s="241" t="s">
        <v>220</v>
      </c>
      <c r="L8" s="241" t="s">
        <v>220</v>
      </c>
      <c r="M8" s="241" t="s">
        <v>220</v>
      </c>
      <c r="N8" s="241" t="s">
        <v>220</v>
      </c>
      <c r="O8" s="241" t="s">
        <v>220</v>
      </c>
      <c r="P8" s="241" t="s">
        <v>220</v>
      </c>
      <c r="Q8" s="241" t="s">
        <v>220</v>
      </c>
      <c r="R8" s="241" t="s">
        <v>220</v>
      </c>
      <c r="S8" s="241" t="s">
        <v>220</v>
      </c>
      <c r="T8" s="241" t="s">
        <v>220</v>
      </c>
      <c r="U8" s="241" t="s">
        <v>220</v>
      </c>
      <c r="V8" s="241"/>
    </row>
    <row r="9" s="239" customFormat="1" ht="16.5" spans="1:22">
      <c r="A9" s="241" t="s">
        <v>236</v>
      </c>
      <c r="B9" s="241"/>
      <c r="C9" s="241" t="s">
        <v>237</v>
      </c>
      <c r="D9" s="241" t="s">
        <v>237</v>
      </c>
      <c r="E9" s="241" t="s">
        <v>237</v>
      </c>
      <c r="F9" s="241" t="s">
        <v>237</v>
      </c>
      <c r="G9" s="241" t="s">
        <v>237</v>
      </c>
      <c r="H9" s="241" t="s">
        <v>237</v>
      </c>
      <c r="I9" s="241" t="s">
        <v>237</v>
      </c>
      <c r="J9" s="241" t="s">
        <v>237</v>
      </c>
      <c r="K9" s="241" t="s">
        <v>237</v>
      </c>
      <c r="L9" s="241" t="s">
        <v>237</v>
      </c>
      <c r="M9" s="241" t="s">
        <v>237</v>
      </c>
      <c r="N9" s="241" t="s">
        <v>237</v>
      </c>
      <c r="O9" s="241" t="s">
        <v>237</v>
      </c>
      <c r="P9" s="241" t="s">
        <v>237</v>
      </c>
      <c r="Q9" s="241" t="s">
        <v>237</v>
      </c>
      <c r="R9" s="241" t="s">
        <v>237</v>
      </c>
      <c r="S9" s="241" t="s">
        <v>237</v>
      </c>
      <c r="T9" s="241" t="s">
        <v>237</v>
      </c>
      <c r="U9" s="241" t="s">
        <v>237</v>
      </c>
      <c r="V9" s="241"/>
    </row>
    <row r="10" s="239" customFormat="1" ht="16.5" spans="1:22">
      <c r="A10" s="241" t="s">
        <v>238</v>
      </c>
      <c r="B10" s="241"/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</row>
    <row r="11" s="239" customFormat="1" ht="16.5" spans="1:22">
      <c r="A11" s="241" t="s">
        <v>239</v>
      </c>
      <c r="B11" s="241"/>
      <c r="C11" s="241" t="s">
        <v>240</v>
      </c>
      <c r="D11" s="241" t="s">
        <v>240</v>
      </c>
      <c r="E11" s="241" t="s">
        <v>240</v>
      </c>
      <c r="F11" s="241" t="s">
        <v>240</v>
      </c>
      <c r="G11" s="241" t="s">
        <v>240</v>
      </c>
      <c r="H11" s="241" t="s">
        <v>240</v>
      </c>
      <c r="I11" s="241" t="s">
        <v>240</v>
      </c>
      <c r="J11" s="241" t="s">
        <v>240</v>
      </c>
      <c r="K11" s="241" t="s">
        <v>240</v>
      </c>
      <c r="L11" s="241" t="s">
        <v>240</v>
      </c>
      <c r="M11" s="241" t="s">
        <v>240</v>
      </c>
      <c r="N11" s="241" t="s">
        <v>240</v>
      </c>
      <c r="O11" s="241" t="s">
        <v>240</v>
      </c>
      <c r="P11" s="241" t="s">
        <v>240</v>
      </c>
      <c r="Q11" s="241" t="s">
        <v>240</v>
      </c>
      <c r="R11" s="241" t="s">
        <v>240</v>
      </c>
      <c r="S11" s="241" t="s">
        <v>240</v>
      </c>
      <c r="T11" s="241" t="s">
        <v>240</v>
      </c>
      <c r="U11" s="241" t="s">
        <v>240</v>
      </c>
      <c r="V11" s="241"/>
    </row>
    <row r="12" s="239" customFormat="1" ht="16.5" spans="1:22">
      <c r="A12" s="241" t="s">
        <v>145</v>
      </c>
      <c r="B12" s="241" t="s">
        <v>146</v>
      </c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 t="s">
        <v>241</v>
      </c>
    </row>
    <row r="13" s="239" customFormat="1" ht="16.5" spans="1:22">
      <c r="A13" s="241">
        <v>1</v>
      </c>
      <c r="B13" s="241" t="s">
        <v>14</v>
      </c>
      <c r="C13" s="242">
        <v>27.23</v>
      </c>
      <c r="D13" s="242">
        <v>61.7</v>
      </c>
      <c r="E13" s="242">
        <v>0</v>
      </c>
      <c r="F13" s="242">
        <v>0</v>
      </c>
      <c r="G13" s="242">
        <v>0</v>
      </c>
      <c r="H13" s="242">
        <v>7.49</v>
      </c>
      <c r="I13" s="242">
        <v>7.23</v>
      </c>
      <c r="J13" s="242">
        <v>0</v>
      </c>
      <c r="K13" s="242">
        <v>0</v>
      </c>
      <c r="L13" s="242">
        <v>0</v>
      </c>
      <c r="M13" s="242">
        <v>38.15</v>
      </c>
      <c r="N13" s="242">
        <v>0</v>
      </c>
      <c r="O13" s="242">
        <v>0</v>
      </c>
      <c r="P13" s="242">
        <v>0</v>
      </c>
      <c r="Q13" s="242">
        <v>216.14</v>
      </c>
      <c r="R13" s="242">
        <v>0</v>
      </c>
      <c r="S13" s="242">
        <v>128.77</v>
      </c>
      <c r="T13" s="242">
        <v>33.62</v>
      </c>
      <c r="U13" s="242">
        <v>0</v>
      </c>
      <c r="V13" s="241">
        <v>520.33</v>
      </c>
    </row>
    <row r="14" s="239" customFormat="1" ht="16.5" spans="1:22">
      <c r="A14" s="241">
        <v>2</v>
      </c>
      <c r="B14" s="241" t="s">
        <v>15</v>
      </c>
      <c r="C14" s="242">
        <v>27.23</v>
      </c>
      <c r="D14" s="242">
        <v>61.7</v>
      </c>
      <c r="E14" s="242">
        <v>0</v>
      </c>
      <c r="F14" s="242">
        <v>0</v>
      </c>
      <c r="G14" s="242">
        <v>0</v>
      </c>
      <c r="H14" s="242">
        <v>7.49</v>
      </c>
      <c r="I14" s="242">
        <v>7.27</v>
      </c>
      <c r="J14" s="242">
        <v>0</v>
      </c>
      <c r="K14" s="242">
        <v>0</v>
      </c>
      <c r="L14" s="242">
        <v>0</v>
      </c>
      <c r="M14" s="242">
        <v>38.15</v>
      </c>
      <c r="N14" s="242">
        <v>0</v>
      </c>
      <c r="O14" s="242">
        <v>0</v>
      </c>
      <c r="P14" s="242">
        <v>0</v>
      </c>
      <c r="Q14" s="242">
        <v>216.14</v>
      </c>
      <c r="R14" s="242">
        <v>0</v>
      </c>
      <c r="S14" s="242">
        <v>128.77</v>
      </c>
      <c r="T14" s="242">
        <v>33.62</v>
      </c>
      <c r="U14" s="242">
        <v>0</v>
      </c>
      <c r="V14" s="241">
        <v>520.37</v>
      </c>
    </row>
    <row r="15" s="239" customFormat="1" ht="16.5" spans="1:22">
      <c r="A15" s="241">
        <v>3</v>
      </c>
      <c r="B15" s="241" t="s">
        <v>16</v>
      </c>
      <c r="C15" s="242">
        <v>27.23</v>
      </c>
      <c r="D15" s="242">
        <v>61.7</v>
      </c>
      <c r="E15" s="242">
        <v>0</v>
      </c>
      <c r="F15" s="242">
        <v>0</v>
      </c>
      <c r="G15" s="242">
        <v>0</v>
      </c>
      <c r="H15" s="242">
        <v>7.49</v>
      </c>
      <c r="I15" s="242">
        <v>7.27</v>
      </c>
      <c r="J15" s="242">
        <v>0</v>
      </c>
      <c r="K15" s="242">
        <v>0</v>
      </c>
      <c r="L15" s="242">
        <v>0</v>
      </c>
      <c r="M15" s="242">
        <v>38.15</v>
      </c>
      <c r="N15" s="242">
        <v>0</v>
      </c>
      <c r="O15" s="242">
        <v>0</v>
      </c>
      <c r="P15" s="242">
        <v>0</v>
      </c>
      <c r="Q15" s="242">
        <v>216.14</v>
      </c>
      <c r="R15" s="242">
        <v>0</v>
      </c>
      <c r="S15" s="242">
        <v>128.77</v>
      </c>
      <c r="T15" s="242">
        <v>33.62</v>
      </c>
      <c r="U15" s="242">
        <v>0</v>
      </c>
      <c r="V15" s="241">
        <v>520.37</v>
      </c>
    </row>
    <row r="16" s="239" customFormat="1" ht="16.5" spans="1:22">
      <c r="A16" s="241">
        <v>4</v>
      </c>
      <c r="B16" s="241" t="s">
        <v>17</v>
      </c>
      <c r="C16" s="242">
        <v>27.23</v>
      </c>
      <c r="D16" s="242">
        <v>61.7</v>
      </c>
      <c r="E16" s="242">
        <v>0</v>
      </c>
      <c r="F16" s="242">
        <v>0</v>
      </c>
      <c r="G16" s="242">
        <v>0</v>
      </c>
      <c r="H16" s="242">
        <v>7.49</v>
      </c>
      <c r="I16" s="242">
        <v>7.27</v>
      </c>
      <c r="J16" s="242">
        <v>0</v>
      </c>
      <c r="K16" s="242">
        <v>0</v>
      </c>
      <c r="L16" s="242">
        <v>0</v>
      </c>
      <c r="M16" s="242">
        <v>38.15</v>
      </c>
      <c r="N16" s="242">
        <v>0</v>
      </c>
      <c r="O16" s="242">
        <v>0</v>
      </c>
      <c r="P16" s="242">
        <v>0</v>
      </c>
      <c r="Q16" s="242">
        <v>216.14</v>
      </c>
      <c r="R16" s="242">
        <v>0</v>
      </c>
      <c r="S16" s="242">
        <v>128.77</v>
      </c>
      <c r="T16" s="242">
        <v>33.62</v>
      </c>
      <c r="U16" s="242">
        <v>0</v>
      </c>
      <c r="V16" s="241">
        <v>520.37</v>
      </c>
    </row>
    <row r="17" s="239" customFormat="1" ht="16.5" spans="1:22">
      <c r="A17" s="241">
        <v>5</v>
      </c>
      <c r="B17" s="241" t="s">
        <v>18</v>
      </c>
      <c r="C17" s="242">
        <v>27.23</v>
      </c>
      <c r="D17" s="242">
        <v>61.7</v>
      </c>
      <c r="E17" s="242">
        <v>0</v>
      </c>
      <c r="F17" s="242">
        <v>0</v>
      </c>
      <c r="G17" s="242">
        <v>0</v>
      </c>
      <c r="H17" s="242">
        <v>7.49</v>
      </c>
      <c r="I17" s="242">
        <v>7.27</v>
      </c>
      <c r="J17" s="242">
        <v>0</v>
      </c>
      <c r="K17" s="242">
        <v>0</v>
      </c>
      <c r="L17" s="242">
        <v>0</v>
      </c>
      <c r="M17" s="242">
        <v>38.15</v>
      </c>
      <c r="N17" s="242">
        <v>0</v>
      </c>
      <c r="O17" s="242">
        <v>0</v>
      </c>
      <c r="P17" s="242">
        <v>0</v>
      </c>
      <c r="Q17" s="242">
        <v>216.14</v>
      </c>
      <c r="R17" s="242">
        <v>0</v>
      </c>
      <c r="S17" s="242">
        <v>128.77</v>
      </c>
      <c r="T17" s="242">
        <v>33.62</v>
      </c>
      <c r="U17" s="242">
        <v>0</v>
      </c>
      <c r="V17" s="241">
        <v>520.37</v>
      </c>
    </row>
    <row r="18" s="239" customFormat="1" ht="16.5" spans="1:22">
      <c r="A18" s="241">
        <v>6</v>
      </c>
      <c r="B18" s="241" t="s">
        <v>19</v>
      </c>
      <c r="C18" s="242">
        <v>27.23</v>
      </c>
      <c r="D18" s="242">
        <v>61.7</v>
      </c>
      <c r="E18" s="242">
        <v>0</v>
      </c>
      <c r="F18" s="242">
        <v>0</v>
      </c>
      <c r="G18" s="242">
        <v>0</v>
      </c>
      <c r="H18" s="242">
        <v>7.49</v>
      </c>
      <c r="I18" s="242">
        <v>7.27</v>
      </c>
      <c r="J18" s="242">
        <v>0</v>
      </c>
      <c r="K18" s="242">
        <v>0</v>
      </c>
      <c r="L18" s="242">
        <v>0</v>
      </c>
      <c r="M18" s="242">
        <v>38.15</v>
      </c>
      <c r="N18" s="242">
        <v>0</v>
      </c>
      <c r="O18" s="242">
        <v>0</v>
      </c>
      <c r="P18" s="242">
        <v>0</v>
      </c>
      <c r="Q18" s="242">
        <v>216.14</v>
      </c>
      <c r="R18" s="242">
        <v>0</v>
      </c>
      <c r="S18" s="242">
        <v>128.77</v>
      </c>
      <c r="T18" s="242">
        <v>33.62</v>
      </c>
      <c r="U18" s="242">
        <v>0</v>
      </c>
      <c r="V18" s="241">
        <v>520.37</v>
      </c>
    </row>
    <row r="19" s="239" customFormat="1" ht="16.5" spans="1:22">
      <c r="A19" s="241">
        <v>7</v>
      </c>
      <c r="B19" s="241" t="s">
        <v>20</v>
      </c>
      <c r="C19" s="242">
        <v>27.23</v>
      </c>
      <c r="D19" s="242">
        <v>61.7</v>
      </c>
      <c r="E19" s="242">
        <v>0</v>
      </c>
      <c r="F19" s="242">
        <v>0</v>
      </c>
      <c r="G19" s="242">
        <v>0</v>
      </c>
      <c r="H19" s="242">
        <v>7.49</v>
      </c>
      <c r="I19" s="242">
        <v>5.2</v>
      </c>
      <c r="J19" s="242">
        <v>0</v>
      </c>
      <c r="K19" s="242">
        <v>0</v>
      </c>
      <c r="L19" s="242">
        <v>0</v>
      </c>
      <c r="M19" s="242">
        <v>33.07</v>
      </c>
      <c r="N19" s="242">
        <v>0</v>
      </c>
      <c r="O19" s="242">
        <v>0</v>
      </c>
      <c r="P19" s="242">
        <v>0</v>
      </c>
      <c r="Q19" s="242">
        <v>216.14</v>
      </c>
      <c r="R19" s="242">
        <v>0</v>
      </c>
      <c r="S19" s="242">
        <v>128.77</v>
      </c>
      <c r="T19" s="242">
        <v>30.51</v>
      </c>
      <c r="U19" s="242">
        <v>0</v>
      </c>
      <c r="V19" s="241">
        <v>510.11</v>
      </c>
    </row>
    <row r="20" s="239" customFormat="1" ht="16.5" spans="1:22">
      <c r="A20" s="241">
        <v>8</v>
      </c>
      <c r="B20" s="241" t="s">
        <v>21</v>
      </c>
      <c r="C20" s="242">
        <v>27.23</v>
      </c>
      <c r="D20" s="242">
        <v>61.7</v>
      </c>
      <c r="E20" s="242">
        <v>0</v>
      </c>
      <c r="F20" s="242">
        <v>0</v>
      </c>
      <c r="G20" s="242">
        <v>0</v>
      </c>
      <c r="H20" s="242">
        <v>7.49</v>
      </c>
      <c r="I20" s="242">
        <v>5.2</v>
      </c>
      <c r="J20" s="242">
        <v>0</v>
      </c>
      <c r="K20" s="242">
        <v>0</v>
      </c>
      <c r="L20" s="242">
        <v>0</v>
      </c>
      <c r="M20" s="242">
        <v>30.25</v>
      </c>
      <c r="N20" s="242">
        <v>0</v>
      </c>
      <c r="O20" s="242">
        <v>0</v>
      </c>
      <c r="P20" s="242">
        <v>0</v>
      </c>
      <c r="Q20" s="242">
        <v>216.14</v>
      </c>
      <c r="R20" s="242">
        <v>0</v>
      </c>
      <c r="S20" s="242">
        <v>128.77</v>
      </c>
      <c r="T20" s="242">
        <v>18.91</v>
      </c>
      <c r="U20" s="242">
        <v>0</v>
      </c>
      <c r="V20" s="241">
        <v>495.69</v>
      </c>
    </row>
    <row r="21" s="239" customFormat="1" ht="16.5" spans="1:22">
      <c r="A21" s="241">
        <v>9</v>
      </c>
      <c r="B21" s="241" t="s">
        <v>22</v>
      </c>
      <c r="C21" s="242">
        <v>27.23</v>
      </c>
      <c r="D21" s="242">
        <v>61.7</v>
      </c>
      <c r="E21" s="242">
        <v>0</v>
      </c>
      <c r="F21" s="242">
        <v>0</v>
      </c>
      <c r="G21" s="242">
        <v>0</v>
      </c>
      <c r="H21" s="242">
        <v>7.49</v>
      </c>
      <c r="I21" s="242">
        <v>5.2</v>
      </c>
      <c r="J21" s="242">
        <v>0</v>
      </c>
      <c r="K21" s="242">
        <v>0</v>
      </c>
      <c r="L21" s="242">
        <v>0</v>
      </c>
      <c r="M21" s="242">
        <v>30.25</v>
      </c>
      <c r="N21" s="242">
        <v>0</v>
      </c>
      <c r="O21" s="242">
        <v>0</v>
      </c>
      <c r="P21" s="242">
        <v>0</v>
      </c>
      <c r="Q21" s="242">
        <v>216.14</v>
      </c>
      <c r="R21" s="242">
        <v>0</v>
      </c>
      <c r="S21" s="242">
        <v>128.77</v>
      </c>
      <c r="T21" s="242">
        <v>18.91</v>
      </c>
      <c r="U21" s="242">
        <v>0</v>
      </c>
      <c r="V21" s="241">
        <v>495.69</v>
      </c>
    </row>
    <row r="22" s="239" customFormat="1" ht="16.5" spans="1:22">
      <c r="A22" s="241">
        <v>10</v>
      </c>
      <c r="B22" s="241" t="s">
        <v>23</v>
      </c>
      <c r="C22" s="242">
        <v>27.23</v>
      </c>
      <c r="D22" s="242">
        <v>61.7</v>
      </c>
      <c r="E22" s="242">
        <v>0</v>
      </c>
      <c r="F22" s="242">
        <v>0</v>
      </c>
      <c r="G22" s="242">
        <v>0</v>
      </c>
      <c r="H22" s="242">
        <v>7.49</v>
      </c>
      <c r="I22" s="242">
        <v>5.2</v>
      </c>
      <c r="J22" s="242">
        <v>0</v>
      </c>
      <c r="K22" s="242">
        <v>0</v>
      </c>
      <c r="L22" s="242">
        <v>0</v>
      </c>
      <c r="M22" s="242">
        <v>30.25</v>
      </c>
      <c r="N22" s="242">
        <v>0</v>
      </c>
      <c r="O22" s="242">
        <v>0</v>
      </c>
      <c r="P22" s="242">
        <v>0</v>
      </c>
      <c r="Q22" s="242">
        <v>216.14</v>
      </c>
      <c r="R22" s="242">
        <v>0</v>
      </c>
      <c r="S22" s="242">
        <v>128.77</v>
      </c>
      <c r="T22" s="242">
        <v>18.91</v>
      </c>
      <c r="U22" s="242">
        <v>0</v>
      </c>
      <c r="V22" s="241">
        <v>495.69</v>
      </c>
    </row>
    <row r="23" s="239" customFormat="1" ht="16.5" spans="1:22">
      <c r="A23" s="241">
        <v>11</v>
      </c>
      <c r="B23" s="241" t="s">
        <v>24</v>
      </c>
      <c r="C23" s="242">
        <v>27.23</v>
      </c>
      <c r="D23" s="242">
        <v>61.7</v>
      </c>
      <c r="E23" s="242">
        <v>0</v>
      </c>
      <c r="F23" s="242">
        <v>0</v>
      </c>
      <c r="G23" s="242">
        <v>0</v>
      </c>
      <c r="H23" s="242">
        <v>7.49</v>
      </c>
      <c r="I23" s="242">
        <v>5.2</v>
      </c>
      <c r="J23" s="242">
        <v>0</v>
      </c>
      <c r="K23" s="242">
        <v>0</v>
      </c>
      <c r="L23" s="242">
        <v>0</v>
      </c>
      <c r="M23" s="242">
        <v>30.25</v>
      </c>
      <c r="N23" s="242">
        <v>0</v>
      </c>
      <c r="O23" s="242">
        <v>0</v>
      </c>
      <c r="P23" s="242">
        <v>0</v>
      </c>
      <c r="Q23" s="242">
        <v>216.14</v>
      </c>
      <c r="R23" s="242">
        <v>0</v>
      </c>
      <c r="S23" s="242">
        <v>128.77</v>
      </c>
      <c r="T23" s="242">
        <v>18.91</v>
      </c>
      <c r="U23" s="242">
        <v>0</v>
      </c>
      <c r="V23" s="241">
        <v>495.69</v>
      </c>
    </row>
    <row r="24" s="239" customFormat="1" ht="16.5" spans="1:22">
      <c r="A24" s="241">
        <v>12</v>
      </c>
      <c r="B24" s="241" t="s">
        <v>25</v>
      </c>
      <c r="C24" s="242">
        <v>27.23</v>
      </c>
      <c r="D24" s="242">
        <v>61.7</v>
      </c>
      <c r="E24" s="242">
        <v>0</v>
      </c>
      <c r="F24" s="242">
        <v>0</v>
      </c>
      <c r="G24" s="242">
        <v>0</v>
      </c>
      <c r="H24" s="242">
        <v>7.49</v>
      </c>
      <c r="I24" s="242">
        <v>5.2</v>
      </c>
      <c r="J24" s="242">
        <v>0</v>
      </c>
      <c r="K24" s="242">
        <v>0</v>
      </c>
      <c r="L24" s="242">
        <v>0</v>
      </c>
      <c r="M24" s="242">
        <v>30.25</v>
      </c>
      <c r="N24" s="242">
        <v>0</v>
      </c>
      <c r="O24" s="242">
        <v>0</v>
      </c>
      <c r="P24" s="242">
        <v>0</v>
      </c>
      <c r="Q24" s="242">
        <v>216.14</v>
      </c>
      <c r="R24" s="242">
        <v>0</v>
      </c>
      <c r="S24" s="242">
        <v>128.77</v>
      </c>
      <c r="T24" s="242">
        <v>18.91</v>
      </c>
      <c r="U24" s="242">
        <v>0</v>
      </c>
      <c r="V24" s="241">
        <v>495.69</v>
      </c>
    </row>
    <row r="25" s="239" customFormat="1" ht="16.5" spans="1:22">
      <c r="A25" s="241">
        <v>13</v>
      </c>
      <c r="B25" s="241" t="s">
        <v>26</v>
      </c>
      <c r="C25" s="242">
        <v>27.23</v>
      </c>
      <c r="D25" s="242">
        <v>61.7</v>
      </c>
      <c r="E25" s="242">
        <v>0</v>
      </c>
      <c r="F25" s="242">
        <v>0</v>
      </c>
      <c r="G25" s="242">
        <v>0</v>
      </c>
      <c r="H25" s="242">
        <v>7.49</v>
      </c>
      <c r="I25" s="242">
        <v>5.16</v>
      </c>
      <c r="J25" s="242">
        <v>0</v>
      </c>
      <c r="K25" s="242">
        <v>0</v>
      </c>
      <c r="L25" s="242">
        <v>0</v>
      </c>
      <c r="M25" s="242">
        <v>28.76</v>
      </c>
      <c r="N25" s="242">
        <v>0</v>
      </c>
      <c r="O25" s="242">
        <v>0</v>
      </c>
      <c r="P25" s="242">
        <v>0</v>
      </c>
      <c r="Q25" s="242">
        <v>216.14</v>
      </c>
      <c r="R25" s="242">
        <v>0</v>
      </c>
      <c r="S25" s="242">
        <v>128.77</v>
      </c>
      <c r="T25" s="242">
        <v>18.5</v>
      </c>
      <c r="U25" s="242">
        <v>0</v>
      </c>
      <c r="V25" s="241">
        <v>493.75</v>
      </c>
    </row>
    <row r="26" s="239" customFormat="1" ht="16.5" spans="1:22">
      <c r="A26" s="241">
        <v>14</v>
      </c>
      <c r="B26" s="241" t="s">
        <v>27</v>
      </c>
      <c r="C26" s="242">
        <v>27.23</v>
      </c>
      <c r="D26" s="242">
        <v>61.7</v>
      </c>
      <c r="E26" s="242">
        <v>0</v>
      </c>
      <c r="F26" s="242">
        <v>0</v>
      </c>
      <c r="G26" s="242">
        <v>0</v>
      </c>
      <c r="H26" s="242">
        <v>7.49</v>
      </c>
      <c r="I26" s="242">
        <v>5.16</v>
      </c>
      <c r="J26" s="242">
        <v>0</v>
      </c>
      <c r="K26" s="242">
        <v>0</v>
      </c>
      <c r="L26" s="242">
        <v>0</v>
      </c>
      <c r="M26" s="242">
        <v>28.76</v>
      </c>
      <c r="N26" s="242">
        <v>0</v>
      </c>
      <c r="O26" s="242">
        <v>0</v>
      </c>
      <c r="P26" s="242">
        <v>0</v>
      </c>
      <c r="Q26" s="242">
        <v>216.14</v>
      </c>
      <c r="R26" s="242">
        <v>0</v>
      </c>
      <c r="S26" s="242">
        <v>128.77</v>
      </c>
      <c r="T26" s="242">
        <v>18.5</v>
      </c>
      <c r="U26" s="242">
        <v>0</v>
      </c>
      <c r="V26" s="241">
        <v>493.75</v>
      </c>
    </row>
    <row r="27" s="239" customFormat="1" ht="16.5" spans="1:22">
      <c r="A27" s="241">
        <v>15</v>
      </c>
      <c r="B27" s="241" t="s">
        <v>28</v>
      </c>
      <c r="C27" s="242">
        <v>27.23</v>
      </c>
      <c r="D27" s="242">
        <v>61.7</v>
      </c>
      <c r="E27" s="242">
        <v>0</v>
      </c>
      <c r="F27" s="242">
        <v>0</v>
      </c>
      <c r="G27" s="242">
        <v>0</v>
      </c>
      <c r="H27" s="242">
        <v>7.49</v>
      </c>
      <c r="I27" s="242">
        <v>5.2</v>
      </c>
      <c r="J27" s="242">
        <v>0</v>
      </c>
      <c r="K27" s="242">
        <v>0</v>
      </c>
      <c r="L27" s="242">
        <v>0</v>
      </c>
      <c r="M27" s="242">
        <v>36.18</v>
      </c>
      <c r="N27" s="242">
        <v>0</v>
      </c>
      <c r="O27" s="242">
        <v>0</v>
      </c>
      <c r="P27" s="242">
        <v>0</v>
      </c>
      <c r="Q27" s="242">
        <v>216.14</v>
      </c>
      <c r="R27" s="242">
        <v>0</v>
      </c>
      <c r="S27" s="242">
        <v>128.77</v>
      </c>
      <c r="T27" s="242">
        <v>32.66</v>
      </c>
      <c r="U27" s="242">
        <v>0</v>
      </c>
      <c r="V27" s="241">
        <v>515.37</v>
      </c>
    </row>
    <row r="28" s="239" customFormat="1" ht="16.5" spans="1:22">
      <c r="A28" s="241">
        <v>16</v>
      </c>
      <c r="B28" s="241" t="s">
        <v>29</v>
      </c>
      <c r="C28" s="242">
        <v>27.23</v>
      </c>
      <c r="D28" s="242">
        <v>61.7</v>
      </c>
      <c r="E28" s="242">
        <v>0</v>
      </c>
      <c r="F28" s="242">
        <v>0</v>
      </c>
      <c r="G28" s="242">
        <v>0</v>
      </c>
      <c r="H28" s="242">
        <v>7.49</v>
      </c>
      <c r="I28" s="242">
        <v>5.2</v>
      </c>
      <c r="J28" s="242">
        <v>0</v>
      </c>
      <c r="K28" s="242">
        <v>0</v>
      </c>
      <c r="L28" s="242">
        <v>0</v>
      </c>
      <c r="M28" s="242">
        <v>36.18</v>
      </c>
      <c r="N28" s="242">
        <v>0</v>
      </c>
      <c r="O28" s="242">
        <v>0</v>
      </c>
      <c r="P28" s="242">
        <v>0</v>
      </c>
      <c r="Q28" s="242">
        <v>216.14</v>
      </c>
      <c r="R28" s="242">
        <v>0</v>
      </c>
      <c r="S28" s="242">
        <v>128.77</v>
      </c>
      <c r="T28" s="242">
        <v>32.66</v>
      </c>
      <c r="U28" s="242">
        <v>0</v>
      </c>
      <c r="V28" s="241">
        <v>515.37</v>
      </c>
    </row>
    <row r="29" s="239" customFormat="1" ht="16.5" spans="1:22">
      <c r="A29" s="241">
        <v>17</v>
      </c>
      <c r="B29" s="241" t="s">
        <v>30</v>
      </c>
      <c r="C29" s="242">
        <v>27.23</v>
      </c>
      <c r="D29" s="242">
        <v>61.7</v>
      </c>
      <c r="E29" s="242">
        <v>0</v>
      </c>
      <c r="F29" s="242">
        <v>0</v>
      </c>
      <c r="G29" s="242">
        <v>0</v>
      </c>
      <c r="H29" s="242">
        <v>7.49</v>
      </c>
      <c r="I29" s="242">
        <v>7.27</v>
      </c>
      <c r="J29" s="242">
        <v>0</v>
      </c>
      <c r="K29" s="242">
        <v>0</v>
      </c>
      <c r="L29" s="242">
        <v>0</v>
      </c>
      <c r="M29" s="242">
        <v>38.15</v>
      </c>
      <c r="N29" s="242">
        <v>0</v>
      </c>
      <c r="O29" s="242">
        <v>0</v>
      </c>
      <c r="P29" s="242">
        <v>0</v>
      </c>
      <c r="Q29" s="242">
        <v>216.14</v>
      </c>
      <c r="R29" s="242">
        <v>0</v>
      </c>
      <c r="S29" s="242">
        <v>128.77</v>
      </c>
      <c r="T29" s="242">
        <v>33.62</v>
      </c>
      <c r="U29" s="242">
        <v>0</v>
      </c>
      <c r="V29" s="241">
        <v>520.37</v>
      </c>
    </row>
    <row r="30" s="239" customFormat="1" ht="16.5" spans="1:22">
      <c r="A30" s="241">
        <v>18</v>
      </c>
      <c r="B30" s="241" t="s">
        <v>31</v>
      </c>
      <c r="C30" s="242">
        <v>27.23</v>
      </c>
      <c r="D30" s="242">
        <v>61.7</v>
      </c>
      <c r="E30" s="242">
        <v>0</v>
      </c>
      <c r="F30" s="242">
        <v>0</v>
      </c>
      <c r="G30" s="242">
        <v>0</v>
      </c>
      <c r="H30" s="242">
        <v>7.49</v>
      </c>
      <c r="I30" s="242">
        <v>7.27</v>
      </c>
      <c r="J30" s="242">
        <v>0</v>
      </c>
      <c r="K30" s="242">
        <v>0</v>
      </c>
      <c r="L30" s="242">
        <v>0</v>
      </c>
      <c r="M30" s="242">
        <v>38.15</v>
      </c>
      <c r="N30" s="242">
        <v>0</v>
      </c>
      <c r="O30" s="242">
        <v>0</v>
      </c>
      <c r="P30" s="242">
        <v>0</v>
      </c>
      <c r="Q30" s="242">
        <v>216.14</v>
      </c>
      <c r="R30" s="242">
        <v>0</v>
      </c>
      <c r="S30" s="242">
        <v>128.77</v>
      </c>
      <c r="T30" s="242">
        <v>33.62</v>
      </c>
      <c r="U30" s="242">
        <v>0</v>
      </c>
      <c r="V30" s="241">
        <v>520.37</v>
      </c>
    </row>
    <row r="31" s="239" customFormat="1" ht="16.5" spans="1:22">
      <c r="A31" s="241">
        <v>19</v>
      </c>
      <c r="B31" s="241" t="s">
        <v>32</v>
      </c>
      <c r="C31" s="242">
        <v>27.23</v>
      </c>
      <c r="D31" s="242">
        <v>61.7</v>
      </c>
      <c r="E31" s="242">
        <v>0</v>
      </c>
      <c r="F31" s="242">
        <v>0</v>
      </c>
      <c r="G31" s="242">
        <v>0</v>
      </c>
      <c r="H31" s="242">
        <v>7.49</v>
      </c>
      <c r="I31" s="242">
        <v>7.27</v>
      </c>
      <c r="J31" s="242">
        <v>20.32</v>
      </c>
      <c r="K31" s="242">
        <v>33.75</v>
      </c>
      <c r="L31" s="242">
        <v>6.63</v>
      </c>
      <c r="M31" s="242">
        <v>38.15</v>
      </c>
      <c r="N31" s="242">
        <v>0</v>
      </c>
      <c r="O31" s="242">
        <v>195.91</v>
      </c>
      <c r="P31" s="242">
        <v>49.82</v>
      </c>
      <c r="Q31" s="242">
        <v>216.14</v>
      </c>
      <c r="R31" s="242">
        <v>68.54</v>
      </c>
      <c r="S31" s="242">
        <v>128.77</v>
      </c>
      <c r="T31" s="242">
        <v>33.62</v>
      </c>
      <c r="U31" s="242">
        <v>0</v>
      </c>
      <c r="V31" s="241">
        <v>895.34</v>
      </c>
    </row>
    <row r="32" s="239" customFormat="1" ht="16.5" spans="1:22">
      <c r="A32" s="241">
        <v>20</v>
      </c>
      <c r="B32" s="241" t="s">
        <v>33</v>
      </c>
      <c r="C32" s="242">
        <v>27.23</v>
      </c>
      <c r="D32" s="242">
        <v>61.7</v>
      </c>
      <c r="E32" s="242">
        <v>0</v>
      </c>
      <c r="F32" s="242">
        <v>0</v>
      </c>
      <c r="G32" s="242">
        <v>0</v>
      </c>
      <c r="H32" s="242">
        <v>7.49</v>
      </c>
      <c r="I32" s="242">
        <v>7.27</v>
      </c>
      <c r="J32" s="242">
        <v>20.32</v>
      </c>
      <c r="K32" s="242">
        <v>35.33</v>
      </c>
      <c r="L32" s="242">
        <v>6.63</v>
      </c>
      <c r="M32" s="242">
        <v>38.15</v>
      </c>
      <c r="N32" s="242">
        <v>0</v>
      </c>
      <c r="O32" s="242">
        <v>195.91</v>
      </c>
      <c r="P32" s="242">
        <v>49.82</v>
      </c>
      <c r="Q32" s="242">
        <v>216.14</v>
      </c>
      <c r="R32" s="242">
        <v>111.8</v>
      </c>
      <c r="S32" s="242">
        <v>128.77</v>
      </c>
      <c r="T32" s="242">
        <v>33.62</v>
      </c>
      <c r="U32" s="242">
        <v>0</v>
      </c>
      <c r="V32" s="241">
        <v>940.18</v>
      </c>
    </row>
    <row r="33" s="239" customFormat="1" ht="16.5" spans="1:22">
      <c r="A33" s="241">
        <v>21</v>
      </c>
      <c r="B33" s="241" t="s">
        <v>34</v>
      </c>
      <c r="C33" s="242">
        <v>27.23</v>
      </c>
      <c r="D33" s="242">
        <v>61.7</v>
      </c>
      <c r="E33" s="242">
        <v>0</v>
      </c>
      <c r="F33" s="242">
        <v>0</v>
      </c>
      <c r="G33" s="242">
        <v>38.01</v>
      </c>
      <c r="H33" s="242">
        <v>7.49</v>
      </c>
      <c r="I33" s="242">
        <v>7.27</v>
      </c>
      <c r="J33" s="242">
        <v>20.32</v>
      </c>
      <c r="K33" s="242">
        <v>35.33</v>
      </c>
      <c r="L33" s="242">
        <v>6.75</v>
      </c>
      <c r="M33" s="242">
        <v>38.15</v>
      </c>
      <c r="N33" s="242">
        <v>107.88</v>
      </c>
      <c r="O33" s="242">
        <v>195.91</v>
      </c>
      <c r="P33" s="242">
        <v>49.82</v>
      </c>
      <c r="Q33" s="242">
        <v>216.14</v>
      </c>
      <c r="R33" s="242">
        <v>111.8</v>
      </c>
      <c r="S33" s="242">
        <v>128.77</v>
      </c>
      <c r="T33" s="242">
        <v>33.62</v>
      </c>
      <c r="U33" s="242">
        <v>57.08</v>
      </c>
      <c r="V33" s="241">
        <v>1143.27</v>
      </c>
    </row>
    <row r="34" s="239" customFormat="1" ht="16.5" spans="1:22">
      <c r="A34" s="241">
        <v>22</v>
      </c>
      <c r="B34" s="241" t="s">
        <v>35</v>
      </c>
      <c r="C34" s="242">
        <v>27.23</v>
      </c>
      <c r="D34" s="242">
        <v>61.7</v>
      </c>
      <c r="E34" s="242">
        <v>0</v>
      </c>
      <c r="F34" s="242">
        <v>0</v>
      </c>
      <c r="G34" s="242">
        <v>81.66</v>
      </c>
      <c r="H34" s="242">
        <v>7.49</v>
      </c>
      <c r="I34" s="242">
        <v>7.27</v>
      </c>
      <c r="J34" s="242">
        <v>20.32</v>
      </c>
      <c r="K34" s="242">
        <v>35.33</v>
      </c>
      <c r="L34" s="242">
        <v>6.63</v>
      </c>
      <c r="M34" s="242">
        <v>38.15</v>
      </c>
      <c r="N34" s="242">
        <v>107.88</v>
      </c>
      <c r="O34" s="242">
        <v>195.91</v>
      </c>
      <c r="P34" s="242">
        <v>49.82</v>
      </c>
      <c r="Q34" s="242">
        <v>216.14</v>
      </c>
      <c r="R34" s="242">
        <v>111.8</v>
      </c>
      <c r="S34" s="242">
        <v>128.77</v>
      </c>
      <c r="T34" s="242">
        <v>33.62</v>
      </c>
      <c r="U34" s="242">
        <v>57.08</v>
      </c>
      <c r="V34" s="241">
        <v>1186.8</v>
      </c>
    </row>
    <row r="35" s="239" customFormat="1" ht="16.5" spans="1:22">
      <c r="A35" s="241">
        <v>23</v>
      </c>
      <c r="B35" s="241" t="s">
        <v>36</v>
      </c>
      <c r="C35" s="242">
        <v>27.23</v>
      </c>
      <c r="D35" s="242">
        <v>61.7</v>
      </c>
      <c r="E35" s="242">
        <v>0</v>
      </c>
      <c r="F35" s="242">
        <v>0</v>
      </c>
      <c r="G35" s="242">
        <v>121.03</v>
      </c>
      <c r="H35" s="242">
        <v>7.49</v>
      </c>
      <c r="I35" s="242">
        <v>7.27</v>
      </c>
      <c r="J35" s="242">
        <v>20.32</v>
      </c>
      <c r="K35" s="242">
        <v>35.33</v>
      </c>
      <c r="L35" s="242">
        <v>6.85</v>
      </c>
      <c r="M35" s="242">
        <v>38.15</v>
      </c>
      <c r="N35" s="242">
        <v>106.64</v>
      </c>
      <c r="O35" s="242">
        <v>280.9</v>
      </c>
      <c r="P35" s="242">
        <v>71.02</v>
      </c>
      <c r="Q35" s="242">
        <v>216.14</v>
      </c>
      <c r="R35" s="242">
        <v>166.12</v>
      </c>
      <c r="S35" s="242">
        <v>128.77</v>
      </c>
      <c r="T35" s="242">
        <v>33.62</v>
      </c>
      <c r="U35" s="242">
        <v>57.08</v>
      </c>
      <c r="V35" s="241">
        <v>1385.66</v>
      </c>
    </row>
    <row r="36" s="239" customFormat="1" ht="16.5" spans="1:22">
      <c r="A36" s="241">
        <v>24</v>
      </c>
      <c r="B36" s="241" t="s">
        <v>37</v>
      </c>
      <c r="C36" s="242">
        <v>27.23</v>
      </c>
      <c r="D36" s="242">
        <v>61.7</v>
      </c>
      <c r="E36" s="242">
        <v>0</v>
      </c>
      <c r="F36" s="242">
        <v>0</v>
      </c>
      <c r="G36" s="242">
        <v>157.08</v>
      </c>
      <c r="H36" s="242">
        <v>7.49</v>
      </c>
      <c r="I36" s="242">
        <v>7.27</v>
      </c>
      <c r="J36" s="242">
        <v>21.17</v>
      </c>
      <c r="K36" s="242">
        <v>36.58</v>
      </c>
      <c r="L36" s="242">
        <v>6.85</v>
      </c>
      <c r="M36" s="242">
        <v>38.15</v>
      </c>
      <c r="N36" s="242">
        <v>88.19</v>
      </c>
      <c r="O36" s="242">
        <v>280.9</v>
      </c>
      <c r="P36" s="242">
        <v>71.02</v>
      </c>
      <c r="Q36" s="242">
        <v>216.14</v>
      </c>
      <c r="R36" s="242">
        <v>198.99</v>
      </c>
      <c r="S36" s="242">
        <v>128.77</v>
      </c>
      <c r="T36" s="242">
        <v>33.62</v>
      </c>
      <c r="U36" s="242">
        <v>48.76</v>
      </c>
      <c r="V36" s="241">
        <v>1429.91</v>
      </c>
    </row>
    <row r="37" s="239" customFormat="1" ht="16.5" spans="1:22">
      <c r="A37" s="241">
        <v>25</v>
      </c>
      <c r="B37" s="241" t="s">
        <v>38</v>
      </c>
      <c r="C37" s="242">
        <v>27.23</v>
      </c>
      <c r="D37" s="242">
        <v>61.7</v>
      </c>
      <c r="E37" s="242">
        <v>0</v>
      </c>
      <c r="F37" s="242">
        <v>0</v>
      </c>
      <c r="G37" s="242">
        <v>204.1</v>
      </c>
      <c r="H37" s="242">
        <v>7.49</v>
      </c>
      <c r="I37" s="242">
        <v>7.27</v>
      </c>
      <c r="J37" s="242">
        <v>18.45</v>
      </c>
      <c r="K37" s="242">
        <v>36.58</v>
      </c>
      <c r="L37" s="242">
        <v>6.85</v>
      </c>
      <c r="M37" s="242">
        <v>38.15</v>
      </c>
      <c r="N37" s="242">
        <v>121.43</v>
      </c>
      <c r="O37" s="242">
        <v>280.9</v>
      </c>
      <c r="P37" s="242">
        <v>71.02</v>
      </c>
      <c r="Q37" s="242">
        <v>216.14</v>
      </c>
      <c r="R37" s="242">
        <v>198.99</v>
      </c>
      <c r="S37" s="242">
        <v>128.77</v>
      </c>
      <c r="T37" s="242">
        <v>33.62</v>
      </c>
      <c r="U37" s="242">
        <v>59.1</v>
      </c>
      <c r="V37" s="241">
        <v>1517.79</v>
      </c>
    </row>
    <row r="38" s="239" customFormat="1" ht="16.5" spans="1:22">
      <c r="A38" s="241">
        <v>26</v>
      </c>
      <c r="B38" s="241" t="s">
        <v>39</v>
      </c>
      <c r="C38" s="242">
        <v>27.23</v>
      </c>
      <c r="D38" s="242">
        <v>61.7</v>
      </c>
      <c r="E38" s="242">
        <v>0</v>
      </c>
      <c r="F38" s="242">
        <v>0</v>
      </c>
      <c r="G38" s="242">
        <v>229.67</v>
      </c>
      <c r="H38" s="242">
        <v>7.49</v>
      </c>
      <c r="I38" s="242">
        <v>7.27</v>
      </c>
      <c r="J38" s="242">
        <v>18.45</v>
      </c>
      <c r="K38" s="242">
        <v>36.58</v>
      </c>
      <c r="L38" s="242">
        <v>6.85</v>
      </c>
      <c r="M38" s="242">
        <v>38.15</v>
      </c>
      <c r="N38" s="242">
        <v>121.43</v>
      </c>
      <c r="O38" s="242">
        <v>280.9</v>
      </c>
      <c r="P38" s="242">
        <v>71.02</v>
      </c>
      <c r="Q38" s="242">
        <v>216.14</v>
      </c>
      <c r="R38" s="242">
        <v>198.99</v>
      </c>
      <c r="S38" s="242">
        <v>128.77</v>
      </c>
      <c r="T38" s="242">
        <v>33.62</v>
      </c>
      <c r="U38" s="242">
        <v>59.1</v>
      </c>
      <c r="V38" s="241">
        <v>1543.36</v>
      </c>
    </row>
    <row r="39" s="239" customFormat="1" ht="16.5" spans="1:22">
      <c r="A39" s="241">
        <v>27</v>
      </c>
      <c r="B39" s="241" t="s">
        <v>40</v>
      </c>
      <c r="C39" s="242">
        <v>27.23</v>
      </c>
      <c r="D39" s="242">
        <v>61.7</v>
      </c>
      <c r="E39" s="242">
        <v>0</v>
      </c>
      <c r="F39" s="242">
        <v>0</v>
      </c>
      <c r="G39" s="242">
        <v>229.67</v>
      </c>
      <c r="H39" s="242">
        <v>7.49</v>
      </c>
      <c r="I39" s="242">
        <v>7.27</v>
      </c>
      <c r="J39" s="242">
        <v>18.45</v>
      </c>
      <c r="K39" s="242">
        <v>36.58</v>
      </c>
      <c r="L39" s="242">
        <v>6.85</v>
      </c>
      <c r="M39" s="242">
        <v>38.15</v>
      </c>
      <c r="N39" s="242">
        <v>121.43</v>
      </c>
      <c r="O39" s="242">
        <v>280.9</v>
      </c>
      <c r="P39" s="242">
        <v>71.02</v>
      </c>
      <c r="Q39" s="242">
        <v>216.14</v>
      </c>
      <c r="R39" s="242">
        <v>198.99</v>
      </c>
      <c r="S39" s="242">
        <v>128.77</v>
      </c>
      <c r="T39" s="242">
        <v>33.62</v>
      </c>
      <c r="U39" s="242">
        <v>59.1</v>
      </c>
      <c r="V39" s="241">
        <v>1543.36</v>
      </c>
    </row>
    <row r="40" s="239" customFormat="1" ht="16.5" spans="1:22">
      <c r="A40" s="241">
        <v>28</v>
      </c>
      <c r="B40" s="241" t="s">
        <v>41</v>
      </c>
      <c r="C40" s="242">
        <v>27.23</v>
      </c>
      <c r="D40" s="242">
        <v>61.7</v>
      </c>
      <c r="E40" s="242">
        <v>0</v>
      </c>
      <c r="F40" s="242">
        <v>0</v>
      </c>
      <c r="G40" s="242">
        <v>229.67</v>
      </c>
      <c r="H40" s="242">
        <v>7.49</v>
      </c>
      <c r="I40" s="242">
        <v>7.27</v>
      </c>
      <c r="J40" s="242">
        <v>18.45</v>
      </c>
      <c r="K40" s="242">
        <v>36.58</v>
      </c>
      <c r="L40" s="242">
        <v>6.85</v>
      </c>
      <c r="M40" s="242">
        <v>38.15</v>
      </c>
      <c r="N40" s="242">
        <v>121.43</v>
      </c>
      <c r="O40" s="242">
        <v>280.9</v>
      </c>
      <c r="P40" s="242">
        <v>71.02</v>
      </c>
      <c r="Q40" s="242">
        <v>216.14</v>
      </c>
      <c r="R40" s="242">
        <v>198.99</v>
      </c>
      <c r="S40" s="242">
        <v>128.77</v>
      </c>
      <c r="T40" s="242">
        <v>33.62</v>
      </c>
      <c r="U40" s="242">
        <v>59.1</v>
      </c>
      <c r="V40" s="241">
        <v>1543.36</v>
      </c>
    </row>
    <row r="41" s="239" customFormat="1" ht="16.5" spans="1:22">
      <c r="A41" s="241">
        <v>29</v>
      </c>
      <c r="B41" s="241" t="s">
        <v>42</v>
      </c>
      <c r="C41" s="242">
        <v>27.23</v>
      </c>
      <c r="D41" s="242">
        <v>61.7</v>
      </c>
      <c r="E41" s="242">
        <v>0</v>
      </c>
      <c r="F41" s="242">
        <v>0</v>
      </c>
      <c r="G41" s="242">
        <v>229.67</v>
      </c>
      <c r="H41" s="242">
        <v>7.49</v>
      </c>
      <c r="I41" s="242">
        <v>7.27</v>
      </c>
      <c r="J41" s="242">
        <v>17.92</v>
      </c>
      <c r="K41" s="242">
        <v>35.67</v>
      </c>
      <c r="L41" s="242">
        <v>6.85</v>
      </c>
      <c r="M41" s="242">
        <v>38.15</v>
      </c>
      <c r="N41" s="242">
        <v>121.43</v>
      </c>
      <c r="O41" s="242">
        <v>280.9</v>
      </c>
      <c r="P41" s="242">
        <v>71.02</v>
      </c>
      <c r="Q41" s="242">
        <v>216.14</v>
      </c>
      <c r="R41" s="242">
        <v>198.99</v>
      </c>
      <c r="S41" s="242">
        <v>128.77</v>
      </c>
      <c r="T41" s="242">
        <v>33.62</v>
      </c>
      <c r="U41" s="242">
        <v>59.1</v>
      </c>
      <c r="V41" s="241">
        <v>1541.92</v>
      </c>
    </row>
    <row r="42" s="239" customFormat="1" ht="16.5" spans="1:22">
      <c r="A42" s="241">
        <v>30</v>
      </c>
      <c r="B42" s="241" t="s">
        <v>43</v>
      </c>
      <c r="C42" s="242">
        <v>27.23</v>
      </c>
      <c r="D42" s="242">
        <v>61.7</v>
      </c>
      <c r="E42" s="242">
        <v>0</v>
      </c>
      <c r="F42" s="242">
        <v>0</v>
      </c>
      <c r="G42" s="242">
        <v>229.67</v>
      </c>
      <c r="H42" s="242">
        <v>7.49</v>
      </c>
      <c r="I42" s="242">
        <v>7.27</v>
      </c>
      <c r="J42" s="242">
        <v>17.92</v>
      </c>
      <c r="K42" s="242">
        <v>35.67</v>
      </c>
      <c r="L42" s="242">
        <v>6.85</v>
      </c>
      <c r="M42" s="242">
        <v>38.15</v>
      </c>
      <c r="N42" s="242">
        <v>121.43</v>
      </c>
      <c r="O42" s="242">
        <v>280.9</v>
      </c>
      <c r="P42" s="242">
        <v>71.02</v>
      </c>
      <c r="Q42" s="242">
        <v>216.14</v>
      </c>
      <c r="R42" s="242">
        <v>198.99</v>
      </c>
      <c r="S42" s="242">
        <v>128.77</v>
      </c>
      <c r="T42" s="242">
        <v>33.62</v>
      </c>
      <c r="U42" s="242">
        <v>59.1</v>
      </c>
      <c r="V42" s="241">
        <v>1541.92</v>
      </c>
    </row>
    <row r="43" s="239" customFormat="1" ht="16.5" spans="1:22">
      <c r="A43" s="241">
        <v>31</v>
      </c>
      <c r="B43" s="241" t="s">
        <v>44</v>
      </c>
      <c r="C43" s="242">
        <v>27.23</v>
      </c>
      <c r="D43" s="242">
        <v>61.7</v>
      </c>
      <c r="E43" s="242">
        <v>0</v>
      </c>
      <c r="F43" s="242">
        <v>0</v>
      </c>
      <c r="G43" s="242">
        <v>229.67</v>
      </c>
      <c r="H43" s="242">
        <v>7.49</v>
      </c>
      <c r="I43" s="242">
        <v>7.27</v>
      </c>
      <c r="J43" s="242">
        <v>20.33</v>
      </c>
      <c r="K43" s="242">
        <v>35.67</v>
      </c>
      <c r="L43" s="242">
        <v>7.13</v>
      </c>
      <c r="M43" s="242">
        <v>38.15</v>
      </c>
      <c r="N43" s="242">
        <v>121.43</v>
      </c>
      <c r="O43" s="242">
        <v>280.9</v>
      </c>
      <c r="P43" s="242">
        <v>71.02</v>
      </c>
      <c r="Q43" s="242">
        <v>216.14</v>
      </c>
      <c r="R43" s="242">
        <v>198.99</v>
      </c>
      <c r="S43" s="242">
        <v>128.77</v>
      </c>
      <c r="T43" s="242">
        <v>33.62</v>
      </c>
      <c r="U43" s="242">
        <v>59.1</v>
      </c>
      <c r="V43" s="241">
        <v>1544.61</v>
      </c>
    </row>
    <row r="44" s="239" customFormat="1" ht="16.5" spans="1:22">
      <c r="A44" s="241">
        <v>32</v>
      </c>
      <c r="B44" s="241" t="s">
        <v>45</v>
      </c>
      <c r="C44" s="242">
        <v>27.23</v>
      </c>
      <c r="D44" s="242">
        <v>61.7</v>
      </c>
      <c r="E44" s="242">
        <v>0</v>
      </c>
      <c r="F44" s="242">
        <v>0</v>
      </c>
      <c r="G44" s="242">
        <v>229.67</v>
      </c>
      <c r="H44" s="242">
        <v>7.49</v>
      </c>
      <c r="I44" s="242">
        <v>7.27</v>
      </c>
      <c r="J44" s="242">
        <v>23.93</v>
      </c>
      <c r="K44" s="242">
        <v>35.67</v>
      </c>
      <c r="L44" s="242">
        <v>7.17</v>
      </c>
      <c r="M44" s="242">
        <v>38.15</v>
      </c>
      <c r="N44" s="242">
        <v>121.43</v>
      </c>
      <c r="O44" s="242">
        <v>280.9</v>
      </c>
      <c r="P44" s="242">
        <v>71.02</v>
      </c>
      <c r="Q44" s="242">
        <v>216.14</v>
      </c>
      <c r="R44" s="242">
        <v>198.99</v>
      </c>
      <c r="S44" s="242">
        <v>128.77</v>
      </c>
      <c r="T44" s="242">
        <v>33.62</v>
      </c>
      <c r="U44" s="242">
        <v>59.1</v>
      </c>
      <c r="V44" s="241">
        <v>1548.25</v>
      </c>
    </row>
    <row r="45" s="239" customFormat="1" ht="16.5" spans="1:22">
      <c r="A45" s="241">
        <v>33</v>
      </c>
      <c r="B45" s="241" t="s">
        <v>46</v>
      </c>
      <c r="C45" s="242">
        <v>27.23</v>
      </c>
      <c r="D45" s="242">
        <v>61.7</v>
      </c>
      <c r="E45" s="242">
        <v>0</v>
      </c>
      <c r="F45" s="242">
        <v>0</v>
      </c>
      <c r="G45" s="242">
        <v>229.67</v>
      </c>
      <c r="H45" s="242">
        <v>7.49</v>
      </c>
      <c r="I45" s="242">
        <v>7.27</v>
      </c>
      <c r="J45" s="242">
        <v>27.42</v>
      </c>
      <c r="K45" s="242">
        <v>35.67</v>
      </c>
      <c r="L45" s="242">
        <v>7.17</v>
      </c>
      <c r="M45" s="242">
        <v>38.15</v>
      </c>
      <c r="N45" s="242">
        <v>121.43</v>
      </c>
      <c r="O45" s="242">
        <v>280.9</v>
      </c>
      <c r="P45" s="242">
        <v>71.02</v>
      </c>
      <c r="Q45" s="242">
        <v>216.14</v>
      </c>
      <c r="R45" s="242">
        <v>198.99</v>
      </c>
      <c r="S45" s="242">
        <v>128.77</v>
      </c>
      <c r="T45" s="242">
        <v>33.62</v>
      </c>
      <c r="U45" s="242">
        <v>59.1</v>
      </c>
      <c r="V45" s="241">
        <v>1551.74</v>
      </c>
    </row>
    <row r="46" s="239" customFormat="1" ht="16.5" spans="1:22">
      <c r="A46" s="241">
        <v>34</v>
      </c>
      <c r="B46" s="241" t="s">
        <v>47</v>
      </c>
      <c r="C46" s="242">
        <v>27.23</v>
      </c>
      <c r="D46" s="242">
        <v>61.7</v>
      </c>
      <c r="E46" s="242">
        <v>0</v>
      </c>
      <c r="F46" s="242">
        <v>0</v>
      </c>
      <c r="G46" s="242">
        <v>229.67</v>
      </c>
      <c r="H46" s="242">
        <v>7.49</v>
      </c>
      <c r="I46" s="242">
        <v>7.27</v>
      </c>
      <c r="J46" s="242">
        <v>28.11</v>
      </c>
      <c r="K46" s="242">
        <v>35.67</v>
      </c>
      <c r="L46" s="242">
        <v>7.17</v>
      </c>
      <c r="M46" s="242">
        <v>38.15</v>
      </c>
      <c r="N46" s="242">
        <v>121.43</v>
      </c>
      <c r="O46" s="242">
        <v>280.9</v>
      </c>
      <c r="P46" s="242">
        <v>71.02</v>
      </c>
      <c r="Q46" s="242">
        <v>216.14</v>
      </c>
      <c r="R46" s="242">
        <v>198.99</v>
      </c>
      <c r="S46" s="242">
        <v>128.77</v>
      </c>
      <c r="T46" s="242">
        <v>33.62</v>
      </c>
      <c r="U46" s="242">
        <v>59.1</v>
      </c>
      <c r="V46" s="241">
        <v>1552.43</v>
      </c>
    </row>
    <row r="47" s="239" customFormat="1" ht="16.5" spans="1:22">
      <c r="A47" s="241">
        <v>35</v>
      </c>
      <c r="B47" s="241" t="s">
        <v>48</v>
      </c>
      <c r="C47" s="242">
        <v>27.23</v>
      </c>
      <c r="D47" s="242">
        <v>61.7</v>
      </c>
      <c r="E47" s="242">
        <v>0</v>
      </c>
      <c r="F47" s="242">
        <v>0</v>
      </c>
      <c r="G47" s="242">
        <v>229.67</v>
      </c>
      <c r="H47" s="242">
        <v>7.49</v>
      </c>
      <c r="I47" s="242">
        <v>7.27</v>
      </c>
      <c r="J47" s="242">
        <v>28.54</v>
      </c>
      <c r="K47" s="242">
        <v>35.67</v>
      </c>
      <c r="L47" s="242">
        <v>7.17</v>
      </c>
      <c r="M47" s="242">
        <v>38.15</v>
      </c>
      <c r="N47" s="242">
        <v>121.43</v>
      </c>
      <c r="O47" s="242">
        <v>280.9</v>
      </c>
      <c r="P47" s="242">
        <v>71.02</v>
      </c>
      <c r="Q47" s="242">
        <v>216.14</v>
      </c>
      <c r="R47" s="242">
        <v>198.99</v>
      </c>
      <c r="S47" s="242">
        <v>128.77</v>
      </c>
      <c r="T47" s="242">
        <v>33.62</v>
      </c>
      <c r="U47" s="242">
        <v>59.1</v>
      </c>
      <c r="V47" s="241">
        <v>1552.86</v>
      </c>
    </row>
    <row r="48" s="239" customFormat="1" ht="16.5" spans="1:22">
      <c r="A48" s="241">
        <v>36</v>
      </c>
      <c r="B48" s="241" t="s">
        <v>49</v>
      </c>
      <c r="C48" s="242">
        <v>27.23</v>
      </c>
      <c r="D48" s="242">
        <v>61.7</v>
      </c>
      <c r="E48" s="242">
        <v>0</v>
      </c>
      <c r="F48" s="242">
        <v>0</v>
      </c>
      <c r="G48" s="242">
        <v>229.67</v>
      </c>
      <c r="H48" s="242">
        <v>7.49</v>
      </c>
      <c r="I48" s="242">
        <v>7.27</v>
      </c>
      <c r="J48" s="242">
        <v>28.55</v>
      </c>
      <c r="K48" s="242">
        <v>35.67</v>
      </c>
      <c r="L48" s="242">
        <v>7.17</v>
      </c>
      <c r="M48" s="242">
        <v>38.15</v>
      </c>
      <c r="N48" s="242">
        <v>121.43</v>
      </c>
      <c r="O48" s="242">
        <v>280.9</v>
      </c>
      <c r="P48" s="242">
        <v>71.02</v>
      </c>
      <c r="Q48" s="242">
        <v>216.14</v>
      </c>
      <c r="R48" s="242">
        <v>198.99</v>
      </c>
      <c r="S48" s="242">
        <v>128.77</v>
      </c>
      <c r="T48" s="242">
        <v>33.62</v>
      </c>
      <c r="U48" s="242">
        <v>59.1</v>
      </c>
      <c r="V48" s="241">
        <v>1552.87</v>
      </c>
    </row>
    <row r="49" s="239" customFormat="1" ht="16.5" spans="1:22">
      <c r="A49" s="241">
        <v>37</v>
      </c>
      <c r="B49" s="241" t="s">
        <v>50</v>
      </c>
      <c r="C49" s="242">
        <v>27.23</v>
      </c>
      <c r="D49" s="242">
        <v>61.7</v>
      </c>
      <c r="E49" s="242">
        <v>0</v>
      </c>
      <c r="F49" s="242">
        <v>0</v>
      </c>
      <c r="G49" s="242">
        <v>229.67</v>
      </c>
      <c r="H49" s="242">
        <v>7.49</v>
      </c>
      <c r="I49" s="242">
        <v>7.27</v>
      </c>
      <c r="J49" s="242">
        <v>28.55</v>
      </c>
      <c r="K49" s="242">
        <v>35.67</v>
      </c>
      <c r="L49" s="242">
        <v>7.44</v>
      </c>
      <c r="M49" s="242">
        <v>38.15</v>
      </c>
      <c r="N49" s="242">
        <v>121.43</v>
      </c>
      <c r="O49" s="242">
        <v>280.9</v>
      </c>
      <c r="P49" s="242">
        <v>71.02</v>
      </c>
      <c r="Q49" s="242">
        <v>216.14</v>
      </c>
      <c r="R49" s="242">
        <v>198.99</v>
      </c>
      <c r="S49" s="242">
        <v>128.77</v>
      </c>
      <c r="T49" s="242">
        <v>33.62</v>
      </c>
      <c r="U49" s="242">
        <v>59.1</v>
      </c>
      <c r="V49" s="241">
        <v>1553.14</v>
      </c>
    </row>
    <row r="50" s="239" customFormat="1" ht="16.5" spans="1:22">
      <c r="A50" s="241">
        <v>38</v>
      </c>
      <c r="B50" s="241" t="s">
        <v>51</v>
      </c>
      <c r="C50" s="242">
        <v>27.23</v>
      </c>
      <c r="D50" s="242">
        <v>61.7</v>
      </c>
      <c r="E50" s="242">
        <v>0</v>
      </c>
      <c r="F50" s="242">
        <v>0</v>
      </c>
      <c r="G50" s="242">
        <v>229.67</v>
      </c>
      <c r="H50" s="242">
        <v>7.49</v>
      </c>
      <c r="I50" s="242">
        <v>7.27</v>
      </c>
      <c r="J50" s="242">
        <v>28.55</v>
      </c>
      <c r="K50" s="242">
        <v>35.67</v>
      </c>
      <c r="L50" s="242">
        <v>7.48</v>
      </c>
      <c r="M50" s="242">
        <v>38.15</v>
      </c>
      <c r="N50" s="242">
        <v>121.43</v>
      </c>
      <c r="O50" s="242">
        <v>280.9</v>
      </c>
      <c r="P50" s="242">
        <v>71.02</v>
      </c>
      <c r="Q50" s="242">
        <v>216.14</v>
      </c>
      <c r="R50" s="242">
        <v>198.99</v>
      </c>
      <c r="S50" s="242">
        <v>128.77</v>
      </c>
      <c r="T50" s="242">
        <v>33.62</v>
      </c>
      <c r="U50" s="242">
        <v>59.1</v>
      </c>
      <c r="V50" s="241">
        <v>1553.18</v>
      </c>
    </row>
    <row r="51" s="239" customFormat="1" ht="16.5" spans="1:22">
      <c r="A51" s="241">
        <v>39</v>
      </c>
      <c r="B51" s="241" t="s">
        <v>52</v>
      </c>
      <c r="C51" s="242">
        <v>27.23</v>
      </c>
      <c r="D51" s="242">
        <v>61.7</v>
      </c>
      <c r="E51" s="242">
        <v>0</v>
      </c>
      <c r="F51" s="242">
        <v>0</v>
      </c>
      <c r="G51" s="242">
        <v>229.67</v>
      </c>
      <c r="H51" s="242">
        <v>7.49</v>
      </c>
      <c r="I51" s="242">
        <v>7.27</v>
      </c>
      <c r="J51" s="242">
        <v>28.55</v>
      </c>
      <c r="K51" s="242">
        <v>35.67</v>
      </c>
      <c r="L51" s="242">
        <v>7.48</v>
      </c>
      <c r="M51" s="242">
        <v>38.15</v>
      </c>
      <c r="N51" s="242">
        <v>121.43</v>
      </c>
      <c r="O51" s="242">
        <v>280.9</v>
      </c>
      <c r="P51" s="242">
        <v>71.02</v>
      </c>
      <c r="Q51" s="242">
        <v>216.14</v>
      </c>
      <c r="R51" s="242">
        <v>198.99</v>
      </c>
      <c r="S51" s="242">
        <v>128.77</v>
      </c>
      <c r="T51" s="242">
        <v>33.62</v>
      </c>
      <c r="U51" s="242">
        <v>59.1</v>
      </c>
      <c r="V51" s="241">
        <v>1553.18</v>
      </c>
    </row>
    <row r="52" s="239" customFormat="1" ht="16.5" spans="1:22">
      <c r="A52" s="241">
        <v>40</v>
      </c>
      <c r="B52" s="241" t="s">
        <v>53</v>
      </c>
      <c r="C52" s="242">
        <v>27.23</v>
      </c>
      <c r="D52" s="242">
        <v>61.7</v>
      </c>
      <c r="E52" s="242">
        <v>0</v>
      </c>
      <c r="F52" s="242">
        <v>0</v>
      </c>
      <c r="G52" s="242">
        <v>229.67</v>
      </c>
      <c r="H52" s="242">
        <v>7.49</v>
      </c>
      <c r="I52" s="242">
        <v>7.27</v>
      </c>
      <c r="J52" s="242">
        <v>29.21</v>
      </c>
      <c r="K52" s="242">
        <v>36.53</v>
      </c>
      <c r="L52" s="242">
        <v>7.48</v>
      </c>
      <c r="M52" s="242">
        <v>38.15</v>
      </c>
      <c r="N52" s="242">
        <v>121.43</v>
      </c>
      <c r="O52" s="242">
        <v>280.9</v>
      </c>
      <c r="P52" s="242">
        <v>71.02</v>
      </c>
      <c r="Q52" s="242">
        <v>216.14</v>
      </c>
      <c r="R52" s="242">
        <v>198.99</v>
      </c>
      <c r="S52" s="242">
        <v>128.77</v>
      </c>
      <c r="T52" s="242">
        <v>33.62</v>
      </c>
      <c r="U52" s="242">
        <v>59.1</v>
      </c>
      <c r="V52" s="241">
        <v>1554.7</v>
      </c>
    </row>
    <row r="53" s="239" customFormat="1" ht="16.5" spans="1:22">
      <c r="A53" s="241">
        <v>41</v>
      </c>
      <c r="B53" s="241" t="s">
        <v>54</v>
      </c>
      <c r="C53" s="242">
        <v>27.23</v>
      </c>
      <c r="D53" s="242">
        <v>61.7</v>
      </c>
      <c r="E53" s="242">
        <v>0</v>
      </c>
      <c r="F53" s="242">
        <v>0</v>
      </c>
      <c r="G53" s="242">
        <v>229.67</v>
      </c>
      <c r="H53" s="242">
        <v>7.49</v>
      </c>
      <c r="I53" s="242">
        <v>7.27</v>
      </c>
      <c r="J53" s="242">
        <v>29.25</v>
      </c>
      <c r="K53" s="242">
        <v>36.58</v>
      </c>
      <c r="L53" s="242">
        <v>7.48</v>
      </c>
      <c r="M53" s="242">
        <v>38.15</v>
      </c>
      <c r="N53" s="242">
        <v>121.43</v>
      </c>
      <c r="O53" s="242">
        <v>280.9</v>
      </c>
      <c r="P53" s="242">
        <v>71.02</v>
      </c>
      <c r="Q53" s="242">
        <v>216.14</v>
      </c>
      <c r="R53" s="242">
        <v>198.99</v>
      </c>
      <c r="S53" s="242">
        <v>128.77</v>
      </c>
      <c r="T53" s="242">
        <v>33.62</v>
      </c>
      <c r="U53" s="242">
        <v>59.1</v>
      </c>
      <c r="V53" s="241">
        <v>1554.79</v>
      </c>
    </row>
    <row r="54" s="239" customFormat="1" ht="16.5" spans="1:22">
      <c r="A54" s="241">
        <v>42</v>
      </c>
      <c r="B54" s="241" t="s">
        <v>55</v>
      </c>
      <c r="C54" s="242">
        <v>27.23</v>
      </c>
      <c r="D54" s="242">
        <v>61.7</v>
      </c>
      <c r="E54" s="242">
        <v>0</v>
      </c>
      <c r="F54" s="242">
        <v>0</v>
      </c>
      <c r="G54" s="242">
        <v>229.67</v>
      </c>
      <c r="H54" s="242">
        <v>7.49</v>
      </c>
      <c r="I54" s="242">
        <v>7.27</v>
      </c>
      <c r="J54" s="242">
        <v>30.45</v>
      </c>
      <c r="K54" s="242">
        <v>37.86</v>
      </c>
      <c r="L54" s="242">
        <v>7.48</v>
      </c>
      <c r="M54" s="242">
        <v>38.15</v>
      </c>
      <c r="N54" s="242">
        <v>121.43</v>
      </c>
      <c r="O54" s="242">
        <v>280.9</v>
      </c>
      <c r="P54" s="242">
        <v>71.02</v>
      </c>
      <c r="Q54" s="242">
        <v>216.14</v>
      </c>
      <c r="R54" s="242">
        <v>198.99</v>
      </c>
      <c r="S54" s="242">
        <v>128.77</v>
      </c>
      <c r="T54" s="242">
        <v>33.62</v>
      </c>
      <c r="U54" s="242">
        <v>59.1</v>
      </c>
      <c r="V54" s="241">
        <v>1557.27</v>
      </c>
    </row>
    <row r="55" s="239" customFormat="1" ht="16.5" spans="1:22">
      <c r="A55" s="241">
        <v>43</v>
      </c>
      <c r="B55" s="241" t="s">
        <v>56</v>
      </c>
      <c r="C55" s="242">
        <v>27.23</v>
      </c>
      <c r="D55" s="242">
        <v>61.7</v>
      </c>
      <c r="E55" s="242">
        <v>0</v>
      </c>
      <c r="F55" s="242">
        <v>0</v>
      </c>
      <c r="G55" s="242">
        <v>229.67</v>
      </c>
      <c r="H55" s="242">
        <v>7.49</v>
      </c>
      <c r="I55" s="242">
        <v>7.27</v>
      </c>
      <c r="J55" s="242">
        <v>30.58</v>
      </c>
      <c r="K55" s="242">
        <v>37.95</v>
      </c>
      <c r="L55" s="242">
        <v>7.48</v>
      </c>
      <c r="M55" s="242">
        <v>38.15</v>
      </c>
      <c r="N55" s="242">
        <v>121.43</v>
      </c>
      <c r="O55" s="242">
        <v>280.9</v>
      </c>
      <c r="P55" s="242">
        <v>71.02</v>
      </c>
      <c r="Q55" s="242">
        <v>216.14</v>
      </c>
      <c r="R55" s="242">
        <v>198.99</v>
      </c>
      <c r="S55" s="242">
        <v>128.77</v>
      </c>
      <c r="T55" s="242">
        <v>33.62</v>
      </c>
      <c r="U55" s="242">
        <v>59.1</v>
      </c>
      <c r="V55" s="241">
        <v>1557.49</v>
      </c>
    </row>
    <row r="56" s="239" customFormat="1" ht="16.5" spans="1:22">
      <c r="A56" s="241">
        <v>44</v>
      </c>
      <c r="B56" s="241" t="s">
        <v>57</v>
      </c>
      <c r="C56" s="242">
        <v>27.23</v>
      </c>
      <c r="D56" s="242">
        <v>61.7</v>
      </c>
      <c r="E56" s="242">
        <v>0</v>
      </c>
      <c r="F56" s="242">
        <v>0</v>
      </c>
      <c r="G56" s="242">
        <v>229.67</v>
      </c>
      <c r="H56" s="242">
        <v>7.49</v>
      </c>
      <c r="I56" s="242">
        <v>7.27</v>
      </c>
      <c r="J56" s="242">
        <v>30.58</v>
      </c>
      <c r="K56" s="242">
        <v>37.95</v>
      </c>
      <c r="L56" s="242">
        <v>7.48</v>
      </c>
      <c r="M56" s="242">
        <v>38.15</v>
      </c>
      <c r="N56" s="242">
        <v>121.43</v>
      </c>
      <c r="O56" s="242">
        <v>280.9</v>
      </c>
      <c r="P56" s="242">
        <v>71.02</v>
      </c>
      <c r="Q56" s="242">
        <v>216.14</v>
      </c>
      <c r="R56" s="242">
        <v>198.99</v>
      </c>
      <c r="S56" s="242">
        <v>128.77</v>
      </c>
      <c r="T56" s="242">
        <v>33.62</v>
      </c>
      <c r="U56" s="242">
        <v>59.1</v>
      </c>
      <c r="V56" s="241">
        <v>1557.49</v>
      </c>
    </row>
    <row r="57" s="239" customFormat="1" ht="16.5" spans="1:22">
      <c r="A57" s="241">
        <v>45</v>
      </c>
      <c r="B57" s="241" t="s">
        <v>58</v>
      </c>
      <c r="C57" s="242">
        <v>27.23</v>
      </c>
      <c r="D57" s="242">
        <v>61.7</v>
      </c>
      <c r="E57" s="242">
        <v>0</v>
      </c>
      <c r="F57" s="242">
        <v>0</v>
      </c>
      <c r="G57" s="242">
        <v>107.97</v>
      </c>
      <c r="H57" s="242">
        <v>7.49</v>
      </c>
      <c r="I57" s="242">
        <v>7.27</v>
      </c>
      <c r="J57" s="242">
        <v>30.58</v>
      </c>
      <c r="K57" s="242">
        <v>37.95</v>
      </c>
      <c r="L57" s="242">
        <v>7.48</v>
      </c>
      <c r="M57" s="242">
        <v>38.15</v>
      </c>
      <c r="N57" s="242">
        <v>91.94</v>
      </c>
      <c r="O57" s="242">
        <v>280.9</v>
      </c>
      <c r="P57" s="242">
        <v>71.02</v>
      </c>
      <c r="Q57" s="242">
        <v>216.14</v>
      </c>
      <c r="R57" s="242">
        <v>198.99</v>
      </c>
      <c r="S57" s="242">
        <v>128.77</v>
      </c>
      <c r="T57" s="242">
        <v>33.62</v>
      </c>
      <c r="U57" s="242">
        <v>59.1</v>
      </c>
      <c r="V57" s="241">
        <v>1406.3</v>
      </c>
    </row>
    <row r="58" s="239" customFormat="1" ht="16.5" spans="1:22">
      <c r="A58" s="241">
        <v>46</v>
      </c>
      <c r="B58" s="241" t="s">
        <v>59</v>
      </c>
      <c r="C58" s="242">
        <v>27.23</v>
      </c>
      <c r="D58" s="242">
        <v>61.7</v>
      </c>
      <c r="E58" s="242">
        <v>0</v>
      </c>
      <c r="F58" s="242">
        <v>0</v>
      </c>
      <c r="G58" s="242">
        <v>21.08</v>
      </c>
      <c r="H58" s="242">
        <v>7.49</v>
      </c>
      <c r="I58" s="242">
        <v>7.27</v>
      </c>
      <c r="J58" s="242">
        <v>30.58</v>
      </c>
      <c r="K58" s="242">
        <v>37.95</v>
      </c>
      <c r="L58" s="242">
        <v>7.48</v>
      </c>
      <c r="M58" s="242">
        <v>38.15</v>
      </c>
      <c r="N58" s="242">
        <v>102.65</v>
      </c>
      <c r="O58" s="242">
        <v>280.9</v>
      </c>
      <c r="P58" s="242">
        <v>71.02</v>
      </c>
      <c r="Q58" s="242">
        <v>216.14</v>
      </c>
      <c r="R58" s="242">
        <v>198.99</v>
      </c>
      <c r="S58" s="242">
        <v>128.77</v>
      </c>
      <c r="T58" s="242">
        <v>33.62</v>
      </c>
      <c r="U58" s="242">
        <v>59.1</v>
      </c>
      <c r="V58" s="241">
        <v>1330.12</v>
      </c>
    </row>
    <row r="59" s="239" customFormat="1" ht="16.5" spans="1:22">
      <c r="A59" s="241">
        <v>47</v>
      </c>
      <c r="B59" s="241" t="s">
        <v>60</v>
      </c>
      <c r="C59" s="242">
        <v>27.23</v>
      </c>
      <c r="D59" s="242">
        <v>61.7</v>
      </c>
      <c r="E59" s="242">
        <v>0</v>
      </c>
      <c r="F59" s="242">
        <v>0</v>
      </c>
      <c r="G59" s="242">
        <v>0</v>
      </c>
      <c r="H59" s="242">
        <v>7.49</v>
      </c>
      <c r="I59" s="242">
        <v>7.27</v>
      </c>
      <c r="J59" s="242">
        <v>30.58</v>
      </c>
      <c r="K59" s="242">
        <v>37.95</v>
      </c>
      <c r="L59" s="242">
        <v>7.48</v>
      </c>
      <c r="M59" s="242">
        <v>38.15</v>
      </c>
      <c r="N59" s="242">
        <v>0</v>
      </c>
      <c r="O59" s="242">
        <v>280.9</v>
      </c>
      <c r="P59" s="242">
        <v>71.02</v>
      </c>
      <c r="Q59" s="242">
        <v>216.14</v>
      </c>
      <c r="R59" s="242">
        <v>198.99</v>
      </c>
      <c r="S59" s="242">
        <v>128.77</v>
      </c>
      <c r="T59" s="242">
        <v>33.62</v>
      </c>
      <c r="U59" s="242">
        <v>59.1</v>
      </c>
      <c r="V59" s="241">
        <v>1206.39</v>
      </c>
    </row>
    <row r="60" s="239" customFormat="1" ht="16.5" spans="1:22">
      <c r="A60" s="241">
        <v>48</v>
      </c>
      <c r="B60" s="241" t="s">
        <v>61</v>
      </c>
      <c r="C60" s="242">
        <v>27.23</v>
      </c>
      <c r="D60" s="242">
        <v>61.7</v>
      </c>
      <c r="E60" s="242">
        <v>0</v>
      </c>
      <c r="F60" s="242">
        <v>0</v>
      </c>
      <c r="G60" s="242">
        <v>0</v>
      </c>
      <c r="H60" s="242">
        <v>7.49</v>
      </c>
      <c r="I60" s="242">
        <v>7.27</v>
      </c>
      <c r="J60" s="242">
        <v>30.58</v>
      </c>
      <c r="K60" s="242">
        <v>37.95</v>
      </c>
      <c r="L60" s="242">
        <v>7.48</v>
      </c>
      <c r="M60" s="242">
        <v>38.15</v>
      </c>
      <c r="N60" s="242">
        <v>0</v>
      </c>
      <c r="O60" s="242">
        <v>280.9</v>
      </c>
      <c r="P60" s="242">
        <v>71.02</v>
      </c>
      <c r="Q60" s="242">
        <v>216.14</v>
      </c>
      <c r="R60" s="242">
        <v>198.99</v>
      </c>
      <c r="S60" s="242">
        <v>128.77</v>
      </c>
      <c r="T60" s="242">
        <v>33.62</v>
      </c>
      <c r="U60" s="242">
        <v>59.1</v>
      </c>
      <c r="V60" s="241">
        <v>1206.39</v>
      </c>
    </row>
    <row r="61" s="239" customFormat="1" ht="16.5" spans="1:22">
      <c r="A61" s="241">
        <v>49</v>
      </c>
      <c r="B61" s="241" t="s">
        <v>62</v>
      </c>
      <c r="C61" s="242">
        <v>27.23</v>
      </c>
      <c r="D61" s="242">
        <v>61.7</v>
      </c>
      <c r="E61" s="242">
        <v>0</v>
      </c>
      <c r="F61" s="242">
        <v>0</v>
      </c>
      <c r="G61" s="242">
        <v>0</v>
      </c>
      <c r="H61" s="242">
        <v>7.49</v>
      </c>
      <c r="I61" s="242">
        <v>7.27</v>
      </c>
      <c r="J61" s="242">
        <v>30.58</v>
      </c>
      <c r="K61" s="242">
        <v>37.95</v>
      </c>
      <c r="L61" s="242">
        <v>7.48</v>
      </c>
      <c r="M61" s="242">
        <v>38.15</v>
      </c>
      <c r="N61" s="242">
        <v>0</v>
      </c>
      <c r="O61" s="242">
        <v>280.9</v>
      </c>
      <c r="P61" s="242">
        <v>71.02</v>
      </c>
      <c r="Q61" s="242">
        <v>216.14</v>
      </c>
      <c r="R61" s="242">
        <v>198.99</v>
      </c>
      <c r="S61" s="242">
        <v>128.77</v>
      </c>
      <c r="T61" s="242">
        <v>33.62</v>
      </c>
      <c r="U61" s="242">
        <v>59.1</v>
      </c>
      <c r="V61" s="241">
        <v>1206.39</v>
      </c>
    </row>
    <row r="62" s="239" customFormat="1" ht="16.5" spans="1:22">
      <c r="A62" s="241">
        <v>50</v>
      </c>
      <c r="B62" s="241" t="s">
        <v>63</v>
      </c>
      <c r="C62" s="242">
        <v>27.23</v>
      </c>
      <c r="D62" s="242">
        <v>61.7</v>
      </c>
      <c r="E62" s="242">
        <v>0</v>
      </c>
      <c r="F62" s="242">
        <v>0</v>
      </c>
      <c r="G62" s="242">
        <v>0</v>
      </c>
      <c r="H62" s="242">
        <v>7.49</v>
      </c>
      <c r="I62" s="242">
        <v>7.27</v>
      </c>
      <c r="J62" s="242">
        <v>30.58</v>
      </c>
      <c r="K62" s="242">
        <v>37.95</v>
      </c>
      <c r="L62" s="242">
        <v>7.48</v>
      </c>
      <c r="M62" s="242">
        <v>38.15</v>
      </c>
      <c r="N62" s="242">
        <v>0</v>
      </c>
      <c r="O62" s="242">
        <v>280.9</v>
      </c>
      <c r="P62" s="242">
        <v>71.02</v>
      </c>
      <c r="Q62" s="242">
        <v>216.14</v>
      </c>
      <c r="R62" s="242">
        <v>198.99</v>
      </c>
      <c r="S62" s="242">
        <v>128.77</v>
      </c>
      <c r="T62" s="242">
        <v>33.62</v>
      </c>
      <c r="U62" s="242">
        <v>59.1</v>
      </c>
      <c r="V62" s="241">
        <v>1206.39</v>
      </c>
    </row>
    <row r="63" s="239" customFormat="1" ht="16.5" spans="1:22">
      <c r="A63" s="241">
        <v>51</v>
      </c>
      <c r="B63" s="241" t="s">
        <v>64</v>
      </c>
      <c r="C63" s="242">
        <v>27.23</v>
      </c>
      <c r="D63" s="242">
        <v>61.7</v>
      </c>
      <c r="E63" s="242">
        <v>0</v>
      </c>
      <c r="F63" s="242">
        <v>0</v>
      </c>
      <c r="G63" s="242">
        <v>0</v>
      </c>
      <c r="H63" s="242">
        <v>7.49</v>
      </c>
      <c r="I63" s="242">
        <v>6.44</v>
      </c>
      <c r="J63" s="242">
        <v>30.58</v>
      </c>
      <c r="K63" s="242">
        <v>37.95</v>
      </c>
      <c r="L63" s="242">
        <v>7.48</v>
      </c>
      <c r="M63" s="242">
        <v>38.15</v>
      </c>
      <c r="N63" s="242">
        <v>0</v>
      </c>
      <c r="O63" s="242">
        <v>280.9</v>
      </c>
      <c r="P63" s="242">
        <v>71.02</v>
      </c>
      <c r="Q63" s="242">
        <v>216.14</v>
      </c>
      <c r="R63" s="242">
        <v>198.99</v>
      </c>
      <c r="S63" s="242">
        <v>128.77</v>
      </c>
      <c r="T63" s="242">
        <v>33.62</v>
      </c>
      <c r="U63" s="242">
        <v>59.1</v>
      </c>
      <c r="V63" s="241">
        <v>1205.56</v>
      </c>
    </row>
    <row r="64" s="239" customFormat="1" ht="16.5" spans="1:22">
      <c r="A64" s="241">
        <v>52</v>
      </c>
      <c r="B64" s="241" t="s">
        <v>65</v>
      </c>
      <c r="C64" s="242">
        <v>27.23</v>
      </c>
      <c r="D64" s="242">
        <v>61.7</v>
      </c>
      <c r="E64" s="242">
        <v>0</v>
      </c>
      <c r="F64" s="242">
        <v>0</v>
      </c>
      <c r="G64" s="242">
        <v>0</v>
      </c>
      <c r="H64" s="242">
        <v>7.49</v>
      </c>
      <c r="I64" s="242">
        <v>6.44</v>
      </c>
      <c r="J64" s="242">
        <v>3.1</v>
      </c>
      <c r="K64" s="242">
        <v>9.42</v>
      </c>
      <c r="L64" s="242">
        <v>0</v>
      </c>
      <c r="M64" s="242">
        <v>38.15</v>
      </c>
      <c r="N64" s="242">
        <v>0</v>
      </c>
      <c r="O64" s="242">
        <v>140.77</v>
      </c>
      <c r="P64" s="242">
        <v>36.75</v>
      </c>
      <c r="Q64" s="242">
        <v>216.14</v>
      </c>
      <c r="R64" s="242">
        <v>136.98</v>
      </c>
      <c r="S64" s="242">
        <v>128.77</v>
      </c>
      <c r="T64" s="242">
        <v>33.62</v>
      </c>
      <c r="U64" s="242">
        <v>0</v>
      </c>
      <c r="V64" s="241">
        <v>846.56</v>
      </c>
    </row>
    <row r="65" s="239" customFormat="1" ht="16.5" spans="1:22">
      <c r="A65" s="241">
        <v>53</v>
      </c>
      <c r="B65" s="241" t="s">
        <v>66</v>
      </c>
      <c r="C65" s="242">
        <v>27.23</v>
      </c>
      <c r="D65" s="242">
        <v>61.7</v>
      </c>
      <c r="E65" s="242">
        <v>0</v>
      </c>
      <c r="F65" s="242">
        <v>0</v>
      </c>
      <c r="G65" s="242">
        <v>0</v>
      </c>
      <c r="H65" s="242">
        <v>7.49</v>
      </c>
      <c r="I65" s="242">
        <v>6.44</v>
      </c>
      <c r="J65" s="242">
        <v>0</v>
      </c>
      <c r="K65" s="242">
        <v>0</v>
      </c>
      <c r="L65" s="242">
        <v>0</v>
      </c>
      <c r="M65" s="242">
        <v>38.15</v>
      </c>
      <c r="N65" s="242">
        <v>0</v>
      </c>
      <c r="O65" s="242">
        <v>27.72</v>
      </c>
      <c r="P65" s="242">
        <v>8.9</v>
      </c>
      <c r="Q65" s="242">
        <v>216.14</v>
      </c>
      <c r="R65" s="242">
        <v>59.76</v>
      </c>
      <c r="S65" s="242">
        <v>128.77</v>
      </c>
      <c r="T65" s="242">
        <v>33.62</v>
      </c>
      <c r="U65" s="242">
        <v>0</v>
      </c>
      <c r="V65" s="241">
        <v>615.92</v>
      </c>
    </row>
    <row r="66" s="239" customFormat="1" ht="16.5" spans="1:22">
      <c r="A66" s="241">
        <v>54</v>
      </c>
      <c r="B66" s="241" t="s">
        <v>67</v>
      </c>
      <c r="C66" s="242">
        <v>27.23</v>
      </c>
      <c r="D66" s="242">
        <v>61.7</v>
      </c>
      <c r="E66" s="242">
        <v>0</v>
      </c>
      <c r="F66" s="242">
        <v>0</v>
      </c>
      <c r="G66" s="242">
        <v>0</v>
      </c>
      <c r="H66" s="242">
        <v>7.49</v>
      </c>
      <c r="I66" s="242">
        <v>6.44</v>
      </c>
      <c r="J66" s="242">
        <v>0</v>
      </c>
      <c r="K66" s="242">
        <v>0</v>
      </c>
      <c r="L66" s="242">
        <v>0</v>
      </c>
      <c r="M66" s="242">
        <v>38.15</v>
      </c>
      <c r="N66" s="242">
        <v>0</v>
      </c>
      <c r="O66" s="242">
        <v>0</v>
      </c>
      <c r="P66" s="242">
        <v>0</v>
      </c>
      <c r="Q66" s="242">
        <v>216.14</v>
      </c>
      <c r="R66" s="242">
        <v>0</v>
      </c>
      <c r="S66" s="242">
        <v>128.77</v>
      </c>
      <c r="T66" s="242">
        <v>33.62</v>
      </c>
      <c r="U66" s="242">
        <v>0</v>
      </c>
      <c r="V66" s="241">
        <v>519.54</v>
      </c>
    </row>
    <row r="67" s="239" customFormat="1" ht="16.5" spans="1:22">
      <c r="A67" s="241">
        <v>55</v>
      </c>
      <c r="B67" s="241" t="s">
        <v>68</v>
      </c>
      <c r="C67" s="242">
        <v>27.23</v>
      </c>
      <c r="D67" s="242">
        <v>61.7</v>
      </c>
      <c r="E67" s="242">
        <v>0</v>
      </c>
      <c r="F67" s="242">
        <v>0</v>
      </c>
      <c r="G67" s="242">
        <v>0</v>
      </c>
      <c r="H67" s="242">
        <v>7.49</v>
      </c>
      <c r="I67" s="242">
        <v>6.44</v>
      </c>
      <c r="J67" s="242">
        <v>29.08</v>
      </c>
      <c r="K67" s="242">
        <v>34.33</v>
      </c>
      <c r="L67" s="242">
        <v>0</v>
      </c>
      <c r="M67" s="242">
        <v>38.15</v>
      </c>
      <c r="N67" s="242">
        <v>0</v>
      </c>
      <c r="O67" s="242">
        <v>37.48</v>
      </c>
      <c r="P67" s="242">
        <v>6.7</v>
      </c>
      <c r="Q67" s="242">
        <v>216.14</v>
      </c>
      <c r="R67" s="242">
        <v>4.18</v>
      </c>
      <c r="S67" s="242">
        <v>128.77</v>
      </c>
      <c r="T67" s="242">
        <v>33.62</v>
      </c>
      <c r="U67" s="242">
        <v>0</v>
      </c>
      <c r="V67" s="241">
        <v>631.31</v>
      </c>
    </row>
    <row r="68" s="239" customFormat="1" ht="16.5" spans="1:22">
      <c r="A68" s="241">
        <v>56</v>
      </c>
      <c r="B68" s="241" t="s">
        <v>69</v>
      </c>
      <c r="C68" s="242">
        <v>27.23</v>
      </c>
      <c r="D68" s="242">
        <v>61.7</v>
      </c>
      <c r="E68" s="242">
        <v>0</v>
      </c>
      <c r="F68" s="242">
        <v>0</v>
      </c>
      <c r="G68" s="242">
        <v>0</v>
      </c>
      <c r="H68" s="242">
        <v>7.49</v>
      </c>
      <c r="I68" s="242">
        <v>6.44</v>
      </c>
      <c r="J68" s="242">
        <v>29.08</v>
      </c>
      <c r="K68" s="242">
        <v>36.35</v>
      </c>
      <c r="L68" s="242">
        <v>1.98</v>
      </c>
      <c r="M68" s="242">
        <v>38.15</v>
      </c>
      <c r="N68" s="242">
        <v>0</v>
      </c>
      <c r="O68" s="242">
        <v>152.96</v>
      </c>
      <c r="P68" s="242">
        <v>31.71</v>
      </c>
      <c r="Q68" s="242">
        <v>216.14</v>
      </c>
      <c r="R68" s="242">
        <v>56.67</v>
      </c>
      <c r="S68" s="242">
        <v>128.77</v>
      </c>
      <c r="T68" s="242">
        <v>33.62</v>
      </c>
      <c r="U68" s="242">
        <v>8.86</v>
      </c>
      <c r="V68" s="241">
        <v>837.15</v>
      </c>
    </row>
    <row r="69" s="239" customFormat="1" ht="16.5" spans="1:22">
      <c r="A69" s="241">
        <v>57</v>
      </c>
      <c r="B69" s="241" t="s">
        <v>70</v>
      </c>
      <c r="C69" s="242">
        <v>27.23</v>
      </c>
      <c r="D69" s="242">
        <v>61.7</v>
      </c>
      <c r="E69" s="242">
        <v>0</v>
      </c>
      <c r="F69" s="242">
        <v>0</v>
      </c>
      <c r="G69" s="242">
        <v>0</v>
      </c>
      <c r="H69" s="242">
        <v>7.49</v>
      </c>
      <c r="I69" s="242">
        <v>6.44</v>
      </c>
      <c r="J69" s="242">
        <v>29.08</v>
      </c>
      <c r="K69" s="242">
        <v>36.35</v>
      </c>
      <c r="L69" s="242">
        <v>7.02</v>
      </c>
      <c r="M69" s="242">
        <v>38.15</v>
      </c>
      <c r="N69" s="242">
        <v>0</v>
      </c>
      <c r="O69" s="242">
        <v>280.9</v>
      </c>
      <c r="P69" s="242">
        <v>67.24</v>
      </c>
      <c r="Q69" s="242">
        <v>216.14</v>
      </c>
      <c r="R69" s="242">
        <v>167.72</v>
      </c>
      <c r="S69" s="242">
        <v>128.77</v>
      </c>
      <c r="T69" s="242">
        <v>33.62</v>
      </c>
      <c r="U69" s="242">
        <v>33.9</v>
      </c>
      <c r="V69" s="241">
        <v>1141.75</v>
      </c>
    </row>
    <row r="70" s="239" customFormat="1" ht="16.5" spans="1:22">
      <c r="A70" s="241">
        <v>58</v>
      </c>
      <c r="B70" s="241" t="s">
        <v>71</v>
      </c>
      <c r="C70" s="242">
        <v>27.23</v>
      </c>
      <c r="D70" s="242">
        <v>61.7</v>
      </c>
      <c r="E70" s="242">
        <v>0</v>
      </c>
      <c r="F70" s="242">
        <v>0</v>
      </c>
      <c r="G70" s="242">
        <v>0</v>
      </c>
      <c r="H70" s="242">
        <v>7.49</v>
      </c>
      <c r="I70" s="242">
        <v>6.44</v>
      </c>
      <c r="J70" s="242">
        <v>29.08</v>
      </c>
      <c r="K70" s="242">
        <v>36.35</v>
      </c>
      <c r="L70" s="242">
        <v>7.48</v>
      </c>
      <c r="M70" s="242">
        <v>38.15</v>
      </c>
      <c r="N70" s="242">
        <v>0</v>
      </c>
      <c r="O70" s="242">
        <v>280.9</v>
      </c>
      <c r="P70" s="242">
        <v>71.02</v>
      </c>
      <c r="Q70" s="242">
        <v>216.14</v>
      </c>
      <c r="R70" s="242">
        <v>198.99</v>
      </c>
      <c r="S70" s="242">
        <v>128.77</v>
      </c>
      <c r="T70" s="242">
        <v>33.62</v>
      </c>
      <c r="U70" s="242">
        <v>59.1</v>
      </c>
      <c r="V70" s="241">
        <v>1202.46</v>
      </c>
    </row>
    <row r="71" s="239" customFormat="1" ht="16.5" spans="1:22">
      <c r="A71" s="241">
        <v>59</v>
      </c>
      <c r="B71" s="241" t="s">
        <v>72</v>
      </c>
      <c r="C71" s="242">
        <v>27.23</v>
      </c>
      <c r="D71" s="242">
        <v>61.7</v>
      </c>
      <c r="E71" s="242">
        <v>0</v>
      </c>
      <c r="F71" s="242">
        <v>0</v>
      </c>
      <c r="G71" s="242">
        <v>0</v>
      </c>
      <c r="H71" s="242">
        <v>7.49</v>
      </c>
      <c r="I71" s="242">
        <v>6.44</v>
      </c>
      <c r="J71" s="242">
        <v>29.08</v>
      </c>
      <c r="K71" s="242">
        <v>36.35</v>
      </c>
      <c r="L71" s="242">
        <v>7.48</v>
      </c>
      <c r="M71" s="242">
        <v>38.15</v>
      </c>
      <c r="N71" s="242">
        <v>71.39</v>
      </c>
      <c r="O71" s="242">
        <v>280.9</v>
      </c>
      <c r="P71" s="242">
        <v>71.02</v>
      </c>
      <c r="Q71" s="242">
        <v>216.14</v>
      </c>
      <c r="R71" s="242">
        <v>198.99</v>
      </c>
      <c r="S71" s="242">
        <v>128.77</v>
      </c>
      <c r="T71" s="242">
        <v>33.62</v>
      </c>
      <c r="U71" s="242">
        <v>59.1</v>
      </c>
      <c r="V71" s="241">
        <v>1273.85</v>
      </c>
    </row>
    <row r="72" s="239" customFormat="1" ht="16.5" spans="1:22">
      <c r="A72" s="241">
        <v>60</v>
      </c>
      <c r="B72" s="241" t="s">
        <v>73</v>
      </c>
      <c r="C72" s="242">
        <v>27.23</v>
      </c>
      <c r="D72" s="242">
        <v>61.7</v>
      </c>
      <c r="E72" s="242">
        <v>0</v>
      </c>
      <c r="F72" s="242">
        <v>0</v>
      </c>
      <c r="G72" s="242">
        <v>229.67</v>
      </c>
      <c r="H72" s="242">
        <v>7.49</v>
      </c>
      <c r="I72" s="242">
        <v>6.44</v>
      </c>
      <c r="J72" s="242">
        <v>28.2</v>
      </c>
      <c r="K72" s="242">
        <v>35.33</v>
      </c>
      <c r="L72" s="242">
        <v>7.48</v>
      </c>
      <c r="M72" s="242">
        <v>38.15</v>
      </c>
      <c r="N72" s="242">
        <v>121.43</v>
      </c>
      <c r="O72" s="242">
        <v>280.9</v>
      </c>
      <c r="P72" s="242">
        <v>71.02</v>
      </c>
      <c r="Q72" s="242">
        <v>216.14</v>
      </c>
      <c r="R72" s="242">
        <v>198.99</v>
      </c>
      <c r="S72" s="242">
        <v>128.77</v>
      </c>
      <c r="T72" s="242">
        <v>33.62</v>
      </c>
      <c r="U72" s="242">
        <v>59.1</v>
      </c>
      <c r="V72" s="241">
        <v>1551.66</v>
      </c>
    </row>
    <row r="73" s="239" customFormat="1" ht="16.5" spans="1:22">
      <c r="A73" s="241">
        <v>61</v>
      </c>
      <c r="B73" s="241" t="s">
        <v>74</v>
      </c>
      <c r="C73" s="242">
        <v>27.23</v>
      </c>
      <c r="D73" s="242">
        <v>61.7</v>
      </c>
      <c r="E73" s="242">
        <v>0</v>
      </c>
      <c r="F73" s="242">
        <v>0</v>
      </c>
      <c r="G73" s="242">
        <v>229.67</v>
      </c>
      <c r="H73" s="242">
        <v>7.49</v>
      </c>
      <c r="I73" s="242">
        <v>6.44</v>
      </c>
      <c r="J73" s="242">
        <v>28.2</v>
      </c>
      <c r="K73" s="242">
        <v>35.33</v>
      </c>
      <c r="L73" s="242">
        <v>7.48</v>
      </c>
      <c r="M73" s="242">
        <v>38.15</v>
      </c>
      <c r="N73" s="242">
        <v>100.08</v>
      </c>
      <c r="O73" s="242">
        <v>280.9</v>
      </c>
      <c r="P73" s="242">
        <v>71.02</v>
      </c>
      <c r="Q73" s="242">
        <v>216.14</v>
      </c>
      <c r="R73" s="242">
        <v>198.99</v>
      </c>
      <c r="S73" s="242">
        <v>128.77</v>
      </c>
      <c r="T73" s="242">
        <v>33.62</v>
      </c>
      <c r="U73" s="242">
        <v>59.1</v>
      </c>
      <c r="V73" s="241">
        <v>1530.31</v>
      </c>
    </row>
    <row r="74" s="239" customFormat="1" ht="16.5" spans="1:22">
      <c r="A74" s="241">
        <v>62</v>
      </c>
      <c r="B74" s="241" t="s">
        <v>75</v>
      </c>
      <c r="C74" s="242">
        <v>27.23</v>
      </c>
      <c r="D74" s="242">
        <v>61.7</v>
      </c>
      <c r="E74" s="242">
        <v>0</v>
      </c>
      <c r="F74" s="242">
        <v>0</v>
      </c>
      <c r="G74" s="242">
        <v>159.54</v>
      </c>
      <c r="H74" s="242">
        <v>7.49</v>
      </c>
      <c r="I74" s="242">
        <v>6.44</v>
      </c>
      <c r="J74" s="242">
        <v>28.2</v>
      </c>
      <c r="K74" s="242">
        <v>35.33</v>
      </c>
      <c r="L74" s="242">
        <v>7.48</v>
      </c>
      <c r="M74" s="242">
        <v>38.15</v>
      </c>
      <c r="N74" s="242">
        <v>92.06</v>
      </c>
      <c r="O74" s="242">
        <v>280.9</v>
      </c>
      <c r="P74" s="242">
        <v>71.02</v>
      </c>
      <c r="Q74" s="242">
        <v>216.14</v>
      </c>
      <c r="R74" s="242">
        <v>198.99</v>
      </c>
      <c r="S74" s="242">
        <v>128.77</v>
      </c>
      <c r="T74" s="242">
        <v>33.62</v>
      </c>
      <c r="U74" s="242">
        <v>59.1</v>
      </c>
      <c r="V74" s="241">
        <v>1452.16</v>
      </c>
    </row>
    <row r="75" s="239" customFormat="1" ht="16.5" spans="1:22">
      <c r="A75" s="241">
        <v>63</v>
      </c>
      <c r="B75" s="241" t="s">
        <v>76</v>
      </c>
      <c r="C75" s="242">
        <v>27.23</v>
      </c>
      <c r="D75" s="242">
        <v>61.7</v>
      </c>
      <c r="E75" s="242">
        <v>0</v>
      </c>
      <c r="F75" s="242">
        <v>0</v>
      </c>
      <c r="G75" s="242">
        <v>159.54</v>
      </c>
      <c r="H75" s="242">
        <v>7.49</v>
      </c>
      <c r="I75" s="242">
        <v>6.44</v>
      </c>
      <c r="J75" s="242">
        <v>28.2</v>
      </c>
      <c r="K75" s="242">
        <v>35.33</v>
      </c>
      <c r="L75" s="242">
        <v>7.48</v>
      </c>
      <c r="M75" s="242">
        <v>38.15</v>
      </c>
      <c r="N75" s="242">
        <v>104.21</v>
      </c>
      <c r="O75" s="242">
        <v>280.9</v>
      </c>
      <c r="P75" s="242">
        <v>71.02</v>
      </c>
      <c r="Q75" s="242">
        <v>216.14</v>
      </c>
      <c r="R75" s="242">
        <v>198.99</v>
      </c>
      <c r="S75" s="242">
        <v>128.77</v>
      </c>
      <c r="T75" s="242">
        <v>33.62</v>
      </c>
      <c r="U75" s="242">
        <v>59.1</v>
      </c>
      <c r="V75" s="241">
        <v>1464.31</v>
      </c>
    </row>
    <row r="76" s="239" customFormat="1" ht="16.5" spans="1:22">
      <c r="A76" s="241">
        <v>64</v>
      </c>
      <c r="B76" s="241" t="s">
        <v>77</v>
      </c>
      <c r="C76" s="242">
        <v>27.23</v>
      </c>
      <c r="D76" s="242">
        <v>61.7</v>
      </c>
      <c r="E76" s="242">
        <v>0</v>
      </c>
      <c r="F76" s="242">
        <v>0</v>
      </c>
      <c r="G76" s="242">
        <v>126.32</v>
      </c>
      <c r="H76" s="242">
        <v>7.49</v>
      </c>
      <c r="I76" s="242">
        <v>6.44</v>
      </c>
      <c r="J76" s="242">
        <v>28.2</v>
      </c>
      <c r="K76" s="242">
        <v>35.33</v>
      </c>
      <c r="L76" s="242">
        <v>7.48</v>
      </c>
      <c r="M76" s="242">
        <v>38.15</v>
      </c>
      <c r="N76" s="242">
        <v>121.43</v>
      </c>
      <c r="O76" s="242">
        <v>280.9</v>
      </c>
      <c r="P76" s="242">
        <v>71.02</v>
      </c>
      <c r="Q76" s="242">
        <v>216.14</v>
      </c>
      <c r="R76" s="242">
        <v>198.99</v>
      </c>
      <c r="S76" s="242">
        <v>128.77</v>
      </c>
      <c r="T76" s="242">
        <v>33.62</v>
      </c>
      <c r="U76" s="242">
        <v>59.1</v>
      </c>
      <c r="V76" s="241">
        <v>1448.31</v>
      </c>
    </row>
    <row r="77" s="239" customFormat="1" ht="16.5" spans="1:22">
      <c r="A77" s="241">
        <v>65</v>
      </c>
      <c r="B77" s="241" t="s">
        <v>78</v>
      </c>
      <c r="C77" s="242">
        <v>27.23</v>
      </c>
      <c r="D77" s="242">
        <v>61.7</v>
      </c>
      <c r="E77" s="242">
        <v>0</v>
      </c>
      <c r="F77" s="242">
        <v>0</v>
      </c>
      <c r="G77" s="242">
        <v>143.89</v>
      </c>
      <c r="H77" s="242">
        <v>7.49</v>
      </c>
      <c r="I77" s="242">
        <v>6.44</v>
      </c>
      <c r="J77" s="242">
        <v>28.2</v>
      </c>
      <c r="K77" s="242">
        <v>35.33</v>
      </c>
      <c r="L77" s="242">
        <v>7.48</v>
      </c>
      <c r="M77" s="242">
        <v>38.15</v>
      </c>
      <c r="N77" s="242">
        <v>121.43</v>
      </c>
      <c r="O77" s="242">
        <v>280.9</v>
      </c>
      <c r="P77" s="242">
        <v>71.02</v>
      </c>
      <c r="Q77" s="242">
        <v>216.14</v>
      </c>
      <c r="R77" s="242">
        <v>198.99</v>
      </c>
      <c r="S77" s="242">
        <v>128.77</v>
      </c>
      <c r="T77" s="242">
        <v>33.62</v>
      </c>
      <c r="U77" s="242">
        <v>59.1</v>
      </c>
      <c r="V77" s="241">
        <v>1465.88</v>
      </c>
    </row>
    <row r="78" s="239" customFormat="1" ht="16.5" spans="1:22">
      <c r="A78" s="241">
        <v>66</v>
      </c>
      <c r="B78" s="241" t="s">
        <v>79</v>
      </c>
      <c r="C78" s="242">
        <v>27.23</v>
      </c>
      <c r="D78" s="242">
        <v>61.7</v>
      </c>
      <c r="E78" s="242">
        <v>0</v>
      </c>
      <c r="F78" s="242">
        <v>0</v>
      </c>
      <c r="G78" s="242">
        <v>129.17</v>
      </c>
      <c r="H78" s="242">
        <v>7.49</v>
      </c>
      <c r="I78" s="242">
        <v>6.44</v>
      </c>
      <c r="J78" s="242">
        <v>28.2</v>
      </c>
      <c r="K78" s="242">
        <v>35.33</v>
      </c>
      <c r="L78" s="242">
        <v>7.48</v>
      </c>
      <c r="M78" s="242">
        <v>38.15</v>
      </c>
      <c r="N78" s="242">
        <v>121.43</v>
      </c>
      <c r="O78" s="242">
        <v>280.9</v>
      </c>
      <c r="P78" s="242">
        <v>71.02</v>
      </c>
      <c r="Q78" s="242">
        <v>216.14</v>
      </c>
      <c r="R78" s="242">
        <v>198.99</v>
      </c>
      <c r="S78" s="242">
        <v>128.77</v>
      </c>
      <c r="T78" s="242">
        <v>33.62</v>
      </c>
      <c r="U78" s="242">
        <v>59.1</v>
      </c>
      <c r="V78" s="241">
        <v>1451.16</v>
      </c>
    </row>
    <row r="79" s="239" customFormat="1" ht="16.5" spans="1:22">
      <c r="A79" s="241">
        <v>67</v>
      </c>
      <c r="B79" s="241" t="s">
        <v>80</v>
      </c>
      <c r="C79" s="242">
        <v>27.23</v>
      </c>
      <c r="D79" s="242">
        <v>61.7</v>
      </c>
      <c r="E79" s="242">
        <v>0</v>
      </c>
      <c r="F79" s="242">
        <v>0</v>
      </c>
      <c r="G79" s="242">
        <v>129.17</v>
      </c>
      <c r="H79" s="242">
        <v>7.49</v>
      </c>
      <c r="I79" s="242">
        <v>6.44</v>
      </c>
      <c r="J79" s="242">
        <v>28.2</v>
      </c>
      <c r="K79" s="242">
        <v>35.33</v>
      </c>
      <c r="L79" s="242">
        <v>7.48</v>
      </c>
      <c r="M79" s="242">
        <v>38.15</v>
      </c>
      <c r="N79" s="242">
        <v>121.43</v>
      </c>
      <c r="O79" s="242">
        <v>280.9</v>
      </c>
      <c r="P79" s="242">
        <v>71.02</v>
      </c>
      <c r="Q79" s="242">
        <v>216.14</v>
      </c>
      <c r="R79" s="242">
        <v>198.99</v>
      </c>
      <c r="S79" s="242">
        <v>128.77</v>
      </c>
      <c r="T79" s="242">
        <v>33.62</v>
      </c>
      <c r="U79" s="242">
        <v>59.1</v>
      </c>
      <c r="V79" s="241">
        <v>1451.16</v>
      </c>
    </row>
    <row r="80" s="239" customFormat="1" ht="16.5" spans="1:22">
      <c r="A80" s="241">
        <v>68</v>
      </c>
      <c r="B80" s="241" t="s">
        <v>81</v>
      </c>
      <c r="C80" s="242">
        <v>27.23</v>
      </c>
      <c r="D80" s="242">
        <v>61.7</v>
      </c>
      <c r="E80" s="242">
        <v>0</v>
      </c>
      <c r="F80" s="242">
        <v>0</v>
      </c>
      <c r="G80" s="242">
        <v>129.17</v>
      </c>
      <c r="H80" s="242">
        <v>7.49</v>
      </c>
      <c r="I80" s="242">
        <v>6.44</v>
      </c>
      <c r="J80" s="242">
        <v>28.2</v>
      </c>
      <c r="K80" s="242">
        <v>35.33</v>
      </c>
      <c r="L80" s="242">
        <v>7.48</v>
      </c>
      <c r="M80" s="242">
        <v>38.15</v>
      </c>
      <c r="N80" s="242">
        <v>121.43</v>
      </c>
      <c r="O80" s="242">
        <v>280.9</v>
      </c>
      <c r="P80" s="242">
        <v>71.02</v>
      </c>
      <c r="Q80" s="242">
        <v>216.14</v>
      </c>
      <c r="R80" s="242">
        <v>198.99</v>
      </c>
      <c r="S80" s="242">
        <v>128.77</v>
      </c>
      <c r="T80" s="242">
        <v>33.62</v>
      </c>
      <c r="U80" s="242">
        <v>59.1</v>
      </c>
      <c r="V80" s="241">
        <v>1451.16</v>
      </c>
    </row>
    <row r="81" s="239" customFormat="1" ht="16.5" spans="1:22">
      <c r="A81" s="241">
        <v>69</v>
      </c>
      <c r="B81" s="241" t="s">
        <v>82</v>
      </c>
      <c r="C81" s="242">
        <v>27.23</v>
      </c>
      <c r="D81" s="242">
        <v>61.7</v>
      </c>
      <c r="E81" s="242">
        <v>0</v>
      </c>
      <c r="F81" s="242">
        <v>0</v>
      </c>
      <c r="G81" s="242">
        <v>229.67</v>
      </c>
      <c r="H81" s="242">
        <v>7.49</v>
      </c>
      <c r="I81" s="242">
        <v>6.44</v>
      </c>
      <c r="J81" s="242">
        <v>28.2</v>
      </c>
      <c r="K81" s="242">
        <v>35.33</v>
      </c>
      <c r="L81" s="242">
        <v>7.48</v>
      </c>
      <c r="M81" s="242">
        <v>38.15</v>
      </c>
      <c r="N81" s="242">
        <v>121.43</v>
      </c>
      <c r="O81" s="242">
        <v>280.9</v>
      </c>
      <c r="P81" s="242">
        <v>71.02</v>
      </c>
      <c r="Q81" s="242">
        <v>216.14</v>
      </c>
      <c r="R81" s="242">
        <v>198.99</v>
      </c>
      <c r="S81" s="242">
        <v>128.77</v>
      </c>
      <c r="T81" s="242">
        <v>33.62</v>
      </c>
      <c r="U81" s="242">
        <v>59.1</v>
      </c>
      <c r="V81" s="241">
        <v>1551.66</v>
      </c>
    </row>
    <row r="82" s="239" customFormat="1" ht="16.5" spans="1:22">
      <c r="A82" s="241">
        <v>70</v>
      </c>
      <c r="B82" s="241" t="s">
        <v>83</v>
      </c>
      <c r="C82" s="242">
        <v>27.23</v>
      </c>
      <c r="D82" s="242">
        <v>61.7</v>
      </c>
      <c r="E82" s="242">
        <v>0</v>
      </c>
      <c r="F82" s="242">
        <v>0</v>
      </c>
      <c r="G82" s="242">
        <v>229.67</v>
      </c>
      <c r="H82" s="242">
        <v>7.49</v>
      </c>
      <c r="I82" s="242">
        <v>6.44</v>
      </c>
      <c r="J82" s="242">
        <v>28.2</v>
      </c>
      <c r="K82" s="242">
        <v>35.33</v>
      </c>
      <c r="L82" s="242">
        <v>7.48</v>
      </c>
      <c r="M82" s="242">
        <v>38.15</v>
      </c>
      <c r="N82" s="242">
        <v>121.43</v>
      </c>
      <c r="O82" s="242">
        <v>280.9</v>
      </c>
      <c r="P82" s="242">
        <v>71.02</v>
      </c>
      <c r="Q82" s="242">
        <v>216.14</v>
      </c>
      <c r="R82" s="242">
        <v>198.99</v>
      </c>
      <c r="S82" s="242">
        <v>128.77</v>
      </c>
      <c r="T82" s="242">
        <v>33.62</v>
      </c>
      <c r="U82" s="242">
        <v>59.1</v>
      </c>
      <c r="V82" s="241">
        <v>1551.66</v>
      </c>
    </row>
    <row r="83" s="239" customFormat="1" ht="16.5" spans="1:22">
      <c r="A83" s="241">
        <v>71</v>
      </c>
      <c r="B83" s="241" t="s">
        <v>84</v>
      </c>
      <c r="C83" s="242">
        <v>27.23</v>
      </c>
      <c r="D83" s="242">
        <v>61.7</v>
      </c>
      <c r="E83" s="242">
        <v>0</v>
      </c>
      <c r="F83" s="242">
        <v>0</v>
      </c>
      <c r="G83" s="242">
        <v>229.67</v>
      </c>
      <c r="H83" s="242">
        <v>7.49</v>
      </c>
      <c r="I83" s="242">
        <v>6.44</v>
      </c>
      <c r="J83" s="242">
        <v>28.2</v>
      </c>
      <c r="K83" s="242">
        <v>35.33</v>
      </c>
      <c r="L83" s="242">
        <v>7.48</v>
      </c>
      <c r="M83" s="242">
        <v>38.15</v>
      </c>
      <c r="N83" s="242">
        <v>121.43</v>
      </c>
      <c r="O83" s="242">
        <v>280.9</v>
      </c>
      <c r="P83" s="242">
        <v>71.02</v>
      </c>
      <c r="Q83" s="242">
        <v>216.14</v>
      </c>
      <c r="R83" s="242">
        <v>198.99</v>
      </c>
      <c r="S83" s="242">
        <v>128.77</v>
      </c>
      <c r="T83" s="242">
        <v>33.62</v>
      </c>
      <c r="U83" s="242">
        <v>59.1</v>
      </c>
      <c r="V83" s="241">
        <v>1551.66</v>
      </c>
    </row>
    <row r="84" s="239" customFormat="1" ht="16.5" spans="1:22">
      <c r="A84" s="241">
        <v>72</v>
      </c>
      <c r="B84" s="241" t="s">
        <v>85</v>
      </c>
      <c r="C84" s="242">
        <v>27.23</v>
      </c>
      <c r="D84" s="242">
        <v>61.7</v>
      </c>
      <c r="E84" s="242">
        <v>0</v>
      </c>
      <c r="F84" s="242">
        <v>0</v>
      </c>
      <c r="G84" s="242">
        <v>229.67</v>
      </c>
      <c r="H84" s="242">
        <v>7.49</v>
      </c>
      <c r="I84" s="242">
        <v>6.44</v>
      </c>
      <c r="J84" s="242">
        <v>28.2</v>
      </c>
      <c r="K84" s="242">
        <v>35.33</v>
      </c>
      <c r="L84" s="242">
        <v>7.48</v>
      </c>
      <c r="M84" s="242">
        <v>38.15</v>
      </c>
      <c r="N84" s="242">
        <v>121.43</v>
      </c>
      <c r="O84" s="242">
        <v>280.9</v>
      </c>
      <c r="P84" s="242">
        <v>71.02</v>
      </c>
      <c r="Q84" s="242">
        <v>216.14</v>
      </c>
      <c r="R84" s="242">
        <v>198.99</v>
      </c>
      <c r="S84" s="242">
        <v>128.77</v>
      </c>
      <c r="T84" s="242">
        <v>33.62</v>
      </c>
      <c r="U84" s="242">
        <v>59.1</v>
      </c>
      <c r="V84" s="241">
        <v>1551.66</v>
      </c>
    </row>
    <row r="85" s="239" customFormat="1" ht="16.5" spans="1:22">
      <c r="A85" s="241">
        <v>73</v>
      </c>
      <c r="B85" s="241" t="s">
        <v>86</v>
      </c>
      <c r="C85" s="242">
        <v>27.23</v>
      </c>
      <c r="D85" s="242">
        <v>61.7</v>
      </c>
      <c r="E85" s="242">
        <v>0</v>
      </c>
      <c r="F85" s="242">
        <v>0</v>
      </c>
      <c r="G85" s="242">
        <v>229.67</v>
      </c>
      <c r="H85" s="242">
        <v>7.49</v>
      </c>
      <c r="I85" s="242">
        <v>6.44</v>
      </c>
      <c r="J85" s="242">
        <v>28.2</v>
      </c>
      <c r="K85" s="242">
        <v>35.33</v>
      </c>
      <c r="L85" s="242">
        <v>7.48</v>
      </c>
      <c r="M85" s="242">
        <v>38.15</v>
      </c>
      <c r="N85" s="242">
        <v>121.43</v>
      </c>
      <c r="O85" s="242">
        <v>280.9</v>
      </c>
      <c r="P85" s="242">
        <v>71.02</v>
      </c>
      <c r="Q85" s="242">
        <v>216.14</v>
      </c>
      <c r="R85" s="242">
        <v>198.99</v>
      </c>
      <c r="S85" s="242">
        <v>128.77</v>
      </c>
      <c r="T85" s="242">
        <v>33.62</v>
      </c>
      <c r="U85" s="242">
        <v>59.1</v>
      </c>
      <c r="V85" s="241">
        <v>1551.66</v>
      </c>
    </row>
    <row r="86" s="239" customFormat="1" ht="16.5" spans="1:22">
      <c r="A86" s="241">
        <v>74</v>
      </c>
      <c r="B86" s="241" t="s">
        <v>87</v>
      </c>
      <c r="C86" s="242">
        <v>27.23</v>
      </c>
      <c r="D86" s="242">
        <v>61.7</v>
      </c>
      <c r="E86" s="242">
        <v>0</v>
      </c>
      <c r="F86" s="242">
        <v>0</v>
      </c>
      <c r="G86" s="242">
        <v>229.67</v>
      </c>
      <c r="H86" s="242">
        <v>7.49</v>
      </c>
      <c r="I86" s="242">
        <v>6.44</v>
      </c>
      <c r="J86" s="242">
        <v>28.2</v>
      </c>
      <c r="K86" s="242">
        <v>35.33</v>
      </c>
      <c r="L86" s="242">
        <v>7.48</v>
      </c>
      <c r="M86" s="242">
        <v>38.15</v>
      </c>
      <c r="N86" s="242">
        <v>121.43</v>
      </c>
      <c r="O86" s="242">
        <v>280.9</v>
      </c>
      <c r="P86" s="242">
        <v>71.02</v>
      </c>
      <c r="Q86" s="242">
        <v>216.14</v>
      </c>
      <c r="R86" s="242">
        <v>198.99</v>
      </c>
      <c r="S86" s="242">
        <v>128.77</v>
      </c>
      <c r="T86" s="242">
        <v>33.62</v>
      </c>
      <c r="U86" s="242">
        <v>59.1</v>
      </c>
      <c r="V86" s="241">
        <v>1551.66</v>
      </c>
    </row>
    <row r="87" s="239" customFormat="1" ht="16.5" spans="1:22">
      <c r="A87" s="241">
        <v>75</v>
      </c>
      <c r="B87" s="241" t="s">
        <v>88</v>
      </c>
      <c r="C87" s="242">
        <v>27.23</v>
      </c>
      <c r="D87" s="242">
        <v>61.7</v>
      </c>
      <c r="E87" s="242">
        <v>0</v>
      </c>
      <c r="F87" s="242">
        <v>0</v>
      </c>
      <c r="G87" s="242">
        <v>229.67</v>
      </c>
      <c r="H87" s="242">
        <v>7.49</v>
      </c>
      <c r="I87" s="242">
        <v>6.44</v>
      </c>
      <c r="J87" s="242">
        <v>28.2</v>
      </c>
      <c r="K87" s="242">
        <v>35.33</v>
      </c>
      <c r="L87" s="242">
        <v>7.48</v>
      </c>
      <c r="M87" s="242">
        <v>38.15</v>
      </c>
      <c r="N87" s="242">
        <v>121.43</v>
      </c>
      <c r="O87" s="242">
        <v>280.9</v>
      </c>
      <c r="P87" s="242">
        <v>71.02</v>
      </c>
      <c r="Q87" s="242">
        <v>216.14</v>
      </c>
      <c r="R87" s="242">
        <v>198.99</v>
      </c>
      <c r="S87" s="242">
        <v>128.77</v>
      </c>
      <c r="T87" s="242">
        <v>33.62</v>
      </c>
      <c r="U87" s="242">
        <v>59.1</v>
      </c>
      <c r="V87" s="241">
        <v>1551.66</v>
      </c>
    </row>
    <row r="88" s="239" customFormat="1" ht="16.5" spans="1:22">
      <c r="A88" s="241">
        <v>76</v>
      </c>
      <c r="B88" s="241" t="s">
        <v>89</v>
      </c>
      <c r="C88" s="242">
        <v>27.23</v>
      </c>
      <c r="D88" s="242">
        <v>61.7</v>
      </c>
      <c r="E88" s="242">
        <v>0</v>
      </c>
      <c r="F88" s="242">
        <v>0</v>
      </c>
      <c r="G88" s="242">
        <v>229.67</v>
      </c>
      <c r="H88" s="242">
        <v>7.49</v>
      </c>
      <c r="I88" s="242">
        <v>6.44</v>
      </c>
      <c r="J88" s="242">
        <v>28.2</v>
      </c>
      <c r="K88" s="242">
        <v>35.33</v>
      </c>
      <c r="L88" s="242">
        <v>7.48</v>
      </c>
      <c r="M88" s="242">
        <v>38.15</v>
      </c>
      <c r="N88" s="242">
        <v>121.43</v>
      </c>
      <c r="O88" s="242">
        <v>280.9</v>
      </c>
      <c r="P88" s="242">
        <v>71.02</v>
      </c>
      <c r="Q88" s="242">
        <v>216.14</v>
      </c>
      <c r="R88" s="242">
        <v>198.99</v>
      </c>
      <c r="S88" s="242">
        <v>128.77</v>
      </c>
      <c r="T88" s="242">
        <v>33.62</v>
      </c>
      <c r="U88" s="242">
        <v>59.1</v>
      </c>
      <c r="V88" s="241">
        <v>1551.66</v>
      </c>
    </row>
    <row r="89" s="239" customFormat="1" ht="16.5" spans="1:22">
      <c r="A89" s="241">
        <v>77</v>
      </c>
      <c r="B89" s="241" t="s">
        <v>90</v>
      </c>
      <c r="C89" s="242">
        <v>27.23</v>
      </c>
      <c r="D89" s="242">
        <v>61.7</v>
      </c>
      <c r="E89" s="242">
        <v>0</v>
      </c>
      <c r="F89" s="242">
        <v>0</v>
      </c>
      <c r="G89" s="242">
        <v>229.67</v>
      </c>
      <c r="H89" s="242">
        <v>7.49</v>
      </c>
      <c r="I89" s="242">
        <v>6.44</v>
      </c>
      <c r="J89" s="242">
        <v>28.2</v>
      </c>
      <c r="K89" s="242">
        <v>35.33</v>
      </c>
      <c r="L89" s="242">
        <v>7.48</v>
      </c>
      <c r="M89" s="242">
        <v>39.62</v>
      </c>
      <c r="N89" s="242">
        <v>121.43</v>
      </c>
      <c r="O89" s="242">
        <v>280.9</v>
      </c>
      <c r="P89" s="242">
        <v>71.02</v>
      </c>
      <c r="Q89" s="242">
        <v>216.14</v>
      </c>
      <c r="R89" s="242">
        <v>198.99</v>
      </c>
      <c r="S89" s="242">
        <v>128.77</v>
      </c>
      <c r="T89" s="242">
        <v>33.62</v>
      </c>
      <c r="U89" s="242">
        <v>59.1</v>
      </c>
      <c r="V89" s="241">
        <v>1553.13</v>
      </c>
    </row>
    <row r="90" s="239" customFormat="1" ht="16.5" spans="1:22">
      <c r="A90" s="241">
        <v>78</v>
      </c>
      <c r="B90" s="241" t="s">
        <v>91</v>
      </c>
      <c r="C90" s="242">
        <v>27.23</v>
      </c>
      <c r="D90" s="242">
        <v>61.7</v>
      </c>
      <c r="E90" s="242">
        <v>0</v>
      </c>
      <c r="F90" s="242">
        <v>0</v>
      </c>
      <c r="G90" s="242">
        <v>229.67</v>
      </c>
      <c r="H90" s="242">
        <v>7.49</v>
      </c>
      <c r="I90" s="242">
        <v>6.44</v>
      </c>
      <c r="J90" s="242">
        <v>28.2</v>
      </c>
      <c r="K90" s="242">
        <v>35.33</v>
      </c>
      <c r="L90" s="242">
        <v>7.48</v>
      </c>
      <c r="M90" s="242">
        <v>39.79</v>
      </c>
      <c r="N90" s="242">
        <v>121.43</v>
      </c>
      <c r="O90" s="242">
        <v>280.9</v>
      </c>
      <c r="P90" s="242">
        <v>71.02</v>
      </c>
      <c r="Q90" s="242">
        <v>216.14</v>
      </c>
      <c r="R90" s="242">
        <v>198.99</v>
      </c>
      <c r="S90" s="242">
        <v>128.77</v>
      </c>
      <c r="T90" s="242">
        <v>33.62</v>
      </c>
      <c r="U90" s="242">
        <v>59.1</v>
      </c>
      <c r="V90" s="241">
        <v>1553.3</v>
      </c>
    </row>
    <row r="91" s="239" customFormat="1" ht="16.5" spans="1:22">
      <c r="A91" s="241">
        <v>79</v>
      </c>
      <c r="B91" s="241" t="s">
        <v>92</v>
      </c>
      <c r="C91" s="242">
        <v>27.23</v>
      </c>
      <c r="D91" s="242">
        <v>61.7</v>
      </c>
      <c r="E91" s="242">
        <v>0</v>
      </c>
      <c r="F91" s="242">
        <v>0</v>
      </c>
      <c r="G91" s="242">
        <v>229.67</v>
      </c>
      <c r="H91" s="242">
        <v>7.49</v>
      </c>
      <c r="I91" s="242">
        <v>6.44</v>
      </c>
      <c r="J91" s="242">
        <v>28.2</v>
      </c>
      <c r="K91" s="242">
        <v>35.33</v>
      </c>
      <c r="L91" s="242">
        <v>7.48</v>
      </c>
      <c r="M91" s="242">
        <v>39.79</v>
      </c>
      <c r="N91" s="242">
        <v>121.43</v>
      </c>
      <c r="O91" s="242">
        <v>280.9</v>
      </c>
      <c r="P91" s="242">
        <v>71.02</v>
      </c>
      <c r="Q91" s="242">
        <v>216.14</v>
      </c>
      <c r="R91" s="242">
        <v>198.99</v>
      </c>
      <c r="S91" s="242">
        <v>128.77</v>
      </c>
      <c r="T91" s="242">
        <v>33.62</v>
      </c>
      <c r="U91" s="242">
        <v>59.1</v>
      </c>
      <c r="V91" s="241">
        <v>1553.3</v>
      </c>
    </row>
    <row r="92" s="239" customFormat="1" ht="16.5" spans="1:22">
      <c r="A92" s="241">
        <v>80</v>
      </c>
      <c r="B92" s="241" t="s">
        <v>93</v>
      </c>
      <c r="C92" s="242">
        <v>27.23</v>
      </c>
      <c r="D92" s="242">
        <v>61.7</v>
      </c>
      <c r="E92" s="242">
        <v>0</v>
      </c>
      <c r="F92" s="242">
        <v>0</v>
      </c>
      <c r="G92" s="242">
        <v>229.67</v>
      </c>
      <c r="H92" s="242">
        <v>7.49</v>
      </c>
      <c r="I92" s="242">
        <v>6.44</v>
      </c>
      <c r="J92" s="242">
        <v>28.2</v>
      </c>
      <c r="K92" s="242">
        <v>35.33</v>
      </c>
      <c r="L92" s="242">
        <v>7.48</v>
      </c>
      <c r="M92" s="242">
        <v>39.79</v>
      </c>
      <c r="N92" s="242">
        <v>121.43</v>
      </c>
      <c r="O92" s="242">
        <v>280.9</v>
      </c>
      <c r="P92" s="242">
        <v>71.02</v>
      </c>
      <c r="Q92" s="242">
        <v>216.14</v>
      </c>
      <c r="R92" s="242">
        <v>198.99</v>
      </c>
      <c r="S92" s="242">
        <v>128.77</v>
      </c>
      <c r="T92" s="242">
        <v>33.62</v>
      </c>
      <c r="U92" s="242">
        <v>59.1</v>
      </c>
      <c r="V92" s="241">
        <v>1553.3</v>
      </c>
    </row>
    <row r="93" s="239" customFormat="1" ht="16.5" spans="1:22">
      <c r="A93" s="241">
        <v>81</v>
      </c>
      <c r="B93" s="241" t="s">
        <v>94</v>
      </c>
      <c r="C93" s="242">
        <v>27.23</v>
      </c>
      <c r="D93" s="242">
        <v>61.7</v>
      </c>
      <c r="E93" s="242">
        <v>0</v>
      </c>
      <c r="F93" s="242">
        <v>0</v>
      </c>
      <c r="G93" s="242">
        <v>229.67</v>
      </c>
      <c r="H93" s="242">
        <v>7.49</v>
      </c>
      <c r="I93" s="242">
        <v>6.44</v>
      </c>
      <c r="J93" s="242">
        <v>28.2</v>
      </c>
      <c r="K93" s="242">
        <v>35.33</v>
      </c>
      <c r="L93" s="242">
        <v>7.48</v>
      </c>
      <c r="M93" s="242">
        <v>39.79</v>
      </c>
      <c r="N93" s="242">
        <v>121.43</v>
      </c>
      <c r="O93" s="242">
        <v>280.9</v>
      </c>
      <c r="P93" s="242">
        <v>71.02</v>
      </c>
      <c r="Q93" s="242">
        <v>216.14</v>
      </c>
      <c r="R93" s="242">
        <v>198.99</v>
      </c>
      <c r="S93" s="242">
        <v>128.77</v>
      </c>
      <c r="T93" s="242">
        <v>33.62</v>
      </c>
      <c r="U93" s="242">
        <v>59.1</v>
      </c>
      <c r="V93" s="241">
        <v>1553.3</v>
      </c>
    </row>
    <row r="94" s="239" customFormat="1" ht="16.5" spans="1:22">
      <c r="A94" s="241">
        <v>82</v>
      </c>
      <c r="B94" s="241" t="s">
        <v>95</v>
      </c>
      <c r="C94" s="242">
        <v>27.23</v>
      </c>
      <c r="D94" s="242">
        <v>61.7</v>
      </c>
      <c r="E94" s="242">
        <v>0</v>
      </c>
      <c r="F94" s="242">
        <v>0</v>
      </c>
      <c r="G94" s="242">
        <v>229.67</v>
      </c>
      <c r="H94" s="242">
        <v>7.49</v>
      </c>
      <c r="I94" s="242">
        <v>6.44</v>
      </c>
      <c r="J94" s="242">
        <v>28.2</v>
      </c>
      <c r="K94" s="242">
        <v>35.33</v>
      </c>
      <c r="L94" s="242">
        <v>7.48</v>
      </c>
      <c r="M94" s="242">
        <v>39.79</v>
      </c>
      <c r="N94" s="242">
        <v>121.43</v>
      </c>
      <c r="O94" s="242">
        <v>280.9</v>
      </c>
      <c r="P94" s="242">
        <v>71.02</v>
      </c>
      <c r="Q94" s="242">
        <v>216.14</v>
      </c>
      <c r="R94" s="242">
        <v>198.99</v>
      </c>
      <c r="S94" s="242">
        <v>128.77</v>
      </c>
      <c r="T94" s="242">
        <v>33.62</v>
      </c>
      <c r="U94" s="242">
        <v>59.1</v>
      </c>
      <c r="V94" s="241">
        <v>1553.3</v>
      </c>
    </row>
    <row r="95" s="239" customFormat="1" ht="16.5" spans="1:22">
      <c r="A95" s="241">
        <v>83</v>
      </c>
      <c r="B95" s="241" t="s">
        <v>96</v>
      </c>
      <c r="C95" s="242">
        <v>27.23</v>
      </c>
      <c r="D95" s="242">
        <v>61.7</v>
      </c>
      <c r="E95" s="242">
        <v>0</v>
      </c>
      <c r="F95" s="242">
        <v>0</v>
      </c>
      <c r="G95" s="242">
        <v>180.52</v>
      </c>
      <c r="H95" s="242">
        <v>7.49</v>
      </c>
      <c r="I95" s="242">
        <v>6.79</v>
      </c>
      <c r="J95" s="242">
        <v>28.2</v>
      </c>
      <c r="K95" s="242">
        <v>35.33</v>
      </c>
      <c r="L95" s="242">
        <v>7.48</v>
      </c>
      <c r="M95" s="242">
        <v>39.79</v>
      </c>
      <c r="N95" s="242">
        <v>88.19</v>
      </c>
      <c r="O95" s="242">
        <v>280.9</v>
      </c>
      <c r="P95" s="242">
        <v>71.02</v>
      </c>
      <c r="Q95" s="242">
        <v>216.14</v>
      </c>
      <c r="R95" s="242">
        <v>198.99</v>
      </c>
      <c r="S95" s="242">
        <v>128.77</v>
      </c>
      <c r="T95" s="242">
        <v>33.62</v>
      </c>
      <c r="U95" s="242">
        <v>59.1</v>
      </c>
      <c r="V95" s="241">
        <v>1471.26</v>
      </c>
    </row>
    <row r="96" s="239" customFormat="1" ht="16.5" spans="1:22">
      <c r="A96" s="241">
        <v>84</v>
      </c>
      <c r="B96" s="241" t="s">
        <v>97</v>
      </c>
      <c r="C96" s="242">
        <v>27.23</v>
      </c>
      <c r="D96" s="242">
        <v>61.7</v>
      </c>
      <c r="E96" s="242">
        <v>0</v>
      </c>
      <c r="F96" s="242">
        <v>0</v>
      </c>
      <c r="G96" s="242">
        <v>139.89</v>
      </c>
      <c r="H96" s="242">
        <v>7.49</v>
      </c>
      <c r="I96" s="242">
        <v>6.85</v>
      </c>
      <c r="J96" s="242">
        <v>28.2</v>
      </c>
      <c r="K96" s="242">
        <v>35.33</v>
      </c>
      <c r="L96" s="242">
        <v>7.48</v>
      </c>
      <c r="M96" s="242">
        <v>39.79</v>
      </c>
      <c r="N96" s="242">
        <v>88.19</v>
      </c>
      <c r="O96" s="242">
        <v>280.9</v>
      </c>
      <c r="P96" s="242">
        <v>71.02</v>
      </c>
      <c r="Q96" s="242">
        <v>216.14</v>
      </c>
      <c r="R96" s="242">
        <v>198.99</v>
      </c>
      <c r="S96" s="242">
        <v>128.77</v>
      </c>
      <c r="T96" s="242">
        <v>33.62</v>
      </c>
      <c r="U96" s="242">
        <v>59.1</v>
      </c>
      <c r="V96" s="241">
        <v>1430.69</v>
      </c>
    </row>
    <row r="97" s="239" customFormat="1" ht="16.5" spans="1:22">
      <c r="A97" s="241">
        <v>85</v>
      </c>
      <c r="B97" s="241" t="s">
        <v>98</v>
      </c>
      <c r="C97" s="242">
        <v>27.23</v>
      </c>
      <c r="D97" s="242">
        <v>61.7</v>
      </c>
      <c r="E97" s="242">
        <v>0</v>
      </c>
      <c r="F97" s="242">
        <v>0</v>
      </c>
      <c r="G97" s="242">
        <v>139.89</v>
      </c>
      <c r="H97" s="242">
        <v>7.49</v>
      </c>
      <c r="I97" s="242">
        <v>6.85</v>
      </c>
      <c r="J97" s="242">
        <v>28.2</v>
      </c>
      <c r="K97" s="242">
        <v>35.33</v>
      </c>
      <c r="L97" s="242">
        <v>7.48</v>
      </c>
      <c r="M97" s="242">
        <v>39.79</v>
      </c>
      <c r="N97" s="242">
        <v>88.19</v>
      </c>
      <c r="O97" s="242">
        <v>280.9</v>
      </c>
      <c r="P97" s="242">
        <v>71.02</v>
      </c>
      <c r="Q97" s="242">
        <v>216.14</v>
      </c>
      <c r="R97" s="242">
        <v>198.99</v>
      </c>
      <c r="S97" s="242">
        <v>128.77</v>
      </c>
      <c r="T97" s="242">
        <v>33.62</v>
      </c>
      <c r="U97" s="242">
        <v>59.1</v>
      </c>
      <c r="V97" s="241">
        <v>1430.69</v>
      </c>
    </row>
    <row r="98" s="239" customFormat="1" ht="16.5" spans="1:22">
      <c r="A98" s="241">
        <v>86</v>
      </c>
      <c r="B98" s="241" t="s">
        <v>99</v>
      </c>
      <c r="C98" s="242">
        <v>27.23</v>
      </c>
      <c r="D98" s="242">
        <v>61.7</v>
      </c>
      <c r="E98" s="242">
        <v>0</v>
      </c>
      <c r="F98" s="242">
        <v>0</v>
      </c>
      <c r="G98" s="242">
        <v>139.89</v>
      </c>
      <c r="H98" s="242">
        <v>7.49</v>
      </c>
      <c r="I98" s="242">
        <v>6.85</v>
      </c>
      <c r="J98" s="242">
        <v>28.2</v>
      </c>
      <c r="K98" s="242">
        <v>35.33</v>
      </c>
      <c r="L98" s="242">
        <v>7.48</v>
      </c>
      <c r="M98" s="242">
        <v>39.79</v>
      </c>
      <c r="N98" s="242">
        <v>88.19</v>
      </c>
      <c r="O98" s="242">
        <v>280.9</v>
      </c>
      <c r="P98" s="242">
        <v>71.02</v>
      </c>
      <c r="Q98" s="242">
        <v>216.14</v>
      </c>
      <c r="R98" s="242">
        <v>198.99</v>
      </c>
      <c r="S98" s="242">
        <v>128.77</v>
      </c>
      <c r="T98" s="242">
        <v>33.62</v>
      </c>
      <c r="U98" s="242">
        <v>59.1</v>
      </c>
      <c r="V98" s="241">
        <v>1430.69</v>
      </c>
    </row>
    <row r="99" s="239" customFormat="1" ht="16.5" spans="1:22">
      <c r="A99" s="241">
        <v>87</v>
      </c>
      <c r="B99" s="241" t="s">
        <v>100</v>
      </c>
      <c r="C99" s="242">
        <v>27.23</v>
      </c>
      <c r="D99" s="242">
        <v>61.7</v>
      </c>
      <c r="E99" s="242">
        <v>0</v>
      </c>
      <c r="F99" s="242">
        <v>0</v>
      </c>
      <c r="G99" s="242">
        <v>144.64</v>
      </c>
      <c r="H99" s="242">
        <v>7.49</v>
      </c>
      <c r="I99" s="242">
        <v>6.85</v>
      </c>
      <c r="J99" s="242">
        <v>28.2</v>
      </c>
      <c r="K99" s="242">
        <v>35.33</v>
      </c>
      <c r="L99" s="242">
        <v>7.48</v>
      </c>
      <c r="M99" s="242">
        <v>39.79</v>
      </c>
      <c r="N99" s="242">
        <v>88.19</v>
      </c>
      <c r="O99" s="242">
        <v>280.9</v>
      </c>
      <c r="P99" s="242">
        <v>71.02</v>
      </c>
      <c r="Q99" s="242">
        <v>216.14</v>
      </c>
      <c r="R99" s="242">
        <v>198.99</v>
      </c>
      <c r="S99" s="242">
        <v>128.77</v>
      </c>
      <c r="T99" s="242">
        <v>33.62</v>
      </c>
      <c r="U99" s="242">
        <v>62.7</v>
      </c>
      <c r="V99" s="241">
        <v>1439.04</v>
      </c>
    </row>
    <row r="100" s="239" customFormat="1" ht="16.5" spans="1:22">
      <c r="A100" s="241">
        <v>88</v>
      </c>
      <c r="B100" s="241" t="s">
        <v>101</v>
      </c>
      <c r="C100" s="242">
        <v>27.23</v>
      </c>
      <c r="D100" s="242">
        <v>61.7</v>
      </c>
      <c r="E100" s="242">
        <v>0</v>
      </c>
      <c r="F100" s="242">
        <v>0</v>
      </c>
      <c r="G100" s="242">
        <v>0</v>
      </c>
      <c r="H100" s="242">
        <v>7.49</v>
      </c>
      <c r="I100" s="242">
        <v>6.85</v>
      </c>
      <c r="J100" s="242">
        <v>28.2</v>
      </c>
      <c r="K100" s="242">
        <v>35.33</v>
      </c>
      <c r="L100" s="242">
        <v>7.48</v>
      </c>
      <c r="M100" s="242">
        <v>39.79</v>
      </c>
      <c r="N100" s="242">
        <v>88.19</v>
      </c>
      <c r="O100" s="242">
        <v>280.9</v>
      </c>
      <c r="P100" s="242">
        <v>71.02</v>
      </c>
      <c r="Q100" s="242">
        <v>216.14</v>
      </c>
      <c r="R100" s="242">
        <v>198.99</v>
      </c>
      <c r="S100" s="242">
        <v>128.77</v>
      </c>
      <c r="T100" s="242">
        <v>33.62</v>
      </c>
      <c r="U100" s="242">
        <v>62.7</v>
      </c>
      <c r="V100" s="241">
        <v>1294.4</v>
      </c>
    </row>
    <row r="101" s="239" customFormat="1" ht="16.5" spans="1:22">
      <c r="A101" s="241">
        <v>89</v>
      </c>
      <c r="B101" s="241" t="s">
        <v>102</v>
      </c>
      <c r="C101" s="242">
        <v>27.23</v>
      </c>
      <c r="D101" s="242">
        <v>61.7</v>
      </c>
      <c r="E101" s="242">
        <v>0</v>
      </c>
      <c r="F101" s="242">
        <v>0</v>
      </c>
      <c r="G101" s="242">
        <v>0</v>
      </c>
      <c r="H101" s="242">
        <v>7.49</v>
      </c>
      <c r="I101" s="242">
        <v>6.85</v>
      </c>
      <c r="J101" s="242">
        <v>29.22</v>
      </c>
      <c r="K101" s="242">
        <v>36.5</v>
      </c>
      <c r="L101" s="242">
        <v>7.48</v>
      </c>
      <c r="M101" s="242">
        <v>39.79</v>
      </c>
      <c r="N101" s="242">
        <v>57.66</v>
      </c>
      <c r="O101" s="242">
        <v>280.9</v>
      </c>
      <c r="P101" s="242">
        <v>71.02</v>
      </c>
      <c r="Q101" s="242">
        <v>216.14</v>
      </c>
      <c r="R101" s="242">
        <v>198.99</v>
      </c>
      <c r="S101" s="242">
        <v>128.77</v>
      </c>
      <c r="T101" s="242">
        <v>33.62</v>
      </c>
      <c r="U101" s="242">
        <v>0</v>
      </c>
      <c r="V101" s="241">
        <v>1203.36</v>
      </c>
    </row>
    <row r="102" s="239" customFormat="1" ht="16.5" spans="1:22">
      <c r="A102" s="241">
        <v>90</v>
      </c>
      <c r="B102" s="241" t="s">
        <v>103</v>
      </c>
      <c r="C102" s="242">
        <v>27.23</v>
      </c>
      <c r="D102" s="242">
        <v>61.7</v>
      </c>
      <c r="E102" s="242">
        <v>0</v>
      </c>
      <c r="F102" s="242">
        <v>0</v>
      </c>
      <c r="G102" s="242">
        <v>0</v>
      </c>
      <c r="H102" s="242">
        <v>7.49</v>
      </c>
      <c r="I102" s="242">
        <v>6.85</v>
      </c>
      <c r="J102" s="242">
        <v>29.25</v>
      </c>
      <c r="K102" s="242">
        <v>36.58</v>
      </c>
      <c r="L102" s="242">
        <v>7.48</v>
      </c>
      <c r="M102" s="242">
        <v>39.79</v>
      </c>
      <c r="N102" s="242">
        <v>0</v>
      </c>
      <c r="O102" s="242">
        <v>280.9</v>
      </c>
      <c r="P102" s="242">
        <v>71.02</v>
      </c>
      <c r="Q102" s="242">
        <v>216.14</v>
      </c>
      <c r="R102" s="242">
        <v>198.99</v>
      </c>
      <c r="S102" s="242">
        <v>128.77</v>
      </c>
      <c r="T102" s="242">
        <v>33.62</v>
      </c>
      <c r="U102" s="242">
        <v>0</v>
      </c>
      <c r="V102" s="241">
        <v>1145.81</v>
      </c>
    </row>
    <row r="103" s="239" customFormat="1" ht="16.5" spans="1:22">
      <c r="A103" s="241">
        <v>91</v>
      </c>
      <c r="B103" s="241" t="s">
        <v>104</v>
      </c>
      <c r="C103" s="242">
        <v>27.23</v>
      </c>
      <c r="D103" s="242">
        <v>61.7</v>
      </c>
      <c r="E103" s="242">
        <v>0</v>
      </c>
      <c r="F103" s="242">
        <v>0</v>
      </c>
      <c r="G103" s="242">
        <v>0</v>
      </c>
      <c r="H103" s="242">
        <v>7.49</v>
      </c>
      <c r="I103" s="242">
        <v>6.85</v>
      </c>
      <c r="J103" s="242">
        <v>29.25</v>
      </c>
      <c r="K103" s="242">
        <v>36.58</v>
      </c>
      <c r="L103" s="242">
        <v>7.48</v>
      </c>
      <c r="M103" s="242">
        <v>39.79</v>
      </c>
      <c r="N103" s="242">
        <v>0</v>
      </c>
      <c r="O103" s="242">
        <v>280.9</v>
      </c>
      <c r="P103" s="242">
        <v>71.02</v>
      </c>
      <c r="Q103" s="242">
        <v>216.14</v>
      </c>
      <c r="R103" s="242">
        <v>198.99</v>
      </c>
      <c r="S103" s="242">
        <v>128.77</v>
      </c>
      <c r="T103" s="242">
        <v>33.62</v>
      </c>
      <c r="U103" s="242">
        <v>0</v>
      </c>
      <c r="V103" s="241">
        <v>1145.81</v>
      </c>
    </row>
    <row r="104" s="239" customFormat="1" ht="16.5" spans="1:22">
      <c r="A104" s="241">
        <v>92</v>
      </c>
      <c r="B104" s="241" t="s">
        <v>105</v>
      </c>
      <c r="C104" s="242">
        <v>27.23</v>
      </c>
      <c r="D104" s="242">
        <v>61.7</v>
      </c>
      <c r="E104" s="242">
        <v>0</v>
      </c>
      <c r="F104" s="242">
        <v>0</v>
      </c>
      <c r="G104" s="242">
        <v>0</v>
      </c>
      <c r="H104" s="242">
        <v>7.49</v>
      </c>
      <c r="I104" s="242">
        <v>6.85</v>
      </c>
      <c r="J104" s="242">
        <v>28.38</v>
      </c>
      <c r="K104" s="242">
        <v>35.44</v>
      </c>
      <c r="L104" s="242">
        <v>7.48</v>
      </c>
      <c r="M104" s="242">
        <v>39.79</v>
      </c>
      <c r="N104" s="242">
        <v>0</v>
      </c>
      <c r="O104" s="242">
        <v>280.9</v>
      </c>
      <c r="P104" s="242">
        <v>71.02</v>
      </c>
      <c r="Q104" s="242">
        <v>216.14</v>
      </c>
      <c r="R104" s="242">
        <v>198.99</v>
      </c>
      <c r="S104" s="242">
        <v>128.77</v>
      </c>
      <c r="T104" s="242">
        <v>33.62</v>
      </c>
      <c r="U104" s="242">
        <v>0</v>
      </c>
      <c r="V104" s="241">
        <v>1143.8</v>
      </c>
    </row>
    <row r="105" s="239" customFormat="1" ht="16.5" spans="1:22">
      <c r="A105" s="241">
        <v>93</v>
      </c>
      <c r="B105" s="241" t="s">
        <v>106</v>
      </c>
      <c r="C105" s="242">
        <v>27.23</v>
      </c>
      <c r="D105" s="242">
        <v>61.7</v>
      </c>
      <c r="E105" s="242">
        <v>0</v>
      </c>
      <c r="F105" s="242">
        <v>0</v>
      </c>
      <c r="G105" s="242">
        <v>0</v>
      </c>
      <c r="H105" s="242">
        <v>7.49</v>
      </c>
      <c r="I105" s="242">
        <v>6.85</v>
      </c>
      <c r="J105" s="242">
        <v>0</v>
      </c>
      <c r="K105" s="242">
        <v>0</v>
      </c>
      <c r="L105" s="242">
        <v>0</v>
      </c>
      <c r="M105" s="242">
        <v>39.79</v>
      </c>
      <c r="N105" s="242">
        <v>0</v>
      </c>
      <c r="O105" s="242">
        <v>227.76</v>
      </c>
      <c r="P105" s="242">
        <v>55.93</v>
      </c>
      <c r="Q105" s="242">
        <v>216.14</v>
      </c>
      <c r="R105" s="242">
        <v>130.46</v>
      </c>
      <c r="S105" s="242">
        <v>128.77</v>
      </c>
      <c r="T105" s="242">
        <v>33.62</v>
      </c>
      <c r="U105" s="242">
        <v>0</v>
      </c>
      <c r="V105" s="241">
        <v>935.74</v>
      </c>
    </row>
    <row r="106" s="239" customFormat="1" ht="16.5" spans="1:22">
      <c r="A106" s="241">
        <v>94</v>
      </c>
      <c r="B106" s="241" t="s">
        <v>107</v>
      </c>
      <c r="C106" s="242">
        <v>27.23</v>
      </c>
      <c r="D106" s="242">
        <v>61.7</v>
      </c>
      <c r="E106" s="242">
        <v>0</v>
      </c>
      <c r="F106" s="242">
        <v>0</v>
      </c>
      <c r="G106" s="242">
        <v>0</v>
      </c>
      <c r="H106" s="242">
        <v>7.49</v>
      </c>
      <c r="I106" s="242">
        <v>6.85</v>
      </c>
      <c r="J106" s="242">
        <v>0</v>
      </c>
      <c r="K106" s="242">
        <v>0</v>
      </c>
      <c r="L106" s="242">
        <v>0</v>
      </c>
      <c r="M106" s="242">
        <v>39.79</v>
      </c>
      <c r="N106" s="242">
        <v>0</v>
      </c>
      <c r="O106" s="242">
        <v>103.66</v>
      </c>
      <c r="P106" s="242">
        <v>24.23</v>
      </c>
      <c r="Q106" s="242">
        <v>216.14</v>
      </c>
      <c r="R106" s="242">
        <v>0</v>
      </c>
      <c r="S106" s="242">
        <v>128.77</v>
      </c>
      <c r="T106" s="242">
        <v>33.62</v>
      </c>
      <c r="U106" s="242">
        <v>0</v>
      </c>
      <c r="V106" s="241">
        <v>649.48</v>
      </c>
    </row>
    <row r="107" s="239" customFormat="1" ht="16.5" spans="1:22">
      <c r="A107" s="241">
        <v>95</v>
      </c>
      <c r="B107" s="241" t="s">
        <v>108</v>
      </c>
      <c r="C107" s="242">
        <v>27.23</v>
      </c>
      <c r="D107" s="242">
        <v>61.7</v>
      </c>
      <c r="E107" s="242">
        <v>0</v>
      </c>
      <c r="F107" s="242">
        <v>0</v>
      </c>
      <c r="G107" s="242">
        <v>0</v>
      </c>
      <c r="H107" s="242">
        <v>7.49</v>
      </c>
      <c r="I107" s="242">
        <v>6.85</v>
      </c>
      <c r="J107" s="242">
        <v>0</v>
      </c>
      <c r="K107" s="242">
        <v>0</v>
      </c>
      <c r="L107" s="242">
        <v>0</v>
      </c>
      <c r="M107" s="242">
        <v>39.79</v>
      </c>
      <c r="N107" s="242">
        <v>0</v>
      </c>
      <c r="O107" s="242">
        <v>0</v>
      </c>
      <c r="P107" s="242">
        <v>0</v>
      </c>
      <c r="Q107" s="242">
        <v>216.14</v>
      </c>
      <c r="R107" s="242">
        <v>0</v>
      </c>
      <c r="S107" s="242">
        <v>128.77</v>
      </c>
      <c r="T107" s="242">
        <v>33.62</v>
      </c>
      <c r="U107" s="242">
        <v>0</v>
      </c>
      <c r="V107" s="241">
        <v>521.59</v>
      </c>
    </row>
    <row r="108" s="239" customFormat="1" ht="16.5" spans="1:22">
      <c r="A108" s="241">
        <v>96</v>
      </c>
      <c r="B108" s="241" t="s">
        <v>109</v>
      </c>
      <c r="C108" s="242">
        <v>27.23</v>
      </c>
      <c r="D108" s="242">
        <v>61.7</v>
      </c>
      <c r="E108" s="242">
        <v>0</v>
      </c>
      <c r="F108" s="242">
        <v>0</v>
      </c>
      <c r="G108" s="242">
        <v>0</v>
      </c>
      <c r="H108" s="242">
        <v>7.49</v>
      </c>
      <c r="I108" s="242">
        <v>6.85</v>
      </c>
      <c r="J108" s="242">
        <v>0</v>
      </c>
      <c r="K108" s="242">
        <v>0</v>
      </c>
      <c r="L108" s="242">
        <v>0</v>
      </c>
      <c r="M108" s="242">
        <v>39.79</v>
      </c>
      <c r="N108" s="242">
        <v>0</v>
      </c>
      <c r="O108" s="242">
        <v>0</v>
      </c>
      <c r="P108" s="242">
        <v>0</v>
      </c>
      <c r="Q108" s="242">
        <v>216.14</v>
      </c>
      <c r="R108" s="242">
        <v>0</v>
      </c>
      <c r="S108" s="242">
        <v>128.77</v>
      </c>
      <c r="T108" s="242">
        <v>33.62</v>
      </c>
      <c r="U108" s="242">
        <v>0</v>
      </c>
      <c r="V108" s="241">
        <v>521.59</v>
      </c>
    </row>
    <row r="109" s="239" customFormat="1" ht="16.5" spans="1:22">
      <c r="A109" s="241"/>
      <c r="B109" s="241" t="s">
        <v>226</v>
      </c>
      <c r="C109" s="241">
        <v>27.23</v>
      </c>
      <c r="D109" s="241">
        <v>61.7</v>
      </c>
      <c r="E109" s="241">
        <v>0</v>
      </c>
      <c r="F109" s="241">
        <v>0</v>
      </c>
      <c r="G109" s="241">
        <v>109.28</v>
      </c>
      <c r="H109" s="241">
        <v>7.49</v>
      </c>
      <c r="I109" s="241">
        <v>6.71</v>
      </c>
      <c r="J109" s="241">
        <v>20.02</v>
      </c>
      <c r="K109" s="241">
        <v>26.68</v>
      </c>
      <c r="L109" s="241">
        <v>5.29</v>
      </c>
      <c r="M109" s="241">
        <v>37.79</v>
      </c>
      <c r="N109" s="241">
        <v>66.84</v>
      </c>
      <c r="O109" s="241">
        <v>205.55</v>
      </c>
      <c r="P109" s="241">
        <v>51.83</v>
      </c>
      <c r="Q109" s="241">
        <v>216.14</v>
      </c>
      <c r="R109" s="241">
        <v>142.31</v>
      </c>
      <c r="S109" s="241">
        <v>128.77</v>
      </c>
      <c r="T109" s="241">
        <v>32.49</v>
      </c>
      <c r="U109" s="241">
        <v>38.52</v>
      </c>
      <c r="V109" s="241">
        <v>1184.64</v>
      </c>
    </row>
    <row r="110" s="239" customFormat="1" ht="16.5" spans="1:22">
      <c r="A110" s="241"/>
      <c r="B110" s="241" t="s">
        <v>116</v>
      </c>
      <c r="C110" s="241">
        <v>27.23</v>
      </c>
      <c r="D110" s="241">
        <v>61.7</v>
      </c>
      <c r="E110" s="241">
        <v>0</v>
      </c>
      <c r="F110" s="241">
        <v>0</v>
      </c>
      <c r="G110" s="241">
        <v>229.67</v>
      </c>
      <c r="H110" s="241">
        <v>7.49</v>
      </c>
      <c r="I110" s="241">
        <v>7.27</v>
      </c>
      <c r="J110" s="241">
        <v>30.58</v>
      </c>
      <c r="K110" s="241">
        <v>37.95</v>
      </c>
      <c r="L110" s="241">
        <v>7.48</v>
      </c>
      <c r="M110" s="241">
        <v>39.79</v>
      </c>
      <c r="N110" s="241">
        <v>121.43</v>
      </c>
      <c r="O110" s="241">
        <v>280.9</v>
      </c>
      <c r="P110" s="241">
        <v>71.02</v>
      </c>
      <c r="Q110" s="241">
        <v>216.14</v>
      </c>
      <c r="R110" s="241">
        <v>198.99</v>
      </c>
      <c r="S110" s="241">
        <v>128.77</v>
      </c>
      <c r="T110" s="241">
        <v>33.62</v>
      </c>
      <c r="U110" s="241">
        <v>62.7</v>
      </c>
      <c r="V110" s="241">
        <v>1557.49</v>
      </c>
    </row>
    <row r="111" s="239" customFormat="1" ht="16.5" spans="1:22">
      <c r="A111" s="241"/>
      <c r="B111" s="241" t="s">
        <v>115</v>
      </c>
      <c r="C111" s="241">
        <v>27.23</v>
      </c>
      <c r="D111" s="241">
        <v>61.7</v>
      </c>
      <c r="E111" s="241">
        <v>0</v>
      </c>
      <c r="F111" s="241">
        <v>0</v>
      </c>
      <c r="G111" s="241">
        <v>0</v>
      </c>
      <c r="H111" s="241">
        <v>7.49</v>
      </c>
      <c r="I111" s="241">
        <v>5.16</v>
      </c>
      <c r="J111" s="241">
        <v>0</v>
      </c>
      <c r="K111" s="241">
        <v>0</v>
      </c>
      <c r="L111" s="241">
        <v>0</v>
      </c>
      <c r="M111" s="241">
        <v>28.76</v>
      </c>
      <c r="N111" s="241">
        <v>0</v>
      </c>
      <c r="O111" s="241">
        <v>0</v>
      </c>
      <c r="P111" s="241">
        <v>0</v>
      </c>
      <c r="Q111" s="241">
        <v>216.14</v>
      </c>
      <c r="R111" s="241">
        <v>0</v>
      </c>
      <c r="S111" s="241">
        <v>128.77</v>
      </c>
      <c r="T111" s="241">
        <v>18.5</v>
      </c>
      <c r="U111" s="241">
        <v>0</v>
      </c>
      <c r="V111" s="241">
        <v>493.75</v>
      </c>
    </row>
    <row r="112" s="239" customFormat="1" ht="16.5" spans="1:22">
      <c r="A112" s="241"/>
      <c r="B112" s="241" t="s">
        <v>227</v>
      </c>
      <c r="C112" s="241">
        <v>653.52</v>
      </c>
      <c r="D112" s="241">
        <v>1480.8</v>
      </c>
      <c r="E112" s="241">
        <v>0</v>
      </c>
      <c r="F112" s="241">
        <v>0</v>
      </c>
      <c r="G112" s="241">
        <v>2622.75</v>
      </c>
      <c r="H112" s="241">
        <v>179.76</v>
      </c>
      <c r="I112" s="241">
        <v>161.15</v>
      </c>
      <c r="J112" s="241">
        <v>480.37</v>
      </c>
      <c r="K112" s="241">
        <v>640.42</v>
      </c>
      <c r="L112" s="241">
        <v>126.84</v>
      </c>
      <c r="M112" s="241">
        <v>906.93</v>
      </c>
      <c r="N112" s="241">
        <v>1604.23</v>
      </c>
      <c r="O112" s="241">
        <v>4933.12</v>
      </c>
      <c r="P112" s="241">
        <v>1244</v>
      </c>
      <c r="Q112" s="241">
        <v>5187.36</v>
      </c>
      <c r="R112" s="241">
        <v>3415.55</v>
      </c>
      <c r="S112" s="241">
        <v>3090.48</v>
      </c>
      <c r="T112" s="241">
        <v>779.68</v>
      </c>
      <c r="U112" s="241">
        <v>924.44</v>
      </c>
      <c r="V112" s="241">
        <v>28431.41</v>
      </c>
    </row>
    <row r="115" s="238" customFormat="1" ht="20" customHeight="1" spans="1:10">
      <c r="A115" s="243" t="s">
        <v>228</v>
      </c>
      <c r="B115" s="243"/>
      <c r="C115" s="243"/>
      <c r="D115" s="243"/>
      <c r="E115" s="243"/>
      <c r="F115" s="243"/>
      <c r="G115" s="243"/>
      <c r="H115" s="243"/>
      <c r="I115" s="243"/>
      <c r="J115" s="243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tabSelected="1"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221"/>
    <col min="2" max="4" width="9.14285714285714" style="221"/>
    <col min="5" max="5" width="13.0571428571429" style="221" customWidth="1"/>
    <col min="6" max="6" width="8.14285714285714" style="221" customWidth="1"/>
    <col min="7" max="7" width="10.1428571428571" style="221" customWidth="1"/>
    <col min="8" max="9" width="9" style="221"/>
    <col min="10" max="10" width="14.2857142857143" style="221" customWidth="1"/>
    <col min="11" max="11" width="11.1428571428571" style="221" customWidth="1"/>
    <col min="12" max="12" width="9.14285714285714" style="221"/>
    <col min="13" max="13" width="14" style="221"/>
    <col min="14" max="14" width="11.8571428571429" style="221" customWidth="1"/>
    <col min="15" max="15" width="10.7142857142857" style="221" customWidth="1"/>
    <col min="16" max="18" width="9" style="221"/>
    <col min="19" max="19" width="9.85714285714286" style="221" customWidth="1"/>
    <col min="20" max="20" width="15.5714285714286" style="221" customWidth="1"/>
    <col min="21" max="22" width="12" style="221" customWidth="1"/>
    <col min="23" max="16384" width="9" style="221"/>
  </cols>
  <sheetData>
    <row r="1" s="221" customFormat="1" ht="27.75" customHeight="1" spans="1:22">
      <c r="A1" s="221" t="s">
        <v>114</v>
      </c>
      <c r="B1" s="224" t="s">
        <v>242</v>
      </c>
      <c r="C1" s="221" t="s">
        <v>243</v>
      </c>
      <c r="D1" s="225" t="s">
        <v>244</v>
      </c>
      <c r="E1" s="221" t="s">
        <v>245</v>
      </c>
      <c r="F1" s="221" t="s">
        <v>246</v>
      </c>
      <c r="G1" s="226" t="s">
        <v>247</v>
      </c>
      <c r="H1" s="221" t="s">
        <v>248</v>
      </c>
      <c r="I1" s="221" t="s">
        <v>249</v>
      </c>
      <c r="J1" s="226" t="s">
        <v>250</v>
      </c>
      <c r="K1" s="225" t="s">
        <v>251</v>
      </c>
      <c r="L1" s="221" t="s">
        <v>252</v>
      </c>
      <c r="M1" s="221" t="s">
        <v>253</v>
      </c>
      <c r="N1" s="230" t="s">
        <v>254</v>
      </c>
      <c r="O1" s="221" t="s">
        <v>255</v>
      </c>
      <c r="P1" s="221" t="s">
        <v>256</v>
      </c>
      <c r="Q1" s="221" t="s">
        <v>257</v>
      </c>
      <c r="R1" s="221" t="s">
        <v>258</v>
      </c>
      <c r="S1" s="221" t="s">
        <v>259</v>
      </c>
      <c r="T1" s="225" t="s">
        <v>260</v>
      </c>
      <c r="U1" s="221" t="s">
        <v>261</v>
      </c>
      <c r="V1" s="221" t="s">
        <v>262</v>
      </c>
    </row>
    <row r="2" s="221" customFormat="1" ht="16.5" spans="1:22">
      <c r="A2" s="227">
        <f>'[2]DP-DATA'!B2</f>
        <v>0</v>
      </c>
      <c r="B2" s="221">
        <f>'[2]DP-DATA'!C2</f>
        <v>2837.11</v>
      </c>
      <c r="C2" s="221">
        <f>[2]CGS!C5</f>
        <v>520.33</v>
      </c>
      <c r="D2" s="221">
        <f>'[2]ipp- thermal'!I2</f>
        <v>1225.73</v>
      </c>
      <c r="E2" s="228">
        <f>'[2]DP-DATA'!N2</f>
        <v>6773.02</v>
      </c>
      <c r="F2" s="221">
        <f>'[2]DP-DATA'!G2</f>
        <v>146.24</v>
      </c>
      <c r="G2" s="229">
        <f>[2]IEX!G11</f>
        <v>0</v>
      </c>
      <c r="H2" s="221">
        <f>[2]iex.urs.od!C2</f>
        <v>0</v>
      </c>
      <c r="I2" s="231">
        <f>'[2]DP-DATA'!J2</f>
        <v>0</v>
      </c>
      <c r="J2" s="231">
        <f>'[2]DP-DATA'!K2-T2</f>
        <v>0</v>
      </c>
      <c r="K2" s="221">
        <f>'[2]scada daily'!D4</f>
        <v>163.26</v>
      </c>
      <c r="L2" s="221">
        <f>'[2]DP-DATA'!H2</f>
        <v>786.42</v>
      </c>
      <c r="M2" s="221">
        <f>[2]solar!D2</f>
        <v>0</v>
      </c>
      <c r="N2" s="232">
        <f>[2]RTM!G12</f>
        <v>761.51</v>
      </c>
      <c r="O2" s="221">
        <f>'[2]scada daily'!C4</f>
        <v>50.04</v>
      </c>
      <c r="P2" s="221">
        <f t="shared" ref="P2:P65" si="0">IF(N2&gt;=0,0,N2)</f>
        <v>0</v>
      </c>
      <c r="Q2" s="221">
        <f t="shared" ref="Q2:Q65" si="1">IF(K2&gt;0,K2,0)</f>
        <v>163.26</v>
      </c>
      <c r="R2" s="221">
        <f t="shared" ref="R2:R65" si="2">IF(K2&lt;0,K2,0)</f>
        <v>0</v>
      </c>
      <c r="S2" s="221">
        <f t="shared" ref="S2:S65" si="3">IF(G2&lt;=0,G2,0)</f>
        <v>0</v>
      </c>
      <c r="T2" s="231">
        <f>[2]GNA!X13</f>
        <v>0</v>
      </c>
      <c r="U2" s="221">
        <f t="shared" ref="U2:U65" si="4">IF(G2&gt;=0,G2,0)</f>
        <v>0</v>
      </c>
      <c r="V2" s="221">
        <f t="shared" ref="V2:V65" si="5">IF(N2&gt;=0,N2,0)</f>
        <v>761.51</v>
      </c>
    </row>
    <row r="3" s="221" customFormat="1" ht="16.5" spans="1:24">
      <c r="A3" s="227">
        <f>'[2]DP-DATA'!B3</f>
        <v>0.0104166666666667</v>
      </c>
      <c r="B3" s="221">
        <f>'[2]DP-DATA'!C3</f>
        <v>2835.1</v>
      </c>
      <c r="C3" s="221">
        <f>[2]CGS!C6</f>
        <v>520.37</v>
      </c>
      <c r="D3" s="221">
        <f>'[2]ipp- thermal'!I3</f>
        <v>1269.53</v>
      </c>
      <c r="E3" s="228">
        <f>'[2]DP-DATA'!N3</f>
        <v>6777.45</v>
      </c>
      <c r="F3" s="221">
        <f>'[2]DP-DATA'!G3</f>
        <v>174.98</v>
      </c>
      <c r="G3" s="229">
        <f>[2]IEX!G12</f>
        <v>0</v>
      </c>
      <c r="H3" s="221">
        <f>[2]iex.urs.od!C3</f>
        <v>0</v>
      </c>
      <c r="I3" s="231">
        <f>'[2]DP-DATA'!J3</f>
        <v>0</v>
      </c>
      <c r="J3" s="231">
        <f>'[2]DP-DATA'!K3-T3</f>
        <v>0</v>
      </c>
      <c r="K3" s="221">
        <f>'[2]scada daily'!D5</f>
        <v>-3.72</v>
      </c>
      <c r="L3" s="221">
        <f>'[2]DP-DATA'!H3</f>
        <v>760.3</v>
      </c>
      <c r="M3" s="221">
        <f>[2]solar!D3</f>
        <v>0</v>
      </c>
      <c r="N3" s="232">
        <f>[2]RTM!G13</f>
        <v>856.7</v>
      </c>
      <c r="O3" s="221">
        <f>'[2]scada daily'!C5</f>
        <v>50.03</v>
      </c>
      <c r="P3" s="221">
        <f t="shared" si="0"/>
        <v>0</v>
      </c>
      <c r="Q3" s="221">
        <f t="shared" si="1"/>
        <v>0</v>
      </c>
      <c r="R3" s="221">
        <f t="shared" si="2"/>
        <v>-3.72</v>
      </c>
      <c r="S3" s="221">
        <f t="shared" si="3"/>
        <v>0</v>
      </c>
      <c r="T3" s="231">
        <f>[2]GNA!X14</f>
        <v>0</v>
      </c>
      <c r="U3" s="221">
        <f t="shared" si="4"/>
        <v>0</v>
      </c>
      <c r="V3" s="221">
        <f t="shared" si="5"/>
        <v>856.7</v>
      </c>
      <c r="X3" s="221" t="str">
        <f>TEXT('[2]scada daily'!A6,"dd/mm/yyyy")</f>
        <v>12/01/2026</v>
      </c>
    </row>
    <row r="4" s="221" customFormat="1" ht="16.5" spans="1:22">
      <c r="A4" s="227">
        <f>'[2]DP-DATA'!B4</f>
        <v>0.0208333333333333</v>
      </c>
      <c r="B4" s="221">
        <f>'[2]DP-DATA'!C4</f>
        <v>2821.16</v>
      </c>
      <c r="C4" s="221">
        <f>[2]CGS!C7</f>
        <v>520.37</v>
      </c>
      <c r="D4" s="221">
        <f>'[2]ipp- thermal'!I4</f>
        <v>1263.67</v>
      </c>
      <c r="E4" s="228">
        <f>'[2]DP-DATA'!N4</f>
        <v>6745.63</v>
      </c>
      <c r="F4" s="221">
        <f>'[2]DP-DATA'!G4</f>
        <v>137.94</v>
      </c>
      <c r="G4" s="229">
        <f>[2]IEX!G13</f>
        <v>0</v>
      </c>
      <c r="H4" s="221">
        <f>[2]iex.urs.od!C4</f>
        <v>0</v>
      </c>
      <c r="I4" s="231">
        <f>'[2]DP-DATA'!J4</f>
        <v>0</v>
      </c>
      <c r="J4" s="231">
        <f>'[2]DP-DATA'!K4-T4</f>
        <v>0</v>
      </c>
      <c r="K4" s="221">
        <f>'[2]scada daily'!D6</f>
        <v>-129.29</v>
      </c>
      <c r="L4" s="221">
        <f>'[2]DP-DATA'!H4</f>
        <v>711.26</v>
      </c>
      <c r="M4" s="221">
        <f>[2]solar!D4</f>
        <v>0</v>
      </c>
      <c r="N4" s="232">
        <f>[2]RTM!G14</f>
        <v>1047.08</v>
      </c>
      <c r="O4" s="221">
        <f>'[2]scada daily'!C6</f>
        <v>50.01</v>
      </c>
      <c r="P4" s="221">
        <f t="shared" si="0"/>
        <v>0</v>
      </c>
      <c r="Q4" s="221">
        <f t="shared" si="1"/>
        <v>0</v>
      </c>
      <c r="R4" s="221">
        <f t="shared" si="2"/>
        <v>-129.29</v>
      </c>
      <c r="S4" s="221">
        <f t="shared" si="3"/>
        <v>0</v>
      </c>
      <c r="T4" s="231">
        <f>[2]GNA!X15</f>
        <v>0</v>
      </c>
      <c r="U4" s="221">
        <f t="shared" si="4"/>
        <v>0</v>
      </c>
      <c r="V4" s="221">
        <f t="shared" si="5"/>
        <v>1047.08</v>
      </c>
    </row>
    <row r="5" s="221" customFormat="1" ht="16.5" spans="1:22">
      <c r="A5" s="227">
        <f>'[2]DP-DATA'!B5</f>
        <v>0.03125</v>
      </c>
      <c r="B5" s="221">
        <f>'[2]DP-DATA'!C5</f>
        <v>2817.61</v>
      </c>
      <c r="C5" s="221">
        <f>[2]CGS!C8</f>
        <v>520.37</v>
      </c>
      <c r="D5" s="221">
        <f>'[2]ipp- thermal'!I5</f>
        <v>1265.15</v>
      </c>
      <c r="E5" s="228">
        <f>'[2]DP-DATA'!N5</f>
        <v>6753.29</v>
      </c>
      <c r="F5" s="221">
        <f>'[2]DP-DATA'!G5</f>
        <v>132.51</v>
      </c>
      <c r="G5" s="229">
        <f>[2]IEX!G14</f>
        <v>0</v>
      </c>
      <c r="H5" s="221">
        <f>[2]iex.urs.od!C5</f>
        <v>0</v>
      </c>
      <c r="I5" s="231">
        <f>'[2]DP-DATA'!J5</f>
        <v>0</v>
      </c>
      <c r="J5" s="231">
        <f>'[2]DP-DATA'!K5-T5</f>
        <v>0</v>
      </c>
      <c r="K5" s="221">
        <f>'[2]scada daily'!D7</f>
        <v>-31.77</v>
      </c>
      <c r="L5" s="221">
        <f>'[2]DP-DATA'!H5</f>
        <v>703.95</v>
      </c>
      <c r="M5" s="221">
        <f>[2]solar!D5</f>
        <v>0</v>
      </c>
      <c r="N5" s="232">
        <f>[2]RTM!G15</f>
        <v>951.89</v>
      </c>
      <c r="O5" s="221">
        <f>'[2]scada daily'!C7</f>
        <v>50.01</v>
      </c>
      <c r="P5" s="221">
        <f t="shared" si="0"/>
        <v>0</v>
      </c>
      <c r="Q5" s="221">
        <f t="shared" si="1"/>
        <v>0</v>
      </c>
      <c r="R5" s="221">
        <f t="shared" si="2"/>
        <v>-31.77</v>
      </c>
      <c r="S5" s="221">
        <f t="shared" si="3"/>
        <v>0</v>
      </c>
      <c r="T5" s="231">
        <f>[2]GNA!X16</f>
        <v>0</v>
      </c>
      <c r="U5" s="221">
        <f t="shared" si="4"/>
        <v>0</v>
      </c>
      <c r="V5" s="221">
        <f t="shared" si="5"/>
        <v>951.89</v>
      </c>
    </row>
    <row r="6" s="221" customFormat="1" ht="16.5" spans="1:22">
      <c r="A6" s="227">
        <f>'[2]DP-DATA'!B6</f>
        <v>0.0416666666666667</v>
      </c>
      <c r="B6" s="221">
        <f>'[2]DP-DATA'!C6</f>
        <v>2846.37</v>
      </c>
      <c r="C6" s="221">
        <f>[2]CGS!C9</f>
        <v>520.37</v>
      </c>
      <c r="D6" s="221">
        <f>'[2]ipp- thermal'!I6</f>
        <v>1256.46</v>
      </c>
      <c r="E6" s="228">
        <f>'[2]DP-DATA'!N6</f>
        <v>6714.58</v>
      </c>
      <c r="F6" s="221">
        <f>'[2]DP-DATA'!G6</f>
        <v>132.76</v>
      </c>
      <c r="G6" s="229">
        <f>[2]IEX!G15</f>
        <v>0</v>
      </c>
      <c r="H6" s="221">
        <f>[2]iex.urs.od!C6</f>
        <v>0</v>
      </c>
      <c r="I6" s="231">
        <f>'[2]DP-DATA'!J6</f>
        <v>0</v>
      </c>
      <c r="J6" s="231">
        <f>'[2]DP-DATA'!K6-T6</f>
        <v>0</v>
      </c>
      <c r="K6" s="221">
        <f>'[2]scada daily'!D8</f>
        <v>-130.85</v>
      </c>
      <c r="L6" s="221">
        <f>'[2]DP-DATA'!H6</f>
        <v>698.47</v>
      </c>
      <c r="M6" s="221">
        <f>[2]solar!D6</f>
        <v>0</v>
      </c>
      <c r="N6" s="232">
        <f>[2]RTM!G16</f>
        <v>856.68</v>
      </c>
      <c r="O6" s="221">
        <f>'[2]scada daily'!C8</f>
        <v>50.01</v>
      </c>
      <c r="P6" s="221">
        <f t="shared" si="0"/>
        <v>0</v>
      </c>
      <c r="Q6" s="221">
        <f t="shared" si="1"/>
        <v>0</v>
      </c>
      <c r="R6" s="221">
        <f t="shared" si="2"/>
        <v>-130.85</v>
      </c>
      <c r="S6" s="221">
        <f t="shared" si="3"/>
        <v>0</v>
      </c>
      <c r="T6" s="231">
        <f>[2]GNA!X17</f>
        <v>0</v>
      </c>
      <c r="U6" s="221">
        <f t="shared" si="4"/>
        <v>0</v>
      </c>
      <c r="V6" s="221">
        <f t="shared" si="5"/>
        <v>856.68</v>
      </c>
    </row>
    <row r="7" s="221" customFormat="1" ht="16.5" spans="1:22">
      <c r="A7" s="227">
        <f>'[2]DP-DATA'!B7</f>
        <v>0.0520833333333333</v>
      </c>
      <c r="B7" s="221">
        <f>'[2]DP-DATA'!C7</f>
        <v>2882.78</v>
      </c>
      <c r="C7" s="221">
        <f>[2]CGS!C10</f>
        <v>520.37</v>
      </c>
      <c r="D7" s="221">
        <f>'[2]ipp- thermal'!I7</f>
        <v>1219.93</v>
      </c>
      <c r="E7" s="228">
        <f>'[2]DP-DATA'!N7</f>
        <v>6732.97</v>
      </c>
      <c r="F7" s="221">
        <f>'[2]DP-DATA'!G7</f>
        <v>133.35</v>
      </c>
      <c r="G7" s="229">
        <f>[2]IEX!G16</f>
        <v>0</v>
      </c>
      <c r="H7" s="221">
        <f>[2]iex.urs.od!C7</f>
        <v>0</v>
      </c>
      <c r="I7" s="231">
        <f>'[2]DP-DATA'!J7</f>
        <v>0</v>
      </c>
      <c r="J7" s="231">
        <f>'[2]DP-DATA'!K7-T7</f>
        <v>0</v>
      </c>
      <c r="K7" s="221">
        <f>'[2]scada daily'!D9</f>
        <v>-27.25</v>
      </c>
      <c r="L7" s="221">
        <f>'[2]DP-DATA'!H7</f>
        <v>688.83</v>
      </c>
      <c r="M7" s="221">
        <f>[2]solar!D7</f>
        <v>0</v>
      </c>
      <c r="N7" s="232">
        <f>[2]RTM!G17</f>
        <v>761.48</v>
      </c>
      <c r="O7" s="221">
        <f>'[2]scada daily'!C9</f>
        <v>50.01</v>
      </c>
      <c r="P7" s="221">
        <f t="shared" si="0"/>
        <v>0</v>
      </c>
      <c r="Q7" s="221">
        <f t="shared" si="1"/>
        <v>0</v>
      </c>
      <c r="R7" s="221">
        <f t="shared" si="2"/>
        <v>-27.25</v>
      </c>
      <c r="S7" s="221">
        <f t="shared" si="3"/>
        <v>0</v>
      </c>
      <c r="T7" s="231">
        <f>[2]GNA!X18</f>
        <v>0</v>
      </c>
      <c r="U7" s="221">
        <f t="shared" si="4"/>
        <v>0</v>
      </c>
      <c r="V7" s="221">
        <f t="shared" si="5"/>
        <v>761.48</v>
      </c>
    </row>
    <row r="8" s="221" customFormat="1" ht="16.5" spans="1:22">
      <c r="A8" s="227">
        <f>'[2]DP-DATA'!B8</f>
        <v>0.0625</v>
      </c>
      <c r="B8" s="221">
        <f>'[2]DP-DATA'!C8</f>
        <v>2914.02</v>
      </c>
      <c r="C8" s="221">
        <f>[2]CGS!C11</f>
        <v>510.11</v>
      </c>
      <c r="D8" s="221">
        <f>'[2]ipp- thermal'!I8</f>
        <v>1066.97</v>
      </c>
      <c r="E8" s="228">
        <f>'[2]DP-DATA'!N8</f>
        <v>6671.77</v>
      </c>
      <c r="F8" s="221">
        <f>'[2]DP-DATA'!G8</f>
        <v>133.44</v>
      </c>
      <c r="G8" s="229">
        <f>[2]IEX!G17</f>
        <v>0</v>
      </c>
      <c r="H8" s="221">
        <f>[2]iex.urs.od!C8</f>
        <v>0</v>
      </c>
      <c r="I8" s="231">
        <f>'[2]DP-DATA'!J8</f>
        <v>0</v>
      </c>
      <c r="J8" s="231">
        <f>'[2]DP-DATA'!K8-T8</f>
        <v>0</v>
      </c>
      <c r="K8" s="221">
        <f>'[2]scada daily'!D10</f>
        <v>-10.79</v>
      </c>
      <c r="L8" s="221">
        <f>'[2]DP-DATA'!H8</f>
        <v>661.53</v>
      </c>
      <c r="M8" s="221">
        <f>[2]solar!D8</f>
        <v>0</v>
      </c>
      <c r="N8" s="232">
        <f>[2]RTM!G18</f>
        <v>856.68</v>
      </c>
      <c r="O8" s="221">
        <f>'[2]scada daily'!C10</f>
        <v>50.02</v>
      </c>
      <c r="P8" s="221">
        <f t="shared" si="0"/>
        <v>0</v>
      </c>
      <c r="Q8" s="221">
        <f t="shared" si="1"/>
        <v>0</v>
      </c>
      <c r="R8" s="221">
        <f t="shared" si="2"/>
        <v>-10.79</v>
      </c>
      <c r="S8" s="221">
        <f t="shared" si="3"/>
        <v>0</v>
      </c>
      <c r="T8" s="231">
        <f>[2]GNA!X19</f>
        <v>0</v>
      </c>
      <c r="U8" s="221">
        <f t="shared" si="4"/>
        <v>0</v>
      </c>
      <c r="V8" s="221">
        <f t="shared" si="5"/>
        <v>856.68</v>
      </c>
    </row>
    <row r="9" s="221" customFormat="1" ht="16.5" spans="1:22">
      <c r="A9" s="227">
        <f>'[2]DP-DATA'!B9</f>
        <v>0.0729166666666667</v>
      </c>
      <c r="B9" s="221">
        <f>'[2]DP-DATA'!C9</f>
        <v>2903.1</v>
      </c>
      <c r="C9" s="221">
        <f>[2]CGS!C12</f>
        <v>495.69</v>
      </c>
      <c r="D9" s="221">
        <f>'[2]ipp- thermal'!I9</f>
        <v>1019.28</v>
      </c>
      <c r="E9" s="228">
        <f>'[2]DP-DATA'!N9</f>
        <v>6668.95</v>
      </c>
      <c r="F9" s="221">
        <f>'[2]DP-DATA'!G9</f>
        <v>153.7</v>
      </c>
      <c r="G9" s="229">
        <f>[2]IEX!G18</f>
        <v>0</v>
      </c>
      <c r="H9" s="221">
        <f>[2]iex.urs.od!C9</f>
        <v>0</v>
      </c>
      <c r="I9" s="231">
        <f>'[2]DP-DATA'!J9</f>
        <v>0</v>
      </c>
      <c r="J9" s="231">
        <f>'[2]DP-DATA'!K9-T9</f>
        <v>0</v>
      </c>
      <c r="K9" s="221">
        <f>'[2]scada daily'!D11</f>
        <v>66.22</v>
      </c>
      <c r="L9" s="221">
        <f>'[2]DP-DATA'!H9</f>
        <v>622.24</v>
      </c>
      <c r="M9" s="221">
        <f>[2]solar!D9</f>
        <v>0</v>
      </c>
      <c r="N9" s="232">
        <f>[2]RTM!G19</f>
        <v>856.67</v>
      </c>
      <c r="O9" s="221">
        <f>'[2]scada daily'!C11</f>
        <v>50.03</v>
      </c>
      <c r="P9" s="221">
        <f t="shared" si="0"/>
        <v>0</v>
      </c>
      <c r="Q9" s="221">
        <f t="shared" si="1"/>
        <v>66.22</v>
      </c>
      <c r="R9" s="221">
        <f t="shared" si="2"/>
        <v>0</v>
      </c>
      <c r="S9" s="221">
        <f t="shared" si="3"/>
        <v>0</v>
      </c>
      <c r="T9" s="231">
        <f>[2]GNA!X20</f>
        <v>0</v>
      </c>
      <c r="U9" s="221">
        <f t="shared" si="4"/>
        <v>0</v>
      </c>
      <c r="V9" s="221">
        <f t="shared" si="5"/>
        <v>856.67</v>
      </c>
    </row>
    <row r="10" s="221" customFormat="1" ht="16.5" spans="1:22">
      <c r="A10" s="227">
        <f>'[2]DP-DATA'!B10</f>
        <v>0.0833333333333333</v>
      </c>
      <c r="B10" s="221">
        <f>'[2]DP-DATA'!C10</f>
        <v>2912.17</v>
      </c>
      <c r="C10" s="221">
        <f>[2]CGS!C13</f>
        <v>495.69</v>
      </c>
      <c r="D10" s="221">
        <f>'[2]ipp- thermal'!I10</f>
        <v>1008.39</v>
      </c>
      <c r="E10" s="228">
        <f>'[2]DP-DATA'!N10</f>
        <v>6605.17</v>
      </c>
      <c r="F10" s="221">
        <f>'[2]DP-DATA'!G10</f>
        <v>181.48</v>
      </c>
      <c r="G10" s="229">
        <f>[2]IEX!G19</f>
        <v>0</v>
      </c>
      <c r="H10" s="221">
        <f>[2]iex.urs.od!C10</f>
        <v>0</v>
      </c>
      <c r="I10" s="231">
        <f>'[2]DP-DATA'!J10</f>
        <v>0</v>
      </c>
      <c r="J10" s="231">
        <f>'[2]DP-DATA'!K10-T10</f>
        <v>0</v>
      </c>
      <c r="K10" s="221">
        <f>'[2]scada daily'!D12</f>
        <v>-79.6</v>
      </c>
      <c r="L10" s="221">
        <f>'[2]DP-DATA'!H10</f>
        <v>584.73</v>
      </c>
      <c r="M10" s="221">
        <f>[2]solar!D10</f>
        <v>0</v>
      </c>
      <c r="N10" s="232">
        <f>[2]RTM!G20</f>
        <v>951.86</v>
      </c>
      <c r="O10" s="221">
        <f>'[2]scada daily'!C12</f>
        <v>50.02</v>
      </c>
      <c r="P10" s="221">
        <f t="shared" si="0"/>
        <v>0</v>
      </c>
      <c r="Q10" s="221">
        <f t="shared" si="1"/>
        <v>0</v>
      </c>
      <c r="R10" s="221">
        <f t="shared" si="2"/>
        <v>-79.6</v>
      </c>
      <c r="S10" s="221">
        <f t="shared" si="3"/>
        <v>0</v>
      </c>
      <c r="T10" s="231">
        <f>[2]GNA!X21</f>
        <v>0</v>
      </c>
      <c r="U10" s="221">
        <f t="shared" si="4"/>
        <v>0</v>
      </c>
      <c r="V10" s="221">
        <f t="shared" si="5"/>
        <v>951.86</v>
      </c>
    </row>
    <row r="11" s="221" customFormat="1" ht="16.5" spans="1:22">
      <c r="A11" s="227">
        <f>'[2]DP-DATA'!B11</f>
        <v>0.09375</v>
      </c>
      <c r="B11" s="221">
        <f>'[2]DP-DATA'!C11</f>
        <v>2916.93</v>
      </c>
      <c r="C11" s="221">
        <f>[2]CGS!C14</f>
        <v>495.69</v>
      </c>
      <c r="D11" s="221">
        <f>'[2]ipp- thermal'!I11</f>
        <v>1011.33</v>
      </c>
      <c r="E11" s="228">
        <f>'[2]DP-DATA'!N11</f>
        <v>6572.42</v>
      </c>
      <c r="F11" s="221">
        <f>'[2]DP-DATA'!G11</f>
        <v>137.59</v>
      </c>
      <c r="G11" s="229">
        <f>[2]IEX!G20</f>
        <v>0</v>
      </c>
      <c r="H11" s="221">
        <f>[2]iex.urs.od!C11</f>
        <v>0</v>
      </c>
      <c r="I11" s="231">
        <f>'[2]DP-DATA'!J11</f>
        <v>0</v>
      </c>
      <c r="J11" s="231">
        <f>'[2]DP-DATA'!K11-T11</f>
        <v>0</v>
      </c>
      <c r="K11" s="221">
        <f>'[2]scada daily'!D13</f>
        <v>-33.92</v>
      </c>
      <c r="L11" s="221">
        <f>'[2]DP-DATA'!H11</f>
        <v>539.05</v>
      </c>
      <c r="M11" s="221">
        <f>[2]solar!D11</f>
        <v>0</v>
      </c>
      <c r="N11" s="232">
        <f>[2]RTM!G21</f>
        <v>951.86</v>
      </c>
      <c r="O11" s="221">
        <f>'[2]scada daily'!C13</f>
        <v>49.99</v>
      </c>
      <c r="P11" s="221">
        <f t="shared" si="0"/>
        <v>0</v>
      </c>
      <c r="Q11" s="221">
        <f t="shared" si="1"/>
        <v>0</v>
      </c>
      <c r="R11" s="221">
        <f t="shared" si="2"/>
        <v>-33.92</v>
      </c>
      <c r="S11" s="221">
        <f t="shared" si="3"/>
        <v>0</v>
      </c>
      <c r="T11" s="231">
        <f>[2]GNA!X22</f>
        <v>0</v>
      </c>
      <c r="U11" s="221">
        <f t="shared" si="4"/>
        <v>0</v>
      </c>
      <c r="V11" s="221">
        <f t="shared" si="5"/>
        <v>951.86</v>
      </c>
    </row>
    <row r="12" s="221" customFormat="1" ht="16.5" spans="1:22">
      <c r="A12" s="227">
        <f>'[2]DP-DATA'!B12</f>
        <v>0.104166666666667</v>
      </c>
      <c r="B12" s="221">
        <f>'[2]DP-DATA'!C12</f>
        <v>2926.05</v>
      </c>
      <c r="C12" s="221">
        <f>[2]CGS!C15</f>
        <v>495.69</v>
      </c>
      <c r="D12" s="221">
        <f>'[2]ipp- thermal'!I12</f>
        <v>1010.89</v>
      </c>
      <c r="E12" s="228">
        <f>'[2]DP-DATA'!N12</f>
        <v>6594.23</v>
      </c>
      <c r="F12" s="221">
        <f>'[2]DP-DATA'!G12</f>
        <v>134.24</v>
      </c>
      <c r="G12" s="229">
        <f>[2]IEX!G21</f>
        <v>0</v>
      </c>
      <c r="H12" s="221">
        <f>[2]iex.urs.od!C12</f>
        <v>0</v>
      </c>
      <c r="I12" s="231">
        <f>'[2]DP-DATA'!J12</f>
        <v>0</v>
      </c>
      <c r="J12" s="231">
        <f>'[2]DP-DATA'!K12-T12</f>
        <v>0</v>
      </c>
      <c r="K12" s="221">
        <f>'[2]scada daily'!D14</f>
        <v>24.62</v>
      </c>
      <c r="L12" s="221">
        <f>'[2]DP-DATA'!H12</f>
        <v>498.16</v>
      </c>
      <c r="M12" s="221">
        <f>[2]solar!D12</f>
        <v>0</v>
      </c>
      <c r="N12" s="232">
        <f>[2]RTM!G22</f>
        <v>951.86</v>
      </c>
      <c r="O12" s="221">
        <f>'[2]scada daily'!C14</f>
        <v>50</v>
      </c>
      <c r="P12" s="221">
        <f t="shared" si="0"/>
        <v>0</v>
      </c>
      <c r="Q12" s="221">
        <f t="shared" si="1"/>
        <v>24.62</v>
      </c>
      <c r="R12" s="221">
        <f t="shared" si="2"/>
        <v>0</v>
      </c>
      <c r="S12" s="221">
        <f t="shared" si="3"/>
        <v>0</v>
      </c>
      <c r="T12" s="231">
        <f>[2]GNA!X23</f>
        <v>0</v>
      </c>
      <c r="U12" s="221">
        <f t="shared" si="4"/>
        <v>0</v>
      </c>
      <c r="V12" s="221">
        <f t="shared" si="5"/>
        <v>951.86</v>
      </c>
    </row>
    <row r="13" s="221" customFormat="1" ht="16.5" spans="1:22">
      <c r="A13" s="227">
        <f>'[2]DP-DATA'!B13</f>
        <v>0.114583333333333</v>
      </c>
      <c r="B13" s="221">
        <f>'[2]DP-DATA'!C13</f>
        <v>2921.47</v>
      </c>
      <c r="C13" s="221">
        <f>[2]CGS!C16</f>
        <v>495.69</v>
      </c>
      <c r="D13" s="221">
        <f>'[2]ipp- thermal'!I13</f>
        <v>1010.98</v>
      </c>
      <c r="E13" s="228">
        <f>'[2]DP-DATA'!N13</f>
        <v>6568.3</v>
      </c>
      <c r="F13" s="221">
        <f>'[2]DP-DATA'!G13</f>
        <v>134.45</v>
      </c>
      <c r="G13" s="229">
        <f>[2]IEX!G22</f>
        <v>0</v>
      </c>
      <c r="H13" s="221">
        <f>[2]iex.urs.od!C13</f>
        <v>0</v>
      </c>
      <c r="I13" s="231">
        <f>'[2]DP-DATA'!J13</f>
        <v>0</v>
      </c>
      <c r="J13" s="231">
        <f>'[2]DP-DATA'!K13-T13</f>
        <v>0</v>
      </c>
      <c r="K13" s="221">
        <f>'[2]scada daily'!D15</f>
        <v>39.24</v>
      </c>
      <c r="L13" s="221">
        <f>'[2]DP-DATA'!H13</f>
        <v>457.62</v>
      </c>
      <c r="M13" s="221">
        <f>[2]solar!D13</f>
        <v>0</v>
      </c>
      <c r="N13" s="232">
        <f>[2]RTM!G23</f>
        <v>951.85</v>
      </c>
      <c r="O13" s="221">
        <f>'[2]scada daily'!C15</f>
        <v>49.98</v>
      </c>
      <c r="P13" s="221">
        <f t="shared" si="0"/>
        <v>0</v>
      </c>
      <c r="Q13" s="221">
        <f t="shared" si="1"/>
        <v>39.24</v>
      </c>
      <c r="R13" s="221">
        <f t="shared" si="2"/>
        <v>0</v>
      </c>
      <c r="S13" s="221">
        <f t="shared" si="3"/>
        <v>0</v>
      </c>
      <c r="T13" s="231">
        <f>[2]GNA!X24</f>
        <v>0</v>
      </c>
      <c r="U13" s="221">
        <f t="shared" si="4"/>
        <v>0</v>
      </c>
      <c r="V13" s="221">
        <f t="shared" si="5"/>
        <v>951.85</v>
      </c>
    </row>
    <row r="14" s="221" customFormat="1" ht="16.5" spans="1:22">
      <c r="A14" s="227">
        <f>'[2]DP-DATA'!B14</f>
        <v>0.125</v>
      </c>
      <c r="B14" s="221">
        <f>'[2]DP-DATA'!C14</f>
        <v>2917.63</v>
      </c>
      <c r="C14" s="221">
        <f>[2]CGS!C17</f>
        <v>493.75</v>
      </c>
      <c r="D14" s="221">
        <f>'[2]ipp- thermal'!I14</f>
        <v>1014.13</v>
      </c>
      <c r="E14" s="228">
        <f>'[2]DP-DATA'!N14</f>
        <v>6602.05</v>
      </c>
      <c r="F14" s="221">
        <f>'[2]DP-DATA'!G14</f>
        <v>134.67</v>
      </c>
      <c r="G14" s="229">
        <f>[2]IEX!G23</f>
        <v>0</v>
      </c>
      <c r="H14" s="221">
        <f>[2]iex.urs.od!C14</f>
        <v>0</v>
      </c>
      <c r="I14" s="231">
        <f>'[2]DP-DATA'!J14</f>
        <v>0</v>
      </c>
      <c r="J14" s="231">
        <f>'[2]DP-DATA'!K14-T14</f>
        <v>0</v>
      </c>
      <c r="K14" s="221">
        <f>'[2]scada daily'!D16</f>
        <v>44.96</v>
      </c>
      <c r="L14" s="221">
        <f>'[2]DP-DATA'!H14</f>
        <v>399.4</v>
      </c>
      <c r="M14" s="221">
        <f>[2]solar!D14</f>
        <v>0</v>
      </c>
      <c r="N14" s="232">
        <f>[2]RTM!G24</f>
        <v>1047.05</v>
      </c>
      <c r="O14" s="221">
        <f>'[2]scada daily'!C16</f>
        <v>49.97</v>
      </c>
      <c r="P14" s="221">
        <f t="shared" si="0"/>
        <v>0</v>
      </c>
      <c r="Q14" s="221">
        <f t="shared" si="1"/>
        <v>44.96</v>
      </c>
      <c r="R14" s="221">
        <f t="shared" si="2"/>
        <v>0</v>
      </c>
      <c r="S14" s="221">
        <f t="shared" si="3"/>
        <v>0</v>
      </c>
      <c r="T14" s="231">
        <f>[2]GNA!X25</f>
        <v>0</v>
      </c>
      <c r="U14" s="221">
        <f t="shared" si="4"/>
        <v>0</v>
      </c>
      <c r="V14" s="221">
        <f t="shared" si="5"/>
        <v>1047.05</v>
      </c>
    </row>
    <row r="15" s="221" customFormat="1" ht="16.5" spans="1:22">
      <c r="A15" s="227">
        <f>'[2]DP-DATA'!B15</f>
        <v>0.135416666666667</v>
      </c>
      <c r="B15" s="221">
        <f>'[2]DP-DATA'!C15</f>
        <v>2940.23</v>
      </c>
      <c r="C15" s="221">
        <f>[2]CGS!C18</f>
        <v>493.75</v>
      </c>
      <c r="D15" s="221">
        <f>'[2]ipp- thermal'!I15</f>
        <v>1015.88</v>
      </c>
      <c r="E15" s="228">
        <f>'[2]DP-DATA'!N15</f>
        <v>6670.43</v>
      </c>
      <c r="F15" s="221">
        <f>'[2]DP-DATA'!G15</f>
        <v>186.19</v>
      </c>
      <c r="G15" s="229">
        <f>[2]IEX!G24</f>
        <v>0</v>
      </c>
      <c r="H15" s="221">
        <f>[2]iex.urs.od!C15</f>
        <v>0</v>
      </c>
      <c r="I15" s="231">
        <f>'[2]DP-DATA'!J15</f>
        <v>0</v>
      </c>
      <c r="J15" s="231">
        <f>'[2]DP-DATA'!K15-T15</f>
        <v>0</v>
      </c>
      <c r="K15" s="221">
        <f>'[2]scada daily'!D17</f>
        <v>-6.18</v>
      </c>
      <c r="L15" s="221">
        <f>'[2]DP-DATA'!H15</f>
        <v>359.95</v>
      </c>
      <c r="M15" s="221">
        <f>[2]solar!D15</f>
        <v>0</v>
      </c>
      <c r="N15" s="232">
        <f>[2]RTM!G25</f>
        <v>1142.24</v>
      </c>
      <c r="O15" s="221">
        <f>'[2]scada daily'!C17</f>
        <v>49.97</v>
      </c>
      <c r="P15" s="221">
        <f t="shared" si="0"/>
        <v>0</v>
      </c>
      <c r="Q15" s="221">
        <f t="shared" si="1"/>
        <v>0</v>
      </c>
      <c r="R15" s="221">
        <f t="shared" si="2"/>
        <v>-6.18</v>
      </c>
      <c r="S15" s="221">
        <f t="shared" si="3"/>
        <v>0</v>
      </c>
      <c r="T15" s="231">
        <f>[2]GNA!X26</f>
        <v>0</v>
      </c>
      <c r="U15" s="221">
        <f t="shared" si="4"/>
        <v>0</v>
      </c>
      <c r="V15" s="221">
        <f t="shared" si="5"/>
        <v>1142.24</v>
      </c>
    </row>
    <row r="16" s="221" customFormat="1" ht="16.5" spans="1:22">
      <c r="A16" s="227">
        <f>'[2]DP-DATA'!B16</f>
        <v>0.145833333333333</v>
      </c>
      <c r="B16" s="221">
        <f>'[2]DP-DATA'!C16</f>
        <v>2936.21</v>
      </c>
      <c r="C16" s="221">
        <f>[2]CGS!C19</f>
        <v>515.37</v>
      </c>
      <c r="D16" s="221">
        <f>'[2]ipp- thermal'!I16</f>
        <v>1012.9</v>
      </c>
      <c r="E16" s="228">
        <f>'[2]DP-DATA'!N16</f>
        <v>6634.03</v>
      </c>
      <c r="F16" s="221">
        <f>'[2]DP-DATA'!G16</f>
        <v>187.24</v>
      </c>
      <c r="G16" s="229">
        <f>[2]IEX!G25</f>
        <v>0</v>
      </c>
      <c r="H16" s="221">
        <f>[2]iex.urs.od!C16</f>
        <v>0</v>
      </c>
      <c r="I16" s="231">
        <f>'[2]DP-DATA'!J16</f>
        <v>0</v>
      </c>
      <c r="J16" s="231">
        <f>'[2]DP-DATA'!K16-T16</f>
        <v>0</v>
      </c>
      <c r="K16" s="221">
        <f>'[2]scada daily'!D18</f>
        <v>45.05</v>
      </c>
      <c r="L16" s="221">
        <f>'[2]DP-DATA'!H16</f>
        <v>348.33</v>
      </c>
      <c r="M16" s="221">
        <f>[2]solar!D16</f>
        <v>0</v>
      </c>
      <c r="N16" s="232">
        <f>[2]RTM!G26</f>
        <v>1047.06</v>
      </c>
      <c r="O16" s="221">
        <f>'[2]scada daily'!C18</f>
        <v>49.98</v>
      </c>
      <c r="P16" s="221">
        <f t="shared" si="0"/>
        <v>0</v>
      </c>
      <c r="Q16" s="221">
        <f t="shared" si="1"/>
        <v>45.05</v>
      </c>
      <c r="R16" s="221">
        <f t="shared" si="2"/>
        <v>0</v>
      </c>
      <c r="S16" s="221">
        <f t="shared" si="3"/>
        <v>0</v>
      </c>
      <c r="T16" s="231">
        <f>[2]GNA!X27</f>
        <v>0</v>
      </c>
      <c r="U16" s="221">
        <f t="shared" si="4"/>
        <v>0</v>
      </c>
      <c r="V16" s="221">
        <f t="shared" si="5"/>
        <v>1047.06</v>
      </c>
    </row>
    <row r="17" s="221" customFormat="1" ht="16.5" spans="1:22">
      <c r="A17" s="227">
        <f>'[2]DP-DATA'!B17</f>
        <v>0.15625</v>
      </c>
      <c r="B17" s="221">
        <f>'[2]DP-DATA'!C17</f>
        <v>2953.96</v>
      </c>
      <c r="C17" s="221">
        <f>[2]CGS!C20</f>
        <v>515.37</v>
      </c>
      <c r="D17" s="221">
        <f>'[2]ipp- thermal'!I17</f>
        <v>1058.12</v>
      </c>
      <c r="E17" s="228">
        <f>'[2]DP-DATA'!N17</f>
        <v>6708.72</v>
      </c>
      <c r="F17" s="221">
        <f>'[2]DP-DATA'!G17</f>
        <v>186.74</v>
      </c>
      <c r="G17" s="229">
        <f>[2]IEX!G26</f>
        <v>0</v>
      </c>
      <c r="H17" s="221">
        <f>[2]iex.urs.od!C17</f>
        <v>0</v>
      </c>
      <c r="I17" s="231">
        <f>'[2]DP-DATA'!J17</f>
        <v>0</v>
      </c>
      <c r="J17" s="231">
        <f>'[2]DP-DATA'!K17-T17</f>
        <v>0</v>
      </c>
      <c r="K17" s="221">
        <f>'[2]scada daily'!D19</f>
        <v>90.69</v>
      </c>
      <c r="L17" s="221">
        <f>'[2]DP-DATA'!H17</f>
        <v>361.25</v>
      </c>
      <c r="M17" s="221">
        <f>[2]solar!D17</f>
        <v>0</v>
      </c>
      <c r="N17" s="232">
        <f>[2]RTM!G27</f>
        <v>1047.06</v>
      </c>
      <c r="O17" s="221">
        <f>'[2]scada daily'!C19</f>
        <v>50</v>
      </c>
      <c r="P17" s="221">
        <f t="shared" si="0"/>
        <v>0</v>
      </c>
      <c r="Q17" s="221">
        <f t="shared" si="1"/>
        <v>90.69</v>
      </c>
      <c r="R17" s="221">
        <f t="shared" si="2"/>
        <v>0</v>
      </c>
      <c r="S17" s="221">
        <f t="shared" si="3"/>
        <v>0</v>
      </c>
      <c r="T17" s="231">
        <f>[2]GNA!X28</f>
        <v>0</v>
      </c>
      <c r="U17" s="221">
        <f t="shared" si="4"/>
        <v>0</v>
      </c>
      <c r="V17" s="221">
        <f t="shared" si="5"/>
        <v>1047.06</v>
      </c>
    </row>
    <row r="18" s="221" customFormat="1" ht="16.5" spans="1:22">
      <c r="A18" s="227">
        <f>'[2]DP-DATA'!B18</f>
        <v>0.166666666666667</v>
      </c>
      <c r="B18" s="221">
        <f>'[2]DP-DATA'!C18</f>
        <v>2936.63</v>
      </c>
      <c r="C18" s="221">
        <f>[2]CGS!C21</f>
        <v>520.37</v>
      </c>
      <c r="D18" s="221">
        <f>'[2]ipp- thermal'!I18</f>
        <v>1211.63</v>
      </c>
      <c r="E18" s="228">
        <f>'[2]DP-DATA'!N18</f>
        <v>6840.21</v>
      </c>
      <c r="F18" s="221">
        <f>'[2]DP-DATA'!G18</f>
        <v>184.98</v>
      </c>
      <c r="G18" s="229">
        <f>[2]IEX!G27</f>
        <v>0</v>
      </c>
      <c r="H18" s="221">
        <f>[2]iex.urs.od!C18</f>
        <v>0</v>
      </c>
      <c r="I18" s="231">
        <f>'[2]DP-DATA'!J18</f>
        <v>0</v>
      </c>
      <c r="J18" s="231">
        <f>'[2]DP-DATA'!K18-T18</f>
        <v>0</v>
      </c>
      <c r="K18" s="221">
        <f>'[2]scada daily'!D20</f>
        <v>136.39</v>
      </c>
      <c r="L18" s="221">
        <f>'[2]DP-DATA'!H18</f>
        <v>359.8</v>
      </c>
      <c r="M18" s="221">
        <f>[2]solar!D18</f>
        <v>0</v>
      </c>
      <c r="N18" s="232">
        <f>[2]RTM!G28</f>
        <v>1047.06</v>
      </c>
      <c r="O18" s="221">
        <f>'[2]scada daily'!C20</f>
        <v>50</v>
      </c>
      <c r="P18" s="221">
        <f t="shared" si="0"/>
        <v>0</v>
      </c>
      <c r="Q18" s="221">
        <f t="shared" si="1"/>
        <v>136.39</v>
      </c>
      <c r="R18" s="221">
        <f t="shared" si="2"/>
        <v>0</v>
      </c>
      <c r="S18" s="221">
        <f t="shared" si="3"/>
        <v>0</v>
      </c>
      <c r="T18" s="231">
        <f>[2]GNA!X29</f>
        <v>0</v>
      </c>
      <c r="U18" s="221">
        <f t="shared" si="4"/>
        <v>0</v>
      </c>
      <c r="V18" s="221">
        <f t="shared" si="5"/>
        <v>1047.06</v>
      </c>
    </row>
    <row r="19" s="221" customFormat="1" ht="16.5" spans="1:22">
      <c r="A19" s="227">
        <f>'[2]DP-DATA'!B19</f>
        <v>0.177083333333333</v>
      </c>
      <c r="B19" s="221">
        <f>'[2]DP-DATA'!C19</f>
        <v>2953.92</v>
      </c>
      <c r="C19" s="221">
        <f>[2]CGS!C22</f>
        <v>520.37</v>
      </c>
      <c r="D19" s="221">
        <f>'[2]ipp- thermal'!I19</f>
        <v>1262.96</v>
      </c>
      <c r="E19" s="228">
        <f>'[2]DP-DATA'!N19</f>
        <v>6975.69</v>
      </c>
      <c r="F19" s="221">
        <f>'[2]DP-DATA'!G19</f>
        <v>183.47</v>
      </c>
      <c r="G19" s="229">
        <f>[2]IEX!G28</f>
        <v>0</v>
      </c>
      <c r="H19" s="221">
        <f>[2]iex.urs.od!C19</f>
        <v>0</v>
      </c>
      <c r="I19" s="231">
        <f>'[2]DP-DATA'!J19</f>
        <v>0</v>
      </c>
      <c r="J19" s="231">
        <f>'[2]DP-DATA'!K19-T19</f>
        <v>0</v>
      </c>
      <c r="K19" s="221">
        <f>'[2]scada daily'!D21</f>
        <v>167.45</v>
      </c>
      <c r="L19" s="221">
        <f>'[2]DP-DATA'!H19</f>
        <v>349.36</v>
      </c>
      <c r="M19" s="221">
        <f>[2]solar!D19</f>
        <v>0</v>
      </c>
      <c r="N19" s="232">
        <f>[2]RTM!G29</f>
        <v>1142.27</v>
      </c>
      <c r="O19" s="221">
        <f>'[2]scada daily'!C21</f>
        <v>50.02</v>
      </c>
      <c r="P19" s="221">
        <f t="shared" si="0"/>
        <v>0</v>
      </c>
      <c r="Q19" s="221">
        <f t="shared" si="1"/>
        <v>167.45</v>
      </c>
      <c r="R19" s="221">
        <f t="shared" si="2"/>
        <v>0</v>
      </c>
      <c r="S19" s="221">
        <f t="shared" si="3"/>
        <v>0</v>
      </c>
      <c r="T19" s="231">
        <f>[2]GNA!X30</f>
        <v>0</v>
      </c>
      <c r="U19" s="221">
        <f t="shared" si="4"/>
        <v>0</v>
      </c>
      <c r="V19" s="221">
        <f t="shared" si="5"/>
        <v>1142.27</v>
      </c>
    </row>
    <row r="20" s="221" customFormat="1" ht="16.5" spans="1:22">
      <c r="A20" s="227">
        <f>'[2]DP-DATA'!B20</f>
        <v>0.1875</v>
      </c>
      <c r="B20" s="221">
        <f>'[2]DP-DATA'!C20</f>
        <v>3026.37</v>
      </c>
      <c r="C20" s="221">
        <f>[2]CGS!C23</f>
        <v>895.34</v>
      </c>
      <c r="D20" s="221">
        <f>'[2]ipp- thermal'!I20</f>
        <v>1263.52</v>
      </c>
      <c r="E20" s="228">
        <f>'[2]DP-DATA'!N20</f>
        <v>7027.6</v>
      </c>
      <c r="F20" s="221">
        <f>'[2]DP-DATA'!G20</f>
        <v>180.89</v>
      </c>
      <c r="G20" s="229">
        <f>[2]IEX!G29</f>
        <v>0</v>
      </c>
      <c r="H20" s="221">
        <f>[2]iex.urs.od!C20</f>
        <v>0</v>
      </c>
      <c r="I20" s="231">
        <f>'[2]DP-DATA'!J20</f>
        <v>0</v>
      </c>
      <c r="J20" s="231">
        <f>'[2]DP-DATA'!K20-T20</f>
        <v>0</v>
      </c>
      <c r="K20" s="221">
        <f>'[2]scada daily'!D22</f>
        <v>-162.93</v>
      </c>
      <c r="L20" s="221">
        <f>'[2]DP-DATA'!H20</f>
        <v>327.93</v>
      </c>
      <c r="M20" s="221">
        <f>[2]solar!D20</f>
        <v>0</v>
      </c>
      <c r="N20" s="232">
        <f>[2]RTM!G30</f>
        <v>1142.28</v>
      </c>
      <c r="O20" s="221">
        <f>'[2]scada daily'!C22</f>
        <v>50.03</v>
      </c>
      <c r="P20" s="221">
        <f t="shared" si="0"/>
        <v>0</v>
      </c>
      <c r="Q20" s="221">
        <f t="shared" si="1"/>
        <v>0</v>
      </c>
      <c r="R20" s="221">
        <f t="shared" si="2"/>
        <v>-162.93</v>
      </c>
      <c r="S20" s="221">
        <f t="shared" si="3"/>
        <v>0</v>
      </c>
      <c r="T20" s="231">
        <f>[2]GNA!X31</f>
        <v>0</v>
      </c>
      <c r="U20" s="221">
        <f t="shared" si="4"/>
        <v>0</v>
      </c>
      <c r="V20" s="221">
        <f t="shared" si="5"/>
        <v>1142.28</v>
      </c>
    </row>
    <row r="21" s="221" customFormat="1" ht="16.5" spans="1:22">
      <c r="A21" s="227">
        <f>'[2]DP-DATA'!B21</f>
        <v>0.197916666666667</v>
      </c>
      <c r="B21" s="221">
        <f>'[2]DP-DATA'!C21</f>
        <v>3038.83</v>
      </c>
      <c r="C21" s="221">
        <f>[2]CGS!C24</f>
        <v>940.18</v>
      </c>
      <c r="D21" s="221">
        <f>'[2]ipp- thermal'!I21</f>
        <v>1266.11</v>
      </c>
      <c r="E21" s="228">
        <f>'[2]DP-DATA'!N21</f>
        <v>7115.88</v>
      </c>
      <c r="F21" s="221">
        <f>'[2]DP-DATA'!G21</f>
        <v>144.95</v>
      </c>
      <c r="G21" s="229">
        <f>[2]IEX!G30</f>
        <v>0</v>
      </c>
      <c r="H21" s="221">
        <f>[2]iex.urs.od!C21</f>
        <v>0</v>
      </c>
      <c r="I21" s="231">
        <f>'[2]DP-DATA'!J21</f>
        <v>0</v>
      </c>
      <c r="J21" s="231">
        <f>'[2]DP-DATA'!K21-T21</f>
        <v>0</v>
      </c>
      <c r="K21" s="221">
        <f>'[2]scada daily'!D23</f>
        <v>-93.64</v>
      </c>
      <c r="L21" s="221">
        <f>'[2]DP-DATA'!H21</f>
        <v>318.46</v>
      </c>
      <c r="M21" s="221">
        <f>[2]solar!D21</f>
        <v>0</v>
      </c>
      <c r="N21" s="232">
        <f>[2]RTM!G31</f>
        <v>1142.28</v>
      </c>
      <c r="O21" s="221">
        <f>'[2]scada daily'!C23</f>
        <v>50.03</v>
      </c>
      <c r="P21" s="221">
        <f t="shared" si="0"/>
        <v>0</v>
      </c>
      <c r="Q21" s="221">
        <f t="shared" si="1"/>
        <v>0</v>
      </c>
      <c r="R21" s="221">
        <f t="shared" si="2"/>
        <v>-93.64</v>
      </c>
      <c r="S21" s="221">
        <f t="shared" si="3"/>
        <v>0</v>
      </c>
      <c r="T21" s="231">
        <f>[2]GNA!X32</f>
        <v>0</v>
      </c>
      <c r="U21" s="221">
        <f t="shared" si="4"/>
        <v>0</v>
      </c>
      <c r="V21" s="221">
        <f t="shared" si="5"/>
        <v>1142.28</v>
      </c>
    </row>
    <row r="22" s="221" customFormat="1" ht="16.5" spans="1:22">
      <c r="A22" s="227">
        <f>'[2]DP-DATA'!B22</f>
        <v>0.208333333333333</v>
      </c>
      <c r="B22" s="221">
        <f>'[2]DP-DATA'!C22</f>
        <v>3065.95</v>
      </c>
      <c r="C22" s="221">
        <f>[2]CGS!C25</f>
        <v>1143.27</v>
      </c>
      <c r="D22" s="221">
        <f>'[2]ipp- thermal'!I22</f>
        <v>1272.94</v>
      </c>
      <c r="E22" s="228">
        <f>'[2]DP-DATA'!N22</f>
        <v>7285.92</v>
      </c>
      <c r="F22" s="221">
        <f>'[2]DP-DATA'!G22</f>
        <v>120.02</v>
      </c>
      <c r="G22" s="229">
        <f>[2]IEX!G31</f>
        <v>0</v>
      </c>
      <c r="H22" s="221">
        <f>[2]iex.urs.od!C22</f>
        <v>0</v>
      </c>
      <c r="I22" s="231">
        <f>'[2]DP-DATA'!J22</f>
        <v>0</v>
      </c>
      <c r="J22" s="231">
        <f>'[2]DP-DATA'!K22-T22</f>
        <v>0</v>
      </c>
      <c r="K22" s="221">
        <f>'[2]scada daily'!D24</f>
        <v>104.22</v>
      </c>
      <c r="L22" s="221">
        <f>'[2]DP-DATA'!H22</f>
        <v>311.42</v>
      </c>
      <c r="M22" s="221">
        <f>[2]solar!D22</f>
        <v>0</v>
      </c>
      <c r="N22" s="232">
        <f>[2]RTM!G32</f>
        <v>970.93</v>
      </c>
      <c r="O22" s="221">
        <f>'[2]scada daily'!C24</f>
        <v>50.01</v>
      </c>
      <c r="P22" s="221">
        <f t="shared" si="0"/>
        <v>0</v>
      </c>
      <c r="Q22" s="221">
        <f t="shared" si="1"/>
        <v>104.22</v>
      </c>
      <c r="R22" s="221">
        <f t="shared" si="2"/>
        <v>0</v>
      </c>
      <c r="S22" s="221">
        <f t="shared" si="3"/>
        <v>0</v>
      </c>
      <c r="T22" s="231">
        <f>[2]GNA!X33</f>
        <v>0</v>
      </c>
      <c r="U22" s="221">
        <f t="shared" si="4"/>
        <v>0</v>
      </c>
      <c r="V22" s="221">
        <f t="shared" si="5"/>
        <v>970.93</v>
      </c>
    </row>
    <row r="23" s="221" customFormat="1" ht="16.5" spans="1:22">
      <c r="A23" s="227">
        <f>'[2]DP-DATA'!B23</f>
        <v>0.21875</v>
      </c>
      <c r="B23" s="221">
        <f>'[2]DP-DATA'!C23</f>
        <v>3089.93</v>
      </c>
      <c r="C23" s="221">
        <f>[2]CGS!C26</f>
        <v>1186.8</v>
      </c>
      <c r="D23" s="221">
        <f>'[2]ipp- thermal'!I23</f>
        <v>1384.66</v>
      </c>
      <c r="E23" s="228">
        <f>'[2]DP-DATA'!N23</f>
        <v>7488.92</v>
      </c>
      <c r="F23" s="221">
        <f>'[2]DP-DATA'!G23</f>
        <v>118.78</v>
      </c>
      <c r="G23" s="229">
        <f>[2]IEX!G32</f>
        <v>190.37</v>
      </c>
      <c r="H23" s="221">
        <f>[2]iex.urs.od!C23</f>
        <v>0</v>
      </c>
      <c r="I23" s="231">
        <f>'[2]DP-DATA'!J23</f>
        <v>0</v>
      </c>
      <c r="J23" s="231">
        <f>'[2]DP-DATA'!K23-T23</f>
        <v>0</v>
      </c>
      <c r="K23" s="221">
        <f>'[2]scada daily'!D25</f>
        <v>67.45</v>
      </c>
      <c r="L23" s="221">
        <f>'[2]DP-DATA'!H23</f>
        <v>309.63</v>
      </c>
      <c r="M23" s="221">
        <f>[2]solar!D23</f>
        <v>0</v>
      </c>
      <c r="N23" s="232">
        <f>[2]RTM!G33</f>
        <v>894.78</v>
      </c>
      <c r="O23" s="221">
        <f>'[2]scada daily'!C25</f>
        <v>50</v>
      </c>
      <c r="P23" s="221">
        <f t="shared" si="0"/>
        <v>0</v>
      </c>
      <c r="Q23" s="221">
        <f t="shared" si="1"/>
        <v>67.45</v>
      </c>
      <c r="R23" s="221">
        <f t="shared" si="2"/>
        <v>0</v>
      </c>
      <c r="S23" s="221">
        <f t="shared" si="3"/>
        <v>0</v>
      </c>
      <c r="T23" s="231">
        <f>[2]GNA!X34</f>
        <v>0</v>
      </c>
      <c r="U23" s="221">
        <f t="shared" si="4"/>
        <v>190.37</v>
      </c>
      <c r="V23" s="221">
        <f t="shared" si="5"/>
        <v>894.78</v>
      </c>
    </row>
    <row r="24" s="221" customFormat="1" ht="16.5" spans="1:22">
      <c r="A24" s="227">
        <f>'[2]DP-DATA'!B24</f>
        <v>0.229166666666667</v>
      </c>
      <c r="B24" s="221">
        <f>'[2]DP-DATA'!C24</f>
        <v>3323.05</v>
      </c>
      <c r="C24" s="221">
        <f>[2]CGS!C27</f>
        <v>1385.66</v>
      </c>
      <c r="D24" s="221">
        <f>'[2]ipp- thermal'!I24</f>
        <v>1447.78</v>
      </c>
      <c r="E24" s="228">
        <f>'[2]DP-DATA'!N24</f>
        <v>7650.19</v>
      </c>
      <c r="F24" s="221">
        <f>'[2]DP-DATA'!G24</f>
        <v>131.56</v>
      </c>
      <c r="G24" s="229">
        <f>[2]IEX!G33</f>
        <v>285.56</v>
      </c>
      <c r="H24" s="221">
        <f>[2]iex.urs.od!C24</f>
        <v>0</v>
      </c>
      <c r="I24" s="231">
        <f>'[2]DP-DATA'!J24</f>
        <v>0</v>
      </c>
      <c r="J24" s="231">
        <f>'[2]DP-DATA'!K24-T24</f>
        <v>0</v>
      </c>
      <c r="K24" s="221">
        <f>'[2]scada daily'!D26</f>
        <v>-34.47</v>
      </c>
      <c r="L24" s="221">
        <f>'[2]DP-DATA'!H24</f>
        <v>300.08</v>
      </c>
      <c r="M24" s="221">
        <f>[2]solar!D24</f>
        <v>1.82</v>
      </c>
      <c r="N24" s="232">
        <f>[2]RTM!G34</f>
        <v>609.22</v>
      </c>
      <c r="O24" s="221">
        <f>'[2]scada daily'!C26</f>
        <v>50.02</v>
      </c>
      <c r="P24" s="221">
        <f t="shared" si="0"/>
        <v>0</v>
      </c>
      <c r="Q24" s="221">
        <f t="shared" si="1"/>
        <v>0</v>
      </c>
      <c r="R24" s="221">
        <f t="shared" si="2"/>
        <v>-34.47</v>
      </c>
      <c r="S24" s="221">
        <f t="shared" si="3"/>
        <v>0</v>
      </c>
      <c r="T24" s="231">
        <f>[2]GNA!X35</f>
        <v>0</v>
      </c>
      <c r="U24" s="221">
        <f t="shared" si="4"/>
        <v>285.56</v>
      </c>
      <c r="V24" s="221">
        <f t="shared" si="5"/>
        <v>609.22</v>
      </c>
    </row>
    <row r="25" s="221" customFormat="1" ht="16.5" spans="1:22">
      <c r="A25" s="227">
        <f>'[2]DP-DATA'!B25</f>
        <v>0.239583333333333</v>
      </c>
      <c r="B25" s="221">
        <f>'[2]DP-DATA'!C25</f>
        <v>3507.98</v>
      </c>
      <c r="C25" s="221">
        <f>[2]CGS!C28</f>
        <v>1429.91</v>
      </c>
      <c r="D25" s="221">
        <f>'[2]ipp- thermal'!I25</f>
        <v>1468.48</v>
      </c>
      <c r="E25" s="228">
        <f>'[2]DP-DATA'!N25</f>
        <v>7748.77</v>
      </c>
      <c r="F25" s="221">
        <f>'[2]DP-DATA'!G25</f>
        <v>128.24</v>
      </c>
      <c r="G25" s="229">
        <f>[2]IEX!G34</f>
        <v>380.75</v>
      </c>
      <c r="H25" s="221">
        <f>[2]iex.urs.od!C25</f>
        <v>0</v>
      </c>
      <c r="I25" s="231">
        <f>'[2]DP-DATA'!J25</f>
        <v>0</v>
      </c>
      <c r="J25" s="231">
        <f>'[2]DP-DATA'!K25-T25</f>
        <v>0</v>
      </c>
      <c r="K25" s="221">
        <f>'[2]scada daily'!D27</f>
        <v>132.33</v>
      </c>
      <c r="L25" s="221">
        <f>'[2]DP-DATA'!H25</f>
        <v>277.39</v>
      </c>
      <c r="M25" s="221">
        <f>[2]solar!D25</f>
        <v>3.34</v>
      </c>
      <c r="N25" s="232">
        <f>[2]RTM!G35</f>
        <v>281.14</v>
      </c>
      <c r="O25" s="221">
        <f>'[2]scada daily'!C27</f>
        <v>50.04</v>
      </c>
      <c r="P25" s="221">
        <f t="shared" si="0"/>
        <v>0</v>
      </c>
      <c r="Q25" s="221">
        <f t="shared" si="1"/>
        <v>132.33</v>
      </c>
      <c r="R25" s="221">
        <f t="shared" si="2"/>
        <v>0</v>
      </c>
      <c r="S25" s="221">
        <f t="shared" si="3"/>
        <v>0</v>
      </c>
      <c r="T25" s="231">
        <f>[2]GNA!X36</f>
        <v>0</v>
      </c>
      <c r="U25" s="221">
        <f t="shared" si="4"/>
        <v>380.75</v>
      </c>
      <c r="V25" s="221">
        <f t="shared" si="5"/>
        <v>281.14</v>
      </c>
    </row>
    <row r="26" s="221" customFormat="1" ht="16.5" spans="1:22">
      <c r="A26" s="227">
        <f>'[2]DP-DATA'!B26</f>
        <v>0.25</v>
      </c>
      <c r="B26" s="221">
        <f>'[2]DP-DATA'!C26</f>
        <v>3676.73</v>
      </c>
      <c r="C26" s="221">
        <f>[2]CGS!C29</f>
        <v>1517.79</v>
      </c>
      <c r="D26" s="221">
        <f>'[2]ipp- thermal'!I26</f>
        <v>1472.24</v>
      </c>
      <c r="E26" s="228">
        <f>'[2]DP-DATA'!N26</f>
        <v>8128.67</v>
      </c>
      <c r="F26" s="221">
        <f>'[2]DP-DATA'!G26</f>
        <v>127.24</v>
      </c>
      <c r="G26" s="229">
        <f>[2]IEX!G35</f>
        <v>571.16</v>
      </c>
      <c r="H26" s="221">
        <f>[2]iex.urs.od!C26</f>
        <v>0</v>
      </c>
      <c r="I26" s="231">
        <f>'[2]DP-DATA'!J26</f>
        <v>0</v>
      </c>
      <c r="J26" s="231">
        <f>'[2]DP-DATA'!K26-T26</f>
        <v>0</v>
      </c>
      <c r="K26" s="221">
        <f>'[2]scada daily'!D28</f>
        <v>-319.39</v>
      </c>
      <c r="L26" s="221">
        <f>'[2]DP-DATA'!H26</f>
        <v>269.65</v>
      </c>
      <c r="M26" s="221">
        <f>[2]solar!D26</f>
        <v>0.07</v>
      </c>
      <c r="N26" s="232">
        <f>[2]RTM!G36</f>
        <v>380.71</v>
      </c>
      <c r="O26" s="221">
        <f>'[2]scada daily'!C28</f>
        <v>50.08</v>
      </c>
      <c r="P26" s="221">
        <f t="shared" si="0"/>
        <v>0</v>
      </c>
      <c r="Q26" s="221">
        <f t="shared" si="1"/>
        <v>0</v>
      </c>
      <c r="R26" s="221">
        <f t="shared" si="2"/>
        <v>-319.39</v>
      </c>
      <c r="S26" s="221">
        <f t="shared" si="3"/>
        <v>0</v>
      </c>
      <c r="T26" s="231">
        <f>[2]GNA!X37</f>
        <v>0</v>
      </c>
      <c r="U26" s="221">
        <f t="shared" si="4"/>
        <v>571.16</v>
      </c>
      <c r="V26" s="221">
        <f t="shared" si="5"/>
        <v>380.71</v>
      </c>
    </row>
    <row r="27" s="221" customFormat="1" ht="16.5" spans="1:22">
      <c r="A27" s="227">
        <f>'[2]DP-DATA'!B27</f>
        <v>0.260416666666667</v>
      </c>
      <c r="B27" s="221">
        <f>'[2]DP-DATA'!C27</f>
        <v>3865.01</v>
      </c>
      <c r="C27" s="221">
        <f>[2]CGS!C30</f>
        <v>1543.36</v>
      </c>
      <c r="D27" s="221">
        <f>'[2]ipp- thermal'!I27</f>
        <v>1479.7</v>
      </c>
      <c r="E27" s="228">
        <f>'[2]DP-DATA'!N27</f>
        <v>8504.62</v>
      </c>
      <c r="F27" s="221">
        <f>'[2]DP-DATA'!G27</f>
        <v>123.24</v>
      </c>
      <c r="G27" s="229">
        <f>[2]IEX!G36</f>
        <v>1142.29</v>
      </c>
      <c r="H27" s="221">
        <f>[2]iex.urs.od!C27</f>
        <v>0</v>
      </c>
      <c r="I27" s="231">
        <f>'[2]DP-DATA'!J27</f>
        <v>0</v>
      </c>
      <c r="J27" s="231">
        <f>'[2]DP-DATA'!K27-T27</f>
        <v>0</v>
      </c>
      <c r="K27" s="221">
        <f>'[2]scada daily'!D29</f>
        <v>-440.29</v>
      </c>
      <c r="L27" s="221">
        <f>'[2]DP-DATA'!H27</f>
        <v>270.51</v>
      </c>
      <c r="M27" s="221">
        <f>[2]solar!D27</f>
        <v>1.56</v>
      </c>
      <c r="N27" s="232">
        <f>[2]RTM!G37</f>
        <v>190.37</v>
      </c>
      <c r="O27" s="221">
        <f>'[2]scada daily'!C29</f>
        <v>50.03</v>
      </c>
      <c r="P27" s="221">
        <f t="shared" si="0"/>
        <v>0</v>
      </c>
      <c r="Q27" s="221">
        <f t="shared" si="1"/>
        <v>0</v>
      </c>
      <c r="R27" s="221">
        <f t="shared" si="2"/>
        <v>-440.29</v>
      </c>
      <c r="S27" s="221">
        <f t="shared" si="3"/>
        <v>0</v>
      </c>
      <c r="T27" s="231">
        <f>[2]GNA!X38</f>
        <v>0</v>
      </c>
      <c r="U27" s="221">
        <f t="shared" si="4"/>
        <v>1142.29</v>
      </c>
      <c r="V27" s="221">
        <f t="shared" si="5"/>
        <v>190.37</v>
      </c>
    </row>
    <row r="28" s="221" customFormat="1" ht="16.5" spans="1:22">
      <c r="A28" s="227">
        <f>'[2]DP-DATA'!B28</f>
        <v>0.270833333333333</v>
      </c>
      <c r="B28" s="221">
        <f>'[2]DP-DATA'!C28</f>
        <v>4032.42</v>
      </c>
      <c r="C28" s="221">
        <f>[2]CGS!C31</f>
        <v>1543.36</v>
      </c>
      <c r="D28" s="221">
        <f>'[2]ipp- thermal'!I28</f>
        <v>1477.49</v>
      </c>
      <c r="E28" s="228">
        <f>'[2]DP-DATA'!N28</f>
        <v>8697.82</v>
      </c>
      <c r="F28" s="221">
        <f>'[2]DP-DATA'!G28</f>
        <v>119.67</v>
      </c>
      <c r="G28" s="229">
        <f>[2]IEX!G37</f>
        <v>1332.66</v>
      </c>
      <c r="H28" s="221">
        <f>[2]iex.urs.od!C28</f>
        <v>0</v>
      </c>
      <c r="I28" s="231">
        <f>'[2]DP-DATA'!J28</f>
        <v>0</v>
      </c>
      <c r="J28" s="231">
        <f>'[2]DP-DATA'!K28-T28</f>
        <v>0</v>
      </c>
      <c r="K28" s="221">
        <f>'[2]scada daily'!D30</f>
        <v>-499.45</v>
      </c>
      <c r="L28" s="221">
        <f>'[2]DP-DATA'!H28</f>
        <v>264.87</v>
      </c>
      <c r="M28" s="221">
        <f>[2]solar!D28</f>
        <v>8.37</v>
      </c>
      <c r="N28" s="232">
        <f>[2]RTM!G38</f>
        <v>277.46</v>
      </c>
      <c r="O28" s="221">
        <f>'[2]scada daily'!C30</f>
        <v>50.02</v>
      </c>
      <c r="P28" s="221">
        <f t="shared" si="0"/>
        <v>0</v>
      </c>
      <c r="Q28" s="221">
        <f t="shared" si="1"/>
        <v>0</v>
      </c>
      <c r="R28" s="221">
        <f t="shared" si="2"/>
        <v>-499.45</v>
      </c>
      <c r="S28" s="221">
        <f t="shared" si="3"/>
        <v>0</v>
      </c>
      <c r="T28" s="231">
        <f>[2]GNA!X39</f>
        <v>0</v>
      </c>
      <c r="U28" s="221">
        <f t="shared" si="4"/>
        <v>1332.66</v>
      </c>
      <c r="V28" s="221">
        <f t="shared" si="5"/>
        <v>277.46</v>
      </c>
    </row>
    <row r="29" s="221" customFormat="1" ht="16.5" spans="1:22">
      <c r="A29" s="227">
        <f>'[2]DP-DATA'!B29</f>
        <v>0.28125</v>
      </c>
      <c r="B29" s="221">
        <f>'[2]DP-DATA'!C29</f>
        <v>4064.59</v>
      </c>
      <c r="C29" s="221">
        <f>[2]CGS!C32</f>
        <v>1543.36</v>
      </c>
      <c r="D29" s="221">
        <f>'[2]ipp- thermal'!I29</f>
        <v>1483.63</v>
      </c>
      <c r="E29" s="228">
        <f>'[2]DP-DATA'!N29</f>
        <v>8849.49</v>
      </c>
      <c r="F29" s="221">
        <f>'[2]DP-DATA'!G29</f>
        <v>117.94</v>
      </c>
      <c r="G29" s="229">
        <f>[2]IEX!G38</f>
        <v>1332.66</v>
      </c>
      <c r="H29" s="221">
        <f>[2]iex.urs.od!C29</f>
        <v>0</v>
      </c>
      <c r="I29" s="231">
        <f>'[2]DP-DATA'!J29</f>
        <v>0</v>
      </c>
      <c r="J29" s="231">
        <f>'[2]DP-DATA'!K29-T29</f>
        <v>0</v>
      </c>
      <c r="K29" s="221">
        <f>'[2]scada daily'!D31</f>
        <v>-503.9</v>
      </c>
      <c r="L29" s="221">
        <f>'[2]DP-DATA'!H29</f>
        <v>279.98</v>
      </c>
      <c r="M29" s="221">
        <f>[2]solar!D29</f>
        <v>25.3</v>
      </c>
      <c r="N29" s="232">
        <f>[2]RTM!G39</f>
        <v>463.94</v>
      </c>
      <c r="O29" s="221">
        <f>'[2]scada daily'!C31</f>
        <v>50.04</v>
      </c>
      <c r="P29" s="221">
        <f t="shared" si="0"/>
        <v>0</v>
      </c>
      <c r="Q29" s="221">
        <f t="shared" si="1"/>
        <v>0</v>
      </c>
      <c r="R29" s="221">
        <f t="shared" si="2"/>
        <v>-503.9</v>
      </c>
      <c r="S29" s="221">
        <f t="shared" si="3"/>
        <v>0</v>
      </c>
      <c r="T29" s="231">
        <f>[2]GNA!X40</f>
        <v>0</v>
      </c>
      <c r="U29" s="221">
        <f t="shared" si="4"/>
        <v>1332.66</v>
      </c>
      <c r="V29" s="221">
        <f t="shared" si="5"/>
        <v>463.94</v>
      </c>
    </row>
    <row r="30" s="221" customFormat="1" ht="16.5" spans="1:22">
      <c r="A30" s="227">
        <f>'[2]DP-DATA'!B30</f>
        <v>0.291666666666667</v>
      </c>
      <c r="B30" s="221">
        <f>'[2]DP-DATA'!C30</f>
        <v>3896.55</v>
      </c>
      <c r="C30" s="221">
        <f>[2]CGS!C33</f>
        <v>1541.92</v>
      </c>
      <c r="D30" s="221">
        <f>'[2]ipp- thermal'!I30</f>
        <v>1483.99</v>
      </c>
      <c r="E30" s="228">
        <f>'[2]DP-DATA'!N30</f>
        <v>9029.94</v>
      </c>
      <c r="F30" s="221">
        <f>'[2]DP-DATA'!G30</f>
        <v>117.7</v>
      </c>
      <c r="G30" s="229">
        <f>[2]IEX!G39</f>
        <v>1237.47</v>
      </c>
      <c r="H30" s="221">
        <f>[2]iex.urs.od!C30</f>
        <v>0</v>
      </c>
      <c r="I30" s="231">
        <f>'[2]DP-DATA'!J30</f>
        <v>407.08</v>
      </c>
      <c r="J30" s="231">
        <f>'[2]DP-DATA'!K30-T30</f>
        <v>0</v>
      </c>
      <c r="K30" s="221">
        <f>'[2]scada daily'!D32</f>
        <v>-330.06</v>
      </c>
      <c r="L30" s="221">
        <f>'[2]DP-DATA'!H30</f>
        <v>314.85</v>
      </c>
      <c r="M30" s="221">
        <f>[2]solar!D30</f>
        <v>88.17</v>
      </c>
      <c r="N30" s="232">
        <f>[2]RTM!G40</f>
        <v>281.65</v>
      </c>
      <c r="O30" s="221">
        <f>'[2]scada daily'!C32</f>
        <v>50.05</v>
      </c>
      <c r="P30" s="221">
        <f t="shared" si="0"/>
        <v>0</v>
      </c>
      <c r="Q30" s="221">
        <f t="shared" si="1"/>
        <v>0</v>
      </c>
      <c r="R30" s="221">
        <f t="shared" si="2"/>
        <v>-330.06</v>
      </c>
      <c r="S30" s="221">
        <f t="shared" si="3"/>
        <v>0</v>
      </c>
      <c r="T30" s="231">
        <f>[2]GNA!X41</f>
        <v>0</v>
      </c>
      <c r="U30" s="221">
        <f t="shared" si="4"/>
        <v>1237.47</v>
      </c>
      <c r="V30" s="221">
        <f t="shared" si="5"/>
        <v>281.65</v>
      </c>
    </row>
    <row r="31" s="221" customFormat="1" ht="16.5" spans="1:22">
      <c r="A31" s="227">
        <f>'[2]DP-DATA'!B31</f>
        <v>0.302083333333333</v>
      </c>
      <c r="B31" s="221">
        <f>'[2]DP-DATA'!C31</f>
        <v>3794.17</v>
      </c>
      <c r="C31" s="221">
        <f>[2]CGS!C34</f>
        <v>1541.92</v>
      </c>
      <c r="D31" s="221">
        <f>'[2]ipp- thermal'!I31</f>
        <v>1482.4</v>
      </c>
      <c r="E31" s="228">
        <f>'[2]DP-DATA'!N31</f>
        <v>9264.73</v>
      </c>
      <c r="F31" s="221">
        <f>'[2]DP-DATA'!G31</f>
        <v>118.77</v>
      </c>
      <c r="G31" s="229">
        <f>[2]IEX!G40</f>
        <v>1279.99</v>
      </c>
      <c r="H31" s="221">
        <f>[2]iex.urs.od!C31</f>
        <v>0</v>
      </c>
      <c r="I31" s="231">
        <f>'[2]DP-DATA'!J31</f>
        <v>407.08</v>
      </c>
      <c r="J31" s="231">
        <f>'[2]DP-DATA'!K31-T31</f>
        <v>0</v>
      </c>
      <c r="K31" s="221">
        <f>'[2]scada daily'!D33</f>
        <v>-271.8</v>
      </c>
      <c r="L31" s="221">
        <f>'[2]DP-DATA'!H31</f>
        <v>340.74</v>
      </c>
      <c r="M31" s="221">
        <f>[2]solar!D31</f>
        <v>206.94</v>
      </c>
      <c r="N31" s="232">
        <f>[2]RTM!G41</f>
        <v>373.62</v>
      </c>
      <c r="O31" s="221">
        <f>'[2]scada daily'!C33</f>
        <v>49.98</v>
      </c>
      <c r="P31" s="221">
        <f t="shared" si="0"/>
        <v>0</v>
      </c>
      <c r="Q31" s="221">
        <f t="shared" si="1"/>
        <v>0</v>
      </c>
      <c r="R31" s="221">
        <f t="shared" si="2"/>
        <v>-271.8</v>
      </c>
      <c r="S31" s="221">
        <f t="shared" si="3"/>
        <v>0</v>
      </c>
      <c r="T31" s="231">
        <f>[2]GNA!X42</f>
        <v>0</v>
      </c>
      <c r="U31" s="221">
        <f t="shared" si="4"/>
        <v>1279.99</v>
      </c>
      <c r="V31" s="221">
        <f t="shared" si="5"/>
        <v>373.62</v>
      </c>
    </row>
    <row r="32" s="221" customFormat="1" ht="16.5" spans="1:22">
      <c r="A32" s="227">
        <f>'[2]DP-DATA'!B32</f>
        <v>0.3125</v>
      </c>
      <c r="B32" s="221">
        <f>'[2]DP-DATA'!C32</f>
        <v>3754.59</v>
      </c>
      <c r="C32" s="221">
        <f>[2]CGS!C35</f>
        <v>1544.61</v>
      </c>
      <c r="D32" s="221">
        <f>'[2]ipp- thermal'!I32</f>
        <v>1479.2</v>
      </c>
      <c r="E32" s="228">
        <f>'[2]DP-DATA'!N32</f>
        <v>9387.52</v>
      </c>
      <c r="F32" s="221">
        <f>'[2]DP-DATA'!G32</f>
        <v>118.04</v>
      </c>
      <c r="G32" s="229">
        <f>[2]IEX!G41</f>
        <v>1188.56</v>
      </c>
      <c r="H32" s="221">
        <f>[2]iex.urs.od!C32</f>
        <v>0</v>
      </c>
      <c r="I32" s="231">
        <f>'[2]DP-DATA'!J32</f>
        <v>407.08</v>
      </c>
      <c r="J32" s="231">
        <f>'[2]DP-DATA'!K32-T32</f>
        <v>0</v>
      </c>
      <c r="K32" s="221">
        <f>'[2]scada daily'!D34</f>
        <v>-66.37</v>
      </c>
      <c r="L32" s="221">
        <f>'[2]DP-DATA'!H32</f>
        <v>311.25</v>
      </c>
      <c r="M32" s="221">
        <f>[2]solar!D32</f>
        <v>388.34</v>
      </c>
      <c r="N32" s="232">
        <f>[2]RTM!G42</f>
        <v>257.93</v>
      </c>
      <c r="O32" s="221">
        <f>'[2]scada daily'!C34</f>
        <v>50</v>
      </c>
      <c r="P32" s="221">
        <f t="shared" si="0"/>
        <v>0</v>
      </c>
      <c r="Q32" s="221">
        <f t="shared" si="1"/>
        <v>0</v>
      </c>
      <c r="R32" s="221">
        <f t="shared" si="2"/>
        <v>-66.37</v>
      </c>
      <c r="S32" s="221">
        <f t="shared" si="3"/>
        <v>0</v>
      </c>
      <c r="T32" s="231">
        <f>[2]GNA!X43</f>
        <v>0</v>
      </c>
      <c r="U32" s="221">
        <f t="shared" si="4"/>
        <v>1188.56</v>
      </c>
      <c r="V32" s="221">
        <f t="shared" si="5"/>
        <v>257.93</v>
      </c>
    </row>
    <row r="33" s="221" customFormat="1" ht="16.5" spans="1:22">
      <c r="A33" s="227">
        <f>'[2]DP-DATA'!B33</f>
        <v>0.322916666666667</v>
      </c>
      <c r="B33" s="221">
        <f>'[2]DP-DATA'!C33</f>
        <v>3873.01</v>
      </c>
      <c r="C33" s="221">
        <f>[2]CGS!C36</f>
        <v>1548.25</v>
      </c>
      <c r="D33" s="221">
        <f>'[2]ipp- thermal'!I33</f>
        <v>1479.18</v>
      </c>
      <c r="E33" s="228">
        <f>'[2]DP-DATA'!N33</f>
        <v>9525.19</v>
      </c>
      <c r="F33" s="221">
        <f>'[2]DP-DATA'!G33</f>
        <v>117.09</v>
      </c>
      <c r="G33" s="229">
        <f>[2]IEX!G42</f>
        <v>1142.28</v>
      </c>
      <c r="H33" s="221">
        <f>[2]iex.urs.od!C33</f>
        <v>0</v>
      </c>
      <c r="I33" s="231">
        <f>'[2]DP-DATA'!J33</f>
        <v>407.08</v>
      </c>
      <c r="J33" s="231">
        <f>'[2]DP-DATA'!K33-T33</f>
        <v>0</v>
      </c>
      <c r="K33" s="221">
        <f>'[2]scada daily'!D35</f>
        <v>-172.4</v>
      </c>
      <c r="L33" s="221">
        <f>'[2]DP-DATA'!H33</f>
        <v>275.28</v>
      </c>
      <c r="M33" s="221">
        <f>[2]solar!D33</f>
        <v>697.92</v>
      </c>
      <c r="N33" s="232">
        <f>[2]RTM!G43</f>
        <v>156.74</v>
      </c>
      <c r="O33" s="221">
        <f>'[2]scada daily'!C35</f>
        <v>50.07</v>
      </c>
      <c r="P33" s="221">
        <f t="shared" si="0"/>
        <v>0</v>
      </c>
      <c r="Q33" s="221">
        <f t="shared" si="1"/>
        <v>0</v>
      </c>
      <c r="R33" s="221">
        <f t="shared" si="2"/>
        <v>-172.4</v>
      </c>
      <c r="S33" s="221">
        <f t="shared" si="3"/>
        <v>0</v>
      </c>
      <c r="T33" s="231">
        <f>[2]GNA!X44</f>
        <v>0</v>
      </c>
      <c r="U33" s="221">
        <f t="shared" si="4"/>
        <v>1142.28</v>
      </c>
      <c r="V33" s="221">
        <f t="shared" si="5"/>
        <v>156.74</v>
      </c>
    </row>
    <row r="34" s="221" customFormat="1" ht="16.5" spans="1:22">
      <c r="A34" s="227">
        <f>'[2]DP-DATA'!B34</f>
        <v>0.333333333333333</v>
      </c>
      <c r="B34" s="221">
        <f>'[2]DP-DATA'!C34</f>
        <v>4175.78</v>
      </c>
      <c r="C34" s="221">
        <f>[2]CGS!C37</f>
        <v>1551.74</v>
      </c>
      <c r="D34" s="221">
        <f>'[2]ipp- thermal'!I34</f>
        <v>1477.76</v>
      </c>
      <c r="E34" s="228">
        <f>'[2]DP-DATA'!N34</f>
        <v>10223.49</v>
      </c>
      <c r="F34" s="221">
        <f>'[2]DP-DATA'!G34</f>
        <v>148.36</v>
      </c>
      <c r="G34" s="229">
        <f>[2]IEX!G43</f>
        <v>1142.28</v>
      </c>
      <c r="H34" s="221">
        <f>[2]iex.urs.od!C34</f>
        <v>0</v>
      </c>
      <c r="I34" s="231">
        <f>'[2]DP-DATA'!J34</f>
        <v>407.08</v>
      </c>
      <c r="J34" s="231">
        <f>'[2]DP-DATA'!K34-T34</f>
        <v>0</v>
      </c>
      <c r="K34" s="221">
        <f>'[2]scada daily'!D36</f>
        <v>151.77</v>
      </c>
      <c r="L34" s="221">
        <f>'[2]DP-DATA'!H34</f>
        <v>228.15</v>
      </c>
      <c r="M34" s="221">
        <f>[2]solar!D34</f>
        <v>941.71</v>
      </c>
      <c r="N34" s="232">
        <f>[2]RTM!G44</f>
        <v>0</v>
      </c>
      <c r="O34" s="221">
        <f>'[2]scada daily'!C36</f>
        <v>50.06</v>
      </c>
      <c r="P34" s="221">
        <f t="shared" si="0"/>
        <v>0</v>
      </c>
      <c r="Q34" s="221">
        <f t="shared" si="1"/>
        <v>151.77</v>
      </c>
      <c r="R34" s="221">
        <f t="shared" si="2"/>
        <v>0</v>
      </c>
      <c r="S34" s="221">
        <f t="shared" si="3"/>
        <v>0</v>
      </c>
      <c r="T34" s="231">
        <f>[2]GNA!X45</f>
        <v>0</v>
      </c>
      <c r="U34" s="221">
        <f t="shared" si="4"/>
        <v>1142.28</v>
      </c>
      <c r="V34" s="221">
        <f t="shared" si="5"/>
        <v>0</v>
      </c>
    </row>
    <row r="35" s="221" customFormat="1" ht="16.5" spans="1:22">
      <c r="A35" s="227">
        <f>'[2]DP-DATA'!B35</f>
        <v>0.34375</v>
      </c>
      <c r="B35" s="221">
        <f>'[2]DP-DATA'!C35</f>
        <v>4316.48</v>
      </c>
      <c r="C35" s="221">
        <f>[2]CGS!C38</f>
        <v>1552.43</v>
      </c>
      <c r="D35" s="221">
        <f>'[2]ipp- thermal'!I35</f>
        <v>1476.69</v>
      </c>
      <c r="E35" s="228">
        <f>'[2]DP-DATA'!N35</f>
        <v>10770.17</v>
      </c>
      <c r="F35" s="221">
        <f>'[2]DP-DATA'!G35</f>
        <v>226.76</v>
      </c>
      <c r="G35" s="229">
        <f>[2]IEX!G44</f>
        <v>1244.69</v>
      </c>
      <c r="H35" s="221">
        <f>[2]iex.urs.od!C35</f>
        <v>0</v>
      </c>
      <c r="I35" s="231">
        <f>'[2]DP-DATA'!J35</f>
        <v>407.08</v>
      </c>
      <c r="J35" s="231">
        <f>'[2]DP-DATA'!K35-T35</f>
        <v>0</v>
      </c>
      <c r="K35" s="221">
        <f>'[2]scada daily'!D37</f>
        <v>152.19</v>
      </c>
      <c r="L35" s="221">
        <f>'[2]DP-DATA'!H35</f>
        <v>227.78</v>
      </c>
      <c r="M35" s="221">
        <f>[2]solar!D35</f>
        <v>1177.12</v>
      </c>
      <c r="N35" s="232">
        <f>[2]RTM!G45</f>
        <v>0</v>
      </c>
      <c r="O35" s="221">
        <f>'[2]scada daily'!C37</f>
        <v>50.1</v>
      </c>
      <c r="P35" s="221">
        <f t="shared" si="0"/>
        <v>0</v>
      </c>
      <c r="Q35" s="221">
        <f t="shared" si="1"/>
        <v>152.19</v>
      </c>
      <c r="R35" s="221">
        <f t="shared" si="2"/>
        <v>0</v>
      </c>
      <c r="S35" s="221">
        <f t="shared" si="3"/>
        <v>0</v>
      </c>
      <c r="T35" s="231">
        <f>[2]GNA!X46</f>
        <v>0</v>
      </c>
      <c r="U35" s="221">
        <f t="shared" si="4"/>
        <v>1244.69</v>
      </c>
      <c r="V35" s="221">
        <f t="shared" si="5"/>
        <v>0</v>
      </c>
    </row>
    <row r="36" s="221" customFormat="1" ht="16.5" spans="1:22">
      <c r="A36" s="227">
        <f>'[2]DP-DATA'!B36</f>
        <v>0.354166666666667</v>
      </c>
      <c r="B36" s="221">
        <f>'[2]DP-DATA'!C36</f>
        <v>4340.61</v>
      </c>
      <c r="C36" s="221">
        <f>[2]CGS!C39</f>
        <v>1552.86</v>
      </c>
      <c r="D36" s="221">
        <f>'[2]ipp- thermal'!I36</f>
        <v>1468.42</v>
      </c>
      <c r="E36" s="228">
        <f>'[2]DP-DATA'!N36</f>
        <v>11013.73</v>
      </c>
      <c r="F36" s="221">
        <f>'[2]DP-DATA'!G36</f>
        <v>211.28</v>
      </c>
      <c r="G36" s="229">
        <f>[2]IEX!G45</f>
        <v>1303.57</v>
      </c>
      <c r="H36" s="221">
        <f>[2]iex.urs.od!C36</f>
        <v>0</v>
      </c>
      <c r="I36" s="231">
        <f>'[2]DP-DATA'!J36</f>
        <v>407.08</v>
      </c>
      <c r="J36" s="231">
        <f>'[2]DP-DATA'!K36-T36</f>
        <v>0</v>
      </c>
      <c r="K36" s="221">
        <f>'[2]scada daily'!D38</f>
        <v>53.42</v>
      </c>
      <c r="L36" s="221">
        <f>'[2]DP-DATA'!H36</f>
        <v>287.12</v>
      </c>
      <c r="M36" s="221">
        <f>[2]solar!D36</f>
        <v>1396.78</v>
      </c>
      <c r="N36" s="232">
        <f>[2]RTM!G46</f>
        <v>0</v>
      </c>
      <c r="O36" s="221">
        <f>'[2]scada daily'!C38</f>
        <v>50.18</v>
      </c>
      <c r="P36" s="221">
        <f t="shared" si="0"/>
        <v>0</v>
      </c>
      <c r="Q36" s="221">
        <f t="shared" si="1"/>
        <v>53.42</v>
      </c>
      <c r="R36" s="221">
        <f t="shared" si="2"/>
        <v>0</v>
      </c>
      <c r="S36" s="221">
        <f t="shared" si="3"/>
        <v>0</v>
      </c>
      <c r="T36" s="231">
        <f>[2]GNA!X47</f>
        <v>0</v>
      </c>
      <c r="U36" s="221">
        <f t="shared" si="4"/>
        <v>1303.57</v>
      </c>
      <c r="V36" s="221">
        <f t="shared" si="5"/>
        <v>0</v>
      </c>
    </row>
    <row r="37" s="221" customFormat="1" ht="16.5" spans="1:22">
      <c r="A37" s="227">
        <f>'[2]DP-DATA'!B37</f>
        <v>0.364583333333333</v>
      </c>
      <c r="B37" s="221">
        <f>'[2]DP-DATA'!C37</f>
        <v>4393.62</v>
      </c>
      <c r="C37" s="221">
        <f>[2]CGS!C40</f>
        <v>1552.87</v>
      </c>
      <c r="D37" s="221">
        <f>'[2]ipp- thermal'!I37</f>
        <v>1462.42</v>
      </c>
      <c r="E37" s="228">
        <f>'[2]DP-DATA'!N37</f>
        <v>11277.05</v>
      </c>
      <c r="F37" s="221">
        <f>'[2]DP-DATA'!G37</f>
        <v>141.77</v>
      </c>
      <c r="G37" s="229">
        <f>[2]IEX!G46</f>
        <v>1315.34</v>
      </c>
      <c r="H37" s="221">
        <f>[2]iex.urs.od!C37</f>
        <v>0</v>
      </c>
      <c r="I37" s="231">
        <f>'[2]DP-DATA'!J37</f>
        <v>407.08</v>
      </c>
      <c r="J37" s="231">
        <f>'[2]DP-DATA'!K37-T37</f>
        <v>0</v>
      </c>
      <c r="K37" s="221">
        <f>'[2]scada daily'!D39</f>
        <v>56.32</v>
      </c>
      <c r="L37" s="221">
        <f>'[2]DP-DATA'!H37</f>
        <v>391.16</v>
      </c>
      <c r="M37" s="221">
        <f>[2]solar!D37</f>
        <v>1562.27</v>
      </c>
      <c r="N37" s="232">
        <f>[2]RTM!G47</f>
        <v>0</v>
      </c>
      <c r="O37" s="221">
        <f>'[2]scada daily'!C39</f>
        <v>50.25</v>
      </c>
      <c r="P37" s="221">
        <f t="shared" si="0"/>
        <v>0</v>
      </c>
      <c r="Q37" s="221">
        <f t="shared" si="1"/>
        <v>56.32</v>
      </c>
      <c r="R37" s="221">
        <f t="shared" si="2"/>
        <v>0</v>
      </c>
      <c r="S37" s="221">
        <f t="shared" si="3"/>
        <v>0</v>
      </c>
      <c r="T37" s="231">
        <f>[2]GNA!X48</f>
        <v>0</v>
      </c>
      <c r="U37" s="221">
        <f t="shared" si="4"/>
        <v>1315.34</v>
      </c>
      <c r="V37" s="221">
        <f t="shared" si="5"/>
        <v>0</v>
      </c>
    </row>
    <row r="38" s="221" customFormat="1" ht="16.5" spans="1:22">
      <c r="A38" s="227">
        <f>'[2]DP-DATA'!B38</f>
        <v>0.375</v>
      </c>
      <c r="B38" s="221">
        <f>'[2]DP-DATA'!C38</f>
        <v>4392.2</v>
      </c>
      <c r="C38" s="221">
        <f>[2]CGS!C41</f>
        <v>1553.14</v>
      </c>
      <c r="D38" s="221">
        <f>'[2]ipp- thermal'!I38</f>
        <v>1475.04</v>
      </c>
      <c r="E38" s="228">
        <f>'[2]DP-DATA'!N38</f>
        <v>11565.82</v>
      </c>
      <c r="F38" s="221">
        <f>'[2]DP-DATA'!G38</f>
        <v>122.46</v>
      </c>
      <c r="G38" s="229">
        <f>[2]IEX!G47</f>
        <v>1618.23</v>
      </c>
      <c r="H38" s="221">
        <f>[2]iex.urs.od!C38</f>
        <v>0</v>
      </c>
      <c r="I38" s="231">
        <f>'[2]DP-DATA'!J38</f>
        <v>0</v>
      </c>
      <c r="J38" s="231">
        <f>'[2]DP-DATA'!K38-T38</f>
        <v>0</v>
      </c>
      <c r="K38" s="221">
        <f>'[2]scada daily'!D40</f>
        <v>23.81</v>
      </c>
      <c r="L38" s="221">
        <f>'[2]DP-DATA'!H38</f>
        <v>545.33</v>
      </c>
      <c r="M38" s="221">
        <f>[2]solar!D38</f>
        <v>1736.92</v>
      </c>
      <c r="N38" s="232">
        <f>[2]RTM!G48</f>
        <v>95.19</v>
      </c>
      <c r="O38" s="221">
        <f>'[2]scada daily'!C40</f>
        <v>50.22</v>
      </c>
      <c r="P38" s="221">
        <f t="shared" si="0"/>
        <v>0</v>
      </c>
      <c r="Q38" s="221">
        <f t="shared" si="1"/>
        <v>23.81</v>
      </c>
      <c r="R38" s="221">
        <f t="shared" si="2"/>
        <v>0</v>
      </c>
      <c r="S38" s="221">
        <f t="shared" si="3"/>
        <v>0</v>
      </c>
      <c r="T38" s="231">
        <f>[2]GNA!X49</f>
        <v>0</v>
      </c>
      <c r="U38" s="221">
        <f t="shared" si="4"/>
        <v>1618.23</v>
      </c>
      <c r="V38" s="221">
        <f t="shared" si="5"/>
        <v>95.19</v>
      </c>
    </row>
    <row r="39" s="221" customFormat="1" ht="16.5" spans="1:22">
      <c r="A39" s="227">
        <f>'[2]DP-DATA'!B39</f>
        <v>0.385416666666667</v>
      </c>
      <c r="B39" s="221">
        <f>'[2]DP-DATA'!C39</f>
        <v>4443.06</v>
      </c>
      <c r="C39" s="221">
        <f>[2]CGS!C42</f>
        <v>1553.18</v>
      </c>
      <c r="D39" s="221">
        <f>'[2]ipp- thermal'!I39</f>
        <v>1484.01</v>
      </c>
      <c r="E39" s="228">
        <f>'[2]DP-DATA'!N39</f>
        <v>11679.12</v>
      </c>
      <c r="F39" s="221">
        <f>'[2]DP-DATA'!G39</f>
        <v>124.93</v>
      </c>
      <c r="G39" s="229">
        <f>[2]IEX!G48</f>
        <v>1618.23</v>
      </c>
      <c r="H39" s="221">
        <f>[2]iex.urs.od!C39</f>
        <v>0</v>
      </c>
      <c r="I39" s="231">
        <f>'[2]DP-DATA'!J39</f>
        <v>0</v>
      </c>
      <c r="J39" s="231">
        <f>'[2]DP-DATA'!K39-T39</f>
        <v>0</v>
      </c>
      <c r="K39" s="221">
        <f>'[2]scada daily'!D41</f>
        <v>-323.5</v>
      </c>
      <c r="L39" s="221">
        <f>'[2]DP-DATA'!H39</f>
        <v>730.43</v>
      </c>
      <c r="M39" s="221">
        <f>[2]solar!D39</f>
        <v>1946.79</v>
      </c>
      <c r="N39" s="232">
        <f>[2]RTM!G49</f>
        <v>91.79</v>
      </c>
      <c r="O39" s="221">
        <f>'[2]scada daily'!C41</f>
        <v>50.09</v>
      </c>
      <c r="P39" s="221">
        <f t="shared" si="0"/>
        <v>0</v>
      </c>
      <c r="Q39" s="221">
        <f t="shared" si="1"/>
        <v>0</v>
      </c>
      <c r="R39" s="221">
        <f t="shared" si="2"/>
        <v>-323.5</v>
      </c>
      <c r="S39" s="221">
        <f t="shared" si="3"/>
        <v>0</v>
      </c>
      <c r="T39" s="231">
        <f>[2]GNA!X50</f>
        <v>0</v>
      </c>
      <c r="U39" s="221">
        <f t="shared" si="4"/>
        <v>1618.23</v>
      </c>
      <c r="V39" s="221">
        <f t="shared" si="5"/>
        <v>91.79</v>
      </c>
    </row>
    <row r="40" s="221" customFormat="1" ht="16.5" spans="1:22">
      <c r="A40" s="227">
        <f>'[2]DP-DATA'!B40</f>
        <v>0.395833333333333</v>
      </c>
      <c r="B40" s="221">
        <f>'[2]DP-DATA'!C40</f>
        <v>4375.75</v>
      </c>
      <c r="C40" s="221">
        <f>[2]CGS!C43</f>
        <v>1553.18</v>
      </c>
      <c r="D40" s="221">
        <f>'[2]ipp- thermal'!I40</f>
        <v>1476.72</v>
      </c>
      <c r="E40" s="228">
        <f>'[2]DP-DATA'!N40</f>
        <v>11593.69</v>
      </c>
      <c r="F40" s="221">
        <f>'[2]DP-DATA'!G40</f>
        <v>126.21</v>
      </c>
      <c r="G40" s="229">
        <f>[2]IEX!G49</f>
        <v>1427.85</v>
      </c>
      <c r="H40" s="221">
        <f>[2]iex.urs.od!C40</f>
        <v>0</v>
      </c>
      <c r="I40" s="231">
        <f>'[2]DP-DATA'!J40</f>
        <v>0</v>
      </c>
      <c r="J40" s="231">
        <f>'[2]DP-DATA'!K40-T40</f>
        <v>0</v>
      </c>
      <c r="K40" s="221">
        <f>'[2]scada daily'!D42</f>
        <v>-647.5</v>
      </c>
      <c r="L40" s="221">
        <f>'[2]DP-DATA'!H40</f>
        <v>818.91</v>
      </c>
      <c r="M40" s="221">
        <f>[2]solar!D40</f>
        <v>2243.31</v>
      </c>
      <c r="N40" s="232">
        <f>[2]RTM!G50</f>
        <v>190.38</v>
      </c>
      <c r="O40" s="221">
        <f>'[2]scada daily'!C42</f>
        <v>50.08</v>
      </c>
      <c r="P40" s="221">
        <f t="shared" si="0"/>
        <v>0</v>
      </c>
      <c r="Q40" s="221">
        <f t="shared" si="1"/>
        <v>0</v>
      </c>
      <c r="R40" s="221">
        <f t="shared" si="2"/>
        <v>-647.5</v>
      </c>
      <c r="S40" s="221">
        <f t="shared" si="3"/>
        <v>0</v>
      </c>
      <c r="T40" s="231">
        <f>[2]GNA!X51</f>
        <v>0</v>
      </c>
      <c r="U40" s="221">
        <f t="shared" si="4"/>
        <v>1427.85</v>
      </c>
      <c r="V40" s="221">
        <f t="shared" si="5"/>
        <v>190.38</v>
      </c>
    </row>
    <row r="41" s="221" customFormat="1" ht="16.5" spans="1:22">
      <c r="A41" s="227">
        <f>'[2]DP-DATA'!B41</f>
        <v>0.40625</v>
      </c>
      <c r="B41" s="221">
        <f>'[2]DP-DATA'!C41</f>
        <v>4192.69</v>
      </c>
      <c r="C41" s="221">
        <f>[2]CGS!C44</f>
        <v>1554.7</v>
      </c>
      <c r="D41" s="221">
        <f>'[2]ipp- thermal'!I41</f>
        <v>1478.3</v>
      </c>
      <c r="E41" s="228">
        <f>'[2]DP-DATA'!N41</f>
        <v>11448</v>
      </c>
      <c r="F41" s="221">
        <f>'[2]DP-DATA'!G41</f>
        <v>125.06</v>
      </c>
      <c r="G41" s="229">
        <f>[2]IEX!G50</f>
        <v>1237.47</v>
      </c>
      <c r="H41" s="221">
        <f>[2]iex.urs.od!C41</f>
        <v>0</v>
      </c>
      <c r="I41" s="231">
        <f>'[2]DP-DATA'!J41</f>
        <v>0</v>
      </c>
      <c r="J41" s="231">
        <f>'[2]DP-DATA'!K41-T41</f>
        <v>0</v>
      </c>
      <c r="K41" s="221">
        <f>'[2]scada daily'!D43</f>
        <v>-499.9</v>
      </c>
      <c r="L41" s="221">
        <f>'[2]DP-DATA'!H41</f>
        <v>862.79</v>
      </c>
      <c r="M41" s="221">
        <f>[2]solar!D41</f>
        <v>2323.89</v>
      </c>
      <c r="N41" s="232">
        <f>[2]RTM!G51</f>
        <v>95.18</v>
      </c>
      <c r="O41" s="221">
        <f>'[2]scada daily'!C43</f>
        <v>50.03</v>
      </c>
      <c r="P41" s="221">
        <f t="shared" si="0"/>
        <v>0</v>
      </c>
      <c r="Q41" s="221">
        <f t="shared" si="1"/>
        <v>0</v>
      </c>
      <c r="R41" s="221">
        <f t="shared" si="2"/>
        <v>-499.9</v>
      </c>
      <c r="S41" s="221">
        <f t="shared" si="3"/>
        <v>0</v>
      </c>
      <c r="T41" s="231">
        <f>[2]GNA!X52</f>
        <v>0</v>
      </c>
      <c r="U41" s="221">
        <f t="shared" si="4"/>
        <v>1237.47</v>
      </c>
      <c r="V41" s="221">
        <f t="shared" si="5"/>
        <v>95.18</v>
      </c>
    </row>
    <row r="42" s="221" customFormat="1" ht="16.5" spans="1:22">
      <c r="A42" s="227">
        <f>'[2]DP-DATA'!B42</f>
        <v>0.416666666666667</v>
      </c>
      <c r="B42" s="221">
        <f>'[2]DP-DATA'!C42</f>
        <v>4051.66</v>
      </c>
      <c r="C42" s="221">
        <f>[2]CGS!C45</f>
        <v>1554.79</v>
      </c>
      <c r="D42" s="221">
        <f>'[2]ipp- thermal'!I42</f>
        <v>1479.84</v>
      </c>
      <c r="E42" s="228">
        <f>'[2]DP-DATA'!N42</f>
        <v>11210.48</v>
      </c>
      <c r="F42" s="221">
        <f>'[2]DP-DATA'!G42</f>
        <v>126.22</v>
      </c>
      <c r="G42" s="229">
        <f>[2]IEX!G51</f>
        <v>856.71</v>
      </c>
      <c r="H42" s="221">
        <f>[2]iex.urs.od!C42</f>
        <v>0</v>
      </c>
      <c r="I42" s="231">
        <f>'[2]DP-DATA'!J42</f>
        <v>0</v>
      </c>
      <c r="J42" s="231">
        <f>'[2]DP-DATA'!K42-T42</f>
        <v>0</v>
      </c>
      <c r="K42" s="221">
        <f>'[2]scada daily'!D44</f>
        <v>-408.66</v>
      </c>
      <c r="L42" s="221">
        <f>'[2]DP-DATA'!H42</f>
        <v>932.28</v>
      </c>
      <c r="M42" s="221">
        <f>[2]solar!D42</f>
        <v>2537.96</v>
      </c>
      <c r="N42" s="232">
        <f>[2]RTM!G52</f>
        <v>0</v>
      </c>
      <c r="O42" s="221">
        <f>'[2]scada daily'!C44</f>
        <v>49.93</v>
      </c>
      <c r="P42" s="221">
        <f t="shared" si="0"/>
        <v>0</v>
      </c>
      <c r="Q42" s="221">
        <f t="shared" si="1"/>
        <v>0</v>
      </c>
      <c r="R42" s="221">
        <f t="shared" si="2"/>
        <v>-408.66</v>
      </c>
      <c r="S42" s="221">
        <f t="shared" si="3"/>
        <v>0</v>
      </c>
      <c r="T42" s="231">
        <f>[2]GNA!X53</f>
        <v>0</v>
      </c>
      <c r="U42" s="221">
        <f t="shared" si="4"/>
        <v>856.71</v>
      </c>
      <c r="V42" s="221">
        <f t="shared" si="5"/>
        <v>0</v>
      </c>
    </row>
    <row r="43" s="221" customFormat="1" ht="16.5" spans="1:22">
      <c r="A43" s="227">
        <f>'[2]DP-DATA'!B43</f>
        <v>0.427083333333333</v>
      </c>
      <c r="B43" s="221">
        <f>'[2]DP-DATA'!C43</f>
        <v>3936.76</v>
      </c>
      <c r="C43" s="221">
        <f>[2]CGS!C46</f>
        <v>1557.27</v>
      </c>
      <c r="D43" s="221">
        <f>'[2]ipp- thermal'!I43</f>
        <v>1480.03</v>
      </c>
      <c r="E43" s="228">
        <f>'[2]DP-DATA'!N43</f>
        <v>11085.47</v>
      </c>
      <c r="F43" s="221">
        <f>'[2]DP-DATA'!G43</f>
        <v>123.16</v>
      </c>
      <c r="G43" s="229">
        <f>[2]IEX!G52</f>
        <v>666.33</v>
      </c>
      <c r="H43" s="221">
        <f>[2]iex.urs.od!C43</f>
        <v>0</v>
      </c>
      <c r="I43" s="231">
        <f>'[2]DP-DATA'!J43</f>
        <v>0</v>
      </c>
      <c r="J43" s="231">
        <f>'[2]DP-DATA'!K43-T43</f>
        <v>0</v>
      </c>
      <c r="K43" s="221">
        <f>'[2]scada daily'!D45</f>
        <v>-499.63</v>
      </c>
      <c r="L43" s="221">
        <f>'[2]DP-DATA'!H43</f>
        <v>1014.45</v>
      </c>
      <c r="M43" s="221">
        <f>[2]solar!D43</f>
        <v>2736.35</v>
      </c>
      <c r="N43" s="232">
        <f>[2]RTM!G53</f>
        <v>0</v>
      </c>
      <c r="O43" s="221">
        <f>'[2]scada daily'!C45</f>
        <v>49.83</v>
      </c>
      <c r="P43" s="221">
        <f t="shared" si="0"/>
        <v>0</v>
      </c>
      <c r="Q43" s="221">
        <f t="shared" si="1"/>
        <v>0</v>
      </c>
      <c r="R43" s="221">
        <f t="shared" si="2"/>
        <v>-499.63</v>
      </c>
      <c r="S43" s="221">
        <f t="shared" si="3"/>
        <v>0</v>
      </c>
      <c r="T43" s="231">
        <f>[2]GNA!X54</f>
        <v>0</v>
      </c>
      <c r="U43" s="221">
        <f t="shared" si="4"/>
        <v>666.33</v>
      </c>
      <c r="V43" s="221">
        <f t="shared" si="5"/>
        <v>0</v>
      </c>
    </row>
    <row r="44" s="221" customFormat="1" ht="16.5" spans="1:22">
      <c r="A44" s="227">
        <f>'[2]DP-DATA'!B44</f>
        <v>0.4375</v>
      </c>
      <c r="B44" s="221">
        <f>'[2]DP-DATA'!C44</f>
        <v>3895.97</v>
      </c>
      <c r="C44" s="221">
        <f>[2]CGS!C47</f>
        <v>1557.49</v>
      </c>
      <c r="D44" s="221">
        <f>'[2]ipp- thermal'!I44</f>
        <v>1480.1</v>
      </c>
      <c r="E44" s="228">
        <f>'[2]DP-DATA'!N44</f>
        <v>10943.39</v>
      </c>
      <c r="F44" s="221">
        <f>'[2]DP-DATA'!G44</f>
        <v>124.17</v>
      </c>
      <c r="G44" s="229">
        <f>[2]IEX!G53</f>
        <v>190.38</v>
      </c>
      <c r="H44" s="221">
        <f>[2]iex.urs.od!C44</f>
        <v>0</v>
      </c>
      <c r="I44" s="231">
        <f>'[2]DP-DATA'!J44</f>
        <v>0</v>
      </c>
      <c r="J44" s="231">
        <f>'[2]DP-DATA'!K44-T44</f>
        <v>0</v>
      </c>
      <c r="K44" s="221">
        <f>'[2]scada daily'!D46</f>
        <v>-421.34</v>
      </c>
      <c r="L44" s="221">
        <f>'[2]DP-DATA'!H44</f>
        <v>1138</v>
      </c>
      <c r="M44" s="221">
        <f>[2]solar!D44</f>
        <v>2884.17</v>
      </c>
      <c r="N44" s="232">
        <f>[2]RTM!G54</f>
        <v>0</v>
      </c>
      <c r="O44" s="221">
        <f>'[2]scada daily'!C46</f>
        <v>49.76</v>
      </c>
      <c r="P44" s="221">
        <f t="shared" si="0"/>
        <v>0</v>
      </c>
      <c r="Q44" s="221">
        <f t="shared" si="1"/>
        <v>0</v>
      </c>
      <c r="R44" s="221">
        <f t="shared" si="2"/>
        <v>-421.34</v>
      </c>
      <c r="S44" s="221">
        <f t="shared" si="3"/>
        <v>0</v>
      </c>
      <c r="T44" s="231">
        <f>[2]GNA!X55</f>
        <v>0</v>
      </c>
      <c r="U44" s="221">
        <f t="shared" si="4"/>
        <v>190.38</v>
      </c>
      <c r="V44" s="221">
        <f t="shared" si="5"/>
        <v>0</v>
      </c>
    </row>
    <row r="45" s="221" customFormat="1" ht="16.5" spans="1:22">
      <c r="A45" s="227">
        <f>'[2]DP-DATA'!B45</f>
        <v>0.447916666666667</v>
      </c>
      <c r="B45" s="221">
        <f>'[2]DP-DATA'!C45</f>
        <v>3850.05</v>
      </c>
      <c r="C45" s="221">
        <f>[2]CGS!C48</f>
        <v>1557.49</v>
      </c>
      <c r="D45" s="221">
        <f>'[2]ipp- thermal'!I45</f>
        <v>1480.62</v>
      </c>
      <c r="E45" s="228">
        <f>'[2]DP-DATA'!N45</f>
        <v>10942.89</v>
      </c>
      <c r="F45" s="221">
        <f>'[2]DP-DATA'!G45</f>
        <v>126.49</v>
      </c>
      <c r="G45" s="229">
        <f>[2]IEX!G54</f>
        <v>0</v>
      </c>
      <c r="H45" s="221">
        <f>[2]iex.urs.od!C45</f>
        <v>0</v>
      </c>
      <c r="I45" s="231">
        <f>'[2]DP-DATA'!J45</f>
        <v>0</v>
      </c>
      <c r="J45" s="231">
        <f>'[2]DP-DATA'!K45-T45</f>
        <v>0</v>
      </c>
      <c r="K45" s="221">
        <f>'[2]scada daily'!D47</f>
        <v>-421.06</v>
      </c>
      <c r="L45" s="221">
        <f>'[2]DP-DATA'!H45</f>
        <v>1251.21</v>
      </c>
      <c r="M45" s="221">
        <f>[2]solar!D45</f>
        <v>3002.49</v>
      </c>
      <c r="N45" s="232">
        <f>[2]RTM!G55</f>
        <v>0</v>
      </c>
      <c r="O45" s="221">
        <f>'[2]scada daily'!C47</f>
        <v>49.95</v>
      </c>
      <c r="P45" s="221">
        <f t="shared" si="0"/>
        <v>0</v>
      </c>
      <c r="Q45" s="221">
        <f t="shared" si="1"/>
        <v>0</v>
      </c>
      <c r="R45" s="221">
        <f t="shared" si="2"/>
        <v>-421.06</v>
      </c>
      <c r="S45" s="221">
        <f t="shared" si="3"/>
        <v>0</v>
      </c>
      <c r="T45" s="231">
        <f>[2]GNA!X56</f>
        <v>0</v>
      </c>
      <c r="U45" s="221">
        <f t="shared" si="4"/>
        <v>0</v>
      </c>
      <c r="V45" s="221">
        <f t="shared" si="5"/>
        <v>0</v>
      </c>
    </row>
    <row r="46" s="221" customFormat="1" ht="16.5" spans="1:22">
      <c r="A46" s="227">
        <f>'[2]DP-DATA'!B46</f>
        <v>0.458333333333333</v>
      </c>
      <c r="B46" s="221">
        <f>'[2]DP-DATA'!C46</f>
        <v>3680.22</v>
      </c>
      <c r="C46" s="221">
        <f>[2]CGS!C49</f>
        <v>1406.3</v>
      </c>
      <c r="D46" s="221">
        <f>'[2]ipp- thermal'!I46</f>
        <v>1472.48</v>
      </c>
      <c r="E46" s="228">
        <f>'[2]DP-DATA'!N46</f>
        <v>10819.97</v>
      </c>
      <c r="F46" s="221">
        <f>'[2]DP-DATA'!G46</f>
        <v>140.76</v>
      </c>
      <c r="G46" s="229">
        <f>[2]IEX!G55</f>
        <v>0</v>
      </c>
      <c r="H46" s="221">
        <f>[2]iex.urs.od!C46</f>
        <v>0</v>
      </c>
      <c r="I46" s="231">
        <f>'[2]DP-DATA'!J46</f>
        <v>0</v>
      </c>
      <c r="J46" s="231">
        <f>'[2]DP-DATA'!K46-T46</f>
        <v>0</v>
      </c>
      <c r="K46" s="221">
        <f>'[2]scada daily'!D48</f>
        <v>-238.93</v>
      </c>
      <c r="L46" s="221">
        <f>'[2]DP-DATA'!H46</f>
        <v>1256.6</v>
      </c>
      <c r="M46" s="221">
        <f>[2]solar!D46</f>
        <v>2968.39</v>
      </c>
      <c r="N46" s="232">
        <f>[2]RTM!G56</f>
        <v>0</v>
      </c>
      <c r="O46" s="221">
        <f>'[2]scada daily'!C48</f>
        <v>49.99</v>
      </c>
      <c r="P46" s="221">
        <f t="shared" si="0"/>
        <v>0</v>
      </c>
      <c r="Q46" s="221">
        <f t="shared" si="1"/>
        <v>0</v>
      </c>
      <c r="R46" s="221">
        <f t="shared" si="2"/>
        <v>-238.93</v>
      </c>
      <c r="S46" s="221">
        <f t="shared" si="3"/>
        <v>0</v>
      </c>
      <c r="T46" s="231">
        <f>[2]GNA!X57</f>
        <v>0</v>
      </c>
      <c r="U46" s="221">
        <f t="shared" si="4"/>
        <v>0</v>
      </c>
      <c r="V46" s="221">
        <f t="shared" si="5"/>
        <v>0</v>
      </c>
    </row>
    <row r="47" s="221" customFormat="1" ht="16.5" spans="1:22">
      <c r="A47" s="227">
        <f>'[2]DP-DATA'!B47</f>
        <v>0.46875</v>
      </c>
      <c r="B47" s="221">
        <f>'[2]DP-DATA'!C47</f>
        <v>3433.52</v>
      </c>
      <c r="C47" s="221">
        <f>[2]CGS!C50</f>
        <v>1330.12</v>
      </c>
      <c r="D47" s="221">
        <f>'[2]ipp- thermal'!I47</f>
        <v>1476.65</v>
      </c>
      <c r="E47" s="228">
        <f>'[2]DP-DATA'!N47</f>
        <v>10812.92</v>
      </c>
      <c r="F47" s="221">
        <f>'[2]DP-DATA'!G47</f>
        <v>161.71</v>
      </c>
      <c r="G47" s="229">
        <f>[2]IEX!G56</f>
        <v>0</v>
      </c>
      <c r="H47" s="221">
        <f>[2]iex.urs.od!C47</f>
        <v>0</v>
      </c>
      <c r="I47" s="231">
        <f>'[2]DP-DATA'!J47</f>
        <v>0</v>
      </c>
      <c r="J47" s="231">
        <f>'[2]DP-DATA'!K47-T47</f>
        <v>0</v>
      </c>
      <c r="K47" s="221">
        <f>'[2]scada daily'!D49</f>
        <v>-52.66</v>
      </c>
      <c r="L47" s="221">
        <f>'[2]DP-DATA'!H47</f>
        <v>1267.18</v>
      </c>
      <c r="M47" s="221">
        <f>[2]solar!D47</f>
        <v>3058.12</v>
      </c>
      <c r="N47" s="232">
        <f>[2]RTM!G57</f>
        <v>0</v>
      </c>
      <c r="O47" s="221">
        <f>'[2]scada daily'!C49</f>
        <v>49.97</v>
      </c>
      <c r="P47" s="221">
        <f t="shared" si="0"/>
        <v>0</v>
      </c>
      <c r="Q47" s="221">
        <f t="shared" si="1"/>
        <v>0</v>
      </c>
      <c r="R47" s="221">
        <f t="shared" si="2"/>
        <v>-52.66</v>
      </c>
      <c r="S47" s="221">
        <f t="shared" si="3"/>
        <v>0</v>
      </c>
      <c r="T47" s="231">
        <f>[2]GNA!X58</f>
        <v>0</v>
      </c>
      <c r="U47" s="221">
        <f t="shared" si="4"/>
        <v>0</v>
      </c>
      <c r="V47" s="221">
        <f t="shared" si="5"/>
        <v>0</v>
      </c>
    </row>
    <row r="48" s="221" customFormat="1" ht="16.5" spans="1:22">
      <c r="A48" s="227">
        <f>'[2]DP-DATA'!B48</f>
        <v>0.479166666666667</v>
      </c>
      <c r="B48" s="221">
        <f>'[2]DP-DATA'!C48</f>
        <v>3307.35</v>
      </c>
      <c r="C48" s="221">
        <f>[2]CGS!C51</f>
        <v>1206.39</v>
      </c>
      <c r="D48" s="221">
        <f>'[2]ipp- thermal'!I48</f>
        <v>1469.49</v>
      </c>
      <c r="E48" s="228">
        <f>'[2]DP-DATA'!N48</f>
        <v>10891.59</v>
      </c>
      <c r="F48" s="221">
        <f>'[2]DP-DATA'!G48</f>
        <v>215.28</v>
      </c>
      <c r="G48" s="229">
        <f>[2]IEX!G57</f>
        <v>0</v>
      </c>
      <c r="H48" s="221">
        <f>[2]iex.urs.od!C48</f>
        <v>0</v>
      </c>
      <c r="I48" s="231">
        <f>'[2]DP-DATA'!J48</f>
        <v>0</v>
      </c>
      <c r="J48" s="231">
        <f>'[2]DP-DATA'!K48-T48</f>
        <v>0</v>
      </c>
      <c r="K48" s="221">
        <f>'[2]scada daily'!D50</f>
        <v>221.32</v>
      </c>
      <c r="L48" s="221">
        <f>'[2]DP-DATA'!H48</f>
        <v>1252.1</v>
      </c>
      <c r="M48" s="221">
        <f>[2]solar!D48</f>
        <v>3082.73</v>
      </c>
      <c r="N48" s="232">
        <f>[2]RTM!G58</f>
        <v>0</v>
      </c>
      <c r="O48" s="221">
        <f>'[2]scada daily'!C50</f>
        <v>49.99</v>
      </c>
      <c r="P48" s="221">
        <f t="shared" si="0"/>
        <v>0</v>
      </c>
      <c r="Q48" s="221">
        <f t="shared" si="1"/>
        <v>221.32</v>
      </c>
      <c r="R48" s="221">
        <f t="shared" si="2"/>
        <v>0</v>
      </c>
      <c r="S48" s="221">
        <f t="shared" si="3"/>
        <v>0</v>
      </c>
      <c r="T48" s="231">
        <f>[2]GNA!X59</f>
        <v>0</v>
      </c>
      <c r="U48" s="221">
        <f t="shared" si="4"/>
        <v>0</v>
      </c>
      <c r="V48" s="221">
        <f t="shared" si="5"/>
        <v>0</v>
      </c>
    </row>
    <row r="49" s="221" customFormat="1" ht="16.5" spans="1:22">
      <c r="A49" s="227">
        <f>'[2]DP-DATA'!B49</f>
        <v>0.489583333333333</v>
      </c>
      <c r="B49" s="221">
        <f>'[2]DP-DATA'!C49</f>
        <v>3219.65</v>
      </c>
      <c r="C49" s="221">
        <f>[2]CGS!C52</f>
        <v>1206.39</v>
      </c>
      <c r="D49" s="221">
        <f>'[2]ipp- thermal'!I49</f>
        <v>1474.56</v>
      </c>
      <c r="E49" s="228">
        <f>'[2]DP-DATA'!N49</f>
        <v>10942.89</v>
      </c>
      <c r="F49" s="221">
        <f>'[2]DP-DATA'!G49</f>
        <v>288.11</v>
      </c>
      <c r="G49" s="229">
        <f>[2]IEX!G58</f>
        <v>0</v>
      </c>
      <c r="H49" s="221">
        <f>[2]iex.urs.od!C49</f>
        <v>0</v>
      </c>
      <c r="I49" s="231">
        <f>'[2]DP-DATA'!J49</f>
        <v>0</v>
      </c>
      <c r="J49" s="231">
        <f>'[2]DP-DATA'!K49-T49</f>
        <v>0</v>
      </c>
      <c r="K49" s="221">
        <f>'[2]scada daily'!D51</f>
        <v>374.03</v>
      </c>
      <c r="L49" s="221">
        <f>'[2]DP-DATA'!H49</f>
        <v>1225.75</v>
      </c>
      <c r="M49" s="221">
        <f>[2]solar!D49</f>
        <v>3013.17</v>
      </c>
      <c r="N49" s="232">
        <f>[2]RTM!G59</f>
        <v>0</v>
      </c>
      <c r="O49" s="221">
        <f>'[2]scada daily'!C51</f>
        <v>50.03</v>
      </c>
      <c r="P49" s="221">
        <f t="shared" si="0"/>
        <v>0</v>
      </c>
      <c r="Q49" s="221">
        <f t="shared" si="1"/>
        <v>374.03</v>
      </c>
      <c r="R49" s="221">
        <f t="shared" si="2"/>
        <v>0</v>
      </c>
      <c r="S49" s="221">
        <f t="shared" si="3"/>
        <v>0</v>
      </c>
      <c r="T49" s="231">
        <f>[2]GNA!X60</f>
        <v>0</v>
      </c>
      <c r="U49" s="221">
        <f t="shared" si="4"/>
        <v>0</v>
      </c>
      <c r="V49" s="221">
        <f t="shared" si="5"/>
        <v>0</v>
      </c>
    </row>
    <row r="50" s="221" customFormat="1" ht="16.5" spans="1:22">
      <c r="A50" s="227">
        <f>'[2]DP-DATA'!B50</f>
        <v>0.5</v>
      </c>
      <c r="B50" s="221">
        <f>'[2]DP-DATA'!C50</f>
        <v>3281.96</v>
      </c>
      <c r="C50" s="221">
        <f>[2]CGS!C53</f>
        <v>1206.39</v>
      </c>
      <c r="D50" s="221">
        <f>'[2]ipp- thermal'!I50</f>
        <v>1473.63</v>
      </c>
      <c r="E50" s="228">
        <f>'[2]DP-DATA'!N50</f>
        <v>10950.96</v>
      </c>
      <c r="F50" s="221">
        <f>'[2]DP-DATA'!G50</f>
        <v>289.52</v>
      </c>
      <c r="G50" s="229">
        <f>[2]IEX!G59</f>
        <v>0</v>
      </c>
      <c r="H50" s="221">
        <f>[2]iex.urs.od!C50</f>
        <v>0</v>
      </c>
      <c r="I50" s="231">
        <f>'[2]DP-DATA'!J50</f>
        <v>0</v>
      </c>
      <c r="J50" s="231">
        <f>'[2]DP-DATA'!K50-T50</f>
        <v>0</v>
      </c>
      <c r="K50" s="221">
        <f>'[2]scada daily'!D52</f>
        <v>339.61</v>
      </c>
      <c r="L50" s="221">
        <f>'[2]DP-DATA'!H50</f>
        <v>1172.51</v>
      </c>
      <c r="M50" s="221">
        <f>[2]solar!D50</f>
        <v>2964.9</v>
      </c>
      <c r="N50" s="232">
        <f>[2]RTM!G60</f>
        <v>0</v>
      </c>
      <c r="O50" s="221">
        <f>'[2]scada daily'!C52</f>
        <v>50.04</v>
      </c>
      <c r="P50" s="221">
        <f t="shared" si="0"/>
        <v>0</v>
      </c>
      <c r="Q50" s="221">
        <f t="shared" si="1"/>
        <v>339.61</v>
      </c>
      <c r="R50" s="221">
        <f t="shared" si="2"/>
        <v>0</v>
      </c>
      <c r="S50" s="221">
        <f t="shared" si="3"/>
        <v>0</v>
      </c>
      <c r="T50" s="231">
        <f>[2]GNA!X61</f>
        <v>0</v>
      </c>
      <c r="U50" s="221">
        <f t="shared" si="4"/>
        <v>0</v>
      </c>
      <c r="V50" s="221">
        <f t="shared" si="5"/>
        <v>0</v>
      </c>
    </row>
    <row r="51" s="221" customFormat="1" ht="16.5" spans="1:22">
      <c r="A51" s="227">
        <f>'[2]DP-DATA'!B51</f>
        <v>0.510416666666667</v>
      </c>
      <c r="B51" s="221">
        <f>'[2]DP-DATA'!C51</f>
        <v>3391.05</v>
      </c>
      <c r="C51" s="221">
        <f>[2]CGS!C54</f>
        <v>1206.39</v>
      </c>
      <c r="D51" s="221">
        <f>'[2]ipp- thermal'!I51</f>
        <v>1480.17</v>
      </c>
      <c r="E51" s="228">
        <f>'[2]DP-DATA'!N51</f>
        <v>10969.08</v>
      </c>
      <c r="F51" s="221">
        <f>'[2]DP-DATA'!G51</f>
        <v>290.07</v>
      </c>
      <c r="G51" s="229">
        <f>[2]IEX!G60</f>
        <v>0</v>
      </c>
      <c r="H51" s="221">
        <f>[2]iex.urs.od!C51</f>
        <v>0</v>
      </c>
      <c r="I51" s="231">
        <f>'[2]DP-DATA'!J51</f>
        <v>0</v>
      </c>
      <c r="J51" s="231">
        <f>'[2]DP-DATA'!K51-T51</f>
        <v>0</v>
      </c>
      <c r="K51" s="221">
        <f>'[2]scada daily'!D53</f>
        <v>263.84</v>
      </c>
      <c r="L51" s="221">
        <f>'[2]DP-DATA'!H51</f>
        <v>1119.17</v>
      </c>
      <c r="M51" s="221">
        <f>[2]solar!D51</f>
        <v>2990.5</v>
      </c>
      <c r="N51" s="232">
        <f>[2]RTM!G61</f>
        <v>0</v>
      </c>
      <c r="O51" s="221">
        <f>'[2]scada daily'!C53</f>
        <v>50.01</v>
      </c>
      <c r="P51" s="221">
        <f t="shared" si="0"/>
        <v>0</v>
      </c>
      <c r="Q51" s="221">
        <f t="shared" si="1"/>
        <v>263.84</v>
      </c>
      <c r="R51" s="221">
        <f t="shared" si="2"/>
        <v>0</v>
      </c>
      <c r="S51" s="221">
        <f t="shared" si="3"/>
        <v>0</v>
      </c>
      <c r="T51" s="231">
        <f>[2]GNA!X62</f>
        <v>0</v>
      </c>
      <c r="U51" s="221">
        <f t="shared" si="4"/>
        <v>0</v>
      </c>
      <c r="V51" s="221">
        <f t="shared" si="5"/>
        <v>0</v>
      </c>
    </row>
    <row r="52" s="221" customFormat="1" ht="16.5" spans="1:22">
      <c r="A52" s="227">
        <f>'[2]DP-DATA'!B52</f>
        <v>0.520833333333333</v>
      </c>
      <c r="B52" s="221">
        <f>'[2]DP-DATA'!C52</f>
        <v>3371.85</v>
      </c>
      <c r="C52" s="221">
        <f>[2]CGS!C55</f>
        <v>1205.56</v>
      </c>
      <c r="D52" s="221">
        <f>'[2]ipp- thermal'!I52</f>
        <v>1474.93</v>
      </c>
      <c r="E52" s="228">
        <f>'[2]DP-DATA'!N52</f>
        <v>10846.83</v>
      </c>
      <c r="F52" s="221">
        <f>'[2]DP-DATA'!G52</f>
        <v>290.6</v>
      </c>
      <c r="G52" s="229">
        <f>[2]IEX!G61</f>
        <v>0</v>
      </c>
      <c r="H52" s="221">
        <f>[2]iex.urs.od!C52</f>
        <v>0</v>
      </c>
      <c r="I52" s="231">
        <f>'[2]DP-DATA'!J52</f>
        <v>0</v>
      </c>
      <c r="J52" s="231">
        <f>'[2]DP-DATA'!K52-T52</f>
        <v>0</v>
      </c>
      <c r="K52" s="221">
        <f>'[2]scada daily'!D54</f>
        <v>151.29</v>
      </c>
      <c r="L52" s="221">
        <f>'[2]DP-DATA'!H52</f>
        <v>1068.79</v>
      </c>
      <c r="M52" s="221">
        <f>[2]solar!D52</f>
        <v>2801.7</v>
      </c>
      <c r="N52" s="232">
        <f>[2]RTM!G62</f>
        <v>285.56</v>
      </c>
      <c r="O52" s="221">
        <f>'[2]scada daily'!C54</f>
        <v>50.01</v>
      </c>
      <c r="P52" s="221">
        <f t="shared" si="0"/>
        <v>0</v>
      </c>
      <c r="Q52" s="221">
        <f t="shared" si="1"/>
        <v>151.29</v>
      </c>
      <c r="R52" s="221">
        <f t="shared" si="2"/>
        <v>0</v>
      </c>
      <c r="S52" s="221">
        <f t="shared" si="3"/>
        <v>0</v>
      </c>
      <c r="T52" s="231">
        <f>[2]GNA!X63</f>
        <v>0</v>
      </c>
      <c r="U52" s="221">
        <f t="shared" si="4"/>
        <v>0</v>
      </c>
      <c r="V52" s="221">
        <f t="shared" si="5"/>
        <v>285.56</v>
      </c>
    </row>
    <row r="53" s="221" customFormat="1" ht="16.5" spans="1:22">
      <c r="A53" s="227">
        <f>'[2]DP-DATA'!B53</f>
        <v>0.53125</v>
      </c>
      <c r="B53" s="221">
        <f>'[2]DP-DATA'!C53</f>
        <v>3348.65</v>
      </c>
      <c r="C53" s="221">
        <f>[2]CGS!C56</f>
        <v>846.56</v>
      </c>
      <c r="D53" s="221">
        <f>'[2]ipp- thermal'!I53</f>
        <v>1474.88</v>
      </c>
      <c r="E53" s="228">
        <f>'[2]DP-DATA'!N53</f>
        <v>10758.01</v>
      </c>
      <c r="F53" s="221">
        <f>'[2]DP-DATA'!G53</f>
        <v>290.62</v>
      </c>
      <c r="G53" s="229">
        <f>[2]IEX!G62</f>
        <v>0</v>
      </c>
      <c r="H53" s="221">
        <f>[2]iex.urs.od!C53</f>
        <v>0</v>
      </c>
      <c r="I53" s="231">
        <f>'[2]DP-DATA'!J53</f>
        <v>0</v>
      </c>
      <c r="J53" s="231">
        <f>'[2]DP-DATA'!K53-T53</f>
        <v>0</v>
      </c>
      <c r="K53" s="221">
        <f>'[2]scada daily'!D55</f>
        <v>222.52</v>
      </c>
      <c r="L53" s="221">
        <f>'[2]DP-DATA'!H53</f>
        <v>995.57</v>
      </c>
      <c r="M53" s="221">
        <f>[2]solar!D53</f>
        <v>2798.45</v>
      </c>
      <c r="N53" s="232">
        <f>[2]RTM!G63</f>
        <v>571.13</v>
      </c>
      <c r="O53" s="221">
        <f>'[2]scada daily'!C55</f>
        <v>50.01</v>
      </c>
      <c r="P53" s="221">
        <f t="shared" si="0"/>
        <v>0</v>
      </c>
      <c r="Q53" s="221">
        <f t="shared" si="1"/>
        <v>222.52</v>
      </c>
      <c r="R53" s="221">
        <f t="shared" si="2"/>
        <v>0</v>
      </c>
      <c r="S53" s="221">
        <f t="shared" si="3"/>
        <v>0</v>
      </c>
      <c r="T53" s="231">
        <f>[2]GNA!X64</f>
        <v>0</v>
      </c>
      <c r="U53" s="221">
        <f t="shared" si="4"/>
        <v>0</v>
      </c>
      <c r="V53" s="221">
        <f t="shared" si="5"/>
        <v>571.13</v>
      </c>
    </row>
    <row r="54" s="221" customFormat="1" ht="16.5" spans="1:22">
      <c r="A54" s="227">
        <f>'[2]DP-DATA'!B54</f>
        <v>0.541666666666667</v>
      </c>
      <c r="B54" s="221">
        <f>'[2]DP-DATA'!C54</f>
        <v>3362.34</v>
      </c>
      <c r="C54" s="221">
        <f>[2]CGS!C57</f>
        <v>615.92</v>
      </c>
      <c r="D54" s="221">
        <f>'[2]ipp- thermal'!I54</f>
        <v>1473.9</v>
      </c>
      <c r="E54" s="228">
        <f>'[2]DP-DATA'!N54</f>
        <v>10472.87</v>
      </c>
      <c r="F54" s="221">
        <f>'[2]DP-DATA'!G54</f>
        <v>228.1</v>
      </c>
      <c r="G54" s="229">
        <f>[2]IEX!G63</f>
        <v>0</v>
      </c>
      <c r="H54" s="221">
        <f>[2]iex.urs.od!C54</f>
        <v>0</v>
      </c>
      <c r="I54" s="231">
        <f>'[2]DP-DATA'!J54</f>
        <v>0</v>
      </c>
      <c r="J54" s="231">
        <f>'[2]DP-DATA'!K54-T54</f>
        <v>0</v>
      </c>
      <c r="K54" s="221">
        <f>'[2]scada daily'!D56</f>
        <v>-152.49</v>
      </c>
      <c r="L54" s="221">
        <f>'[2]DP-DATA'!H54</f>
        <v>942.95</v>
      </c>
      <c r="M54" s="221">
        <f>[2]solar!D54</f>
        <v>3019.16</v>
      </c>
      <c r="N54" s="232">
        <f>[2]RTM!G64</f>
        <v>761.5</v>
      </c>
      <c r="O54" s="221">
        <f>'[2]scada daily'!C56</f>
        <v>50.08</v>
      </c>
      <c r="P54" s="221">
        <f t="shared" si="0"/>
        <v>0</v>
      </c>
      <c r="Q54" s="221">
        <f t="shared" si="1"/>
        <v>0</v>
      </c>
      <c r="R54" s="221">
        <f t="shared" si="2"/>
        <v>-152.49</v>
      </c>
      <c r="S54" s="221">
        <f t="shared" si="3"/>
        <v>0</v>
      </c>
      <c r="T54" s="231">
        <f>[2]GNA!X65</f>
        <v>0</v>
      </c>
      <c r="U54" s="221">
        <f t="shared" si="4"/>
        <v>0</v>
      </c>
      <c r="V54" s="221">
        <f t="shared" si="5"/>
        <v>761.5</v>
      </c>
    </row>
    <row r="55" s="221" customFormat="1" ht="16.5" spans="1:22">
      <c r="A55" s="227">
        <f>'[2]DP-DATA'!B55</f>
        <v>0.552083333333333</v>
      </c>
      <c r="B55" s="221">
        <f>'[2]DP-DATA'!C55</f>
        <v>3360.19</v>
      </c>
      <c r="C55" s="221">
        <f>[2]CGS!C58</f>
        <v>519.54</v>
      </c>
      <c r="D55" s="221">
        <f>'[2]ipp- thermal'!I55</f>
        <v>1479.16</v>
      </c>
      <c r="E55" s="228">
        <f>'[2]DP-DATA'!N55</f>
        <v>10360.08</v>
      </c>
      <c r="F55" s="221">
        <f>'[2]DP-DATA'!G55</f>
        <v>128.19</v>
      </c>
      <c r="G55" s="229">
        <f>[2]IEX!G64</f>
        <v>0</v>
      </c>
      <c r="H55" s="221">
        <f>[2]iex.urs.od!C55</f>
        <v>0</v>
      </c>
      <c r="I55" s="231">
        <f>'[2]DP-DATA'!J55</f>
        <v>0</v>
      </c>
      <c r="J55" s="231">
        <f>'[2]DP-DATA'!K55-T55</f>
        <v>0</v>
      </c>
      <c r="K55" s="221">
        <f>'[2]scada daily'!D57</f>
        <v>-244.68</v>
      </c>
      <c r="L55" s="221">
        <f>'[2]DP-DATA'!H55</f>
        <v>906.95</v>
      </c>
      <c r="M55" s="221">
        <f>[2]solar!D55</f>
        <v>3035.26</v>
      </c>
      <c r="N55" s="232">
        <f>[2]RTM!G65</f>
        <v>951.89</v>
      </c>
      <c r="O55" s="221">
        <f>'[2]scada daily'!C57</f>
        <v>50.02</v>
      </c>
      <c r="P55" s="221">
        <f t="shared" si="0"/>
        <v>0</v>
      </c>
      <c r="Q55" s="221">
        <f t="shared" si="1"/>
        <v>0</v>
      </c>
      <c r="R55" s="221">
        <f t="shared" si="2"/>
        <v>-244.68</v>
      </c>
      <c r="S55" s="221">
        <f t="shared" si="3"/>
        <v>0</v>
      </c>
      <c r="T55" s="231">
        <f>[2]GNA!X66</f>
        <v>0</v>
      </c>
      <c r="U55" s="221">
        <f t="shared" si="4"/>
        <v>0</v>
      </c>
      <c r="V55" s="221">
        <f t="shared" si="5"/>
        <v>951.89</v>
      </c>
    </row>
    <row r="56" s="221" customFormat="1" ht="16.5" spans="1:22">
      <c r="A56" s="227">
        <f>'[2]DP-DATA'!B56</f>
        <v>0.5625</v>
      </c>
      <c r="B56" s="221">
        <f>'[2]DP-DATA'!C56</f>
        <v>3371</v>
      </c>
      <c r="C56" s="221">
        <f>[2]CGS!C59</f>
        <v>631.31</v>
      </c>
      <c r="D56" s="221">
        <f>'[2]ipp- thermal'!I56</f>
        <v>1481.51</v>
      </c>
      <c r="E56" s="228">
        <f>'[2]DP-DATA'!N56</f>
        <v>10357.45</v>
      </c>
      <c r="F56" s="221">
        <f>'[2]DP-DATA'!G56</f>
        <v>128.56</v>
      </c>
      <c r="G56" s="229">
        <f>[2]IEX!G65</f>
        <v>0</v>
      </c>
      <c r="H56" s="221">
        <f>[2]iex.urs.od!C56</f>
        <v>0</v>
      </c>
      <c r="I56" s="231">
        <f>'[2]DP-DATA'!J56</f>
        <v>0</v>
      </c>
      <c r="J56" s="231">
        <f>'[2]DP-DATA'!K56-T56</f>
        <v>0</v>
      </c>
      <c r="K56" s="221">
        <f>'[2]scada daily'!D58</f>
        <v>4.6</v>
      </c>
      <c r="L56" s="221">
        <f>'[2]DP-DATA'!H56</f>
        <v>857.19</v>
      </c>
      <c r="M56" s="221">
        <f>[2]solar!D56</f>
        <v>3084.92</v>
      </c>
      <c r="N56" s="232">
        <f>[2]RTM!G66</f>
        <v>571.12</v>
      </c>
      <c r="O56" s="221">
        <f>'[2]scada daily'!C58</f>
        <v>50.01</v>
      </c>
      <c r="P56" s="221">
        <f t="shared" si="0"/>
        <v>0</v>
      </c>
      <c r="Q56" s="221">
        <f t="shared" si="1"/>
        <v>4.6</v>
      </c>
      <c r="R56" s="221">
        <f t="shared" si="2"/>
        <v>0</v>
      </c>
      <c r="S56" s="221">
        <f t="shared" si="3"/>
        <v>0</v>
      </c>
      <c r="T56" s="231">
        <f>[2]GNA!X67</f>
        <v>0</v>
      </c>
      <c r="U56" s="221">
        <f t="shared" si="4"/>
        <v>0</v>
      </c>
      <c r="V56" s="221">
        <f t="shared" si="5"/>
        <v>571.12</v>
      </c>
    </row>
    <row r="57" s="221" customFormat="1" ht="16.5" spans="1:22">
      <c r="A57" s="227">
        <f>'[2]DP-DATA'!B57</f>
        <v>0.572916666666667</v>
      </c>
      <c r="B57" s="221">
        <f>'[2]DP-DATA'!C57</f>
        <v>3353.3</v>
      </c>
      <c r="C57" s="221">
        <f>[2]CGS!C60</f>
        <v>837.15</v>
      </c>
      <c r="D57" s="221">
        <f>'[2]ipp- thermal'!I57</f>
        <v>1474.84</v>
      </c>
      <c r="E57" s="228">
        <f>'[2]DP-DATA'!N57</f>
        <v>10322.41</v>
      </c>
      <c r="F57" s="221">
        <f>'[2]DP-DATA'!G57</f>
        <v>128.71</v>
      </c>
      <c r="G57" s="229">
        <f>[2]IEX!G66</f>
        <v>0</v>
      </c>
      <c r="H57" s="221">
        <f>[2]iex.urs.od!C57</f>
        <v>0</v>
      </c>
      <c r="I57" s="231">
        <f>'[2]DP-DATA'!J57</f>
        <v>0</v>
      </c>
      <c r="J57" s="231">
        <f>'[2]DP-DATA'!K57-T57</f>
        <v>0</v>
      </c>
      <c r="K57" s="221">
        <f>'[2]scada daily'!D59</f>
        <v>-99.36</v>
      </c>
      <c r="L57" s="221">
        <f>'[2]DP-DATA'!H57</f>
        <v>788.94</v>
      </c>
      <c r="M57" s="221">
        <f>[2]solar!D57</f>
        <v>2974.29</v>
      </c>
      <c r="N57" s="232">
        <f>[2]RTM!G67</f>
        <v>666.31</v>
      </c>
      <c r="O57" s="221">
        <f>'[2]scada daily'!C59</f>
        <v>50.04</v>
      </c>
      <c r="P57" s="221">
        <f t="shared" si="0"/>
        <v>0</v>
      </c>
      <c r="Q57" s="221">
        <f t="shared" si="1"/>
        <v>0</v>
      </c>
      <c r="R57" s="221">
        <f t="shared" si="2"/>
        <v>-99.36</v>
      </c>
      <c r="S57" s="221">
        <f t="shared" si="3"/>
        <v>0</v>
      </c>
      <c r="T57" s="231">
        <f>[2]GNA!X68</f>
        <v>0</v>
      </c>
      <c r="U57" s="221">
        <f t="shared" si="4"/>
        <v>0</v>
      </c>
      <c r="V57" s="221">
        <f t="shared" si="5"/>
        <v>666.31</v>
      </c>
    </row>
    <row r="58" s="221" customFormat="1" ht="16.5" spans="1:22">
      <c r="A58" s="227">
        <f>'[2]DP-DATA'!B58</f>
        <v>0.583333333333333</v>
      </c>
      <c r="B58" s="221">
        <f>'[2]DP-DATA'!C58</f>
        <v>3329.99</v>
      </c>
      <c r="C58" s="221">
        <f>[2]CGS!C61</f>
        <v>1141.75</v>
      </c>
      <c r="D58" s="221">
        <f>'[2]ipp- thermal'!I58</f>
        <v>1477.47</v>
      </c>
      <c r="E58" s="228">
        <f>'[2]DP-DATA'!N58</f>
        <v>10278.48</v>
      </c>
      <c r="F58" s="221">
        <f>'[2]DP-DATA'!G58</f>
        <v>123.58</v>
      </c>
      <c r="G58" s="229">
        <f>[2]IEX!G67</f>
        <v>0</v>
      </c>
      <c r="H58" s="221">
        <f>[2]iex.urs.od!C58</f>
        <v>0</v>
      </c>
      <c r="I58" s="231">
        <f>'[2]DP-DATA'!J58</f>
        <v>0</v>
      </c>
      <c r="J58" s="231">
        <f>'[2]DP-DATA'!K58-T58</f>
        <v>0</v>
      </c>
      <c r="K58" s="221">
        <f>'[2]scada daily'!D60</f>
        <v>-13.99</v>
      </c>
      <c r="L58" s="221">
        <f>'[2]DP-DATA'!H58</f>
        <v>772.43</v>
      </c>
      <c r="M58" s="221">
        <f>[2]solar!D58</f>
        <v>2840.18</v>
      </c>
      <c r="N58" s="232">
        <f>[2]RTM!G68</f>
        <v>380.74</v>
      </c>
      <c r="O58" s="221">
        <f>'[2]scada daily'!C60</f>
        <v>50.09</v>
      </c>
      <c r="P58" s="221">
        <f t="shared" si="0"/>
        <v>0</v>
      </c>
      <c r="Q58" s="221">
        <f t="shared" si="1"/>
        <v>0</v>
      </c>
      <c r="R58" s="221">
        <f t="shared" si="2"/>
        <v>-13.99</v>
      </c>
      <c r="S58" s="221">
        <f t="shared" si="3"/>
        <v>0</v>
      </c>
      <c r="T58" s="231">
        <f>[2]GNA!X69</f>
        <v>0</v>
      </c>
      <c r="U58" s="221">
        <f t="shared" si="4"/>
        <v>0</v>
      </c>
      <c r="V58" s="221">
        <f t="shared" si="5"/>
        <v>380.74</v>
      </c>
    </row>
    <row r="59" s="221" customFormat="1" ht="16.5" spans="1:22">
      <c r="A59" s="227">
        <f>'[2]DP-DATA'!B59</f>
        <v>0.59375</v>
      </c>
      <c r="B59" s="221">
        <f>'[2]DP-DATA'!C59</f>
        <v>3263.79</v>
      </c>
      <c r="C59" s="221">
        <f>[2]CGS!C62</f>
        <v>1202.46</v>
      </c>
      <c r="D59" s="221">
        <f>'[2]ipp- thermal'!I59</f>
        <v>1478.11</v>
      </c>
      <c r="E59" s="228">
        <f>'[2]DP-DATA'!N59</f>
        <v>10431</v>
      </c>
      <c r="F59" s="221">
        <f>'[2]DP-DATA'!G59</f>
        <v>167.62</v>
      </c>
      <c r="G59" s="229">
        <f>[2]IEX!G68</f>
        <v>0</v>
      </c>
      <c r="H59" s="221">
        <f>[2]iex.urs.od!C59</f>
        <v>0</v>
      </c>
      <c r="I59" s="231">
        <f>'[2]DP-DATA'!J59</f>
        <v>0</v>
      </c>
      <c r="J59" s="231">
        <f>'[2]DP-DATA'!K59-T59</f>
        <v>0</v>
      </c>
      <c r="K59" s="221">
        <f>'[2]scada daily'!D61</f>
        <v>243.31</v>
      </c>
      <c r="L59" s="221">
        <f>'[2]DP-DATA'!H59</f>
        <v>748.26</v>
      </c>
      <c r="M59" s="221">
        <f>[2]solar!D59</f>
        <v>2635.51</v>
      </c>
      <c r="N59" s="232">
        <f>[2]RTM!G69</f>
        <v>475.93</v>
      </c>
      <c r="O59" s="221">
        <f>'[2]scada daily'!C61</f>
        <v>50.04</v>
      </c>
      <c r="P59" s="221">
        <f t="shared" si="0"/>
        <v>0</v>
      </c>
      <c r="Q59" s="221">
        <f t="shared" si="1"/>
        <v>243.31</v>
      </c>
      <c r="R59" s="221">
        <f t="shared" si="2"/>
        <v>0</v>
      </c>
      <c r="S59" s="221">
        <f t="shared" si="3"/>
        <v>0</v>
      </c>
      <c r="T59" s="231">
        <f>[2]GNA!X70</f>
        <v>0</v>
      </c>
      <c r="U59" s="221">
        <f t="shared" si="4"/>
        <v>0</v>
      </c>
      <c r="V59" s="221">
        <f t="shared" si="5"/>
        <v>475.93</v>
      </c>
    </row>
    <row r="60" s="221" customFormat="1" ht="16.5" spans="1:22">
      <c r="A60" s="227">
        <f>'[2]DP-DATA'!B60</f>
        <v>0.604166666666667</v>
      </c>
      <c r="B60" s="221">
        <f>'[2]DP-DATA'!C60</f>
        <v>3218.95</v>
      </c>
      <c r="C60" s="221">
        <f>[2]CGS!C63</f>
        <v>1273.85</v>
      </c>
      <c r="D60" s="221">
        <f>'[2]ipp- thermal'!I60</f>
        <v>1479.01</v>
      </c>
      <c r="E60" s="228">
        <f>'[2]DP-DATA'!N60</f>
        <v>10546.38</v>
      </c>
      <c r="F60" s="221">
        <f>'[2]DP-DATA'!G60</f>
        <v>232.79</v>
      </c>
      <c r="G60" s="229">
        <f>[2]IEX!G69</f>
        <v>0</v>
      </c>
      <c r="H60" s="221">
        <f>[2]iex.urs.od!C60</f>
        <v>0</v>
      </c>
      <c r="I60" s="231">
        <f>'[2]DP-DATA'!J60</f>
        <v>0</v>
      </c>
      <c r="J60" s="231">
        <f>'[2]DP-DATA'!K60-T60</f>
        <v>0</v>
      </c>
      <c r="K60" s="221">
        <f>'[2]scada daily'!D62</f>
        <v>413.68</v>
      </c>
      <c r="L60" s="221">
        <f>'[2]DP-DATA'!H60</f>
        <v>732.24</v>
      </c>
      <c r="M60" s="221">
        <f>[2]solar!D60</f>
        <v>2439.11</v>
      </c>
      <c r="N60" s="232">
        <f>[2]RTM!G70</f>
        <v>571.13</v>
      </c>
      <c r="O60" s="221">
        <f>'[2]scada daily'!C62</f>
        <v>50.01</v>
      </c>
      <c r="P60" s="221">
        <f t="shared" si="0"/>
        <v>0</v>
      </c>
      <c r="Q60" s="221">
        <f t="shared" si="1"/>
        <v>413.68</v>
      </c>
      <c r="R60" s="221">
        <f t="shared" si="2"/>
        <v>0</v>
      </c>
      <c r="S60" s="221">
        <f t="shared" si="3"/>
        <v>0</v>
      </c>
      <c r="T60" s="231">
        <f>[2]GNA!X71</f>
        <v>0</v>
      </c>
      <c r="U60" s="221">
        <f t="shared" si="4"/>
        <v>0</v>
      </c>
      <c r="V60" s="221">
        <f t="shared" si="5"/>
        <v>571.13</v>
      </c>
    </row>
    <row r="61" s="221" customFormat="1" ht="16.5" spans="1:22">
      <c r="A61" s="227">
        <f>'[2]DP-DATA'!B61</f>
        <v>0.614583333333333</v>
      </c>
      <c r="B61" s="221">
        <f>'[2]DP-DATA'!C61</f>
        <v>3571.27</v>
      </c>
      <c r="C61" s="221">
        <f>[2]CGS!C64</f>
        <v>1551.66</v>
      </c>
      <c r="D61" s="221">
        <f>'[2]ipp- thermal'!I61</f>
        <v>1476.41</v>
      </c>
      <c r="E61" s="228">
        <f>'[2]DP-DATA'!N61</f>
        <v>10709.89</v>
      </c>
      <c r="F61" s="221">
        <f>'[2]DP-DATA'!G61</f>
        <v>232.56</v>
      </c>
      <c r="G61" s="229">
        <f>[2]IEX!G70</f>
        <v>0</v>
      </c>
      <c r="H61" s="221">
        <f>[2]iex.urs.od!C61</f>
        <v>0</v>
      </c>
      <c r="I61" s="231">
        <f>'[2]DP-DATA'!J61</f>
        <v>0</v>
      </c>
      <c r="J61" s="231">
        <f>'[2]DP-DATA'!K61-T61</f>
        <v>0</v>
      </c>
      <c r="K61" s="221">
        <f>'[2]scada daily'!D63</f>
        <v>117.32</v>
      </c>
      <c r="L61" s="221">
        <f>'[2]DP-DATA'!H61</f>
        <v>693.18</v>
      </c>
      <c r="M61" s="221">
        <f>[2]solar!D61</f>
        <v>2315.12</v>
      </c>
      <c r="N61" s="232">
        <f>[2]RTM!G71</f>
        <v>571.13</v>
      </c>
      <c r="O61" s="221">
        <f>'[2]scada daily'!C63</f>
        <v>49.99</v>
      </c>
      <c r="P61" s="221">
        <f t="shared" si="0"/>
        <v>0</v>
      </c>
      <c r="Q61" s="221">
        <f t="shared" si="1"/>
        <v>117.32</v>
      </c>
      <c r="R61" s="221">
        <f t="shared" si="2"/>
        <v>0</v>
      </c>
      <c r="S61" s="221">
        <f t="shared" si="3"/>
        <v>0</v>
      </c>
      <c r="T61" s="231">
        <f>[2]GNA!X72</f>
        <v>0</v>
      </c>
      <c r="U61" s="221">
        <f t="shared" si="4"/>
        <v>0</v>
      </c>
      <c r="V61" s="221">
        <f t="shared" si="5"/>
        <v>571.13</v>
      </c>
    </row>
    <row r="62" s="221" customFormat="1" ht="16.5" spans="1:22">
      <c r="A62" s="227">
        <f>'[2]DP-DATA'!B62</f>
        <v>0.625</v>
      </c>
      <c r="B62" s="221">
        <f>'[2]DP-DATA'!C62</f>
        <v>3847.99</v>
      </c>
      <c r="C62" s="221">
        <f>[2]CGS!C65</f>
        <v>1530.31</v>
      </c>
      <c r="D62" s="221">
        <f>'[2]ipp- thermal'!I62</f>
        <v>1473.32</v>
      </c>
      <c r="E62" s="228">
        <f>'[2]DP-DATA'!N62</f>
        <v>10470.79</v>
      </c>
      <c r="F62" s="221">
        <f>'[2]DP-DATA'!G62</f>
        <v>196.82</v>
      </c>
      <c r="G62" s="229">
        <f>[2]IEX!G71</f>
        <v>0</v>
      </c>
      <c r="H62" s="221">
        <f>[2]iex.urs.od!C62</f>
        <v>0</v>
      </c>
      <c r="I62" s="231">
        <f>'[2]DP-DATA'!J62</f>
        <v>0</v>
      </c>
      <c r="J62" s="231">
        <f>'[2]DP-DATA'!K62-T62</f>
        <v>0</v>
      </c>
      <c r="K62" s="221">
        <f>'[2]scada daily'!D64</f>
        <v>-43.6</v>
      </c>
      <c r="L62" s="221">
        <f>'[2]DP-DATA'!H62</f>
        <v>685.03</v>
      </c>
      <c r="M62" s="221">
        <f>[2]solar!D62</f>
        <v>2144.04</v>
      </c>
      <c r="N62" s="232">
        <f>[2]RTM!G72</f>
        <v>285.55</v>
      </c>
      <c r="O62" s="221">
        <f>'[2]scada daily'!C64</f>
        <v>50.04</v>
      </c>
      <c r="P62" s="221">
        <f t="shared" si="0"/>
        <v>0</v>
      </c>
      <c r="Q62" s="221">
        <f t="shared" si="1"/>
        <v>0</v>
      </c>
      <c r="R62" s="221">
        <f t="shared" si="2"/>
        <v>-43.6</v>
      </c>
      <c r="S62" s="221">
        <f t="shared" si="3"/>
        <v>0</v>
      </c>
      <c r="T62" s="231">
        <f>[2]GNA!X73</f>
        <v>0</v>
      </c>
      <c r="U62" s="221">
        <f t="shared" si="4"/>
        <v>0</v>
      </c>
      <c r="V62" s="221">
        <f t="shared" si="5"/>
        <v>285.55</v>
      </c>
    </row>
    <row r="63" s="221" customFormat="1" ht="16.5" spans="1:22">
      <c r="A63" s="227">
        <f>'[2]DP-DATA'!B63</f>
        <v>0.635416666666667</v>
      </c>
      <c r="B63" s="221">
        <f>'[2]DP-DATA'!C63</f>
        <v>3981.33</v>
      </c>
      <c r="C63" s="221">
        <f>[2]CGS!C66</f>
        <v>1452.16</v>
      </c>
      <c r="D63" s="221">
        <f>'[2]ipp- thermal'!I63</f>
        <v>1475.3</v>
      </c>
      <c r="E63" s="228">
        <f>'[2]DP-DATA'!N63</f>
        <v>10511.89</v>
      </c>
      <c r="F63" s="221">
        <f>'[2]DP-DATA'!G63</f>
        <v>134.17</v>
      </c>
      <c r="G63" s="229">
        <f>[2]IEX!G72</f>
        <v>0</v>
      </c>
      <c r="H63" s="221">
        <f>[2]iex.urs.od!C63</f>
        <v>0</v>
      </c>
      <c r="I63" s="231">
        <f>'[2]DP-DATA'!J63</f>
        <v>0</v>
      </c>
      <c r="J63" s="231">
        <f>'[2]DP-DATA'!K63-T63</f>
        <v>0</v>
      </c>
      <c r="K63" s="221">
        <f>'[2]scada daily'!D65</f>
        <v>75.01</v>
      </c>
      <c r="L63" s="221">
        <f>'[2]DP-DATA'!H63</f>
        <v>712.74</v>
      </c>
      <c r="M63" s="221">
        <f>[2]solar!D63</f>
        <v>1968.73</v>
      </c>
      <c r="N63" s="232">
        <f>[2]RTM!G73</f>
        <v>380.75</v>
      </c>
      <c r="O63" s="221">
        <f>'[2]scada daily'!C65</f>
        <v>50</v>
      </c>
      <c r="P63" s="221">
        <f t="shared" si="0"/>
        <v>0</v>
      </c>
      <c r="Q63" s="221">
        <f t="shared" si="1"/>
        <v>75.01</v>
      </c>
      <c r="R63" s="221">
        <f t="shared" si="2"/>
        <v>0</v>
      </c>
      <c r="S63" s="221">
        <f t="shared" si="3"/>
        <v>0</v>
      </c>
      <c r="T63" s="231">
        <f>[2]GNA!X74</f>
        <v>0</v>
      </c>
      <c r="U63" s="221">
        <f t="shared" si="4"/>
        <v>0</v>
      </c>
      <c r="V63" s="221">
        <f t="shared" si="5"/>
        <v>380.75</v>
      </c>
    </row>
    <row r="64" s="221" customFormat="1" ht="16.5" spans="1:22">
      <c r="A64" s="227">
        <f>'[2]DP-DATA'!B64</f>
        <v>0.645833333333333</v>
      </c>
      <c r="B64" s="221">
        <f>'[2]DP-DATA'!C64</f>
        <v>4003.87</v>
      </c>
      <c r="C64" s="221">
        <f>[2]CGS!C67</f>
        <v>1464.31</v>
      </c>
      <c r="D64" s="221">
        <f>'[2]ipp- thermal'!I64</f>
        <v>1475.41</v>
      </c>
      <c r="E64" s="228">
        <f>'[2]DP-DATA'!N64</f>
        <v>10502.85</v>
      </c>
      <c r="F64" s="221">
        <f>'[2]DP-DATA'!G64</f>
        <v>134.41</v>
      </c>
      <c r="G64" s="229">
        <f>[2]IEX!G73</f>
        <v>190.36</v>
      </c>
      <c r="H64" s="221">
        <f>[2]iex.urs.od!C64</f>
        <v>0</v>
      </c>
      <c r="I64" s="231">
        <f>'[2]DP-DATA'!J64</f>
        <v>0</v>
      </c>
      <c r="J64" s="231">
        <f>'[2]DP-DATA'!K64-T64</f>
        <v>0</v>
      </c>
      <c r="K64" s="221">
        <f>'[2]scada daily'!D66</f>
        <v>-19.65</v>
      </c>
      <c r="L64" s="221">
        <f>'[2]DP-DATA'!H64</f>
        <v>743.76</v>
      </c>
      <c r="M64" s="221">
        <f>[2]solar!D64</f>
        <v>1530.42</v>
      </c>
      <c r="N64" s="232">
        <f>[2]RTM!G74</f>
        <v>666.32</v>
      </c>
      <c r="O64" s="221">
        <f>'[2]scada daily'!C66</f>
        <v>49.99</v>
      </c>
      <c r="P64" s="221">
        <f t="shared" si="0"/>
        <v>0</v>
      </c>
      <c r="Q64" s="221">
        <f t="shared" si="1"/>
        <v>0</v>
      </c>
      <c r="R64" s="221">
        <f t="shared" si="2"/>
        <v>-19.65</v>
      </c>
      <c r="S64" s="221">
        <f t="shared" si="3"/>
        <v>0</v>
      </c>
      <c r="T64" s="231">
        <f>[2]GNA!X75</f>
        <v>0</v>
      </c>
      <c r="U64" s="221">
        <f t="shared" si="4"/>
        <v>190.36</v>
      </c>
      <c r="V64" s="221">
        <f t="shared" si="5"/>
        <v>666.32</v>
      </c>
    </row>
    <row r="65" s="222" customFormat="1" ht="16.5" spans="1:22">
      <c r="A65" s="233">
        <f>'[2]DP-DATA'!B65</f>
        <v>0.65625</v>
      </c>
      <c r="B65" s="221">
        <f>'[2]DP-DATA'!C65</f>
        <v>4115.47</v>
      </c>
      <c r="C65" s="221">
        <f>[2]CGS!C68</f>
        <v>1448.31</v>
      </c>
      <c r="D65" s="221">
        <f>'[2]ipp- thermal'!I65</f>
        <v>1475.88</v>
      </c>
      <c r="E65" s="228">
        <f>'[2]DP-DATA'!N65</f>
        <v>10400.91</v>
      </c>
      <c r="F65" s="221">
        <f>'[2]DP-DATA'!G65</f>
        <v>136.3</v>
      </c>
      <c r="G65" s="229">
        <f>[2]IEX!G74</f>
        <v>285.56</v>
      </c>
      <c r="H65" s="221">
        <f>[2]iex.urs.od!C65</f>
        <v>0</v>
      </c>
      <c r="I65" s="231">
        <f>'[2]DP-DATA'!J65</f>
        <v>0</v>
      </c>
      <c r="J65" s="231">
        <f>'[2]DP-DATA'!K65-T65</f>
        <v>0</v>
      </c>
      <c r="K65" s="221">
        <f>'[2]scada daily'!D67</f>
        <v>-32.18</v>
      </c>
      <c r="L65" s="221">
        <f>'[2]DP-DATA'!H65</f>
        <v>783.23</v>
      </c>
      <c r="M65" s="221">
        <f>[2]solar!D65</f>
        <v>1199.78</v>
      </c>
      <c r="N65" s="232">
        <f>[2]RTM!G75</f>
        <v>761.51</v>
      </c>
      <c r="O65" s="221">
        <f>'[2]scada daily'!C67</f>
        <v>49.99</v>
      </c>
      <c r="P65" s="221">
        <f t="shared" si="0"/>
        <v>0</v>
      </c>
      <c r="Q65" s="221">
        <f t="shared" si="1"/>
        <v>0</v>
      </c>
      <c r="R65" s="221">
        <f t="shared" si="2"/>
        <v>-32.18</v>
      </c>
      <c r="S65" s="221">
        <f t="shared" si="3"/>
        <v>0</v>
      </c>
      <c r="T65" s="231">
        <f>[2]GNA!X76</f>
        <v>0</v>
      </c>
      <c r="U65" s="221">
        <f t="shared" si="4"/>
        <v>285.56</v>
      </c>
      <c r="V65" s="221">
        <f t="shared" si="5"/>
        <v>761.51</v>
      </c>
    </row>
    <row r="66" s="222" customFormat="1" ht="16.5" spans="1:22">
      <c r="A66" s="233">
        <f>'[2]DP-DATA'!B66</f>
        <v>0.666666666666667</v>
      </c>
      <c r="B66" s="221">
        <f>'[2]DP-DATA'!C66</f>
        <v>3809.27</v>
      </c>
      <c r="C66" s="221">
        <f>[2]CGS!C69</f>
        <v>1465.88</v>
      </c>
      <c r="D66" s="221">
        <f>'[2]ipp- thermal'!I66</f>
        <v>1019.65</v>
      </c>
      <c r="E66" s="228">
        <f>'[2]DP-DATA'!N66</f>
        <v>8885.1</v>
      </c>
      <c r="F66" s="221">
        <f>'[2]DP-DATA'!G66</f>
        <v>216.03</v>
      </c>
      <c r="G66" s="229">
        <f>[2]IEX!G75</f>
        <v>285.56</v>
      </c>
      <c r="H66" s="221">
        <f>[2]iex.urs.od!C66</f>
        <v>0</v>
      </c>
      <c r="I66" s="231">
        <f>'[2]DP-DATA'!J66</f>
        <v>0</v>
      </c>
      <c r="J66" s="231">
        <f>'[2]DP-DATA'!K66-T66</f>
        <v>0</v>
      </c>
      <c r="K66" s="221">
        <f>'[2]scada daily'!D68</f>
        <v>59.55</v>
      </c>
      <c r="L66" s="221">
        <f>'[2]DP-DATA'!H66</f>
        <v>741.18</v>
      </c>
      <c r="M66" s="221">
        <f>[2]solar!D66</f>
        <v>918.08</v>
      </c>
      <c r="N66" s="232">
        <f>[2]RTM!G76</f>
        <v>190.35</v>
      </c>
      <c r="O66" s="221">
        <f>'[2]scada daily'!C68</f>
        <v>45.96</v>
      </c>
      <c r="P66" s="221">
        <f t="shared" ref="P66:P97" si="6">IF(N66&gt;=0,0,N66)</f>
        <v>0</v>
      </c>
      <c r="Q66" s="221">
        <f t="shared" ref="Q66:Q97" si="7">IF(K66&gt;0,K66,0)</f>
        <v>59.55</v>
      </c>
      <c r="R66" s="221">
        <f t="shared" ref="R66:R97" si="8">IF(K66&lt;0,K66,0)</f>
        <v>0</v>
      </c>
      <c r="S66" s="221">
        <f t="shared" ref="S66:S97" si="9">IF(G66&lt;=0,G66,0)</f>
        <v>0</v>
      </c>
      <c r="T66" s="231">
        <f>[2]GNA!X77</f>
        <v>0</v>
      </c>
      <c r="U66" s="221">
        <f t="shared" ref="U66:U97" si="10">IF(G66&gt;=0,G66,0)</f>
        <v>285.56</v>
      </c>
      <c r="V66" s="221">
        <f t="shared" ref="V66:V97" si="11">IF(N66&gt;=0,N66,0)</f>
        <v>190.35</v>
      </c>
    </row>
    <row r="67" s="222" customFormat="1" ht="16.5" spans="1:22">
      <c r="A67" s="233">
        <f>'[2]DP-DATA'!B67</f>
        <v>0.677083333333333</v>
      </c>
      <c r="B67" s="221">
        <f>'[2]DP-DATA'!C67</f>
        <v>4281.08</v>
      </c>
      <c r="C67" s="221">
        <f>[2]CGS!C70</f>
        <v>1451.16</v>
      </c>
      <c r="D67" s="221">
        <f>'[2]ipp- thermal'!I67</f>
        <v>1481.86</v>
      </c>
      <c r="E67" s="228">
        <f>'[2]DP-DATA'!N67</f>
        <v>10025.82</v>
      </c>
      <c r="F67" s="221">
        <f>'[2]DP-DATA'!G67</f>
        <v>226.18</v>
      </c>
      <c r="G67" s="229">
        <f>[2]IEX!G76</f>
        <v>285.56</v>
      </c>
      <c r="H67" s="221">
        <f>[2]iex.urs.od!C67</f>
        <v>0</v>
      </c>
      <c r="I67" s="231">
        <f>'[2]DP-DATA'!J67</f>
        <v>0</v>
      </c>
      <c r="J67" s="231">
        <f>'[2]DP-DATA'!K67-T67</f>
        <v>0</v>
      </c>
      <c r="K67" s="221">
        <f>'[2]scada daily'!D69</f>
        <v>-63.02</v>
      </c>
      <c r="L67" s="221">
        <f>'[2]DP-DATA'!H67</f>
        <v>859.35</v>
      </c>
      <c r="M67" s="221">
        <f>[2]solar!D67</f>
        <v>840.35</v>
      </c>
      <c r="N67" s="232">
        <f>[2]RTM!G77</f>
        <v>380.74</v>
      </c>
      <c r="O67" s="221">
        <f>'[2]scada daily'!C69</f>
        <v>50.07</v>
      </c>
      <c r="P67" s="221">
        <f t="shared" si="6"/>
        <v>0</v>
      </c>
      <c r="Q67" s="221">
        <f t="shared" si="7"/>
        <v>0</v>
      </c>
      <c r="R67" s="221">
        <f t="shared" si="8"/>
        <v>-63.02</v>
      </c>
      <c r="S67" s="221">
        <f t="shared" si="9"/>
        <v>0</v>
      </c>
      <c r="T67" s="231">
        <f>[2]GNA!X78</f>
        <v>0</v>
      </c>
      <c r="U67" s="221">
        <f t="shared" si="10"/>
        <v>285.56</v>
      </c>
      <c r="V67" s="221">
        <f t="shared" si="11"/>
        <v>380.74</v>
      </c>
    </row>
    <row r="68" s="221" customFormat="1" ht="16.5" spans="1:22">
      <c r="A68" s="227">
        <f>'[2]DP-DATA'!B68</f>
        <v>0.6875</v>
      </c>
      <c r="B68" s="221">
        <f>'[2]DP-DATA'!C68</f>
        <v>4281.93</v>
      </c>
      <c r="C68" s="221">
        <f>[2]CGS!C71</f>
        <v>1451.16</v>
      </c>
      <c r="D68" s="221">
        <f>'[2]ipp- thermal'!I68</f>
        <v>1483.44</v>
      </c>
      <c r="E68" s="228">
        <f>'[2]DP-DATA'!N68</f>
        <v>9819.55</v>
      </c>
      <c r="F68" s="221">
        <f>'[2]DP-DATA'!G68</f>
        <v>130.03</v>
      </c>
      <c r="G68" s="229">
        <f>[2]IEX!G77</f>
        <v>285.56</v>
      </c>
      <c r="H68" s="221">
        <f>[2]iex.urs.od!C68</f>
        <v>0</v>
      </c>
      <c r="I68" s="231">
        <f>'[2]DP-DATA'!J68</f>
        <v>0</v>
      </c>
      <c r="J68" s="231">
        <f>'[2]DP-DATA'!K68-T68</f>
        <v>0</v>
      </c>
      <c r="K68" s="221">
        <f>'[2]scada daily'!D70</f>
        <v>-329.7</v>
      </c>
      <c r="L68" s="221">
        <f>'[2]DP-DATA'!H68</f>
        <v>883.32</v>
      </c>
      <c r="M68" s="221">
        <f>[2]solar!D68</f>
        <v>686.21</v>
      </c>
      <c r="N68" s="232">
        <f>[2]RTM!G78</f>
        <v>761.5</v>
      </c>
      <c r="O68" s="221">
        <f>'[2]scada daily'!C70</f>
        <v>50.11</v>
      </c>
      <c r="P68" s="221">
        <f t="shared" si="6"/>
        <v>0</v>
      </c>
      <c r="Q68" s="221">
        <f t="shared" si="7"/>
        <v>0</v>
      </c>
      <c r="R68" s="221">
        <f t="shared" si="8"/>
        <v>-329.7</v>
      </c>
      <c r="S68" s="221">
        <f t="shared" si="9"/>
        <v>0</v>
      </c>
      <c r="T68" s="231">
        <f>[2]GNA!X79</f>
        <v>0</v>
      </c>
      <c r="U68" s="221">
        <f t="shared" si="10"/>
        <v>285.56</v>
      </c>
      <c r="V68" s="221">
        <f t="shared" si="11"/>
        <v>761.5</v>
      </c>
    </row>
    <row r="69" s="221" customFormat="1" ht="16.5" spans="1:22">
      <c r="A69" s="227">
        <f>'[2]DP-DATA'!B69</f>
        <v>0.697916666666667</v>
      </c>
      <c r="B69" s="221">
        <f>'[2]DP-DATA'!C69</f>
        <v>4300.77</v>
      </c>
      <c r="C69" s="221">
        <f>[2]CGS!C72</f>
        <v>1451.16</v>
      </c>
      <c r="D69" s="221">
        <f>'[2]ipp- thermal'!I69</f>
        <v>1486.44</v>
      </c>
      <c r="E69" s="228">
        <f>'[2]DP-DATA'!N69</f>
        <v>9991.34</v>
      </c>
      <c r="F69" s="221">
        <f>'[2]DP-DATA'!G69</f>
        <v>130.08</v>
      </c>
      <c r="G69" s="229">
        <f>[2]IEX!G78</f>
        <v>285.56</v>
      </c>
      <c r="H69" s="221">
        <f>[2]iex.urs.od!C69</f>
        <v>0</v>
      </c>
      <c r="I69" s="231">
        <f>'[2]DP-DATA'!J69</f>
        <v>0</v>
      </c>
      <c r="J69" s="231">
        <f>'[2]DP-DATA'!K69-T69</f>
        <v>0</v>
      </c>
      <c r="K69" s="221">
        <f>'[2]scada daily'!D71</f>
        <v>157.34</v>
      </c>
      <c r="L69" s="221">
        <f>'[2]DP-DATA'!H69</f>
        <v>898.39</v>
      </c>
      <c r="M69" s="221">
        <f>[2]solar!D69</f>
        <v>570.69</v>
      </c>
      <c r="N69" s="232">
        <f>[2]RTM!G79</f>
        <v>666.33</v>
      </c>
      <c r="O69" s="221">
        <f>'[2]scada daily'!C71</f>
        <v>50.05</v>
      </c>
      <c r="P69" s="221">
        <f t="shared" si="6"/>
        <v>0</v>
      </c>
      <c r="Q69" s="221">
        <f t="shared" si="7"/>
        <v>157.34</v>
      </c>
      <c r="R69" s="221">
        <f t="shared" si="8"/>
        <v>0</v>
      </c>
      <c r="S69" s="221">
        <f t="shared" si="9"/>
        <v>0</v>
      </c>
      <c r="T69" s="231">
        <f>[2]GNA!X80</f>
        <v>0</v>
      </c>
      <c r="U69" s="221">
        <f t="shared" si="10"/>
        <v>285.56</v>
      </c>
      <c r="V69" s="221">
        <f t="shared" si="11"/>
        <v>666.33</v>
      </c>
    </row>
    <row r="70" s="221" customFormat="1" ht="16.5" spans="1:22">
      <c r="A70" s="227">
        <f>'[2]DP-DATA'!B70</f>
        <v>0.708333333333333</v>
      </c>
      <c r="B70" s="221">
        <f>'[2]DP-DATA'!C70</f>
        <v>4348.4</v>
      </c>
      <c r="C70" s="221">
        <f>[2]CGS!C73</f>
        <v>1551.66</v>
      </c>
      <c r="D70" s="221">
        <f>'[2]ipp- thermal'!I70</f>
        <v>1481.47</v>
      </c>
      <c r="E70" s="228">
        <f>'[2]DP-DATA'!N70</f>
        <v>8970.89</v>
      </c>
      <c r="F70" s="221">
        <f>'[2]DP-DATA'!G70</f>
        <v>124.95</v>
      </c>
      <c r="G70" s="229">
        <f>[2]IEX!G79</f>
        <v>0</v>
      </c>
      <c r="H70" s="221">
        <f>[2]iex.urs.od!C70</f>
        <v>0</v>
      </c>
      <c r="I70" s="231">
        <f>'[2]DP-DATA'!J70</f>
        <v>0</v>
      </c>
      <c r="J70" s="231">
        <f>'[2]DP-DATA'!K70-T70</f>
        <v>0</v>
      </c>
      <c r="K70" s="221">
        <f>'[2]scada daily'!D72</f>
        <v>-62.61</v>
      </c>
      <c r="L70" s="221">
        <f>'[2]DP-DATA'!H70</f>
        <v>917.82</v>
      </c>
      <c r="M70" s="221">
        <f>[2]solar!D70</f>
        <v>351.78</v>
      </c>
      <c r="N70" s="232">
        <f>[2]RTM!G80</f>
        <v>187.66</v>
      </c>
      <c r="O70" s="221">
        <f>'[2]scada daily'!C72</f>
        <v>50.13</v>
      </c>
      <c r="P70" s="221">
        <f t="shared" si="6"/>
        <v>0</v>
      </c>
      <c r="Q70" s="221">
        <f t="shared" si="7"/>
        <v>0</v>
      </c>
      <c r="R70" s="221">
        <f t="shared" si="8"/>
        <v>-62.61</v>
      </c>
      <c r="S70" s="221">
        <f t="shared" si="9"/>
        <v>0</v>
      </c>
      <c r="T70" s="231">
        <f>[2]GNA!X81</f>
        <v>0</v>
      </c>
      <c r="U70" s="221">
        <f t="shared" si="10"/>
        <v>0</v>
      </c>
      <c r="V70" s="221">
        <f t="shared" si="11"/>
        <v>187.66</v>
      </c>
    </row>
    <row r="71" s="221" customFormat="1" ht="16.5" spans="1:22">
      <c r="A71" s="227">
        <f>'[2]DP-DATA'!B71</f>
        <v>0.71875</v>
      </c>
      <c r="B71" s="221">
        <f>'[2]DP-DATA'!C71</f>
        <v>4346.87</v>
      </c>
      <c r="C71" s="221">
        <f>[2]CGS!C74</f>
        <v>1551.66</v>
      </c>
      <c r="D71" s="221">
        <f>'[2]ipp- thermal'!I71</f>
        <v>1480.77</v>
      </c>
      <c r="E71" s="228">
        <f>'[2]DP-DATA'!N71</f>
        <v>8701.99</v>
      </c>
      <c r="F71" s="221">
        <f>'[2]DP-DATA'!G71</f>
        <v>122.61</v>
      </c>
      <c r="G71" s="229">
        <f>[2]IEX!G80</f>
        <v>0</v>
      </c>
      <c r="H71" s="221">
        <f>[2]iex.urs.od!C71</f>
        <v>0</v>
      </c>
      <c r="I71" s="231">
        <f>'[2]DP-DATA'!J71</f>
        <v>0</v>
      </c>
      <c r="J71" s="231">
        <f>'[2]DP-DATA'!K71-T71</f>
        <v>0</v>
      </c>
      <c r="K71" s="221">
        <f>'[2]scada daily'!D73</f>
        <v>-212.17</v>
      </c>
      <c r="L71" s="221">
        <f>'[2]DP-DATA'!H71</f>
        <v>955.65</v>
      </c>
      <c r="M71" s="221">
        <f>[2]solar!D71</f>
        <v>190.83</v>
      </c>
      <c r="N71" s="232">
        <f>[2]RTM!G81</f>
        <v>280.81</v>
      </c>
      <c r="O71" s="221">
        <f>'[2]scada daily'!C73</f>
        <v>50.07</v>
      </c>
      <c r="P71" s="221">
        <f t="shared" si="6"/>
        <v>0</v>
      </c>
      <c r="Q71" s="221">
        <f t="shared" si="7"/>
        <v>0</v>
      </c>
      <c r="R71" s="221">
        <f t="shared" si="8"/>
        <v>-212.17</v>
      </c>
      <c r="S71" s="221">
        <f t="shared" si="9"/>
        <v>0</v>
      </c>
      <c r="T71" s="231">
        <f>[2]GNA!X82</f>
        <v>0</v>
      </c>
      <c r="U71" s="221">
        <f t="shared" si="10"/>
        <v>0</v>
      </c>
      <c r="V71" s="221">
        <f t="shared" si="11"/>
        <v>280.81</v>
      </c>
    </row>
    <row r="72" s="221" customFormat="1" ht="16.5" spans="1:22">
      <c r="A72" s="227">
        <f>'[2]DP-DATA'!B72</f>
        <v>0.729166666666667</v>
      </c>
      <c r="B72" s="221">
        <f>'[2]DP-DATA'!C72</f>
        <v>4375.92</v>
      </c>
      <c r="C72" s="221">
        <f>[2]CGS!C75</f>
        <v>1551.66</v>
      </c>
      <c r="D72" s="221">
        <f>'[2]ipp- thermal'!I72</f>
        <v>1481.72</v>
      </c>
      <c r="E72" s="228">
        <f>'[2]DP-DATA'!N72</f>
        <v>8731.07</v>
      </c>
      <c r="F72" s="221">
        <f>'[2]DP-DATA'!G72</f>
        <v>120.16</v>
      </c>
      <c r="G72" s="229">
        <f>[2]IEX!G81</f>
        <v>0</v>
      </c>
      <c r="H72" s="221">
        <f>[2]iex.urs.od!C72</f>
        <v>0</v>
      </c>
      <c r="I72" s="231">
        <f>'[2]DP-DATA'!J72</f>
        <v>407.08</v>
      </c>
      <c r="J72" s="231">
        <v>0</v>
      </c>
      <c r="K72" s="221">
        <f>'[2]scada daily'!D74</f>
        <v>-279.2</v>
      </c>
      <c r="L72" s="221">
        <f>'[2]DP-DATA'!H72</f>
        <v>971.97</v>
      </c>
      <c r="M72" s="221">
        <f>[2]solar!D72</f>
        <v>81.15</v>
      </c>
      <c r="N72" s="232">
        <f>[2]RTM!G82</f>
        <v>53.65</v>
      </c>
      <c r="O72" s="221">
        <f>'[2]scada daily'!C74</f>
        <v>50</v>
      </c>
      <c r="P72" s="221">
        <f t="shared" si="6"/>
        <v>0</v>
      </c>
      <c r="Q72" s="221">
        <f t="shared" si="7"/>
        <v>0</v>
      </c>
      <c r="R72" s="221">
        <f t="shared" si="8"/>
        <v>-279.2</v>
      </c>
      <c r="S72" s="221">
        <f t="shared" si="9"/>
        <v>0</v>
      </c>
      <c r="T72" s="231">
        <f>[2]GNA!X83</f>
        <v>0</v>
      </c>
      <c r="U72" s="221">
        <f t="shared" si="10"/>
        <v>0</v>
      </c>
      <c r="V72" s="221">
        <f t="shared" si="11"/>
        <v>53.65</v>
      </c>
    </row>
    <row r="73" s="222" customFormat="1" ht="16.5" spans="1:22">
      <c r="A73" s="233">
        <f>'[2]DP-DATA'!B73</f>
        <v>0.739583333333333</v>
      </c>
      <c r="B73" s="221">
        <f>'[2]DP-DATA'!C73</f>
        <v>4393.22</v>
      </c>
      <c r="C73" s="221">
        <f>[2]CGS!C76</f>
        <v>1551.66</v>
      </c>
      <c r="D73" s="221">
        <f>'[2]ipp- thermal'!I73</f>
        <v>1465.42</v>
      </c>
      <c r="E73" s="228">
        <f>'[2]DP-DATA'!N73</f>
        <v>8817.3</v>
      </c>
      <c r="F73" s="221">
        <f>'[2]DP-DATA'!G73</f>
        <v>116.32</v>
      </c>
      <c r="G73" s="229">
        <f>[2]IEX!G82</f>
        <v>0</v>
      </c>
      <c r="H73" s="221">
        <f>[2]iex.urs.od!C73</f>
        <v>0</v>
      </c>
      <c r="I73" s="231">
        <f>'[2]DP-DATA'!J73</f>
        <v>407.08</v>
      </c>
      <c r="J73" s="231">
        <v>0</v>
      </c>
      <c r="K73" s="221">
        <f>'[2]scada daily'!D75</f>
        <v>-122.23</v>
      </c>
      <c r="L73" s="221">
        <f>'[2]DP-DATA'!H73</f>
        <v>963.44</v>
      </c>
      <c r="M73" s="221">
        <f>[2]solar!D73</f>
        <v>20.85</v>
      </c>
      <c r="N73" s="232">
        <f>[2]RTM!G83</f>
        <v>53.53</v>
      </c>
      <c r="O73" s="221">
        <f>'[2]scada daily'!C75</f>
        <v>49.92</v>
      </c>
      <c r="P73" s="221">
        <f t="shared" si="6"/>
        <v>0</v>
      </c>
      <c r="Q73" s="221">
        <f t="shared" si="7"/>
        <v>0</v>
      </c>
      <c r="R73" s="221">
        <f t="shared" si="8"/>
        <v>-122.23</v>
      </c>
      <c r="S73" s="221">
        <f t="shared" si="9"/>
        <v>0</v>
      </c>
      <c r="T73" s="231">
        <f>[2]GNA!X84</f>
        <v>0</v>
      </c>
      <c r="U73" s="221">
        <f t="shared" si="10"/>
        <v>0</v>
      </c>
      <c r="V73" s="221">
        <f t="shared" si="11"/>
        <v>53.53</v>
      </c>
    </row>
    <row r="74" s="222" customFormat="1" ht="16.5" spans="1:22">
      <c r="A74" s="233">
        <f>'[2]DP-DATA'!B74</f>
        <v>0.75</v>
      </c>
      <c r="B74" s="221">
        <f>'[2]DP-DATA'!C74</f>
        <v>4437.48</v>
      </c>
      <c r="C74" s="221">
        <f>[2]CGS!C77</f>
        <v>1551.66</v>
      </c>
      <c r="D74" s="221">
        <f>'[2]ipp- thermal'!I74</f>
        <v>1452.82</v>
      </c>
      <c r="E74" s="228">
        <f>'[2]DP-DATA'!N74</f>
        <v>8445.63</v>
      </c>
      <c r="F74" s="221">
        <f>'[2]DP-DATA'!G74</f>
        <v>112.63</v>
      </c>
      <c r="G74" s="229">
        <f>[2]IEX!G83</f>
        <v>0</v>
      </c>
      <c r="H74" s="221">
        <f>[2]iex.urs.od!C74</f>
        <v>0</v>
      </c>
      <c r="I74" s="231">
        <f>'[2]DP-DATA'!J74</f>
        <v>407.08</v>
      </c>
      <c r="J74" s="231">
        <v>0</v>
      </c>
      <c r="K74" s="221">
        <f>'[2]scada daily'!D76</f>
        <v>-216.33</v>
      </c>
      <c r="L74" s="221">
        <f>'[2]DP-DATA'!H74</f>
        <v>912.17</v>
      </c>
      <c r="M74" s="221">
        <f>[2]solar!D74</f>
        <v>5.44</v>
      </c>
      <c r="N74" s="232">
        <f>[2]RTM!G84</f>
        <v>-200</v>
      </c>
      <c r="O74" s="221">
        <f>'[2]scada daily'!C76</f>
        <v>50.01</v>
      </c>
      <c r="P74" s="221">
        <f t="shared" si="6"/>
        <v>-200</v>
      </c>
      <c r="Q74" s="221">
        <f t="shared" si="7"/>
        <v>0</v>
      </c>
      <c r="R74" s="221">
        <f t="shared" si="8"/>
        <v>-216.33</v>
      </c>
      <c r="S74" s="221">
        <f t="shared" si="9"/>
        <v>0</v>
      </c>
      <c r="T74" s="231">
        <f>[2]GNA!X85</f>
        <v>0</v>
      </c>
      <c r="U74" s="221">
        <f t="shared" si="10"/>
        <v>0</v>
      </c>
      <c r="V74" s="221">
        <f t="shared" si="11"/>
        <v>0</v>
      </c>
    </row>
    <row r="75" s="222" customFormat="1" ht="16.5" spans="1:22">
      <c r="A75" s="233">
        <f>'[2]DP-DATA'!B75</f>
        <v>0.760416666666667</v>
      </c>
      <c r="B75" s="221">
        <f>'[2]DP-DATA'!C75</f>
        <v>4445.4</v>
      </c>
      <c r="C75" s="221">
        <f>[2]CGS!C78</f>
        <v>1551.66</v>
      </c>
      <c r="D75" s="221">
        <f>'[2]ipp- thermal'!I75</f>
        <v>1462.61</v>
      </c>
      <c r="E75" s="228">
        <f>'[2]DP-DATA'!N75</f>
        <v>8592.46</v>
      </c>
      <c r="F75" s="221">
        <f>'[2]DP-DATA'!G75</f>
        <v>113.12</v>
      </c>
      <c r="G75" s="229">
        <f>[2]IEX!G84</f>
        <v>0</v>
      </c>
      <c r="H75" s="221">
        <f>[2]iex.urs.od!C75</f>
        <v>0</v>
      </c>
      <c r="I75" s="231">
        <f>'[2]DP-DATA'!J75</f>
        <v>407.08</v>
      </c>
      <c r="J75" s="231">
        <v>0</v>
      </c>
      <c r="K75" s="221">
        <f>'[2]scada daily'!D77</f>
        <v>-190.71</v>
      </c>
      <c r="L75" s="221">
        <f>'[2]DP-DATA'!H75</f>
        <v>937.7</v>
      </c>
      <c r="M75" s="221">
        <f>[2]solar!D75</f>
        <v>3.2</v>
      </c>
      <c r="N75" s="232">
        <f>[2]RTM!G85</f>
        <v>-100</v>
      </c>
      <c r="O75" s="221">
        <f>'[2]scada daily'!C77</f>
        <v>49.96</v>
      </c>
      <c r="P75" s="221">
        <f t="shared" si="6"/>
        <v>-100</v>
      </c>
      <c r="Q75" s="221">
        <f t="shared" si="7"/>
        <v>0</v>
      </c>
      <c r="R75" s="221">
        <f t="shared" si="8"/>
        <v>-190.71</v>
      </c>
      <c r="S75" s="221">
        <f t="shared" si="9"/>
        <v>0</v>
      </c>
      <c r="T75" s="231">
        <f>[2]GNA!X86</f>
        <v>0</v>
      </c>
      <c r="U75" s="221">
        <f t="shared" si="10"/>
        <v>0</v>
      </c>
      <c r="V75" s="221">
        <f t="shared" si="11"/>
        <v>0</v>
      </c>
    </row>
    <row r="76" s="222" customFormat="1" ht="16.5" spans="1:22">
      <c r="A76" s="233">
        <f>'[2]DP-DATA'!B76</f>
        <v>0.770833333333333</v>
      </c>
      <c r="B76" s="221">
        <f>'[2]DP-DATA'!C76</f>
        <v>4408.73</v>
      </c>
      <c r="C76" s="221">
        <f>[2]CGS!C79</f>
        <v>1551.66</v>
      </c>
      <c r="D76" s="221">
        <f>'[2]ipp- thermal'!I76</f>
        <v>1468.63</v>
      </c>
      <c r="E76" s="228">
        <f>'[2]DP-DATA'!N76</f>
        <v>8718.81</v>
      </c>
      <c r="F76" s="221">
        <f>'[2]DP-DATA'!G76</f>
        <v>112.62</v>
      </c>
      <c r="G76" s="229">
        <f>[2]IEX!G85</f>
        <v>0</v>
      </c>
      <c r="H76" s="221">
        <f>[2]iex.urs.od!C76</f>
        <v>0</v>
      </c>
      <c r="I76" s="231">
        <f>'[2]DP-DATA'!J76</f>
        <v>407.08</v>
      </c>
      <c r="J76" s="231">
        <v>0</v>
      </c>
      <c r="K76" s="221">
        <f>'[2]scada daily'!D78</f>
        <v>3.69</v>
      </c>
      <c r="L76" s="221">
        <f>'[2]DP-DATA'!H76</f>
        <v>997.35</v>
      </c>
      <c r="M76" s="221">
        <f>[2]solar!D76</f>
        <v>0.31</v>
      </c>
      <c r="N76" s="232">
        <f>[2]RTM!G86</f>
        <v>-200</v>
      </c>
      <c r="O76" s="221">
        <f>'[2]scada daily'!C78</f>
        <v>50.03</v>
      </c>
      <c r="P76" s="221">
        <f t="shared" si="6"/>
        <v>-200</v>
      </c>
      <c r="Q76" s="221">
        <f t="shared" si="7"/>
        <v>3.69</v>
      </c>
      <c r="R76" s="221">
        <f t="shared" si="8"/>
        <v>0</v>
      </c>
      <c r="S76" s="221">
        <f t="shared" si="9"/>
        <v>0</v>
      </c>
      <c r="T76" s="231">
        <f>[2]GNA!X87</f>
        <v>0</v>
      </c>
      <c r="U76" s="221">
        <f t="shared" si="10"/>
        <v>0</v>
      </c>
      <c r="V76" s="221">
        <f t="shared" si="11"/>
        <v>0</v>
      </c>
    </row>
    <row r="77" s="221" customFormat="1" ht="16.5" spans="1:22">
      <c r="A77" s="227">
        <f>'[2]DP-DATA'!B77</f>
        <v>0.78125</v>
      </c>
      <c r="B77" s="221">
        <f>'[2]DP-DATA'!C77</f>
        <v>4430.14</v>
      </c>
      <c r="C77" s="221">
        <f>[2]CGS!C80</f>
        <v>1551.66</v>
      </c>
      <c r="D77" s="221">
        <f>'[2]ipp- thermal'!I77</f>
        <v>1451.59</v>
      </c>
      <c r="E77" s="228">
        <f>'[2]DP-DATA'!N77</f>
        <v>8706.46</v>
      </c>
      <c r="F77" s="221">
        <f>'[2]DP-DATA'!G77</f>
        <v>112.94</v>
      </c>
      <c r="G77" s="229">
        <f>[2]IEX!G86</f>
        <v>0</v>
      </c>
      <c r="H77" s="221">
        <f>[2]iex.urs.od!C77</f>
        <v>0</v>
      </c>
      <c r="I77" s="231">
        <f>'[2]DP-DATA'!J77</f>
        <v>407.08</v>
      </c>
      <c r="J77" s="231">
        <v>0</v>
      </c>
      <c r="K77" s="221">
        <f>'[2]scada daily'!D79</f>
        <v>-14.02</v>
      </c>
      <c r="L77" s="221">
        <f>'[2]DP-DATA'!H77</f>
        <v>1002.63</v>
      </c>
      <c r="M77" s="221">
        <f>[2]solar!D77</f>
        <v>0.09</v>
      </c>
      <c r="N77" s="232">
        <f>[2]RTM!G87</f>
        <v>-200</v>
      </c>
      <c r="O77" s="221">
        <f>'[2]scada daily'!C79</f>
        <v>50.02</v>
      </c>
      <c r="P77" s="221">
        <f t="shared" si="6"/>
        <v>-200</v>
      </c>
      <c r="Q77" s="221">
        <f t="shared" si="7"/>
        <v>0</v>
      </c>
      <c r="R77" s="221">
        <f t="shared" si="8"/>
        <v>-14.02</v>
      </c>
      <c r="S77" s="221">
        <f t="shared" si="9"/>
        <v>0</v>
      </c>
      <c r="T77" s="231">
        <f>[2]GNA!X88</f>
        <v>0</v>
      </c>
      <c r="U77" s="221">
        <f t="shared" si="10"/>
        <v>0</v>
      </c>
      <c r="V77" s="221">
        <f t="shared" si="11"/>
        <v>0</v>
      </c>
    </row>
    <row r="78" s="221" customFormat="1" ht="16.5" spans="1:22">
      <c r="A78" s="227">
        <f>'[2]DP-DATA'!B78</f>
        <v>0.791666666666667</v>
      </c>
      <c r="B78" s="221">
        <f>'[2]DP-DATA'!C78</f>
        <v>4492.4</v>
      </c>
      <c r="C78" s="221">
        <f>[2]CGS!C81</f>
        <v>1553.13</v>
      </c>
      <c r="D78" s="221">
        <f>'[2]ipp- thermal'!I78</f>
        <v>1473.04</v>
      </c>
      <c r="E78" s="228">
        <f>'[2]DP-DATA'!N78</f>
        <v>8605.48</v>
      </c>
      <c r="F78" s="221">
        <f>'[2]DP-DATA'!G78</f>
        <v>114.12</v>
      </c>
      <c r="G78" s="229">
        <f>[2]IEX!G87</f>
        <v>0</v>
      </c>
      <c r="H78" s="221">
        <f>[2]iex.urs.od!C78</f>
        <v>0</v>
      </c>
      <c r="I78" s="231">
        <f>'[2]DP-DATA'!J78</f>
        <v>407.08</v>
      </c>
      <c r="J78" s="231">
        <v>0</v>
      </c>
      <c r="K78" s="221">
        <f>'[2]scada daily'!D80</f>
        <v>-123.27</v>
      </c>
      <c r="L78" s="221">
        <f>'[2]DP-DATA'!H78</f>
        <v>1018.61</v>
      </c>
      <c r="M78" s="221">
        <f>[2]solar!D78</f>
        <v>0</v>
      </c>
      <c r="N78" s="232">
        <f>[2]RTM!G88</f>
        <v>-300</v>
      </c>
      <c r="O78" s="221">
        <f>'[2]scada daily'!C80</f>
        <v>50.01</v>
      </c>
      <c r="P78" s="221">
        <f t="shared" si="6"/>
        <v>-300</v>
      </c>
      <c r="Q78" s="221">
        <f t="shared" si="7"/>
        <v>0</v>
      </c>
      <c r="R78" s="221">
        <f t="shared" si="8"/>
        <v>-123.27</v>
      </c>
      <c r="S78" s="221">
        <f t="shared" si="9"/>
        <v>0</v>
      </c>
      <c r="T78" s="231">
        <f>[2]GNA!X89</f>
        <v>0</v>
      </c>
      <c r="U78" s="221">
        <f t="shared" si="10"/>
        <v>0</v>
      </c>
      <c r="V78" s="221">
        <f t="shared" si="11"/>
        <v>0</v>
      </c>
    </row>
    <row r="79" s="221" customFormat="1" ht="16.5" spans="1:22">
      <c r="A79" s="227">
        <f>'[2]DP-DATA'!B79</f>
        <v>0.802083333333333</v>
      </c>
      <c r="B79" s="221">
        <f>'[2]DP-DATA'!C79</f>
        <v>4537.46</v>
      </c>
      <c r="C79" s="221">
        <f>[2]CGS!C82</f>
        <v>1553.3</v>
      </c>
      <c r="D79" s="221">
        <f>'[2]ipp- thermal'!I79</f>
        <v>1473.51</v>
      </c>
      <c r="E79" s="228">
        <f>'[2]DP-DATA'!N79</f>
        <v>8460.63</v>
      </c>
      <c r="F79" s="221">
        <f>'[2]DP-DATA'!G79</f>
        <v>114.7</v>
      </c>
      <c r="G79" s="229">
        <f>[2]IEX!G88</f>
        <v>0</v>
      </c>
      <c r="H79" s="221">
        <f>[2]iex.urs.od!C79</f>
        <v>0</v>
      </c>
      <c r="I79" s="231">
        <f>'[2]DP-DATA'!J79</f>
        <v>407.08</v>
      </c>
      <c r="J79" s="231">
        <v>0</v>
      </c>
      <c r="K79" s="221">
        <f>'[2]scada daily'!D81</f>
        <v>-350.88</v>
      </c>
      <c r="L79" s="221">
        <f>'[2]DP-DATA'!H79</f>
        <v>1062.11</v>
      </c>
      <c r="M79" s="221">
        <f>[2]solar!D79</f>
        <v>0</v>
      </c>
      <c r="N79" s="232">
        <f>[2]RTM!G89</f>
        <v>-300</v>
      </c>
      <c r="O79" s="221">
        <f>'[2]scada daily'!C81</f>
        <v>50.03</v>
      </c>
      <c r="P79" s="221">
        <f t="shared" si="6"/>
        <v>-300</v>
      </c>
      <c r="Q79" s="221">
        <f t="shared" si="7"/>
        <v>0</v>
      </c>
      <c r="R79" s="221">
        <f t="shared" si="8"/>
        <v>-350.88</v>
      </c>
      <c r="S79" s="221">
        <f t="shared" si="9"/>
        <v>0</v>
      </c>
      <c r="T79" s="231">
        <f>[2]GNA!X90</f>
        <v>0</v>
      </c>
      <c r="U79" s="221">
        <f t="shared" si="10"/>
        <v>0</v>
      </c>
      <c r="V79" s="221">
        <f t="shared" si="11"/>
        <v>0</v>
      </c>
    </row>
    <row r="80" s="221" customFormat="1" ht="16.5" spans="1:22">
      <c r="A80" s="227">
        <f>'[2]DP-DATA'!B80</f>
        <v>0.8125</v>
      </c>
      <c r="B80" s="221">
        <f>'[2]DP-DATA'!C80</f>
        <v>4511.78</v>
      </c>
      <c r="C80" s="221">
        <f>[2]CGS!C83</f>
        <v>1553.3</v>
      </c>
      <c r="D80" s="221">
        <f>'[2]ipp- thermal'!I80</f>
        <v>1483.34</v>
      </c>
      <c r="E80" s="228">
        <f>'[2]DP-DATA'!N80</f>
        <v>8390.58</v>
      </c>
      <c r="F80" s="221">
        <f>'[2]DP-DATA'!G80</f>
        <v>115.09</v>
      </c>
      <c r="G80" s="229">
        <f>[2]IEX!G89</f>
        <v>0</v>
      </c>
      <c r="H80" s="221">
        <f>[2]iex.urs.od!C80</f>
        <v>0</v>
      </c>
      <c r="I80" s="231">
        <f>'[2]DP-DATA'!J80</f>
        <v>0</v>
      </c>
      <c r="J80" s="231">
        <v>0</v>
      </c>
      <c r="K80" s="221">
        <f>'[2]scada daily'!D82</f>
        <v>-181.01</v>
      </c>
      <c r="L80" s="221">
        <f>'[2]DP-DATA'!H80</f>
        <v>1123.51</v>
      </c>
      <c r="M80" s="221">
        <f>[2]solar!D80</f>
        <v>0</v>
      </c>
      <c r="N80" s="232">
        <f>[2]RTM!G90</f>
        <v>-200</v>
      </c>
      <c r="O80" s="221">
        <f>'[2]scada daily'!C82</f>
        <v>50.05</v>
      </c>
      <c r="P80" s="221">
        <f t="shared" si="6"/>
        <v>-200</v>
      </c>
      <c r="Q80" s="221">
        <f t="shared" si="7"/>
        <v>0</v>
      </c>
      <c r="R80" s="221">
        <f t="shared" si="8"/>
        <v>-181.01</v>
      </c>
      <c r="S80" s="221">
        <f t="shared" si="9"/>
        <v>0</v>
      </c>
      <c r="T80" s="231">
        <f>[2]GNA!X91</f>
        <v>0</v>
      </c>
      <c r="U80" s="221">
        <f t="shared" si="10"/>
        <v>0</v>
      </c>
      <c r="V80" s="221">
        <f t="shared" si="11"/>
        <v>0</v>
      </c>
    </row>
    <row r="81" s="221" customFormat="1" ht="16.5" spans="1:22">
      <c r="A81" s="227">
        <f>'[2]DP-DATA'!B81</f>
        <v>0.822916666666667</v>
      </c>
      <c r="B81" s="221">
        <f>'[2]DP-DATA'!C81</f>
        <v>4467.87</v>
      </c>
      <c r="C81" s="221">
        <f>[2]CGS!C84</f>
        <v>1553.3</v>
      </c>
      <c r="D81" s="221">
        <f>'[2]ipp- thermal'!I81</f>
        <v>1478.88</v>
      </c>
      <c r="E81" s="228">
        <f>'[2]DP-DATA'!N81</f>
        <v>8349.72</v>
      </c>
      <c r="F81" s="221">
        <f>'[2]DP-DATA'!G81</f>
        <v>116.32</v>
      </c>
      <c r="G81" s="229">
        <f>[2]IEX!G90</f>
        <v>0</v>
      </c>
      <c r="H81" s="221">
        <f>[2]iex.urs.od!C81</f>
        <v>0</v>
      </c>
      <c r="I81" s="231">
        <f>'[2]DP-DATA'!J81</f>
        <v>0</v>
      </c>
      <c r="J81" s="231">
        <v>0</v>
      </c>
      <c r="K81" s="221">
        <f>'[2]scada daily'!D83</f>
        <v>-87.33</v>
      </c>
      <c r="L81" s="221">
        <f>'[2]DP-DATA'!H81</f>
        <v>1146.57</v>
      </c>
      <c r="M81" s="221">
        <f>[2]solar!D81</f>
        <v>0</v>
      </c>
      <c r="N81" s="232">
        <f>[2]RTM!G91</f>
        <v>-300</v>
      </c>
      <c r="O81" s="221">
        <f>'[2]scada daily'!C83</f>
        <v>50.07</v>
      </c>
      <c r="P81" s="221">
        <f t="shared" si="6"/>
        <v>-300</v>
      </c>
      <c r="Q81" s="221">
        <f t="shared" si="7"/>
        <v>0</v>
      </c>
      <c r="R81" s="221">
        <f t="shared" si="8"/>
        <v>-87.33</v>
      </c>
      <c r="S81" s="221">
        <f t="shared" si="9"/>
        <v>0</v>
      </c>
      <c r="T81" s="231">
        <f>[2]GNA!X92</f>
        <v>0</v>
      </c>
      <c r="U81" s="221">
        <f t="shared" si="10"/>
        <v>0</v>
      </c>
      <c r="V81" s="221">
        <f t="shared" si="11"/>
        <v>0</v>
      </c>
    </row>
    <row r="82" s="221" customFormat="1" ht="16.5" spans="1:22">
      <c r="A82" s="227">
        <f>'[2]DP-DATA'!B82</f>
        <v>0.833333333333333</v>
      </c>
      <c r="B82" s="221">
        <f>'[2]DP-DATA'!C82</f>
        <v>4461.54</v>
      </c>
      <c r="C82" s="221">
        <f>[2]CGS!C85</f>
        <v>1553.3</v>
      </c>
      <c r="D82" s="221">
        <f>'[2]ipp- thermal'!I82</f>
        <v>1478.99</v>
      </c>
      <c r="E82" s="228">
        <f>'[2]DP-DATA'!N82</f>
        <v>8244.96</v>
      </c>
      <c r="F82" s="221">
        <f>'[2]DP-DATA'!G82</f>
        <v>117.51</v>
      </c>
      <c r="G82" s="229">
        <f>[2]IEX!G91</f>
        <v>0</v>
      </c>
      <c r="H82" s="221">
        <f>[2]iex.urs.od!C82</f>
        <v>0</v>
      </c>
      <c r="I82" s="231">
        <f>'[2]DP-DATA'!J82</f>
        <v>0</v>
      </c>
      <c r="J82" s="231">
        <v>0</v>
      </c>
      <c r="K82" s="221">
        <f>'[2]scada daily'!D84</f>
        <v>-186.96</v>
      </c>
      <c r="L82" s="221">
        <f>'[2]DP-DATA'!H82</f>
        <v>1140.73</v>
      </c>
      <c r="M82" s="221">
        <f>[2]solar!D82</f>
        <v>0</v>
      </c>
      <c r="N82" s="232">
        <f>[2]RTM!G92</f>
        <v>-300</v>
      </c>
      <c r="O82" s="221">
        <f>'[2]scada daily'!C84</f>
        <v>50.07</v>
      </c>
      <c r="P82" s="221">
        <f t="shared" si="6"/>
        <v>-300</v>
      </c>
      <c r="Q82" s="221">
        <f t="shared" si="7"/>
        <v>0</v>
      </c>
      <c r="R82" s="221">
        <f t="shared" si="8"/>
        <v>-186.96</v>
      </c>
      <c r="S82" s="221">
        <f t="shared" si="9"/>
        <v>0</v>
      </c>
      <c r="T82" s="231">
        <f>[2]GNA!X93</f>
        <v>0</v>
      </c>
      <c r="U82" s="221">
        <f t="shared" si="10"/>
        <v>0</v>
      </c>
      <c r="V82" s="221">
        <f t="shared" si="11"/>
        <v>0</v>
      </c>
    </row>
    <row r="83" s="221" customFormat="1" ht="16.5" spans="1:22">
      <c r="A83" s="227">
        <f>'[2]DP-DATA'!B83</f>
        <v>0.84375</v>
      </c>
      <c r="B83" s="221">
        <f>'[2]DP-DATA'!C83</f>
        <v>4468</v>
      </c>
      <c r="C83" s="221">
        <f>[2]CGS!C86</f>
        <v>1553.3</v>
      </c>
      <c r="D83" s="221">
        <f>'[2]ipp- thermal'!I83</f>
        <v>1479.54</v>
      </c>
      <c r="E83" s="228">
        <f>'[2]DP-DATA'!N83</f>
        <v>8174.31</v>
      </c>
      <c r="F83" s="221">
        <f>'[2]DP-DATA'!G83</f>
        <v>119.02</v>
      </c>
      <c r="G83" s="229">
        <f>[2]IEX!G92</f>
        <v>0</v>
      </c>
      <c r="H83" s="221">
        <f>[2]iex.urs.od!C83</f>
        <v>0</v>
      </c>
      <c r="I83" s="231">
        <f>'[2]DP-DATA'!J83</f>
        <v>0</v>
      </c>
      <c r="J83" s="231">
        <v>0</v>
      </c>
      <c r="K83" s="221">
        <f>'[2]scada daily'!D85</f>
        <v>-263.27</v>
      </c>
      <c r="L83" s="221">
        <f>'[2]DP-DATA'!H83</f>
        <v>1137.72</v>
      </c>
      <c r="M83" s="221">
        <f>[2]solar!D83</f>
        <v>0</v>
      </c>
      <c r="N83" s="232">
        <f>[2]RTM!G93</f>
        <v>-300</v>
      </c>
      <c r="O83" s="221">
        <f>'[2]scada daily'!C85</f>
        <v>50.03</v>
      </c>
      <c r="P83" s="221">
        <f t="shared" si="6"/>
        <v>-300</v>
      </c>
      <c r="Q83" s="221">
        <f t="shared" si="7"/>
        <v>0</v>
      </c>
      <c r="R83" s="221">
        <f t="shared" si="8"/>
        <v>-263.27</v>
      </c>
      <c r="S83" s="221">
        <f t="shared" si="9"/>
        <v>0</v>
      </c>
      <c r="T83" s="231">
        <f>[2]GNA!X94</f>
        <v>0</v>
      </c>
      <c r="U83" s="221">
        <f t="shared" si="10"/>
        <v>0</v>
      </c>
      <c r="V83" s="221">
        <f t="shared" si="11"/>
        <v>0</v>
      </c>
    </row>
    <row r="84" s="221" customFormat="1" ht="16.5" spans="1:22">
      <c r="A84" s="227">
        <f>'[2]DP-DATA'!B84</f>
        <v>0.854166666666667</v>
      </c>
      <c r="B84" s="221">
        <f>'[2]DP-DATA'!C84</f>
        <v>4454</v>
      </c>
      <c r="C84" s="221">
        <f>[2]CGS!C87</f>
        <v>1471.26</v>
      </c>
      <c r="D84" s="221">
        <f>'[2]ipp- thermal'!I84</f>
        <v>1465.36</v>
      </c>
      <c r="E84" s="228">
        <f>'[2]DP-DATA'!N84</f>
        <v>8073.3</v>
      </c>
      <c r="F84" s="221">
        <f>'[2]DP-DATA'!G84</f>
        <v>120.17</v>
      </c>
      <c r="G84" s="229">
        <f>[2]IEX!G93</f>
        <v>-100</v>
      </c>
      <c r="H84" s="221">
        <f>[2]iex.urs.od!C84</f>
        <v>0</v>
      </c>
      <c r="I84" s="231">
        <f>'[2]DP-DATA'!J84</f>
        <v>0</v>
      </c>
      <c r="J84" s="231">
        <f>'[2]DP-DATA'!K84-T84</f>
        <v>0</v>
      </c>
      <c r="K84" s="221">
        <f>'[2]scada daily'!D86</f>
        <v>-40.18</v>
      </c>
      <c r="L84" s="221">
        <f>'[2]DP-DATA'!H84</f>
        <v>1156.14</v>
      </c>
      <c r="M84" s="221">
        <f>[2]solar!D84</f>
        <v>0</v>
      </c>
      <c r="N84" s="232">
        <f>[2]RTM!G94</f>
        <v>-500</v>
      </c>
      <c r="O84" s="221">
        <f>'[2]scada daily'!C86</f>
        <v>50.01</v>
      </c>
      <c r="P84" s="221">
        <f t="shared" si="6"/>
        <v>-500</v>
      </c>
      <c r="Q84" s="221">
        <f t="shared" si="7"/>
        <v>0</v>
      </c>
      <c r="R84" s="221">
        <f t="shared" si="8"/>
        <v>-40.18</v>
      </c>
      <c r="S84" s="221">
        <f t="shared" si="9"/>
        <v>-100</v>
      </c>
      <c r="T84" s="231">
        <f>[2]GNA!X95</f>
        <v>0</v>
      </c>
      <c r="U84" s="221">
        <f t="shared" si="10"/>
        <v>0</v>
      </c>
      <c r="V84" s="221">
        <f t="shared" si="11"/>
        <v>0</v>
      </c>
    </row>
    <row r="85" s="221" customFormat="1" ht="16.5" spans="1:22">
      <c r="A85" s="227">
        <f>'[2]DP-DATA'!B85</f>
        <v>0.864583333333333</v>
      </c>
      <c r="B85" s="221">
        <f>'[2]DP-DATA'!C85</f>
        <v>4337.09</v>
      </c>
      <c r="C85" s="221">
        <f>[2]CGS!C88</f>
        <v>1430.69</v>
      </c>
      <c r="D85" s="221">
        <f>'[2]ipp- thermal'!I85</f>
        <v>1454.85</v>
      </c>
      <c r="E85" s="228">
        <f>'[2]DP-DATA'!N85</f>
        <v>7987.58</v>
      </c>
      <c r="F85" s="221">
        <f>'[2]DP-DATA'!G85</f>
        <v>165.34</v>
      </c>
      <c r="G85" s="229">
        <f>[2]IEX!G94</f>
        <v>-200</v>
      </c>
      <c r="H85" s="221">
        <f>[2]iex.urs.od!C85</f>
        <v>0</v>
      </c>
      <c r="I85" s="231">
        <f>'[2]DP-DATA'!J85</f>
        <v>0</v>
      </c>
      <c r="J85" s="231">
        <f>'[2]DP-DATA'!K85-T85</f>
        <v>0</v>
      </c>
      <c r="K85" s="221">
        <f>'[2]scada daily'!D87</f>
        <v>139.14</v>
      </c>
      <c r="L85" s="221">
        <f>'[2]DP-DATA'!H85</f>
        <v>1137.05</v>
      </c>
      <c r="M85" s="221">
        <f>[2]solar!D85</f>
        <v>0</v>
      </c>
      <c r="N85" s="232">
        <f>[2]RTM!G95</f>
        <v>-600</v>
      </c>
      <c r="O85" s="221">
        <f>'[2]scada daily'!C87</f>
        <v>50</v>
      </c>
      <c r="P85" s="221">
        <f t="shared" si="6"/>
        <v>-600</v>
      </c>
      <c r="Q85" s="221">
        <f t="shared" si="7"/>
        <v>139.14</v>
      </c>
      <c r="R85" s="221">
        <f t="shared" si="8"/>
        <v>0</v>
      </c>
      <c r="S85" s="221">
        <f t="shared" si="9"/>
        <v>-200</v>
      </c>
      <c r="T85" s="231">
        <f>[2]GNA!X96</f>
        <v>0</v>
      </c>
      <c r="U85" s="221">
        <f t="shared" si="10"/>
        <v>0</v>
      </c>
      <c r="V85" s="221">
        <f t="shared" si="11"/>
        <v>0</v>
      </c>
    </row>
    <row r="86" s="221" customFormat="1" ht="16.5" spans="1:22">
      <c r="A86" s="227">
        <f>'[2]DP-DATA'!B86</f>
        <v>0.875</v>
      </c>
      <c r="B86" s="221">
        <f>'[2]DP-DATA'!C86</f>
        <v>4202.36</v>
      </c>
      <c r="C86" s="221">
        <f>[2]CGS!C89</f>
        <v>1430.69</v>
      </c>
      <c r="D86" s="221">
        <f>'[2]ipp- thermal'!I86</f>
        <v>1467.78</v>
      </c>
      <c r="E86" s="228">
        <f>'[2]DP-DATA'!N86</f>
        <v>8047.44</v>
      </c>
      <c r="F86" s="221">
        <f>'[2]DP-DATA'!G86</f>
        <v>178.91</v>
      </c>
      <c r="G86" s="229">
        <f>[2]IEX!G95</f>
        <v>-400</v>
      </c>
      <c r="H86" s="221">
        <f>[2]iex.urs.od!C86</f>
        <v>0</v>
      </c>
      <c r="I86" s="231">
        <f>'[2]DP-DATA'!J86</f>
        <v>0</v>
      </c>
      <c r="J86" s="231">
        <f>'[2]DP-DATA'!K86-T86</f>
        <v>0</v>
      </c>
      <c r="K86" s="221">
        <f>'[2]scada daily'!D88</f>
        <v>-114.7</v>
      </c>
      <c r="L86" s="221">
        <f>'[2]DP-DATA'!H86</f>
        <v>1141.31</v>
      </c>
      <c r="M86" s="221">
        <f>[2]solar!D86</f>
        <v>0</v>
      </c>
      <c r="N86" s="232">
        <f>[2]RTM!G96</f>
        <v>0</v>
      </c>
      <c r="O86" s="221">
        <f>'[2]scada daily'!C88</f>
        <v>50.01</v>
      </c>
      <c r="P86" s="221">
        <f t="shared" si="6"/>
        <v>0</v>
      </c>
      <c r="Q86" s="221">
        <f t="shared" si="7"/>
        <v>0</v>
      </c>
      <c r="R86" s="221">
        <f t="shared" si="8"/>
        <v>-114.7</v>
      </c>
      <c r="S86" s="221">
        <f t="shared" si="9"/>
        <v>-400</v>
      </c>
      <c r="T86" s="231">
        <f>[2]GNA!X97</f>
        <v>0</v>
      </c>
      <c r="U86" s="221">
        <f t="shared" si="10"/>
        <v>0</v>
      </c>
      <c r="V86" s="221">
        <f t="shared" si="11"/>
        <v>0</v>
      </c>
    </row>
    <row r="87" s="221" customFormat="1" ht="16.5" spans="1:22">
      <c r="A87" s="227">
        <f>'[2]DP-DATA'!B87</f>
        <v>0.885416666666667</v>
      </c>
      <c r="B87" s="221">
        <f>'[2]DP-DATA'!C87</f>
        <v>4116.88</v>
      </c>
      <c r="C87" s="221">
        <f>[2]CGS!C90</f>
        <v>1430.69</v>
      </c>
      <c r="D87" s="221">
        <f>'[2]ipp- thermal'!I87</f>
        <v>1473.53</v>
      </c>
      <c r="E87" s="228">
        <f>'[2]DP-DATA'!N87</f>
        <v>7965.99</v>
      </c>
      <c r="F87" s="221">
        <f>'[2]DP-DATA'!G87</f>
        <v>155.54</v>
      </c>
      <c r="G87" s="229">
        <f>[2]IEX!G96</f>
        <v>-400</v>
      </c>
      <c r="H87" s="221">
        <f>[2]iex.urs.od!C87</f>
        <v>0</v>
      </c>
      <c r="I87" s="231">
        <f>'[2]DP-DATA'!J87</f>
        <v>0</v>
      </c>
      <c r="J87" s="231">
        <f>'[2]DP-DATA'!K87-T87</f>
        <v>0</v>
      </c>
      <c r="K87" s="221">
        <f>'[2]scada daily'!D89</f>
        <v>-210.55</v>
      </c>
      <c r="L87" s="221">
        <f>'[2]DP-DATA'!H87</f>
        <v>1125.66</v>
      </c>
      <c r="M87" s="221">
        <f>[2]solar!D87</f>
        <v>0</v>
      </c>
      <c r="N87" s="232">
        <f>[2]RTM!G97</f>
        <v>0</v>
      </c>
      <c r="O87" s="221">
        <f>'[2]scada daily'!C89</f>
        <v>50.03</v>
      </c>
      <c r="P87" s="221">
        <f t="shared" si="6"/>
        <v>0</v>
      </c>
      <c r="Q87" s="221">
        <f t="shared" si="7"/>
        <v>0</v>
      </c>
      <c r="R87" s="221">
        <f t="shared" si="8"/>
        <v>-210.55</v>
      </c>
      <c r="S87" s="221">
        <f t="shared" si="9"/>
        <v>-400</v>
      </c>
      <c r="T87" s="231">
        <f>[2]GNA!X98</f>
        <v>0</v>
      </c>
      <c r="U87" s="221">
        <f t="shared" si="10"/>
        <v>0</v>
      </c>
      <c r="V87" s="221">
        <f t="shared" si="11"/>
        <v>0</v>
      </c>
    </row>
    <row r="88" s="221" customFormat="1" ht="16.5" spans="1:22">
      <c r="A88" s="227">
        <f>'[2]DP-DATA'!B88</f>
        <v>0.895833333333333</v>
      </c>
      <c r="B88" s="221">
        <f>'[2]DP-DATA'!C88</f>
        <v>4035.85</v>
      </c>
      <c r="C88" s="221">
        <f>[2]CGS!C91</f>
        <v>1439.04</v>
      </c>
      <c r="D88" s="221">
        <f>'[2]ipp- thermal'!I88</f>
        <v>1482.35</v>
      </c>
      <c r="E88" s="228">
        <f>'[2]DP-DATA'!N88</f>
        <v>7843.97</v>
      </c>
      <c r="F88" s="221">
        <f>'[2]DP-DATA'!G88</f>
        <v>126.78</v>
      </c>
      <c r="G88" s="229">
        <f>[2]IEX!G97</f>
        <v>-400</v>
      </c>
      <c r="H88" s="221">
        <f>[2]iex.urs.od!C88</f>
        <v>0</v>
      </c>
      <c r="I88" s="231">
        <f>'[2]DP-DATA'!J88</f>
        <v>0</v>
      </c>
      <c r="J88" s="231">
        <f>'[2]DP-DATA'!K88-T88</f>
        <v>0</v>
      </c>
      <c r="K88" s="221">
        <f>'[2]scada daily'!D90</f>
        <v>-258.25</v>
      </c>
      <c r="L88" s="221">
        <f>'[2]DP-DATA'!H88</f>
        <v>1082.07</v>
      </c>
      <c r="M88" s="221">
        <f>[2]solar!D88</f>
        <v>0</v>
      </c>
      <c r="N88" s="232">
        <f>[2]RTM!G98</f>
        <v>0</v>
      </c>
      <c r="O88" s="221">
        <f>'[2]scada daily'!C90</f>
        <v>50</v>
      </c>
      <c r="P88" s="221">
        <f t="shared" si="6"/>
        <v>0</v>
      </c>
      <c r="Q88" s="221">
        <f t="shared" si="7"/>
        <v>0</v>
      </c>
      <c r="R88" s="221">
        <f t="shared" si="8"/>
        <v>-258.25</v>
      </c>
      <c r="S88" s="221">
        <f t="shared" si="9"/>
        <v>-400</v>
      </c>
      <c r="T88" s="231">
        <f>[2]GNA!X99</f>
        <v>0</v>
      </c>
      <c r="U88" s="221">
        <f t="shared" si="10"/>
        <v>0</v>
      </c>
      <c r="V88" s="221">
        <f t="shared" si="11"/>
        <v>0</v>
      </c>
    </row>
    <row r="89" s="221" customFormat="1" ht="16.5" spans="1:22">
      <c r="A89" s="227">
        <f>'[2]DP-DATA'!B89</f>
        <v>0.90625</v>
      </c>
      <c r="B89" s="221">
        <f>'[2]DP-DATA'!C89</f>
        <v>3840.72</v>
      </c>
      <c r="C89" s="221">
        <f>[2]CGS!C92</f>
        <v>1294.4</v>
      </c>
      <c r="D89" s="221">
        <f>'[2]ipp- thermal'!I89</f>
        <v>1477.86</v>
      </c>
      <c r="E89" s="228">
        <f>'[2]DP-DATA'!N89</f>
        <v>7699.22</v>
      </c>
      <c r="F89" s="221">
        <f>'[2]DP-DATA'!G89</f>
        <v>128.42</v>
      </c>
      <c r="G89" s="229">
        <f>[2]IEX!G98</f>
        <v>-273.7</v>
      </c>
      <c r="H89" s="221">
        <f>[2]iex.urs.od!C89</f>
        <v>0</v>
      </c>
      <c r="I89" s="231">
        <f>'[2]DP-DATA'!J89</f>
        <v>0</v>
      </c>
      <c r="J89" s="231">
        <f>'[2]DP-DATA'!K89-T89</f>
        <v>0</v>
      </c>
      <c r="K89" s="221">
        <f>'[2]scada daily'!D91</f>
        <v>-199.57</v>
      </c>
      <c r="L89" s="221">
        <f>'[2]DP-DATA'!H89</f>
        <v>1024.22</v>
      </c>
      <c r="M89" s="221">
        <f>[2]solar!D89</f>
        <v>0</v>
      </c>
      <c r="N89" s="232">
        <f>[2]RTM!G99</f>
        <v>0</v>
      </c>
      <c r="O89" s="221">
        <f>'[2]scada daily'!C91</f>
        <v>50.04</v>
      </c>
      <c r="P89" s="221">
        <f t="shared" si="6"/>
        <v>0</v>
      </c>
      <c r="Q89" s="221">
        <f t="shared" si="7"/>
        <v>0</v>
      </c>
      <c r="R89" s="221">
        <f t="shared" si="8"/>
        <v>-199.57</v>
      </c>
      <c r="S89" s="221">
        <f t="shared" si="9"/>
        <v>-273.7</v>
      </c>
      <c r="T89" s="231">
        <f>[2]GNA!X100</f>
        <v>0</v>
      </c>
      <c r="U89" s="221">
        <f t="shared" si="10"/>
        <v>0</v>
      </c>
      <c r="V89" s="221">
        <f t="shared" si="11"/>
        <v>0</v>
      </c>
    </row>
    <row r="90" s="221" customFormat="1" ht="16.5" spans="1:22">
      <c r="A90" s="227">
        <f>'[2]DP-DATA'!B90</f>
        <v>0.916666666666667</v>
      </c>
      <c r="B90" s="221">
        <f>'[2]DP-DATA'!C90</f>
        <v>3624.23</v>
      </c>
      <c r="C90" s="221">
        <f>[2]CGS!C93</f>
        <v>1203.36</v>
      </c>
      <c r="D90" s="221">
        <f>'[2]ipp- thermal'!I90</f>
        <v>1478.76</v>
      </c>
      <c r="E90" s="228">
        <f>'[2]DP-DATA'!N90</f>
        <v>7578.66</v>
      </c>
      <c r="F90" s="221">
        <f>'[2]DP-DATA'!G90</f>
        <v>119.94</v>
      </c>
      <c r="G90" s="229">
        <f>[2]IEX!G99</f>
        <v>0</v>
      </c>
      <c r="H90" s="221">
        <f>[2]iex.urs.od!C90</f>
        <v>0</v>
      </c>
      <c r="I90" s="231">
        <f>'[2]DP-DATA'!J90</f>
        <v>0</v>
      </c>
      <c r="J90" s="231">
        <f>'[2]DP-DATA'!K90-T90</f>
        <v>0</v>
      </c>
      <c r="K90" s="221">
        <f>'[2]scada daily'!D92</f>
        <v>-29.49</v>
      </c>
      <c r="L90" s="221">
        <f>'[2]DP-DATA'!H90</f>
        <v>984.19</v>
      </c>
      <c r="M90" s="221">
        <f>[2]solar!D90</f>
        <v>0</v>
      </c>
      <c r="N90" s="232">
        <f>[2]RTM!G100</f>
        <v>0</v>
      </c>
      <c r="O90" s="221">
        <f>'[2]scada daily'!C92</f>
        <v>49.98</v>
      </c>
      <c r="P90" s="221">
        <f t="shared" si="6"/>
        <v>0</v>
      </c>
      <c r="Q90" s="221">
        <f t="shared" si="7"/>
        <v>0</v>
      </c>
      <c r="R90" s="221">
        <f t="shared" si="8"/>
        <v>-29.49</v>
      </c>
      <c r="S90" s="221">
        <f t="shared" si="9"/>
        <v>0</v>
      </c>
      <c r="T90" s="231">
        <f>[2]GNA!X101</f>
        <v>0</v>
      </c>
      <c r="U90" s="221">
        <f t="shared" si="10"/>
        <v>0</v>
      </c>
      <c r="V90" s="221">
        <f t="shared" si="11"/>
        <v>0</v>
      </c>
    </row>
    <row r="91" s="221" customFormat="1" ht="16.5" spans="1:22">
      <c r="A91" s="227">
        <f>'[2]DP-DATA'!B91</f>
        <v>0.927083333333333</v>
      </c>
      <c r="B91" s="221">
        <f>'[2]DP-DATA'!C91</f>
        <v>3534.53</v>
      </c>
      <c r="C91" s="221">
        <f>[2]CGS!C94</f>
        <v>1145.81</v>
      </c>
      <c r="D91" s="221">
        <f>'[2]ipp- thermal'!I91</f>
        <v>1462.48</v>
      </c>
      <c r="E91" s="228">
        <f>'[2]DP-DATA'!N91</f>
        <v>7461.54</v>
      </c>
      <c r="F91" s="221">
        <f>'[2]DP-DATA'!G91</f>
        <v>107.52</v>
      </c>
      <c r="G91" s="229">
        <f>[2]IEX!G100</f>
        <v>0</v>
      </c>
      <c r="H91" s="221">
        <f>[2]iex.urs.od!C91</f>
        <v>0</v>
      </c>
      <c r="I91" s="231">
        <f>'[2]DP-DATA'!J91</f>
        <v>0</v>
      </c>
      <c r="J91" s="231">
        <f>'[2]DP-DATA'!K91-T91</f>
        <v>0</v>
      </c>
      <c r="K91" s="221">
        <f>'[2]scada daily'!D93</f>
        <v>10.38</v>
      </c>
      <c r="L91" s="221">
        <f>'[2]DP-DATA'!H91</f>
        <v>944.12</v>
      </c>
      <c r="M91" s="221">
        <f>[2]solar!D91</f>
        <v>0</v>
      </c>
      <c r="N91" s="232">
        <f>[2]RTM!G101</f>
        <v>0</v>
      </c>
      <c r="O91" s="221">
        <f>'[2]scada daily'!C93</f>
        <v>49.99</v>
      </c>
      <c r="P91" s="221">
        <f t="shared" si="6"/>
        <v>0</v>
      </c>
      <c r="Q91" s="221">
        <f t="shared" si="7"/>
        <v>10.38</v>
      </c>
      <c r="R91" s="221">
        <f t="shared" si="8"/>
        <v>0</v>
      </c>
      <c r="S91" s="221">
        <f t="shared" si="9"/>
        <v>0</v>
      </c>
      <c r="T91" s="231">
        <f>[2]GNA!X102</f>
        <v>0</v>
      </c>
      <c r="U91" s="221">
        <f t="shared" si="10"/>
        <v>0</v>
      </c>
      <c r="V91" s="221">
        <f t="shared" si="11"/>
        <v>0</v>
      </c>
    </row>
    <row r="92" s="221" customFormat="1" ht="16.5" spans="1:22">
      <c r="A92" s="227">
        <f>'[2]DP-DATA'!B92</f>
        <v>0.9375</v>
      </c>
      <c r="B92" s="221">
        <f>'[2]DP-DATA'!C92</f>
        <v>3541.83</v>
      </c>
      <c r="C92" s="221">
        <f>[2]CGS!C95</f>
        <v>1145.81</v>
      </c>
      <c r="D92" s="221">
        <f>'[2]ipp- thermal'!I92</f>
        <v>1450.41</v>
      </c>
      <c r="E92" s="228">
        <f>'[2]DP-DATA'!N92</f>
        <v>7383.75</v>
      </c>
      <c r="F92" s="221">
        <f>'[2]DP-DATA'!G92</f>
        <v>112.38</v>
      </c>
      <c r="G92" s="229">
        <f>[2]IEX!G101</f>
        <v>0</v>
      </c>
      <c r="H92" s="221">
        <f>[2]iex.urs.od!C92</f>
        <v>0</v>
      </c>
      <c r="I92" s="231">
        <f>'[2]DP-DATA'!J92</f>
        <v>0</v>
      </c>
      <c r="J92" s="231">
        <f>'[2]DP-DATA'!K92-T92</f>
        <v>0</v>
      </c>
      <c r="K92" s="221">
        <f>'[2]scada daily'!D94</f>
        <v>-103.63</v>
      </c>
      <c r="L92" s="221">
        <f>'[2]DP-DATA'!H92</f>
        <v>915.76</v>
      </c>
      <c r="M92" s="221">
        <f>[2]solar!D92</f>
        <v>0</v>
      </c>
      <c r="N92" s="232">
        <f>[2]RTM!G102</f>
        <v>0</v>
      </c>
      <c r="O92" s="221">
        <f>'[2]scada daily'!C94</f>
        <v>50.04</v>
      </c>
      <c r="P92" s="221">
        <f t="shared" si="6"/>
        <v>0</v>
      </c>
      <c r="Q92" s="221">
        <f t="shared" si="7"/>
        <v>0</v>
      </c>
      <c r="R92" s="221">
        <f t="shared" si="8"/>
        <v>-103.63</v>
      </c>
      <c r="S92" s="221">
        <f t="shared" si="9"/>
        <v>0</v>
      </c>
      <c r="T92" s="231">
        <f>[2]GNA!X103</f>
        <v>0</v>
      </c>
      <c r="U92" s="221">
        <f t="shared" si="10"/>
        <v>0</v>
      </c>
      <c r="V92" s="221">
        <f t="shared" si="11"/>
        <v>0</v>
      </c>
    </row>
    <row r="93" s="221" customFormat="1" ht="16.5" spans="1:22">
      <c r="A93" s="227">
        <f>'[2]DP-DATA'!B93</f>
        <v>0.947916666666667</v>
      </c>
      <c r="B93" s="221">
        <f>'[2]DP-DATA'!C93</f>
        <v>3531.27</v>
      </c>
      <c r="C93" s="221">
        <f>[2]CGS!C96</f>
        <v>1143.8</v>
      </c>
      <c r="D93" s="221">
        <f>'[2]ipp- thermal'!I93</f>
        <v>1382.17</v>
      </c>
      <c r="E93" s="228">
        <f>'[2]DP-DATA'!N93</f>
        <v>7298.31</v>
      </c>
      <c r="F93" s="221">
        <f>'[2]DP-DATA'!G93</f>
        <v>115.21</v>
      </c>
      <c r="G93" s="229">
        <f>[2]IEX!G102</f>
        <v>0</v>
      </c>
      <c r="H93" s="221">
        <f>[2]iex.urs.od!C93</f>
        <v>0</v>
      </c>
      <c r="I93" s="231">
        <f>'[2]DP-DATA'!J93</f>
        <v>0</v>
      </c>
      <c r="J93" s="231">
        <f>'[2]DP-DATA'!K93-T93</f>
        <v>0</v>
      </c>
      <c r="K93" s="221">
        <f>'[2]scada daily'!D95</f>
        <v>-269.5</v>
      </c>
      <c r="L93" s="221">
        <f>'[2]DP-DATA'!H93</f>
        <v>894.35</v>
      </c>
      <c r="M93" s="221">
        <f>[2]solar!D93</f>
        <v>0</v>
      </c>
      <c r="N93" s="232">
        <f>[2]RTM!G103</f>
        <v>0</v>
      </c>
      <c r="O93" s="221">
        <f>'[2]scada daily'!C95</f>
        <v>50.06</v>
      </c>
      <c r="P93" s="221">
        <f t="shared" si="6"/>
        <v>0</v>
      </c>
      <c r="Q93" s="221">
        <f t="shared" si="7"/>
        <v>0</v>
      </c>
      <c r="R93" s="221">
        <f t="shared" si="8"/>
        <v>-269.5</v>
      </c>
      <c r="S93" s="221">
        <f t="shared" si="9"/>
        <v>0</v>
      </c>
      <c r="T93" s="231">
        <f>[2]GNA!X104</f>
        <v>0</v>
      </c>
      <c r="U93" s="221">
        <f t="shared" si="10"/>
        <v>0</v>
      </c>
      <c r="V93" s="221">
        <f t="shared" si="11"/>
        <v>0</v>
      </c>
    </row>
    <row r="94" s="221" customFormat="1" ht="16.5" spans="1:22">
      <c r="A94" s="227">
        <f>'[2]DP-DATA'!B94</f>
        <v>0.958333333333333</v>
      </c>
      <c r="B94" s="221">
        <f>'[2]DP-DATA'!C94</f>
        <v>3406.44</v>
      </c>
      <c r="C94" s="221">
        <f>[2]CGS!C97</f>
        <v>935.74</v>
      </c>
      <c r="D94" s="221">
        <f>'[2]ipp- thermal'!I94</f>
        <v>1305.57</v>
      </c>
      <c r="E94" s="228">
        <f>'[2]DP-DATA'!N94</f>
        <v>7228.26</v>
      </c>
      <c r="F94" s="221">
        <f>'[2]DP-DATA'!G94</f>
        <v>117.43</v>
      </c>
      <c r="G94" s="229">
        <f>[2]IEX!G103</f>
        <v>0</v>
      </c>
      <c r="H94" s="221">
        <f>[2]iex.urs.od!C94</f>
        <v>0</v>
      </c>
      <c r="I94" s="231">
        <f>'[2]DP-DATA'!J94</f>
        <v>0</v>
      </c>
      <c r="J94" s="231">
        <f>'[2]DP-DATA'!K94-T94</f>
        <v>0</v>
      </c>
      <c r="K94" s="221">
        <f>'[2]scada daily'!D96</f>
        <v>-38.62</v>
      </c>
      <c r="L94" s="221">
        <f>'[2]DP-DATA'!H94</f>
        <v>881.15</v>
      </c>
      <c r="M94" s="221">
        <f>[2]solar!D94</f>
        <v>0</v>
      </c>
      <c r="N94" s="232">
        <f>[2]RTM!G104</f>
        <v>190.33</v>
      </c>
      <c r="O94" s="221">
        <f>'[2]scada daily'!C96</f>
        <v>50.06</v>
      </c>
      <c r="P94" s="221">
        <f t="shared" si="6"/>
        <v>0</v>
      </c>
      <c r="Q94" s="221">
        <f t="shared" si="7"/>
        <v>0</v>
      </c>
      <c r="R94" s="221">
        <f t="shared" si="8"/>
        <v>-38.62</v>
      </c>
      <c r="S94" s="221">
        <f t="shared" si="9"/>
        <v>0</v>
      </c>
      <c r="T94" s="231">
        <f>[2]GNA!X105</f>
        <v>0</v>
      </c>
      <c r="U94" s="221">
        <f t="shared" si="10"/>
        <v>0</v>
      </c>
      <c r="V94" s="221">
        <f t="shared" si="11"/>
        <v>190.33</v>
      </c>
    </row>
    <row r="95" s="221" customFormat="1" ht="16.5" spans="1:22">
      <c r="A95" s="227">
        <f>'[2]DP-DATA'!B95</f>
        <v>0.96875</v>
      </c>
      <c r="B95" s="221">
        <f>'[2]DP-DATA'!C95</f>
        <v>3335.5</v>
      </c>
      <c r="C95" s="221">
        <f>[2]CGS!C98</f>
        <v>649.48</v>
      </c>
      <c r="D95" s="221">
        <f>'[2]ipp- thermal'!I95</f>
        <v>1238.26</v>
      </c>
      <c r="E95" s="228">
        <f>'[2]DP-DATA'!N95</f>
        <v>7126.41</v>
      </c>
      <c r="F95" s="221">
        <f>'[2]DP-DATA'!G95</f>
        <v>118.88</v>
      </c>
      <c r="G95" s="229">
        <f>[2]IEX!G104</f>
        <v>0</v>
      </c>
      <c r="H95" s="221">
        <f>[2]iex.urs.od!C95</f>
        <v>0</v>
      </c>
      <c r="I95" s="231">
        <f>'[2]DP-DATA'!J95</f>
        <v>0</v>
      </c>
      <c r="J95" s="231">
        <f>'[2]DP-DATA'!K95-T95</f>
        <v>0</v>
      </c>
      <c r="K95" s="221">
        <f>'[2]scada daily'!D97</f>
        <v>4.27</v>
      </c>
      <c r="L95" s="221">
        <f>'[2]DP-DATA'!H95</f>
        <v>873.31</v>
      </c>
      <c r="M95" s="221">
        <f>[2]solar!D95</f>
        <v>0</v>
      </c>
      <c r="N95" s="232">
        <f>[2]RTM!G105</f>
        <v>475.91</v>
      </c>
      <c r="O95" s="221">
        <f>'[2]scada daily'!C97</f>
        <v>50.05</v>
      </c>
      <c r="P95" s="221">
        <f t="shared" si="6"/>
        <v>0</v>
      </c>
      <c r="Q95" s="221">
        <f t="shared" si="7"/>
        <v>4.27</v>
      </c>
      <c r="R95" s="221">
        <f t="shared" si="8"/>
        <v>0</v>
      </c>
      <c r="S95" s="221">
        <f t="shared" si="9"/>
        <v>0</v>
      </c>
      <c r="T95" s="231">
        <f>[2]GNA!X106</f>
        <v>0</v>
      </c>
      <c r="U95" s="221">
        <f t="shared" si="10"/>
        <v>0</v>
      </c>
      <c r="V95" s="221">
        <f t="shared" si="11"/>
        <v>475.91</v>
      </c>
    </row>
    <row r="96" s="221" customFormat="1" ht="16.5" spans="1:22">
      <c r="A96" s="227">
        <f>'[2]DP-DATA'!B96</f>
        <v>0.979166666666667</v>
      </c>
      <c r="B96" s="221">
        <f>'[2]DP-DATA'!C96</f>
        <v>3350.43</v>
      </c>
      <c r="C96" s="221">
        <f>[2]CGS!C99</f>
        <v>521.59</v>
      </c>
      <c r="D96" s="221">
        <f>'[2]ipp- thermal'!I96</f>
        <v>1264.99</v>
      </c>
      <c r="E96" s="228">
        <f>'[2]DP-DATA'!N96</f>
        <v>7059.12</v>
      </c>
      <c r="F96" s="221">
        <f>'[2]DP-DATA'!G96</f>
        <v>119.91</v>
      </c>
      <c r="G96" s="229">
        <f>[2]IEX!G105</f>
        <v>0</v>
      </c>
      <c r="H96" s="221">
        <f>[2]iex.urs.od!C96</f>
        <v>0</v>
      </c>
      <c r="I96" s="231">
        <f>'[2]DP-DATA'!J96</f>
        <v>0</v>
      </c>
      <c r="J96" s="231">
        <f>'[2]DP-DATA'!K96-T96</f>
        <v>0</v>
      </c>
      <c r="K96" s="221">
        <f>'[2]scada daily'!D98</f>
        <v>-160.02</v>
      </c>
      <c r="L96" s="221">
        <f>'[2]DP-DATA'!H96</f>
        <v>850.91</v>
      </c>
      <c r="M96" s="221">
        <f>[2]solar!D96</f>
        <v>0</v>
      </c>
      <c r="N96" s="232">
        <f>[2]RTM!G106</f>
        <v>666.29</v>
      </c>
      <c r="O96" s="221">
        <f>'[2]scada daily'!C98</f>
        <v>50.03</v>
      </c>
      <c r="P96" s="221">
        <f t="shared" si="6"/>
        <v>0</v>
      </c>
      <c r="Q96" s="221">
        <f t="shared" si="7"/>
        <v>0</v>
      </c>
      <c r="R96" s="221">
        <f t="shared" si="8"/>
        <v>-160.02</v>
      </c>
      <c r="S96" s="221">
        <f t="shared" si="9"/>
        <v>0</v>
      </c>
      <c r="T96" s="231">
        <f>[2]GNA!X107</f>
        <v>0</v>
      </c>
      <c r="U96" s="221">
        <f t="shared" si="10"/>
        <v>0</v>
      </c>
      <c r="V96" s="221">
        <f t="shared" si="11"/>
        <v>666.29</v>
      </c>
    </row>
    <row r="97" s="221" customFormat="1" ht="16.5" spans="1:22">
      <c r="A97" s="227">
        <f>'[2]DP-DATA'!B97</f>
        <v>0.989583333333333</v>
      </c>
      <c r="B97" s="221">
        <f>'[2]DP-DATA'!C97</f>
        <v>3343.27</v>
      </c>
      <c r="C97" s="221">
        <f>[2]CGS!C100</f>
        <v>521.59</v>
      </c>
      <c r="D97" s="221">
        <f>'[2]ipp- thermal'!I97</f>
        <v>1263.78</v>
      </c>
      <c r="E97" s="228">
        <f>'[2]DP-DATA'!N97</f>
        <v>6978.37</v>
      </c>
      <c r="F97" s="221">
        <f>'[2]DP-DATA'!G97</f>
        <v>121.07</v>
      </c>
      <c r="G97" s="229">
        <f>[2]IEX!G106</f>
        <v>0</v>
      </c>
      <c r="H97" s="221">
        <f>[2]iex.urs.od!C97</f>
        <v>0</v>
      </c>
      <c r="I97" s="231">
        <f>'[2]DP-DATA'!J97</f>
        <v>0</v>
      </c>
      <c r="J97" s="231">
        <f>'[2]DP-DATA'!K97-T97</f>
        <v>0</v>
      </c>
      <c r="K97" s="221">
        <f>'[2]scada daily'!D99</f>
        <v>-170.41</v>
      </c>
      <c r="L97" s="221">
        <f>'[2]DP-DATA'!H97</f>
        <v>854.79</v>
      </c>
      <c r="M97" s="221">
        <f>[2]solar!D97</f>
        <v>0</v>
      </c>
      <c r="N97" s="232">
        <f>[2]RTM!G107</f>
        <v>571.1</v>
      </c>
      <c r="O97" s="221">
        <f>'[2]scada daily'!C99</f>
        <v>50.03</v>
      </c>
      <c r="P97" s="221">
        <f t="shared" si="6"/>
        <v>0</v>
      </c>
      <c r="Q97" s="221">
        <f t="shared" si="7"/>
        <v>0</v>
      </c>
      <c r="R97" s="221">
        <f t="shared" si="8"/>
        <v>-170.41</v>
      </c>
      <c r="S97" s="221">
        <f t="shared" si="9"/>
        <v>0</v>
      </c>
      <c r="T97" s="231">
        <f>[2]GNA!X108</f>
        <v>0</v>
      </c>
      <c r="U97" s="221">
        <f t="shared" si="10"/>
        <v>0</v>
      </c>
      <c r="V97" s="221">
        <f t="shared" si="11"/>
        <v>571.1</v>
      </c>
    </row>
    <row r="98" s="223" customFormat="1" ht="24" customHeight="1" spans="2:22">
      <c r="B98" s="234">
        <f t="shared" ref="B98:V98" si="12">SUM(B2:B97)/4000</f>
        <v>88.453165</v>
      </c>
      <c r="C98" s="235">
        <f t="shared" si="12"/>
        <v>28.43141</v>
      </c>
      <c r="D98" s="234">
        <f t="shared" si="12"/>
        <v>33.283545</v>
      </c>
      <c r="E98" s="236">
        <v>212.032</v>
      </c>
      <c r="F98" s="234">
        <f t="shared" si="12"/>
        <v>3.596845</v>
      </c>
      <c r="G98" s="234">
        <f t="shared" si="12"/>
        <v>5.6373225</v>
      </c>
      <c r="H98" s="234">
        <f t="shared" si="12"/>
        <v>0</v>
      </c>
      <c r="I98" s="234">
        <f t="shared" si="12"/>
        <v>1.62832</v>
      </c>
      <c r="J98" s="234">
        <f t="shared" si="12"/>
        <v>0</v>
      </c>
      <c r="K98" s="234">
        <f t="shared" si="12"/>
        <v>-1.856135</v>
      </c>
      <c r="L98" s="234">
        <f t="shared" si="12"/>
        <v>18.18753</v>
      </c>
      <c r="M98" s="234">
        <f t="shared" si="12"/>
        <v>20.6112625</v>
      </c>
      <c r="N98" s="234">
        <f t="shared" si="12"/>
        <v>8.500805</v>
      </c>
      <c r="O98" s="234">
        <f t="shared" si="12"/>
        <v>1.19956</v>
      </c>
      <c r="P98" s="234">
        <f t="shared" si="12"/>
        <v>-0.875</v>
      </c>
      <c r="Q98" s="234">
        <f t="shared" si="12"/>
        <v>1.0800725</v>
      </c>
      <c r="R98" s="234">
        <f t="shared" si="12"/>
        <v>-2.9362075</v>
      </c>
      <c r="S98" s="234">
        <f t="shared" si="12"/>
        <v>-0.443425</v>
      </c>
      <c r="T98" s="234">
        <f t="shared" si="12"/>
        <v>0</v>
      </c>
      <c r="U98" s="234">
        <f t="shared" si="12"/>
        <v>6.0807475</v>
      </c>
      <c r="V98" s="234">
        <f t="shared" si="12"/>
        <v>9.375805</v>
      </c>
    </row>
    <row r="99" s="221" customFormat="1" spans="1:22">
      <c r="A99" s="221" t="s">
        <v>226</v>
      </c>
      <c r="B99" s="237">
        <f t="shared" ref="B99:V99" si="13">AVERAGE(B2:B97)</f>
        <v>3685.54854166667</v>
      </c>
      <c r="C99" s="237">
        <f t="shared" si="13"/>
        <v>1184.64208333333</v>
      </c>
      <c r="D99" s="237">
        <f t="shared" si="13"/>
        <v>1386.814375</v>
      </c>
      <c r="E99" s="237">
        <f>(E98*4000)/96</f>
        <v>8834.66666666667</v>
      </c>
      <c r="F99" s="237">
        <f t="shared" si="13"/>
        <v>149.868541666667</v>
      </c>
      <c r="G99" s="237">
        <f t="shared" si="13"/>
        <v>234.8884375</v>
      </c>
      <c r="H99" s="237">
        <f t="shared" si="13"/>
        <v>0</v>
      </c>
      <c r="I99" s="237">
        <f t="shared" si="13"/>
        <v>67.8466666666667</v>
      </c>
      <c r="J99" s="237">
        <f t="shared" si="13"/>
        <v>0</v>
      </c>
      <c r="K99" s="237">
        <f t="shared" si="13"/>
        <v>-77.3389583333333</v>
      </c>
      <c r="L99" s="237">
        <f t="shared" si="13"/>
        <v>757.81375</v>
      </c>
      <c r="M99" s="237">
        <f t="shared" si="13"/>
        <v>858.802604166667</v>
      </c>
      <c r="N99" s="237">
        <f t="shared" si="13"/>
        <v>354.200208333333</v>
      </c>
      <c r="O99" s="237">
        <f t="shared" si="13"/>
        <v>49.9816666666667</v>
      </c>
      <c r="P99" s="237">
        <f t="shared" si="13"/>
        <v>-36.4583333333333</v>
      </c>
      <c r="Q99" s="237">
        <f t="shared" si="13"/>
        <v>45.0030208333333</v>
      </c>
      <c r="R99" s="237">
        <f t="shared" si="13"/>
        <v>-122.341979166667</v>
      </c>
      <c r="S99" s="237">
        <f t="shared" si="13"/>
        <v>-18.4760416666667</v>
      </c>
      <c r="T99" s="237">
        <f t="shared" si="13"/>
        <v>0</v>
      </c>
      <c r="U99" s="237">
        <f t="shared" si="13"/>
        <v>253.364479166667</v>
      </c>
      <c r="V99" s="237">
        <f t="shared" si="13"/>
        <v>390.658541666667</v>
      </c>
    </row>
    <row r="102" s="221" customFormat="1" spans="10:11">
      <c r="J102" s="237"/>
      <c r="K102" s="221" t="s">
        <v>263</v>
      </c>
    </row>
    <row r="104" s="221" customFormat="1" spans="10:20">
      <c r="J104" s="231"/>
      <c r="T104" s="231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14"/>
  </cols>
  <sheetData>
    <row r="1" s="214" customFormat="1" spans="1:8">
      <c r="A1" s="215" t="s">
        <v>264</v>
      </c>
      <c r="B1" s="215"/>
      <c r="C1" s="215"/>
      <c r="D1" s="215"/>
      <c r="E1" s="215"/>
      <c r="F1" s="215"/>
      <c r="G1" s="215"/>
      <c r="H1" s="215"/>
    </row>
    <row r="2" s="214" customFormat="1" ht="75" spans="1:12">
      <c r="A2" s="216" t="s">
        <v>171</v>
      </c>
      <c r="B2" s="216" t="s">
        <v>265</v>
      </c>
      <c r="C2" s="216" t="s">
        <v>266</v>
      </c>
      <c r="D2" s="216" t="s">
        <v>267</v>
      </c>
      <c r="E2" s="216" t="s">
        <v>268</v>
      </c>
      <c r="F2" s="216" t="s">
        <v>269</v>
      </c>
      <c r="G2" s="216" t="s">
        <v>270</v>
      </c>
      <c r="H2" s="216" t="s">
        <v>271</v>
      </c>
      <c r="I2" s="216" t="s">
        <v>272</v>
      </c>
      <c r="J2" s="216" t="s">
        <v>273</v>
      </c>
      <c r="K2" s="216" t="s">
        <v>274</v>
      </c>
      <c r="L2" s="216" t="s">
        <v>275</v>
      </c>
    </row>
    <row r="3" s="214" customFormat="1" spans="1:12">
      <c r="A3" s="217">
        <v>46034</v>
      </c>
      <c r="B3" s="218">
        <v>0.98</v>
      </c>
      <c r="C3" s="218">
        <v>786.42</v>
      </c>
      <c r="D3" s="218">
        <v>547.1</v>
      </c>
      <c r="E3" s="218">
        <v>6773.02</v>
      </c>
      <c r="F3" s="218">
        <v>163.26</v>
      </c>
      <c r="G3" s="218">
        <v>73.48</v>
      </c>
      <c r="H3" s="218">
        <v>2837.11</v>
      </c>
      <c r="I3" s="218">
        <v>1235.51</v>
      </c>
      <c r="J3" s="218">
        <v>0.08</v>
      </c>
      <c r="K3" s="218">
        <v>128.84</v>
      </c>
      <c r="L3" s="218">
        <v>459.09</v>
      </c>
    </row>
    <row r="4" s="214" customFormat="1" spans="1:12">
      <c r="A4" s="217">
        <v>46034.0104166667</v>
      </c>
      <c r="B4" s="218">
        <v>0.97</v>
      </c>
      <c r="C4" s="218">
        <v>760.3</v>
      </c>
      <c r="D4" s="218">
        <v>548.7</v>
      </c>
      <c r="E4" s="218">
        <v>6777.45</v>
      </c>
      <c r="F4" s="218">
        <v>-3.72</v>
      </c>
      <c r="G4" s="218">
        <v>73.23</v>
      </c>
      <c r="H4" s="218">
        <v>2835.1</v>
      </c>
      <c r="I4" s="218">
        <v>1280.5</v>
      </c>
      <c r="J4" s="218">
        <v>0.1</v>
      </c>
      <c r="K4" s="218">
        <v>156.98</v>
      </c>
      <c r="L4" s="218">
        <v>501.27</v>
      </c>
    </row>
    <row r="5" s="214" customFormat="1" spans="1:12">
      <c r="A5" s="217">
        <v>46034.0208333333</v>
      </c>
      <c r="B5" s="218">
        <v>0.94</v>
      </c>
      <c r="C5" s="218">
        <v>711.26</v>
      </c>
      <c r="D5" s="218">
        <v>541.94</v>
      </c>
      <c r="E5" s="218">
        <v>6745.63</v>
      </c>
      <c r="F5" s="218">
        <v>-129.29</v>
      </c>
      <c r="G5" s="218">
        <v>72.93</v>
      </c>
      <c r="H5" s="218">
        <v>2821.16</v>
      </c>
      <c r="I5" s="218">
        <v>1274.76</v>
      </c>
      <c r="J5" s="218">
        <v>0.06</v>
      </c>
      <c r="K5" s="218">
        <v>119.84</v>
      </c>
      <c r="L5" s="218">
        <v>502.21</v>
      </c>
    </row>
    <row r="6" s="214" customFormat="1" spans="1:12">
      <c r="A6" s="217">
        <v>46034.03125</v>
      </c>
      <c r="B6" s="218">
        <v>0.86</v>
      </c>
      <c r="C6" s="218">
        <v>703.95</v>
      </c>
      <c r="D6" s="218">
        <v>543.13</v>
      </c>
      <c r="E6" s="218">
        <v>6753.29</v>
      </c>
      <c r="F6" s="218">
        <v>-31.77</v>
      </c>
      <c r="G6" s="218">
        <v>73.43</v>
      </c>
      <c r="H6" s="218">
        <v>2817.61</v>
      </c>
      <c r="I6" s="218">
        <v>1276.09</v>
      </c>
      <c r="J6" s="218">
        <v>0.12</v>
      </c>
      <c r="K6" s="218">
        <v>113.72</v>
      </c>
      <c r="L6" s="218">
        <v>502.44</v>
      </c>
    </row>
    <row r="7" s="214" customFormat="1" spans="1:12">
      <c r="A7" s="217">
        <v>46034.0416666667</v>
      </c>
      <c r="B7" s="218">
        <v>0.89</v>
      </c>
      <c r="C7" s="218">
        <v>698.47</v>
      </c>
      <c r="D7" s="218">
        <v>547.94</v>
      </c>
      <c r="E7" s="218">
        <v>6714.58</v>
      </c>
      <c r="F7" s="218">
        <v>-130.85</v>
      </c>
      <c r="G7" s="218">
        <v>72.28</v>
      </c>
      <c r="H7" s="218">
        <v>2846.37</v>
      </c>
      <c r="I7" s="218">
        <v>1267.76</v>
      </c>
      <c r="J7" s="218">
        <v>0.09</v>
      </c>
      <c r="K7" s="218">
        <v>113.59</v>
      </c>
      <c r="L7" s="218">
        <v>488.97</v>
      </c>
    </row>
    <row r="8" s="214" customFormat="1" spans="1:12">
      <c r="A8" s="217">
        <v>46034.0520833333</v>
      </c>
      <c r="B8" s="218">
        <v>0.96</v>
      </c>
      <c r="C8" s="218">
        <v>688.83</v>
      </c>
      <c r="D8" s="218">
        <v>546.02</v>
      </c>
      <c r="E8" s="218">
        <v>6732.97</v>
      </c>
      <c r="F8" s="218">
        <v>-27.25</v>
      </c>
      <c r="G8" s="218">
        <v>72.18</v>
      </c>
      <c r="H8" s="218">
        <v>2882.78</v>
      </c>
      <c r="I8" s="218">
        <v>1231.11</v>
      </c>
      <c r="J8" s="218">
        <v>0.09</v>
      </c>
      <c r="K8" s="218">
        <v>113.95</v>
      </c>
      <c r="L8" s="218">
        <v>454.36</v>
      </c>
    </row>
    <row r="9" s="214" customFormat="1" spans="1:12">
      <c r="A9" s="217">
        <v>46034.0625</v>
      </c>
      <c r="B9" s="218">
        <v>0.94</v>
      </c>
      <c r="C9" s="218">
        <v>661.53</v>
      </c>
      <c r="D9" s="218">
        <v>547.54</v>
      </c>
      <c r="E9" s="218">
        <v>6671.77</v>
      </c>
      <c r="F9" s="218">
        <v>-10.79</v>
      </c>
      <c r="G9" s="218">
        <v>73.46</v>
      </c>
      <c r="H9" s="218">
        <v>2914.02</v>
      </c>
      <c r="I9" s="218">
        <v>1177.12</v>
      </c>
      <c r="J9" s="218">
        <v>0.06</v>
      </c>
      <c r="K9" s="218">
        <v>113.78</v>
      </c>
      <c r="L9" s="218">
        <v>398.67</v>
      </c>
    </row>
    <row r="10" s="214" customFormat="1" spans="1:12">
      <c r="A10" s="217">
        <v>46034.0729166667</v>
      </c>
      <c r="B10" s="218">
        <v>0.96</v>
      </c>
      <c r="C10" s="218">
        <v>622.24</v>
      </c>
      <c r="D10" s="218">
        <v>545.77</v>
      </c>
      <c r="E10" s="218">
        <v>6668.95</v>
      </c>
      <c r="F10" s="218">
        <v>66.22</v>
      </c>
      <c r="G10" s="218">
        <v>72.98</v>
      </c>
      <c r="H10" s="218">
        <v>2903.1</v>
      </c>
      <c r="I10" s="218">
        <v>1129.24</v>
      </c>
      <c r="J10" s="218">
        <v>0.09</v>
      </c>
      <c r="K10" s="218">
        <v>133.81</v>
      </c>
      <c r="L10" s="218">
        <v>352.72</v>
      </c>
    </row>
    <row r="11" s="214" customFormat="1" spans="1:12">
      <c r="A11" s="217">
        <v>46034.0833333333</v>
      </c>
      <c r="B11" s="218">
        <v>0.97</v>
      </c>
      <c r="C11" s="218">
        <v>584.73</v>
      </c>
      <c r="D11" s="218">
        <v>543.11</v>
      </c>
      <c r="E11" s="218">
        <v>6605.17</v>
      </c>
      <c r="F11" s="218">
        <v>-79.6</v>
      </c>
      <c r="G11" s="218">
        <v>74.41</v>
      </c>
      <c r="H11" s="218">
        <v>2912.17</v>
      </c>
      <c r="I11" s="218">
        <v>1118.17</v>
      </c>
      <c r="J11" s="218">
        <v>0.06</v>
      </c>
      <c r="K11" s="218">
        <v>161.23</v>
      </c>
      <c r="L11" s="218">
        <v>344.52</v>
      </c>
    </row>
    <row r="12" s="214" customFormat="1" spans="1:12">
      <c r="A12" s="217">
        <v>46034.09375</v>
      </c>
      <c r="B12" s="218">
        <v>0.91</v>
      </c>
      <c r="C12" s="218">
        <v>539.05</v>
      </c>
      <c r="D12" s="218">
        <v>543.6</v>
      </c>
      <c r="E12" s="218">
        <v>6572.42</v>
      </c>
      <c r="F12" s="218">
        <v>-33.92</v>
      </c>
      <c r="G12" s="218">
        <v>74.71</v>
      </c>
      <c r="H12" s="218">
        <v>2916.93</v>
      </c>
      <c r="I12" s="218">
        <v>1120.81</v>
      </c>
      <c r="J12" s="218">
        <v>0.08</v>
      </c>
      <c r="K12" s="218">
        <v>117.04</v>
      </c>
      <c r="L12" s="218">
        <v>346.95</v>
      </c>
    </row>
    <row r="13" s="214" customFormat="1" spans="1:12">
      <c r="A13" s="217">
        <v>46034.1041666667</v>
      </c>
      <c r="B13" s="218">
        <v>0.86</v>
      </c>
      <c r="C13" s="218">
        <v>498.16</v>
      </c>
      <c r="D13" s="218">
        <v>543.22</v>
      </c>
      <c r="E13" s="218">
        <v>6594.23</v>
      </c>
      <c r="F13" s="218">
        <v>24.62</v>
      </c>
      <c r="G13" s="218">
        <v>73.25</v>
      </c>
      <c r="H13" s="218">
        <v>2926.05</v>
      </c>
      <c r="I13" s="218">
        <v>1120.83</v>
      </c>
      <c r="J13" s="218">
        <v>0.06</v>
      </c>
      <c r="K13" s="218">
        <v>113.51</v>
      </c>
      <c r="L13" s="218">
        <v>346.91</v>
      </c>
    </row>
    <row r="14" s="214" customFormat="1" spans="1:12">
      <c r="A14" s="217">
        <v>46034.1145833333</v>
      </c>
      <c r="B14" s="218">
        <v>0.87</v>
      </c>
      <c r="C14" s="218">
        <v>457.62</v>
      </c>
      <c r="D14" s="218">
        <v>544.4</v>
      </c>
      <c r="E14" s="218">
        <v>6568.3</v>
      </c>
      <c r="F14" s="218">
        <v>39.24</v>
      </c>
      <c r="G14" s="218">
        <v>73.64</v>
      </c>
      <c r="H14" s="218">
        <v>2921.47</v>
      </c>
      <c r="I14" s="218">
        <v>1121.08</v>
      </c>
      <c r="J14" s="218">
        <v>0.05</v>
      </c>
      <c r="K14" s="218">
        <v>113.79</v>
      </c>
      <c r="L14" s="218">
        <v>345.83</v>
      </c>
    </row>
    <row r="15" s="214" customFormat="1" spans="1:12">
      <c r="A15" s="217">
        <v>46034.125</v>
      </c>
      <c r="B15" s="218">
        <v>0.9</v>
      </c>
      <c r="C15" s="218">
        <v>399.4</v>
      </c>
      <c r="D15" s="218">
        <v>547.28</v>
      </c>
      <c r="E15" s="218">
        <v>6602.05</v>
      </c>
      <c r="F15" s="218">
        <v>44.96</v>
      </c>
      <c r="G15" s="218">
        <v>73.97</v>
      </c>
      <c r="H15" s="218">
        <v>2917.63</v>
      </c>
      <c r="I15" s="218">
        <v>1123.86</v>
      </c>
      <c r="J15" s="218">
        <v>0.09</v>
      </c>
      <c r="K15" s="218">
        <v>114.14</v>
      </c>
      <c r="L15" s="218">
        <v>346.06</v>
      </c>
    </row>
    <row r="16" s="214" customFormat="1" spans="1:12">
      <c r="A16" s="217">
        <v>46034.1354166667</v>
      </c>
      <c r="B16" s="218">
        <v>0.93</v>
      </c>
      <c r="C16" s="218">
        <v>359.95</v>
      </c>
      <c r="D16" s="218">
        <v>546.91</v>
      </c>
      <c r="E16" s="218">
        <v>6670.43</v>
      </c>
      <c r="F16" s="218">
        <v>-6.18</v>
      </c>
      <c r="G16" s="218">
        <v>73.53</v>
      </c>
      <c r="H16" s="218">
        <v>2940.23</v>
      </c>
      <c r="I16" s="218">
        <v>1125.5</v>
      </c>
      <c r="J16" s="218">
        <v>0.09</v>
      </c>
      <c r="K16" s="218">
        <v>165.88</v>
      </c>
      <c r="L16" s="218">
        <v>348.18</v>
      </c>
    </row>
    <row r="17" s="214" customFormat="1" spans="1:12">
      <c r="A17" s="217">
        <v>46034.1458333333</v>
      </c>
      <c r="B17" s="218">
        <v>0.95</v>
      </c>
      <c r="C17" s="218">
        <v>348.33</v>
      </c>
      <c r="D17" s="218">
        <v>543.07</v>
      </c>
      <c r="E17" s="218">
        <v>6634.03</v>
      </c>
      <c r="F17" s="218">
        <v>45.05</v>
      </c>
      <c r="G17" s="218">
        <v>76.56</v>
      </c>
      <c r="H17" s="218">
        <v>2936.21</v>
      </c>
      <c r="I17" s="218">
        <v>1122.58</v>
      </c>
      <c r="J17" s="218">
        <v>0.09</v>
      </c>
      <c r="K17" s="218">
        <v>167.47</v>
      </c>
      <c r="L17" s="218">
        <v>349.04</v>
      </c>
    </row>
    <row r="18" s="214" customFormat="1" spans="1:12">
      <c r="A18" s="217">
        <v>46034.15625</v>
      </c>
      <c r="B18" s="218">
        <v>0.97</v>
      </c>
      <c r="C18" s="218">
        <v>361.25</v>
      </c>
      <c r="D18" s="218">
        <v>544.42</v>
      </c>
      <c r="E18" s="218">
        <v>6708.72</v>
      </c>
      <c r="F18" s="218">
        <v>90.69</v>
      </c>
      <c r="G18" s="218">
        <v>74.68</v>
      </c>
      <c r="H18" s="218">
        <v>2953.96</v>
      </c>
      <c r="I18" s="218">
        <v>1166.18</v>
      </c>
      <c r="J18" s="218">
        <v>0.09</v>
      </c>
      <c r="K18" s="218">
        <v>167.61</v>
      </c>
      <c r="L18" s="218">
        <v>392.91</v>
      </c>
    </row>
    <row r="19" s="214" customFormat="1" spans="1:12">
      <c r="A19" s="217">
        <v>46034.1666666667</v>
      </c>
      <c r="B19" s="218">
        <v>0.88</v>
      </c>
      <c r="C19" s="218">
        <v>359.8</v>
      </c>
      <c r="D19" s="218">
        <v>542.02</v>
      </c>
      <c r="E19" s="218">
        <v>6840.21</v>
      </c>
      <c r="F19" s="218">
        <v>136.39</v>
      </c>
      <c r="G19" s="218">
        <v>73.99</v>
      </c>
      <c r="H19" s="218">
        <v>2936.63</v>
      </c>
      <c r="I19" s="218">
        <v>1220.92</v>
      </c>
      <c r="J19" s="218">
        <v>0.09</v>
      </c>
      <c r="K19" s="218">
        <v>167.36</v>
      </c>
      <c r="L19" s="218">
        <v>450.06</v>
      </c>
    </row>
    <row r="20" s="214" customFormat="1" spans="1:12">
      <c r="A20" s="217">
        <v>46034.1770833333</v>
      </c>
      <c r="B20" s="218">
        <v>1.01</v>
      </c>
      <c r="C20" s="218">
        <v>349.36</v>
      </c>
      <c r="D20" s="218">
        <v>544.73</v>
      </c>
      <c r="E20" s="218">
        <v>6975.69</v>
      </c>
      <c r="F20" s="218">
        <v>167.45</v>
      </c>
      <c r="G20" s="218">
        <v>74.1</v>
      </c>
      <c r="H20" s="218">
        <v>2953.92</v>
      </c>
      <c r="I20" s="218">
        <v>1272.79</v>
      </c>
      <c r="J20" s="218">
        <v>0.09</v>
      </c>
      <c r="K20" s="218">
        <v>167.51</v>
      </c>
      <c r="L20" s="218">
        <v>498.68</v>
      </c>
    </row>
    <row r="21" s="214" customFormat="1" spans="1:12">
      <c r="A21" s="217">
        <v>46034.1875</v>
      </c>
      <c r="B21" s="218">
        <v>0.99</v>
      </c>
      <c r="C21" s="218">
        <v>327.93</v>
      </c>
      <c r="D21" s="218">
        <v>544.31</v>
      </c>
      <c r="E21" s="218">
        <v>7027.6</v>
      </c>
      <c r="F21" s="218">
        <v>-162.93</v>
      </c>
      <c r="G21" s="218">
        <v>73.77</v>
      </c>
      <c r="H21" s="218">
        <v>3026.37</v>
      </c>
      <c r="I21" s="218">
        <v>1274.88</v>
      </c>
      <c r="J21" s="218">
        <v>0.09</v>
      </c>
      <c r="K21" s="218">
        <v>167.46</v>
      </c>
      <c r="L21" s="218">
        <v>499.66</v>
      </c>
    </row>
    <row r="22" s="214" customFormat="1" spans="1:12">
      <c r="A22" s="217">
        <v>46034.1979166667</v>
      </c>
      <c r="B22" s="218">
        <v>0.95</v>
      </c>
      <c r="C22" s="218">
        <v>318.46</v>
      </c>
      <c r="D22" s="218">
        <v>547.76</v>
      </c>
      <c r="E22" s="218">
        <v>7115.88</v>
      </c>
      <c r="F22" s="218">
        <v>-93.64</v>
      </c>
      <c r="G22" s="218">
        <v>74.35</v>
      </c>
      <c r="H22" s="218">
        <v>3038.83</v>
      </c>
      <c r="I22" s="218">
        <v>1277</v>
      </c>
      <c r="J22" s="218">
        <v>0.09</v>
      </c>
      <c r="K22" s="218">
        <v>134.56</v>
      </c>
      <c r="L22" s="218">
        <v>498.8</v>
      </c>
    </row>
    <row r="23" s="214" customFormat="1" spans="1:12">
      <c r="A23" s="217">
        <v>46034.2083333333</v>
      </c>
      <c r="B23" s="218">
        <v>0.9</v>
      </c>
      <c r="C23" s="218">
        <v>311.42</v>
      </c>
      <c r="D23" s="218">
        <v>551.01</v>
      </c>
      <c r="E23" s="218">
        <v>7285.92</v>
      </c>
      <c r="F23" s="218">
        <v>104.22</v>
      </c>
      <c r="G23" s="218">
        <v>74.33</v>
      </c>
      <c r="H23" s="218">
        <v>3065.95</v>
      </c>
      <c r="I23" s="218">
        <v>1283.4</v>
      </c>
      <c r="J23" s="218">
        <v>0.09</v>
      </c>
      <c r="K23" s="218">
        <v>113.51</v>
      </c>
      <c r="L23" s="218">
        <v>502.38</v>
      </c>
    </row>
    <row r="24" s="214" customFormat="1" spans="1:12">
      <c r="A24" s="217">
        <v>46034.21875</v>
      </c>
      <c r="B24" s="218">
        <v>0.93</v>
      </c>
      <c r="C24" s="218">
        <v>309.63</v>
      </c>
      <c r="D24" s="218">
        <v>666.29</v>
      </c>
      <c r="E24" s="218">
        <v>7488.92</v>
      </c>
      <c r="F24" s="218">
        <v>67.45</v>
      </c>
      <c r="G24" s="218">
        <v>77.97</v>
      </c>
      <c r="H24" s="218">
        <v>3089.93</v>
      </c>
      <c r="I24" s="218">
        <v>1392.01</v>
      </c>
      <c r="J24" s="218">
        <v>0.09</v>
      </c>
      <c r="K24" s="218">
        <v>113.37</v>
      </c>
      <c r="L24" s="218">
        <v>498.82</v>
      </c>
    </row>
    <row r="25" s="214" customFormat="1" spans="1:12">
      <c r="A25" s="217">
        <v>46034.2291666667</v>
      </c>
      <c r="B25" s="218">
        <v>1</v>
      </c>
      <c r="C25" s="218">
        <v>300.08</v>
      </c>
      <c r="D25" s="218">
        <v>730.77</v>
      </c>
      <c r="E25" s="218">
        <v>7650.19</v>
      </c>
      <c r="F25" s="218">
        <v>-34.47</v>
      </c>
      <c r="G25" s="218">
        <v>77.69</v>
      </c>
      <c r="H25" s="218">
        <v>3323.05</v>
      </c>
      <c r="I25" s="218">
        <v>1479.63</v>
      </c>
      <c r="J25" s="218">
        <v>0.09</v>
      </c>
      <c r="K25" s="218">
        <v>112.75</v>
      </c>
      <c r="L25" s="218">
        <v>519.36</v>
      </c>
    </row>
    <row r="26" s="214" customFormat="1" spans="1:12">
      <c r="A26" s="217">
        <v>46034.2395833333</v>
      </c>
      <c r="B26" s="218">
        <v>0.97</v>
      </c>
      <c r="C26" s="218">
        <v>277.39</v>
      </c>
      <c r="D26" s="218">
        <v>758.73</v>
      </c>
      <c r="E26" s="218">
        <v>7748.77</v>
      </c>
      <c r="F26" s="218">
        <v>132.33</v>
      </c>
      <c r="G26" s="218">
        <v>79.77</v>
      </c>
      <c r="H26" s="218">
        <v>3507.98</v>
      </c>
      <c r="I26" s="218">
        <v>1549.25</v>
      </c>
      <c r="J26" s="218">
        <v>0.03</v>
      </c>
      <c r="K26" s="218">
        <v>112.73</v>
      </c>
      <c r="L26" s="218">
        <v>562.16</v>
      </c>
    </row>
    <row r="27" s="214" customFormat="1" spans="1:12">
      <c r="A27" s="217">
        <v>46034.25</v>
      </c>
      <c r="B27" s="218">
        <v>0.93</v>
      </c>
      <c r="C27" s="218">
        <v>269.65</v>
      </c>
      <c r="D27" s="218">
        <v>761.51</v>
      </c>
      <c r="E27" s="218">
        <v>8128.67</v>
      </c>
      <c r="F27" s="218">
        <v>-319.39</v>
      </c>
      <c r="G27" s="218">
        <v>78.88</v>
      </c>
      <c r="H27" s="218">
        <v>3676.73</v>
      </c>
      <c r="I27" s="218">
        <v>1605</v>
      </c>
      <c r="J27" s="218">
        <v>0.05</v>
      </c>
      <c r="K27" s="218">
        <v>112.6</v>
      </c>
      <c r="L27" s="218">
        <v>613.12</v>
      </c>
    </row>
    <row r="28" s="214" customFormat="1" spans="1:12">
      <c r="A28" s="217">
        <v>46034.2604166667</v>
      </c>
      <c r="B28" s="218">
        <v>1.02</v>
      </c>
      <c r="C28" s="218">
        <v>270.51</v>
      </c>
      <c r="D28" s="218">
        <v>763.11</v>
      </c>
      <c r="E28" s="218">
        <v>8504.62</v>
      </c>
      <c r="F28" s="218">
        <v>-440.29</v>
      </c>
      <c r="G28" s="218">
        <v>74.59</v>
      </c>
      <c r="H28" s="218">
        <v>3865.01</v>
      </c>
      <c r="I28" s="218">
        <v>1612.5</v>
      </c>
      <c r="J28" s="218">
        <v>0.03</v>
      </c>
      <c r="K28" s="218">
        <v>112.93</v>
      </c>
      <c r="L28" s="218">
        <v>619</v>
      </c>
    </row>
    <row r="29" s="214" customFormat="1" spans="1:12">
      <c r="A29" s="217">
        <v>46034.2708333333</v>
      </c>
      <c r="B29" s="218">
        <v>1.1</v>
      </c>
      <c r="C29" s="218">
        <v>264.87</v>
      </c>
      <c r="D29" s="218">
        <v>754.89</v>
      </c>
      <c r="E29" s="218">
        <v>8697.82</v>
      </c>
      <c r="F29" s="218">
        <v>-499.45</v>
      </c>
      <c r="G29" s="218">
        <v>74.79</v>
      </c>
      <c r="H29" s="218">
        <v>4032.42</v>
      </c>
      <c r="I29" s="218">
        <v>1610.38</v>
      </c>
      <c r="J29" s="218">
        <v>0.09</v>
      </c>
      <c r="K29" s="218">
        <v>113.1</v>
      </c>
      <c r="L29" s="218">
        <v>624.95</v>
      </c>
    </row>
    <row r="30" s="214" customFormat="1" spans="1:12">
      <c r="A30" s="217">
        <v>46034.28125</v>
      </c>
      <c r="B30" s="218">
        <v>5.22</v>
      </c>
      <c r="C30" s="218">
        <v>279.98</v>
      </c>
      <c r="D30" s="218">
        <v>758.1</v>
      </c>
      <c r="E30" s="218">
        <v>8849.49</v>
      </c>
      <c r="F30" s="218">
        <v>-503.9</v>
      </c>
      <c r="G30" s="218">
        <v>73.92</v>
      </c>
      <c r="H30" s="218">
        <v>4064.59</v>
      </c>
      <c r="I30" s="218">
        <v>1615.97</v>
      </c>
      <c r="J30" s="218">
        <v>0.06</v>
      </c>
      <c r="K30" s="218">
        <v>114.13</v>
      </c>
      <c r="L30" s="218">
        <v>627.91</v>
      </c>
    </row>
    <row r="31" s="214" customFormat="1" spans="1:12">
      <c r="A31" s="217">
        <v>46034.2916666667</v>
      </c>
      <c r="B31" s="218">
        <v>53.44</v>
      </c>
      <c r="C31" s="218">
        <v>314.85</v>
      </c>
      <c r="D31" s="218">
        <v>758.9</v>
      </c>
      <c r="E31" s="218">
        <v>9029.94</v>
      </c>
      <c r="F31" s="218">
        <v>-330.06</v>
      </c>
      <c r="G31" s="218">
        <v>75.03</v>
      </c>
      <c r="H31" s="218">
        <v>3896.55</v>
      </c>
      <c r="I31" s="218">
        <v>1617.09</v>
      </c>
      <c r="J31" s="218">
        <v>0.09</v>
      </c>
      <c r="K31" s="218">
        <v>114.02</v>
      </c>
      <c r="L31" s="218">
        <v>627.44</v>
      </c>
    </row>
    <row r="32" s="214" customFormat="1" spans="1:12">
      <c r="A32" s="217">
        <v>46034.3020833333</v>
      </c>
      <c r="B32" s="218">
        <v>148.11</v>
      </c>
      <c r="C32" s="218">
        <v>340.74</v>
      </c>
      <c r="D32" s="218">
        <v>757.05</v>
      </c>
      <c r="E32" s="218">
        <v>9264.73</v>
      </c>
      <c r="F32" s="218">
        <v>-271.8</v>
      </c>
      <c r="G32" s="218">
        <v>76.76</v>
      </c>
      <c r="H32" s="218">
        <v>3794.17</v>
      </c>
      <c r="I32" s="218">
        <v>1615.33</v>
      </c>
      <c r="J32" s="218">
        <v>0.05</v>
      </c>
      <c r="K32" s="218">
        <v>114.38</v>
      </c>
      <c r="L32" s="218">
        <v>627.74</v>
      </c>
    </row>
    <row r="33" s="214" customFormat="1" spans="1:12">
      <c r="A33" s="217">
        <v>46034.3125</v>
      </c>
      <c r="B33" s="218">
        <v>297.03</v>
      </c>
      <c r="C33" s="218">
        <v>311.25</v>
      </c>
      <c r="D33" s="218">
        <v>753.58</v>
      </c>
      <c r="E33" s="218">
        <v>9387.52</v>
      </c>
      <c r="F33" s="218">
        <v>-66.37</v>
      </c>
      <c r="G33" s="218">
        <v>75.74</v>
      </c>
      <c r="H33" s="218">
        <v>3754.59</v>
      </c>
      <c r="I33" s="218">
        <v>1612.17</v>
      </c>
      <c r="J33" s="218">
        <v>0.08</v>
      </c>
      <c r="K33" s="218">
        <v>114.35</v>
      </c>
      <c r="L33" s="218">
        <v>627.98</v>
      </c>
    </row>
    <row r="34" s="214" customFormat="1" spans="1:12">
      <c r="A34" s="217">
        <v>46034.3229166667</v>
      </c>
      <c r="B34" s="218">
        <v>564.88</v>
      </c>
      <c r="C34" s="218">
        <v>275.28</v>
      </c>
      <c r="D34" s="218">
        <v>755.28</v>
      </c>
      <c r="E34" s="218">
        <v>9525.19</v>
      </c>
      <c r="F34" s="218">
        <v>-172.4</v>
      </c>
      <c r="G34" s="218">
        <v>75.79</v>
      </c>
      <c r="H34" s="218">
        <v>3873.01</v>
      </c>
      <c r="I34" s="218">
        <v>1612.03</v>
      </c>
      <c r="J34" s="218">
        <v>-0.02</v>
      </c>
      <c r="K34" s="218">
        <v>114.2</v>
      </c>
      <c r="L34" s="218">
        <v>626.36</v>
      </c>
    </row>
    <row r="35" s="214" customFormat="1" spans="1:12">
      <c r="A35" s="217">
        <v>46034.3333333333</v>
      </c>
      <c r="B35" s="218">
        <v>768.59</v>
      </c>
      <c r="C35" s="218">
        <v>228.15</v>
      </c>
      <c r="D35" s="218">
        <v>752.43</v>
      </c>
      <c r="E35" s="218">
        <v>10223.49</v>
      </c>
      <c r="F35" s="218">
        <v>151.77</v>
      </c>
      <c r="G35" s="218">
        <v>75.16</v>
      </c>
      <c r="H35" s="218">
        <v>4175.78</v>
      </c>
      <c r="I35" s="218">
        <v>1610.78</v>
      </c>
      <c r="J35" s="218">
        <v>-0.09</v>
      </c>
      <c r="K35" s="218">
        <v>144.7</v>
      </c>
      <c r="L35" s="218">
        <v>627.86</v>
      </c>
    </row>
    <row r="36" s="214" customFormat="1" spans="1:12">
      <c r="A36" s="217">
        <v>46034.34375</v>
      </c>
      <c r="B36" s="218">
        <v>951.44</v>
      </c>
      <c r="C36" s="218">
        <v>227.78</v>
      </c>
      <c r="D36" s="218">
        <v>751.73</v>
      </c>
      <c r="E36" s="218">
        <v>10770.17</v>
      </c>
      <c r="F36" s="218">
        <v>152.19</v>
      </c>
      <c r="G36" s="218">
        <v>74.67</v>
      </c>
      <c r="H36" s="218">
        <v>4316.48</v>
      </c>
      <c r="I36" s="218">
        <v>1609.88</v>
      </c>
      <c r="J36" s="218">
        <v>-0.13</v>
      </c>
      <c r="K36" s="218">
        <v>223.13</v>
      </c>
      <c r="L36" s="218">
        <v>627.53</v>
      </c>
    </row>
    <row r="37" s="214" customFormat="1" spans="1:12">
      <c r="A37" s="217">
        <v>46034.3541666667</v>
      </c>
      <c r="B37" s="218">
        <v>1118.94</v>
      </c>
      <c r="C37" s="218">
        <v>287.12</v>
      </c>
      <c r="D37" s="218">
        <v>755.77</v>
      </c>
      <c r="E37" s="218">
        <v>11013.73</v>
      </c>
      <c r="F37" s="218">
        <v>53.42</v>
      </c>
      <c r="G37" s="218">
        <v>78.65</v>
      </c>
      <c r="H37" s="218">
        <v>4340.61</v>
      </c>
      <c r="I37" s="218">
        <v>1601.7</v>
      </c>
      <c r="J37" s="218">
        <v>-0.13</v>
      </c>
      <c r="K37" s="218">
        <v>206.17</v>
      </c>
      <c r="L37" s="218">
        <v>615.22</v>
      </c>
    </row>
    <row r="38" s="214" customFormat="1" spans="1:12">
      <c r="A38" s="217">
        <v>46034.3645833333</v>
      </c>
      <c r="B38" s="218">
        <v>1225.63</v>
      </c>
      <c r="C38" s="218">
        <v>391.16</v>
      </c>
      <c r="D38" s="218">
        <v>747.12</v>
      </c>
      <c r="E38" s="218">
        <v>11277.05</v>
      </c>
      <c r="F38" s="218">
        <v>56.32</v>
      </c>
      <c r="G38" s="218">
        <v>75.96</v>
      </c>
      <c r="H38" s="218">
        <v>4393.62</v>
      </c>
      <c r="I38" s="218">
        <v>1595.37</v>
      </c>
      <c r="J38" s="218">
        <v>-0.13</v>
      </c>
      <c r="K38" s="218">
        <v>135.25</v>
      </c>
      <c r="L38" s="218">
        <v>617.87</v>
      </c>
    </row>
    <row r="39" s="214" customFormat="1" spans="1:12">
      <c r="A39" s="217">
        <v>46034.375</v>
      </c>
      <c r="B39" s="218">
        <v>1307.85</v>
      </c>
      <c r="C39" s="218">
        <v>545.33</v>
      </c>
      <c r="D39" s="218">
        <v>755.84</v>
      </c>
      <c r="E39" s="218">
        <v>11565.82</v>
      </c>
      <c r="F39" s="218">
        <v>23.81</v>
      </c>
      <c r="G39" s="218">
        <v>74.01</v>
      </c>
      <c r="H39" s="218">
        <v>4392.2</v>
      </c>
      <c r="I39" s="218">
        <v>1608.2</v>
      </c>
      <c r="J39" s="218">
        <v>-0.13</v>
      </c>
      <c r="K39" s="218">
        <v>114.47</v>
      </c>
      <c r="L39" s="218">
        <v>621.77</v>
      </c>
    </row>
    <row r="40" s="214" customFormat="1" spans="1:12">
      <c r="A40" s="217">
        <v>46034.3854166667</v>
      </c>
      <c r="B40" s="218">
        <v>1460.89</v>
      </c>
      <c r="C40" s="218">
        <v>730.43</v>
      </c>
      <c r="D40" s="218">
        <v>757.37</v>
      </c>
      <c r="E40" s="218">
        <v>11679.12</v>
      </c>
      <c r="F40" s="218">
        <v>-323.5</v>
      </c>
      <c r="G40" s="218">
        <v>75.79</v>
      </c>
      <c r="H40" s="218">
        <v>4443.06</v>
      </c>
      <c r="I40" s="218">
        <v>1617.14</v>
      </c>
      <c r="J40" s="218">
        <v>-0.13</v>
      </c>
      <c r="K40" s="218">
        <v>114.75</v>
      </c>
      <c r="L40" s="218">
        <v>629.21</v>
      </c>
    </row>
    <row r="41" s="214" customFormat="1" spans="1:12">
      <c r="A41" s="217">
        <v>46034.3958333333</v>
      </c>
      <c r="B41" s="218">
        <v>1670.74</v>
      </c>
      <c r="C41" s="218">
        <v>818.91</v>
      </c>
      <c r="D41" s="218">
        <v>753.79</v>
      </c>
      <c r="E41" s="218">
        <v>11593.69</v>
      </c>
      <c r="F41" s="218">
        <v>-647.5</v>
      </c>
      <c r="G41" s="218">
        <v>75.37</v>
      </c>
      <c r="H41" s="218">
        <v>4375.75</v>
      </c>
      <c r="I41" s="218">
        <v>1609.88</v>
      </c>
      <c r="J41" s="218">
        <v>-0.13</v>
      </c>
      <c r="K41" s="218">
        <v>114.91</v>
      </c>
      <c r="L41" s="218">
        <v>625.5</v>
      </c>
    </row>
    <row r="42" s="214" customFormat="1" spans="1:12">
      <c r="A42" s="217">
        <v>46034.40625</v>
      </c>
      <c r="B42" s="218">
        <v>1705.75</v>
      </c>
      <c r="C42" s="218">
        <v>862.79</v>
      </c>
      <c r="D42" s="218">
        <v>753.75</v>
      </c>
      <c r="E42" s="218">
        <v>11448</v>
      </c>
      <c r="F42" s="218">
        <v>-499.9</v>
      </c>
      <c r="G42" s="218">
        <v>75.9</v>
      </c>
      <c r="H42" s="218">
        <v>4192.69</v>
      </c>
      <c r="I42" s="218">
        <v>1611.33</v>
      </c>
      <c r="J42" s="218">
        <v>-0.13</v>
      </c>
      <c r="K42" s="218">
        <v>115.15</v>
      </c>
      <c r="L42" s="218">
        <v>627.12</v>
      </c>
    </row>
    <row r="43" s="214" customFormat="1" spans="1:12">
      <c r="A43" s="217">
        <v>46034.4166666667</v>
      </c>
      <c r="B43" s="218">
        <v>1796.49</v>
      </c>
      <c r="C43" s="218">
        <v>932.28</v>
      </c>
      <c r="D43" s="218">
        <v>755.29</v>
      </c>
      <c r="E43" s="218">
        <v>11210.48</v>
      </c>
      <c r="F43" s="218">
        <v>-408.66</v>
      </c>
      <c r="G43" s="218">
        <v>78.24</v>
      </c>
      <c r="H43" s="218">
        <v>4051.66</v>
      </c>
      <c r="I43" s="218">
        <v>1612.93</v>
      </c>
      <c r="J43" s="218">
        <v>-0.13</v>
      </c>
      <c r="K43" s="218">
        <v>114.73</v>
      </c>
      <c r="L43" s="218">
        <v>627.12</v>
      </c>
    </row>
    <row r="44" s="214" customFormat="1" spans="1:12">
      <c r="A44" s="217">
        <v>46034.4270833333</v>
      </c>
      <c r="B44" s="218">
        <v>1961.39</v>
      </c>
      <c r="C44" s="218">
        <v>1014.45</v>
      </c>
      <c r="D44" s="218">
        <v>755.75</v>
      </c>
      <c r="E44" s="218">
        <v>11085.47</v>
      </c>
      <c r="F44" s="218">
        <v>-499.63</v>
      </c>
      <c r="G44" s="218">
        <v>79.84</v>
      </c>
      <c r="H44" s="218">
        <v>3936.76</v>
      </c>
      <c r="I44" s="218">
        <v>1613.12</v>
      </c>
      <c r="J44" s="218">
        <v>-0.13</v>
      </c>
      <c r="K44" s="218">
        <v>114.85</v>
      </c>
      <c r="L44" s="218">
        <v>626.85</v>
      </c>
    </row>
    <row r="45" s="214" customFormat="1" spans="1:12">
      <c r="A45" s="217">
        <v>46034.4375</v>
      </c>
      <c r="B45" s="218">
        <v>2053.74</v>
      </c>
      <c r="C45" s="218">
        <v>1138</v>
      </c>
      <c r="D45" s="218">
        <v>755.43</v>
      </c>
      <c r="E45" s="218">
        <v>10943.39</v>
      </c>
      <c r="F45" s="218">
        <v>-421.34</v>
      </c>
      <c r="G45" s="218">
        <v>78.18</v>
      </c>
      <c r="H45" s="218">
        <v>3895.97</v>
      </c>
      <c r="I45" s="218">
        <v>1612.95</v>
      </c>
      <c r="J45" s="218">
        <v>-0.13</v>
      </c>
      <c r="K45" s="218">
        <v>114.75</v>
      </c>
      <c r="L45" s="218">
        <v>627.24</v>
      </c>
    </row>
    <row r="46" s="214" customFormat="1" spans="1:12">
      <c r="A46" s="217">
        <v>46034.4479166667</v>
      </c>
      <c r="B46" s="218">
        <v>2142.48</v>
      </c>
      <c r="C46" s="218">
        <v>1251.21</v>
      </c>
      <c r="D46" s="218">
        <v>757.2</v>
      </c>
      <c r="E46" s="218">
        <v>10942.89</v>
      </c>
      <c r="F46" s="218">
        <v>-421.06</v>
      </c>
      <c r="G46" s="218">
        <v>78.55</v>
      </c>
      <c r="H46" s="218">
        <v>3850.05</v>
      </c>
      <c r="I46" s="218">
        <v>1614.08</v>
      </c>
      <c r="J46" s="218">
        <v>-0.13</v>
      </c>
      <c r="K46" s="218">
        <v>114.23</v>
      </c>
      <c r="L46" s="218">
        <v>625.99</v>
      </c>
    </row>
    <row r="47" s="214" customFormat="1" spans="1:12">
      <c r="A47" s="217">
        <v>46034.4583333333</v>
      </c>
      <c r="B47" s="218">
        <v>2084.76</v>
      </c>
      <c r="C47" s="218">
        <v>1256.6</v>
      </c>
      <c r="D47" s="218">
        <v>755.21</v>
      </c>
      <c r="E47" s="218">
        <v>10819.97</v>
      </c>
      <c r="F47" s="218">
        <v>-238.93</v>
      </c>
      <c r="G47" s="218">
        <v>78.79</v>
      </c>
      <c r="H47" s="218">
        <v>3680.22</v>
      </c>
      <c r="I47" s="218">
        <v>1606.09</v>
      </c>
      <c r="J47" s="218">
        <v>-0.13</v>
      </c>
      <c r="K47" s="218">
        <v>126.34</v>
      </c>
      <c r="L47" s="218">
        <v>619.84</v>
      </c>
    </row>
    <row r="48" s="214" customFormat="1" spans="1:12">
      <c r="A48" s="217">
        <v>46034.46875</v>
      </c>
      <c r="B48" s="218">
        <v>2163.83</v>
      </c>
      <c r="C48" s="218">
        <v>1267.18</v>
      </c>
      <c r="D48" s="218">
        <v>755.81</v>
      </c>
      <c r="E48" s="218">
        <v>10812.92</v>
      </c>
      <c r="F48" s="218">
        <v>-52.66</v>
      </c>
      <c r="G48" s="218">
        <v>81.96</v>
      </c>
      <c r="H48" s="218">
        <v>3433.52</v>
      </c>
      <c r="I48" s="218">
        <v>1560.51</v>
      </c>
      <c r="J48" s="218">
        <v>-0.13</v>
      </c>
      <c r="K48" s="218">
        <v>146.29</v>
      </c>
      <c r="L48" s="218">
        <v>573.41</v>
      </c>
    </row>
    <row r="49" s="214" customFormat="1" spans="1:12">
      <c r="A49" s="217">
        <v>46034.4791666667</v>
      </c>
      <c r="B49" s="218">
        <v>2163.09</v>
      </c>
      <c r="C49" s="218">
        <v>1252.1</v>
      </c>
      <c r="D49" s="218">
        <v>753.87</v>
      </c>
      <c r="E49" s="218">
        <v>10891.59</v>
      </c>
      <c r="F49" s="218">
        <v>221.32</v>
      </c>
      <c r="G49" s="218">
        <v>80.95</v>
      </c>
      <c r="H49" s="218">
        <v>3307.35</v>
      </c>
      <c r="I49" s="218">
        <v>1502.9</v>
      </c>
      <c r="J49" s="218">
        <v>-0.13</v>
      </c>
      <c r="K49" s="218">
        <v>198.87</v>
      </c>
      <c r="L49" s="218">
        <v>518.19</v>
      </c>
    </row>
    <row r="50" s="214" customFormat="1" spans="1:12">
      <c r="A50" s="217">
        <v>46034.4895833333</v>
      </c>
      <c r="B50" s="218">
        <v>2089.35</v>
      </c>
      <c r="C50" s="218">
        <v>1225.75</v>
      </c>
      <c r="D50" s="218">
        <v>755.49</v>
      </c>
      <c r="E50" s="218">
        <v>10942.89</v>
      </c>
      <c r="F50" s="218">
        <v>374.03</v>
      </c>
      <c r="G50" s="218">
        <v>81.1</v>
      </c>
      <c r="H50" s="218">
        <v>3219.65</v>
      </c>
      <c r="I50" s="218">
        <v>1486.09</v>
      </c>
      <c r="J50" s="218">
        <v>-0.13</v>
      </c>
      <c r="K50" s="218">
        <v>274.15</v>
      </c>
      <c r="L50" s="218">
        <v>499.74</v>
      </c>
    </row>
    <row r="51" s="214" customFormat="1" spans="1:12">
      <c r="A51" s="217">
        <v>46034.5</v>
      </c>
      <c r="B51" s="218">
        <v>2024.37</v>
      </c>
      <c r="C51" s="218">
        <v>1172.51</v>
      </c>
      <c r="D51" s="218">
        <v>755.09</v>
      </c>
      <c r="E51" s="218">
        <v>10950.96</v>
      </c>
      <c r="F51" s="218">
        <v>339.61</v>
      </c>
      <c r="G51" s="218">
        <v>79.62</v>
      </c>
      <c r="H51" s="218">
        <v>3281.96</v>
      </c>
      <c r="I51" s="218">
        <v>1484.65</v>
      </c>
      <c r="J51" s="218">
        <v>-0.13</v>
      </c>
      <c r="K51" s="218">
        <v>278.09</v>
      </c>
      <c r="L51" s="218">
        <v>499.21</v>
      </c>
    </row>
    <row r="52" s="214" customFormat="1" spans="1:12">
      <c r="A52" s="217">
        <v>46034.5104166667</v>
      </c>
      <c r="B52" s="218">
        <v>2051.83</v>
      </c>
      <c r="C52" s="218">
        <v>1119.17</v>
      </c>
      <c r="D52" s="218">
        <v>755.26</v>
      </c>
      <c r="E52" s="218">
        <v>10969.08</v>
      </c>
      <c r="F52" s="218">
        <v>263.84</v>
      </c>
      <c r="G52" s="218">
        <v>79.64</v>
      </c>
      <c r="H52" s="218">
        <v>3391.05</v>
      </c>
      <c r="I52" s="218">
        <v>1491.38</v>
      </c>
      <c r="J52" s="218">
        <v>-0.13</v>
      </c>
      <c r="K52" s="218">
        <v>278.05</v>
      </c>
      <c r="L52" s="218">
        <v>505.58</v>
      </c>
    </row>
    <row r="53" s="214" customFormat="1" spans="1:12">
      <c r="A53" s="217">
        <v>46034.5208333333</v>
      </c>
      <c r="B53" s="218">
        <v>1937.88</v>
      </c>
      <c r="C53" s="218">
        <v>1068.79</v>
      </c>
      <c r="D53" s="218">
        <v>751.92</v>
      </c>
      <c r="E53" s="218">
        <v>10846.83</v>
      </c>
      <c r="F53" s="218">
        <v>151.29</v>
      </c>
      <c r="G53" s="218">
        <v>75.65</v>
      </c>
      <c r="H53" s="218">
        <v>3371.85</v>
      </c>
      <c r="I53" s="218">
        <v>1486.2</v>
      </c>
      <c r="J53" s="218">
        <v>-0.13</v>
      </c>
      <c r="K53" s="218">
        <v>277.88</v>
      </c>
      <c r="L53" s="218">
        <v>503.68</v>
      </c>
    </row>
    <row r="54" s="214" customFormat="1" spans="1:12">
      <c r="A54" s="217">
        <v>46034.53125</v>
      </c>
      <c r="B54" s="218">
        <v>1937.71</v>
      </c>
      <c r="C54" s="218">
        <v>995.57</v>
      </c>
      <c r="D54" s="218">
        <v>753.93</v>
      </c>
      <c r="E54" s="218">
        <v>10758.01</v>
      </c>
      <c r="F54" s="218">
        <v>222.52</v>
      </c>
      <c r="G54" s="218">
        <v>75.17</v>
      </c>
      <c r="H54" s="218">
        <v>3348.65</v>
      </c>
      <c r="I54" s="218">
        <v>1486.14</v>
      </c>
      <c r="J54" s="218">
        <v>-0.13</v>
      </c>
      <c r="K54" s="218">
        <v>277.6</v>
      </c>
      <c r="L54" s="218">
        <v>501.62</v>
      </c>
    </row>
    <row r="55" s="214" customFormat="1" spans="1:12">
      <c r="A55" s="217">
        <v>46034.5416666667</v>
      </c>
      <c r="B55" s="218">
        <v>2141.02</v>
      </c>
      <c r="C55" s="218">
        <v>942.95</v>
      </c>
      <c r="D55" s="218">
        <v>753.85</v>
      </c>
      <c r="E55" s="218">
        <v>10472.87</v>
      </c>
      <c r="F55" s="218">
        <v>-152.49</v>
      </c>
      <c r="G55" s="218">
        <v>76.4</v>
      </c>
      <c r="H55" s="218">
        <v>3362.34</v>
      </c>
      <c r="I55" s="218">
        <v>1485.2</v>
      </c>
      <c r="J55" s="218">
        <v>-0.13</v>
      </c>
      <c r="K55" s="218">
        <v>213.57</v>
      </c>
      <c r="L55" s="218">
        <v>500.72</v>
      </c>
    </row>
    <row r="56" s="214" customFormat="1" spans="1:12">
      <c r="A56" s="217">
        <v>46034.5520833333</v>
      </c>
      <c r="B56" s="218">
        <v>2177.9</v>
      </c>
      <c r="C56" s="218">
        <v>906.95</v>
      </c>
      <c r="D56" s="218">
        <v>756.01</v>
      </c>
      <c r="E56" s="218">
        <v>10360.08</v>
      </c>
      <c r="F56" s="218">
        <v>-244.68</v>
      </c>
      <c r="G56" s="218">
        <v>76.6</v>
      </c>
      <c r="H56" s="218">
        <v>3360.19</v>
      </c>
      <c r="I56" s="218">
        <v>1490.29</v>
      </c>
      <c r="J56" s="218">
        <v>-0.13</v>
      </c>
      <c r="K56" s="218">
        <v>112.69</v>
      </c>
      <c r="L56" s="218">
        <v>503.82</v>
      </c>
    </row>
    <row r="57" s="214" customFormat="1" spans="1:12">
      <c r="A57" s="217">
        <v>46034.5625</v>
      </c>
      <c r="B57" s="218">
        <v>2217.24</v>
      </c>
      <c r="C57" s="218">
        <v>857.19</v>
      </c>
      <c r="D57" s="218">
        <v>757.29</v>
      </c>
      <c r="E57" s="218">
        <v>10357.45</v>
      </c>
      <c r="F57" s="218">
        <v>4.6</v>
      </c>
      <c r="G57" s="218">
        <v>77.05</v>
      </c>
      <c r="H57" s="218">
        <v>3371</v>
      </c>
      <c r="I57" s="218">
        <v>1492.66</v>
      </c>
      <c r="J57" s="218">
        <v>-0.13</v>
      </c>
      <c r="K57" s="218">
        <v>112.26</v>
      </c>
      <c r="L57" s="218">
        <v>504.89</v>
      </c>
    </row>
    <row r="58" s="214" customFormat="1" spans="1:12">
      <c r="A58" s="217">
        <v>46034.5729166667</v>
      </c>
      <c r="B58" s="218">
        <v>2143.09</v>
      </c>
      <c r="C58" s="218">
        <v>788.94</v>
      </c>
      <c r="D58" s="218">
        <v>753.97</v>
      </c>
      <c r="E58" s="218">
        <v>10322.41</v>
      </c>
      <c r="F58" s="218">
        <v>-99.36</v>
      </c>
      <c r="G58" s="218">
        <v>78.24</v>
      </c>
      <c r="H58" s="218">
        <v>3353.3</v>
      </c>
      <c r="I58" s="218">
        <v>1486.07</v>
      </c>
      <c r="J58" s="218">
        <v>-0.13</v>
      </c>
      <c r="K58" s="218">
        <v>112.55</v>
      </c>
      <c r="L58" s="218">
        <v>501.54</v>
      </c>
    </row>
    <row r="59" s="214" customFormat="1" spans="1:12">
      <c r="A59" s="217">
        <v>46034.5833333333</v>
      </c>
      <c r="B59" s="218">
        <v>2054.45</v>
      </c>
      <c r="C59" s="218">
        <v>772.43</v>
      </c>
      <c r="D59" s="218">
        <v>757.42</v>
      </c>
      <c r="E59" s="218">
        <v>10278.48</v>
      </c>
      <c r="F59" s="218">
        <v>-13.99</v>
      </c>
      <c r="G59" s="218">
        <v>76.62</v>
      </c>
      <c r="H59" s="218">
        <v>3329.99</v>
      </c>
      <c r="I59" s="218">
        <v>1488.59</v>
      </c>
      <c r="J59" s="218">
        <v>-0.13</v>
      </c>
      <c r="K59" s="218">
        <v>112.48</v>
      </c>
      <c r="L59" s="218">
        <v>500.72</v>
      </c>
    </row>
    <row r="60" s="214" customFormat="1" spans="1:12">
      <c r="A60" s="217">
        <v>46034.59375</v>
      </c>
      <c r="B60" s="218">
        <v>1897.22</v>
      </c>
      <c r="C60" s="218">
        <v>748.26</v>
      </c>
      <c r="D60" s="218">
        <v>756.14</v>
      </c>
      <c r="E60" s="218">
        <v>10431</v>
      </c>
      <c r="F60" s="218">
        <v>243.31</v>
      </c>
      <c r="G60" s="218">
        <v>77.96</v>
      </c>
      <c r="H60" s="218">
        <v>3263.79</v>
      </c>
      <c r="I60" s="218">
        <v>1489.38</v>
      </c>
      <c r="J60" s="218">
        <v>-0.13</v>
      </c>
      <c r="K60" s="218">
        <v>160.23</v>
      </c>
      <c r="L60" s="218">
        <v>502.64</v>
      </c>
    </row>
    <row r="61" s="214" customFormat="1" spans="1:12">
      <c r="A61" s="217">
        <v>46034.6041666667</v>
      </c>
      <c r="B61" s="218">
        <v>1776.58</v>
      </c>
      <c r="C61" s="218">
        <v>732.24</v>
      </c>
      <c r="D61" s="218">
        <v>755.82</v>
      </c>
      <c r="E61" s="218">
        <v>10546.38</v>
      </c>
      <c r="F61" s="218">
        <v>413.68</v>
      </c>
      <c r="G61" s="218">
        <v>75.97</v>
      </c>
      <c r="H61" s="218">
        <v>3218.95</v>
      </c>
      <c r="I61" s="218">
        <v>1490.19</v>
      </c>
      <c r="J61" s="218">
        <v>-0.13</v>
      </c>
      <c r="K61" s="218">
        <v>226.42</v>
      </c>
      <c r="L61" s="218">
        <v>503.86</v>
      </c>
    </row>
    <row r="62" s="214" customFormat="1" spans="1:12">
      <c r="A62" s="217">
        <v>46034.6145833333</v>
      </c>
      <c r="B62" s="218">
        <v>1696.41</v>
      </c>
      <c r="C62" s="218">
        <v>693.18</v>
      </c>
      <c r="D62" s="218">
        <v>755.75</v>
      </c>
      <c r="E62" s="218">
        <v>10709.89</v>
      </c>
      <c r="F62" s="218">
        <v>117.32</v>
      </c>
      <c r="G62" s="218">
        <v>75.62</v>
      </c>
      <c r="H62" s="218">
        <v>3571.27</v>
      </c>
      <c r="I62" s="218">
        <v>1487.69</v>
      </c>
      <c r="J62" s="218">
        <v>-0.13</v>
      </c>
      <c r="K62" s="218">
        <v>226.49</v>
      </c>
      <c r="L62" s="218">
        <v>501.33</v>
      </c>
    </row>
    <row r="63" s="214" customFormat="1" spans="1:12">
      <c r="A63" s="217">
        <v>46034.625</v>
      </c>
      <c r="B63" s="218">
        <v>1617.92</v>
      </c>
      <c r="C63" s="218">
        <v>685.03</v>
      </c>
      <c r="D63" s="218">
        <v>753.89</v>
      </c>
      <c r="E63" s="218">
        <v>10470.79</v>
      </c>
      <c r="F63" s="218">
        <v>-43.6</v>
      </c>
      <c r="G63" s="218">
        <v>75.53</v>
      </c>
      <c r="H63" s="218">
        <v>3847.99</v>
      </c>
      <c r="I63" s="218">
        <v>1505.78</v>
      </c>
      <c r="J63" s="218">
        <v>-0.13</v>
      </c>
      <c r="K63" s="218">
        <v>177.73</v>
      </c>
      <c r="L63" s="218">
        <v>522</v>
      </c>
    </row>
    <row r="64" s="214" customFormat="1" spans="1:12">
      <c r="A64" s="217">
        <v>46034.6354166667</v>
      </c>
      <c r="B64" s="218">
        <v>1490.31</v>
      </c>
      <c r="C64" s="218">
        <v>712.74</v>
      </c>
      <c r="D64" s="218">
        <v>755.84</v>
      </c>
      <c r="E64" s="218">
        <v>10511.89</v>
      </c>
      <c r="F64" s="218">
        <v>75.01</v>
      </c>
      <c r="G64" s="218">
        <v>76.2</v>
      </c>
      <c r="H64" s="218">
        <v>3981.33</v>
      </c>
      <c r="I64" s="218">
        <v>1558.06</v>
      </c>
      <c r="J64" s="218">
        <v>-0.13</v>
      </c>
      <c r="K64" s="218">
        <v>112.99</v>
      </c>
      <c r="L64" s="218">
        <v>572.03</v>
      </c>
    </row>
    <row r="65" s="214" customFormat="1" spans="1:12">
      <c r="A65" s="217">
        <v>46034.6458333333</v>
      </c>
      <c r="B65" s="218">
        <v>1199.11</v>
      </c>
      <c r="C65" s="218">
        <v>743.76</v>
      </c>
      <c r="D65" s="218">
        <v>760.07</v>
      </c>
      <c r="E65" s="218">
        <v>10502.85</v>
      </c>
      <c r="F65" s="218">
        <v>-19.65</v>
      </c>
      <c r="G65" s="218">
        <v>75.38</v>
      </c>
      <c r="H65" s="218">
        <v>4003.87</v>
      </c>
      <c r="I65" s="218">
        <v>1608.4</v>
      </c>
      <c r="J65" s="218">
        <v>-0.13</v>
      </c>
      <c r="K65" s="218">
        <v>112.65</v>
      </c>
      <c r="L65" s="218">
        <v>617.91</v>
      </c>
    </row>
    <row r="66" s="214" customFormat="1" spans="1:12">
      <c r="A66" s="217">
        <v>46034.65625</v>
      </c>
      <c r="B66" s="218">
        <v>903.25</v>
      </c>
      <c r="C66" s="218">
        <v>783.23</v>
      </c>
      <c r="D66" s="218">
        <v>751.52</v>
      </c>
      <c r="E66" s="218">
        <v>10400.91</v>
      </c>
      <c r="F66" s="218">
        <v>-32.18</v>
      </c>
      <c r="G66" s="218">
        <v>74.07</v>
      </c>
      <c r="H66" s="218">
        <v>4115.47</v>
      </c>
      <c r="I66" s="218">
        <v>1608.94</v>
      </c>
      <c r="J66" s="218">
        <v>-0.13</v>
      </c>
      <c r="K66" s="218">
        <v>116.17</v>
      </c>
      <c r="L66" s="218">
        <v>626.93</v>
      </c>
    </row>
    <row r="67" s="214" customFormat="1" spans="1:12">
      <c r="A67" s="217">
        <v>46034.6666666667</v>
      </c>
      <c r="B67" s="218">
        <v>675.3</v>
      </c>
      <c r="C67" s="218">
        <v>741.18</v>
      </c>
      <c r="D67" s="218">
        <v>473.24</v>
      </c>
      <c r="E67" s="218">
        <v>8885.1</v>
      </c>
      <c r="F67" s="218">
        <v>59.55</v>
      </c>
      <c r="G67" s="218">
        <v>64.68</v>
      </c>
      <c r="H67" s="218">
        <v>3809.27</v>
      </c>
      <c r="I67" s="218">
        <v>1177.55</v>
      </c>
      <c r="J67" s="218">
        <v>-0.13</v>
      </c>
      <c r="K67" s="218">
        <v>198.91</v>
      </c>
      <c r="L67" s="218">
        <v>448.98</v>
      </c>
    </row>
    <row r="68" s="214" customFormat="1" spans="1:12">
      <c r="A68" s="217">
        <v>46034.6770833333</v>
      </c>
      <c r="B68" s="218">
        <v>635.05</v>
      </c>
      <c r="C68" s="218">
        <v>859.35</v>
      </c>
      <c r="D68" s="218">
        <v>758.02</v>
      </c>
      <c r="E68" s="218">
        <v>10025.82</v>
      </c>
      <c r="F68" s="218">
        <v>-63.02</v>
      </c>
      <c r="G68" s="218">
        <v>75.87</v>
      </c>
      <c r="H68" s="218">
        <v>4281.08</v>
      </c>
      <c r="I68" s="218">
        <v>1615.04</v>
      </c>
      <c r="J68" s="218">
        <v>-0.13</v>
      </c>
      <c r="K68" s="218">
        <v>207.12</v>
      </c>
      <c r="L68" s="218">
        <v>626.41</v>
      </c>
    </row>
    <row r="69" s="214" customFormat="1" spans="1:12">
      <c r="A69" s="217">
        <v>46034.6875</v>
      </c>
      <c r="B69" s="218">
        <v>522.65</v>
      </c>
      <c r="C69" s="218">
        <v>883.32</v>
      </c>
      <c r="D69" s="218">
        <v>757.98</v>
      </c>
      <c r="E69" s="218">
        <v>9819.55</v>
      </c>
      <c r="F69" s="218">
        <v>-329.7</v>
      </c>
      <c r="G69" s="218">
        <v>75.61</v>
      </c>
      <c r="H69" s="218">
        <v>4281.93</v>
      </c>
      <c r="I69" s="218">
        <v>1615.78</v>
      </c>
      <c r="J69" s="218">
        <v>-0.13</v>
      </c>
      <c r="K69" s="218">
        <v>112.07</v>
      </c>
      <c r="L69" s="218">
        <v>628.03</v>
      </c>
    </row>
    <row r="70" s="214" customFormat="1" spans="1:12">
      <c r="A70" s="217">
        <v>46034.6979166667</v>
      </c>
      <c r="B70" s="218">
        <v>440.59</v>
      </c>
      <c r="C70" s="218">
        <v>898.39</v>
      </c>
      <c r="D70" s="218">
        <v>759.09</v>
      </c>
      <c r="E70" s="218">
        <v>9991.34</v>
      </c>
      <c r="F70" s="218">
        <v>157.34</v>
      </c>
      <c r="G70" s="218">
        <v>76.6</v>
      </c>
      <c r="H70" s="218">
        <v>4300.77</v>
      </c>
      <c r="I70" s="218">
        <v>1619.53</v>
      </c>
      <c r="J70" s="218">
        <v>-0.13</v>
      </c>
      <c r="K70" s="218">
        <v>111.91</v>
      </c>
      <c r="L70" s="218">
        <v>629.92</v>
      </c>
    </row>
    <row r="71" s="214" customFormat="1" spans="1:12">
      <c r="A71" s="217">
        <v>46034.7083333333</v>
      </c>
      <c r="B71" s="218">
        <v>259.32</v>
      </c>
      <c r="C71" s="218">
        <v>917.82</v>
      </c>
      <c r="D71" s="218">
        <v>757.34</v>
      </c>
      <c r="E71" s="218">
        <v>8970.89</v>
      </c>
      <c r="F71" s="218">
        <v>-62.61</v>
      </c>
      <c r="G71" s="218">
        <v>74.39</v>
      </c>
      <c r="H71" s="218">
        <v>4348.4</v>
      </c>
      <c r="I71" s="218">
        <v>1615.29</v>
      </c>
      <c r="J71" s="218">
        <v>-0.13</v>
      </c>
      <c r="K71" s="218">
        <v>111.47</v>
      </c>
      <c r="L71" s="218">
        <v>626.7</v>
      </c>
    </row>
    <row r="72" s="214" customFormat="1" spans="1:12">
      <c r="A72" s="217">
        <v>46034.71875</v>
      </c>
      <c r="B72" s="218">
        <v>126.38</v>
      </c>
      <c r="C72" s="218">
        <v>955.65</v>
      </c>
      <c r="D72" s="218">
        <v>757.81</v>
      </c>
      <c r="E72" s="218">
        <v>8701.99</v>
      </c>
      <c r="F72" s="218">
        <v>-212.17</v>
      </c>
      <c r="G72" s="218">
        <v>74.58</v>
      </c>
      <c r="H72" s="218">
        <v>4346.87</v>
      </c>
      <c r="I72" s="218">
        <v>1613.3</v>
      </c>
      <c r="J72" s="218">
        <v>-0.13</v>
      </c>
      <c r="K72" s="218">
        <v>111.47</v>
      </c>
      <c r="L72" s="218">
        <v>625.53</v>
      </c>
    </row>
    <row r="73" s="214" customFormat="1" spans="1:12">
      <c r="A73" s="217">
        <v>46034.7291666667</v>
      </c>
      <c r="B73" s="218">
        <v>53.77</v>
      </c>
      <c r="C73" s="218">
        <v>971.97</v>
      </c>
      <c r="D73" s="218">
        <v>756.58</v>
      </c>
      <c r="E73" s="218">
        <v>8731.07</v>
      </c>
      <c r="F73" s="218">
        <v>-279.2</v>
      </c>
      <c r="G73" s="218">
        <v>73.8</v>
      </c>
      <c r="H73" s="218">
        <v>4375.92</v>
      </c>
      <c r="I73" s="218">
        <v>1615.58</v>
      </c>
      <c r="J73" s="218">
        <v>-0.13</v>
      </c>
      <c r="K73" s="218">
        <v>111.62</v>
      </c>
      <c r="L73" s="218">
        <v>627.71</v>
      </c>
    </row>
    <row r="74" s="214" customFormat="1" spans="1:12">
      <c r="A74" s="217">
        <v>46034.7395833333</v>
      </c>
      <c r="B74" s="218">
        <v>12.23</v>
      </c>
      <c r="C74" s="218">
        <v>963.44</v>
      </c>
      <c r="D74" s="218">
        <v>752.58</v>
      </c>
      <c r="E74" s="218">
        <v>8817.3</v>
      </c>
      <c r="F74" s="218">
        <v>-122.23</v>
      </c>
      <c r="G74" s="218">
        <v>74.61</v>
      </c>
      <c r="H74" s="218">
        <v>4393.22</v>
      </c>
      <c r="I74" s="218">
        <v>1600.18</v>
      </c>
      <c r="J74" s="218">
        <v>-0.13</v>
      </c>
      <c r="K74" s="218">
        <v>111.68</v>
      </c>
      <c r="L74" s="218">
        <v>615.41</v>
      </c>
    </row>
    <row r="75" s="214" customFormat="1" spans="1:12">
      <c r="A75" s="217">
        <v>46034.75</v>
      </c>
      <c r="B75" s="218">
        <v>2.17</v>
      </c>
      <c r="C75" s="218">
        <v>912.17</v>
      </c>
      <c r="D75" s="218">
        <v>753.94</v>
      </c>
      <c r="E75" s="218">
        <v>8445.63</v>
      </c>
      <c r="F75" s="218">
        <v>-216.33</v>
      </c>
      <c r="G75" s="218">
        <v>73.78</v>
      </c>
      <c r="H75" s="218">
        <v>4437.48</v>
      </c>
      <c r="I75" s="218">
        <v>1586.51</v>
      </c>
      <c r="J75" s="218">
        <v>-0.13</v>
      </c>
      <c r="K75" s="218">
        <v>111.39</v>
      </c>
      <c r="L75" s="218">
        <v>601.45</v>
      </c>
    </row>
    <row r="76" s="214" customFormat="1" spans="1:12">
      <c r="A76" s="217">
        <v>46034.7604166667</v>
      </c>
      <c r="B76" s="218">
        <v>1.77</v>
      </c>
      <c r="C76" s="218">
        <v>937.7</v>
      </c>
      <c r="D76" s="218">
        <v>756.41</v>
      </c>
      <c r="E76" s="218">
        <v>8592.46</v>
      </c>
      <c r="F76" s="218">
        <v>-190.71</v>
      </c>
      <c r="G76" s="218">
        <v>74.66</v>
      </c>
      <c r="H76" s="218">
        <v>4445.4</v>
      </c>
      <c r="I76" s="218">
        <v>1594.53</v>
      </c>
      <c r="J76" s="218">
        <v>-0.13</v>
      </c>
      <c r="K76" s="218">
        <v>111.33</v>
      </c>
      <c r="L76" s="218">
        <v>608.77</v>
      </c>
    </row>
    <row r="77" s="214" customFormat="1" spans="1:12">
      <c r="A77" s="217">
        <v>46034.7708333333</v>
      </c>
      <c r="B77" s="218">
        <v>2.12</v>
      </c>
      <c r="C77" s="218">
        <v>997.35</v>
      </c>
      <c r="D77" s="218">
        <v>756.51</v>
      </c>
      <c r="E77" s="218">
        <v>8718.81</v>
      </c>
      <c r="F77" s="218">
        <v>3.69</v>
      </c>
      <c r="G77" s="218">
        <v>72.74</v>
      </c>
      <c r="H77" s="218">
        <v>4408.73</v>
      </c>
      <c r="I77" s="218">
        <v>1603.9</v>
      </c>
      <c r="J77" s="218">
        <v>-0.13</v>
      </c>
      <c r="K77" s="218">
        <v>111.39</v>
      </c>
      <c r="L77" s="218">
        <v>614.69</v>
      </c>
    </row>
    <row r="78" s="214" customFormat="1" spans="1:12">
      <c r="A78" s="217">
        <v>46034.78125</v>
      </c>
      <c r="B78" s="218">
        <v>1.82</v>
      </c>
      <c r="C78" s="218">
        <v>1002.63</v>
      </c>
      <c r="D78" s="218">
        <v>755.7</v>
      </c>
      <c r="E78" s="218">
        <v>8706.46</v>
      </c>
      <c r="F78" s="218">
        <v>-14.02</v>
      </c>
      <c r="G78" s="218">
        <v>73.79</v>
      </c>
      <c r="H78" s="218">
        <v>4430.14</v>
      </c>
      <c r="I78" s="218">
        <v>1584.47</v>
      </c>
      <c r="J78" s="218">
        <v>-0.13</v>
      </c>
      <c r="K78" s="218">
        <v>111.25</v>
      </c>
      <c r="L78" s="218">
        <v>598.46</v>
      </c>
    </row>
    <row r="79" s="214" customFormat="1" spans="1:12">
      <c r="A79" s="217">
        <v>46034.7916666667</v>
      </c>
      <c r="B79" s="218">
        <v>2.01</v>
      </c>
      <c r="C79" s="218">
        <v>1018.61</v>
      </c>
      <c r="D79" s="218">
        <v>756.05</v>
      </c>
      <c r="E79" s="218">
        <v>8605.48</v>
      </c>
      <c r="F79" s="218">
        <v>-123.27</v>
      </c>
      <c r="G79" s="218">
        <v>76.19</v>
      </c>
      <c r="H79" s="218">
        <v>4492.4</v>
      </c>
      <c r="I79" s="218">
        <v>1604.1</v>
      </c>
      <c r="J79" s="218">
        <v>-0.12</v>
      </c>
      <c r="K79" s="218">
        <v>111.53</v>
      </c>
      <c r="L79" s="218">
        <v>619.55</v>
      </c>
    </row>
    <row r="80" s="214" customFormat="1" spans="1:12">
      <c r="A80" s="217">
        <v>46034.8020833333</v>
      </c>
      <c r="B80" s="218">
        <v>2.09</v>
      </c>
      <c r="C80" s="218">
        <v>1062.11</v>
      </c>
      <c r="D80" s="218">
        <v>755.57</v>
      </c>
      <c r="E80" s="218">
        <v>8460.63</v>
      </c>
      <c r="F80" s="218">
        <v>-350.88</v>
      </c>
      <c r="G80" s="218">
        <v>75.42</v>
      </c>
      <c r="H80" s="218">
        <v>4537.46</v>
      </c>
      <c r="I80" s="218">
        <v>1605.38</v>
      </c>
      <c r="J80" s="218">
        <v>-0.13</v>
      </c>
      <c r="K80" s="218">
        <v>111.68</v>
      </c>
      <c r="L80" s="218">
        <v>620.51</v>
      </c>
    </row>
    <row r="81" s="214" customFormat="1" spans="1:12">
      <c r="A81" s="217">
        <v>46034.8125</v>
      </c>
      <c r="B81" s="218">
        <v>2.09</v>
      </c>
      <c r="C81" s="218">
        <v>1123.51</v>
      </c>
      <c r="D81" s="218">
        <v>755.99</v>
      </c>
      <c r="E81" s="218">
        <v>8390.58</v>
      </c>
      <c r="F81" s="218">
        <v>-181.01</v>
      </c>
      <c r="G81" s="218">
        <v>76.74</v>
      </c>
      <c r="H81" s="218">
        <v>4511.78</v>
      </c>
      <c r="I81" s="218">
        <v>1615.73</v>
      </c>
      <c r="J81" s="218">
        <v>-0.12</v>
      </c>
      <c r="K81" s="218">
        <v>111.59</v>
      </c>
      <c r="L81" s="218">
        <v>629.91</v>
      </c>
    </row>
    <row r="82" s="214" customFormat="1" spans="1:12">
      <c r="A82" s="217">
        <v>46034.8229166667</v>
      </c>
      <c r="B82" s="218">
        <v>1.93</v>
      </c>
      <c r="C82" s="218">
        <v>1146.57</v>
      </c>
      <c r="D82" s="218">
        <v>756.96</v>
      </c>
      <c r="E82" s="218">
        <v>8349.72</v>
      </c>
      <c r="F82" s="218">
        <v>-87.33</v>
      </c>
      <c r="G82" s="218">
        <v>77.15</v>
      </c>
      <c r="H82" s="218">
        <v>4467.87</v>
      </c>
      <c r="I82" s="218">
        <v>1612.41</v>
      </c>
      <c r="J82" s="218">
        <v>-0.13</v>
      </c>
      <c r="K82" s="218">
        <v>111.67</v>
      </c>
      <c r="L82" s="218">
        <v>624.49</v>
      </c>
    </row>
    <row r="83" s="214" customFormat="1" spans="1:12">
      <c r="A83" s="217">
        <v>46034.8333333333</v>
      </c>
      <c r="B83" s="218">
        <v>2.07</v>
      </c>
      <c r="C83" s="218">
        <v>1140.73</v>
      </c>
      <c r="D83" s="218">
        <v>756.4</v>
      </c>
      <c r="E83" s="218">
        <v>8244.96</v>
      </c>
      <c r="F83" s="218">
        <v>-186.96</v>
      </c>
      <c r="G83" s="218">
        <v>76.26</v>
      </c>
      <c r="H83" s="218">
        <v>4461.54</v>
      </c>
      <c r="I83" s="218">
        <v>1612.18</v>
      </c>
      <c r="J83" s="218">
        <v>-0.13</v>
      </c>
      <c r="K83" s="218">
        <v>111.79</v>
      </c>
      <c r="L83" s="218">
        <v>625.16</v>
      </c>
    </row>
    <row r="84" s="214" customFormat="1" spans="1:12">
      <c r="A84" s="217">
        <v>46034.84375</v>
      </c>
      <c r="B84" s="218">
        <v>2.01</v>
      </c>
      <c r="C84" s="218">
        <v>1137.72</v>
      </c>
      <c r="D84" s="218">
        <v>755.67</v>
      </c>
      <c r="E84" s="218">
        <v>8174.31</v>
      </c>
      <c r="F84" s="218">
        <v>-263.27</v>
      </c>
      <c r="G84" s="218">
        <v>75.27</v>
      </c>
      <c r="H84" s="218">
        <v>4468</v>
      </c>
      <c r="I84" s="218">
        <v>1612.96</v>
      </c>
      <c r="J84" s="218">
        <v>-0.13</v>
      </c>
      <c r="K84" s="218">
        <v>111.74</v>
      </c>
      <c r="L84" s="218">
        <v>626.44</v>
      </c>
    </row>
    <row r="85" s="214" customFormat="1" spans="1:12">
      <c r="A85" s="217">
        <v>46034.8541666667</v>
      </c>
      <c r="B85" s="218">
        <v>2.06</v>
      </c>
      <c r="C85" s="218">
        <v>1156.14</v>
      </c>
      <c r="D85" s="218">
        <v>752.3</v>
      </c>
      <c r="E85" s="218">
        <v>8073.3</v>
      </c>
      <c r="F85" s="218">
        <v>-40.18</v>
      </c>
      <c r="G85" s="218">
        <v>77.84</v>
      </c>
      <c r="H85" s="218">
        <v>4454</v>
      </c>
      <c r="I85" s="218">
        <v>1601</v>
      </c>
      <c r="J85" s="218">
        <v>-0.12</v>
      </c>
      <c r="K85" s="218">
        <v>111.91</v>
      </c>
      <c r="L85" s="218">
        <v>615.62</v>
      </c>
    </row>
    <row r="86" s="214" customFormat="1" spans="1:12">
      <c r="A86" s="217">
        <v>46034.8645833333</v>
      </c>
      <c r="B86" s="218">
        <v>2.04</v>
      </c>
      <c r="C86" s="218">
        <v>1137.05</v>
      </c>
      <c r="D86" s="218">
        <v>754.02</v>
      </c>
      <c r="E86" s="218">
        <v>7987.58</v>
      </c>
      <c r="F86" s="218">
        <v>139.14</v>
      </c>
      <c r="G86" s="218">
        <v>76.69</v>
      </c>
      <c r="H86" s="218">
        <v>4337.09</v>
      </c>
      <c r="I86" s="218">
        <v>1588.37</v>
      </c>
      <c r="J86" s="218">
        <v>-0.12</v>
      </c>
      <c r="K86" s="218">
        <v>155.88</v>
      </c>
      <c r="L86" s="218">
        <v>603.39</v>
      </c>
    </row>
    <row r="87" s="214" customFormat="1" spans="1:12">
      <c r="A87" s="217">
        <v>46034.875</v>
      </c>
      <c r="B87" s="218">
        <v>2.05</v>
      </c>
      <c r="C87" s="218">
        <v>1141.31</v>
      </c>
      <c r="D87" s="218">
        <v>758.96</v>
      </c>
      <c r="E87" s="218">
        <v>8047.44</v>
      </c>
      <c r="F87" s="218">
        <v>-114.7</v>
      </c>
      <c r="G87" s="218">
        <v>75.64</v>
      </c>
      <c r="H87" s="218">
        <v>4202.36</v>
      </c>
      <c r="I87" s="218">
        <v>1598.59</v>
      </c>
      <c r="J87" s="218">
        <v>-0.12</v>
      </c>
      <c r="K87" s="218">
        <v>167.57</v>
      </c>
      <c r="L87" s="218">
        <v>611.38</v>
      </c>
    </row>
    <row r="88" s="214" customFormat="1" spans="1:12">
      <c r="A88" s="217">
        <v>46034.8854166667</v>
      </c>
      <c r="B88" s="218">
        <v>2.01</v>
      </c>
      <c r="C88" s="218">
        <v>1125.66</v>
      </c>
      <c r="D88" s="218">
        <v>754.08</v>
      </c>
      <c r="E88" s="218">
        <v>7965.99</v>
      </c>
      <c r="F88" s="218">
        <v>-210.55</v>
      </c>
      <c r="G88" s="218">
        <v>76.04</v>
      </c>
      <c r="H88" s="218">
        <v>4116.88</v>
      </c>
      <c r="I88" s="218">
        <v>1605.77</v>
      </c>
      <c r="J88" s="218">
        <v>-0.12</v>
      </c>
      <c r="K88" s="218">
        <v>142.67</v>
      </c>
      <c r="L88" s="218">
        <v>622.01</v>
      </c>
    </row>
    <row r="89" s="214" customFormat="1" spans="1:12">
      <c r="A89" s="217">
        <v>46034.8958333333</v>
      </c>
      <c r="B89" s="218">
        <v>2.19</v>
      </c>
      <c r="C89" s="218">
        <v>1082.07</v>
      </c>
      <c r="D89" s="218">
        <v>756.3</v>
      </c>
      <c r="E89" s="218">
        <v>7843.97</v>
      </c>
      <c r="F89" s="218">
        <v>-258.25</v>
      </c>
      <c r="G89" s="218">
        <v>74.82</v>
      </c>
      <c r="H89" s="218">
        <v>4035.85</v>
      </c>
      <c r="I89" s="218">
        <v>1615.94</v>
      </c>
      <c r="J89" s="218">
        <v>-0.13</v>
      </c>
      <c r="K89" s="218">
        <v>111.77</v>
      </c>
      <c r="L89" s="218">
        <v>628.62</v>
      </c>
    </row>
    <row r="90" s="214" customFormat="1" spans="1:12">
      <c r="A90" s="217">
        <v>46034.90625</v>
      </c>
      <c r="B90" s="218">
        <v>1.94</v>
      </c>
      <c r="C90" s="218">
        <v>1024.22</v>
      </c>
      <c r="D90" s="218">
        <v>755.67</v>
      </c>
      <c r="E90" s="218">
        <v>7699.22</v>
      </c>
      <c r="F90" s="218">
        <v>-199.57</v>
      </c>
      <c r="G90" s="218">
        <v>77.96</v>
      </c>
      <c r="H90" s="218">
        <v>3840.72</v>
      </c>
      <c r="I90" s="218">
        <v>1610.96</v>
      </c>
      <c r="J90" s="218">
        <v>-0.13</v>
      </c>
      <c r="K90" s="218">
        <v>112.08</v>
      </c>
      <c r="L90" s="218">
        <v>624.76</v>
      </c>
    </row>
    <row r="91" s="214" customFormat="1" spans="1:12">
      <c r="A91" s="217">
        <v>46034.9166666667</v>
      </c>
      <c r="B91" s="218">
        <v>1.81</v>
      </c>
      <c r="C91" s="218">
        <v>984.19</v>
      </c>
      <c r="D91" s="218">
        <v>755.71</v>
      </c>
      <c r="E91" s="218">
        <v>7578.66</v>
      </c>
      <c r="F91" s="218">
        <v>-29.49</v>
      </c>
      <c r="G91" s="218">
        <v>74.74</v>
      </c>
      <c r="H91" s="218">
        <v>3624.23</v>
      </c>
      <c r="I91" s="218">
        <v>1611.32</v>
      </c>
      <c r="J91" s="218">
        <v>-0.13</v>
      </c>
      <c r="K91" s="218">
        <v>106.93</v>
      </c>
      <c r="L91" s="218">
        <v>625.62</v>
      </c>
    </row>
    <row r="92" s="214" customFormat="1" spans="1:12">
      <c r="A92" s="217">
        <v>46034.9270833333</v>
      </c>
      <c r="B92" s="218">
        <v>1.84</v>
      </c>
      <c r="C92" s="218">
        <v>944.12</v>
      </c>
      <c r="D92" s="218">
        <v>755.85</v>
      </c>
      <c r="E92" s="218">
        <v>7461.54</v>
      </c>
      <c r="F92" s="218">
        <v>10.38</v>
      </c>
      <c r="G92" s="218">
        <v>73.86</v>
      </c>
      <c r="H92" s="218">
        <v>3534.53</v>
      </c>
      <c r="I92" s="218">
        <v>1598.33</v>
      </c>
      <c r="J92" s="218">
        <v>-0.13</v>
      </c>
      <c r="K92" s="218">
        <v>101.44</v>
      </c>
      <c r="L92" s="218">
        <v>609.2</v>
      </c>
    </row>
    <row r="93" s="214" customFormat="1" spans="1:12">
      <c r="A93" s="217">
        <v>46034.9375</v>
      </c>
      <c r="B93" s="218">
        <v>2.11</v>
      </c>
      <c r="C93" s="218">
        <v>915.76</v>
      </c>
      <c r="D93" s="218">
        <v>754.83</v>
      </c>
      <c r="E93" s="218">
        <v>7383.75</v>
      </c>
      <c r="F93" s="218">
        <v>-103.63</v>
      </c>
      <c r="G93" s="218">
        <v>75.92</v>
      </c>
      <c r="H93" s="218">
        <v>3541.83</v>
      </c>
      <c r="I93" s="218">
        <v>1584.26</v>
      </c>
      <c r="J93" s="218">
        <v>-0.13</v>
      </c>
      <c r="K93" s="218">
        <v>104.3</v>
      </c>
      <c r="L93" s="218">
        <v>598.15</v>
      </c>
    </row>
    <row r="94" s="214" customFormat="1" spans="1:12">
      <c r="A94" s="217">
        <v>46034.9479166667</v>
      </c>
      <c r="B94" s="218">
        <v>1.84</v>
      </c>
      <c r="C94" s="218">
        <v>894.35</v>
      </c>
      <c r="D94" s="218">
        <v>677.72</v>
      </c>
      <c r="E94" s="218">
        <v>7298.31</v>
      </c>
      <c r="F94" s="218">
        <v>-269.5</v>
      </c>
      <c r="G94" s="218">
        <v>74.19</v>
      </c>
      <c r="H94" s="218">
        <v>3531.27</v>
      </c>
      <c r="I94" s="218">
        <v>1520.99</v>
      </c>
      <c r="J94" s="218">
        <v>-0.12</v>
      </c>
      <c r="K94" s="218">
        <v>104.99</v>
      </c>
      <c r="L94" s="218">
        <v>607.01</v>
      </c>
    </row>
    <row r="95" s="214" customFormat="1" spans="1:12">
      <c r="A95" s="217">
        <v>46034.9583333333</v>
      </c>
      <c r="B95" s="218">
        <v>2</v>
      </c>
      <c r="C95" s="218">
        <v>881.15</v>
      </c>
      <c r="D95" s="218">
        <v>596.21</v>
      </c>
      <c r="E95" s="218">
        <v>7228.26</v>
      </c>
      <c r="F95" s="218">
        <v>-38.62</v>
      </c>
      <c r="G95" s="218">
        <v>74.85</v>
      </c>
      <c r="H95" s="218">
        <v>3406.44</v>
      </c>
      <c r="I95" s="218">
        <v>1403.26</v>
      </c>
      <c r="J95" s="218">
        <v>-0.13</v>
      </c>
      <c r="K95" s="218">
        <v>105.25</v>
      </c>
      <c r="L95" s="218">
        <v>565.03</v>
      </c>
    </row>
    <row r="96" s="214" customFormat="1" spans="1:12">
      <c r="A96" s="217">
        <v>46034.96875</v>
      </c>
      <c r="B96" s="218">
        <v>1.93</v>
      </c>
      <c r="C96" s="218">
        <v>873.31</v>
      </c>
      <c r="D96" s="218">
        <v>545.74</v>
      </c>
      <c r="E96" s="218">
        <v>7126.41</v>
      </c>
      <c r="F96" s="218">
        <v>4.27</v>
      </c>
      <c r="G96" s="218">
        <v>75.33</v>
      </c>
      <c r="H96" s="218">
        <v>3335.5</v>
      </c>
      <c r="I96" s="218">
        <v>1322.03</v>
      </c>
      <c r="J96" s="218">
        <v>-0.13</v>
      </c>
      <c r="K96" s="218">
        <v>105.17</v>
      </c>
      <c r="L96" s="218">
        <v>548.19</v>
      </c>
    </row>
    <row r="97" s="214" customFormat="1" spans="1:12">
      <c r="A97" s="217">
        <v>46034.9791666667</v>
      </c>
      <c r="B97" s="218">
        <v>1.84</v>
      </c>
      <c r="C97" s="218">
        <v>850.91</v>
      </c>
      <c r="D97" s="218">
        <v>545.71</v>
      </c>
      <c r="E97" s="218">
        <v>7059.12</v>
      </c>
      <c r="F97" s="218">
        <v>-160.02</v>
      </c>
      <c r="G97" s="218">
        <v>75.52</v>
      </c>
      <c r="H97" s="218">
        <v>3350.43</v>
      </c>
      <c r="I97" s="218">
        <v>1349.99</v>
      </c>
      <c r="J97" s="218">
        <v>-0.13</v>
      </c>
      <c r="K97" s="218">
        <v>105</v>
      </c>
      <c r="L97" s="218">
        <v>574.95</v>
      </c>
    </row>
    <row r="98" s="214" customFormat="1" spans="1:12">
      <c r="A98" s="220">
        <v>46034.9895833333</v>
      </c>
      <c r="B98" s="219">
        <v>2.05</v>
      </c>
      <c r="C98" s="219">
        <v>854.79</v>
      </c>
      <c r="D98" s="219">
        <v>544.07</v>
      </c>
      <c r="E98" s="219">
        <v>6978.37</v>
      </c>
      <c r="F98" s="219">
        <v>-170.41</v>
      </c>
      <c r="G98" s="219">
        <v>74.15</v>
      </c>
      <c r="H98" s="219">
        <v>3343.27</v>
      </c>
      <c r="I98" s="219">
        <v>1351.96</v>
      </c>
      <c r="J98" s="219">
        <v>-0.13</v>
      </c>
      <c r="K98" s="219">
        <v>105.14</v>
      </c>
      <c r="L98" s="219">
        <v>575.38</v>
      </c>
    </row>
    <row r="99" s="214" customFormat="1" spans="1:12">
      <c r="A99" s="215"/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</row>
  </sheetData>
  <protectedRanges>
    <protectedRange sqref="M24" name="Range1_1_1_1"/>
    <protectedRange sqref="M24" name="Range1_1_1"/>
    <protectedRange sqref="M19:M23" name="Range1"/>
    <protectedRange sqref="M24" name="Range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6384" width="9.14285714285714" style="214"/>
  </cols>
  <sheetData>
    <row r="1" s="214" customFormat="1" spans="1:1">
      <c r="A1" s="214" t="s">
        <v>276</v>
      </c>
    </row>
    <row r="2" s="214" customFormat="1" spans="1:8">
      <c r="A2" s="215" t="s">
        <v>277</v>
      </c>
      <c r="B2" s="215"/>
      <c r="C2" s="215"/>
      <c r="D2" s="215"/>
      <c r="E2" s="215"/>
      <c r="F2" s="215"/>
      <c r="G2" s="215"/>
      <c r="H2" s="215"/>
    </row>
    <row r="3" s="214" customFormat="1" ht="75" spans="1:7">
      <c r="A3" s="216" t="s">
        <v>171</v>
      </c>
      <c r="B3" s="216" t="s">
        <v>268</v>
      </c>
      <c r="C3" s="216" t="s">
        <v>278</v>
      </c>
      <c r="D3" s="216" t="s">
        <v>269</v>
      </c>
      <c r="E3" s="216" t="s">
        <v>265</v>
      </c>
      <c r="F3" s="216" t="s">
        <v>266</v>
      </c>
      <c r="G3" s="216" t="s">
        <v>279</v>
      </c>
    </row>
    <row r="4" s="214" customFormat="1" spans="1:7">
      <c r="A4" s="217">
        <v>46034</v>
      </c>
      <c r="B4" s="218">
        <v>6773.02</v>
      </c>
      <c r="C4" s="218">
        <v>50.04</v>
      </c>
      <c r="D4" s="218">
        <v>163.26</v>
      </c>
      <c r="E4" s="218">
        <v>0.98</v>
      </c>
      <c r="F4" s="218">
        <v>786.42</v>
      </c>
      <c r="G4" s="218">
        <v>7.44</v>
      </c>
    </row>
    <row r="5" s="214" customFormat="1" spans="1:7">
      <c r="A5" s="217">
        <v>46034.0104166667</v>
      </c>
      <c r="B5" s="218">
        <v>6777.45</v>
      </c>
      <c r="C5" s="218">
        <v>50.03</v>
      </c>
      <c r="D5" s="218">
        <v>-3.72</v>
      </c>
      <c r="E5" s="218">
        <v>0.97</v>
      </c>
      <c r="F5" s="218">
        <v>760.3</v>
      </c>
      <c r="G5" s="218">
        <v>1.93</v>
      </c>
    </row>
    <row r="6" s="214" customFormat="1" spans="1:7">
      <c r="A6" s="217">
        <v>46034.0208333333</v>
      </c>
      <c r="B6" s="218">
        <v>6745.63</v>
      </c>
      <c r="C6" s="218">
        <v>50.01</v>
      </c>
      <c r="D6" s="218">
        <v>-129.29</v>
      </c>
      <c r="E6" s="218">
        <v>0.94</v>
      </c>
      <c r="F6" s="218">
        <v>711.26</v>
      </c>
      <c r="G6" s="218">
        <v>2.93</v>
      </c>
    </row>
    <row r="7" s="214" customFormat="1" spans="1:7">
      <c r="A7" s="217">
        <v>46034.03125</v>
      </c>
      <c r="B7" s="218">
        <v>6753.29</v>
      </c>
      <c r="C7" s="218">
        <v>50.01</v>
      </c>
      <c r="D7" s="218">
        <v>-31.77</v>
      </c>
      <c r="E7" s="218">
        <v>0.86</v>
      </c>
      <c r="F7" s="218">
        <v>703.95</v>
      </c>
      <c r="G7" s="218">
        <v>3.93</v>
      </c>
    </row>
    <row r="8" s="214" customFormat="1" spans="1:7">
      <c r="A8" s="217">
        <v>46034.0416666667</v>
      </c>
      <c r="B8" s="218">
        <v>6714.58</v>
      </c>
      <c r="C8" s="218">
        <v>50.01</v>
      </c>
      <c r="D8" s="218">
        <v>-130.85</v>
      </c>
      <c r="E8" s="218">
        <v>0.89</v>
      </c>
      <c r="F8" s="218">
        <v>698.47</v>
      </c>
      <c r="G8" s="218">
        <v>4.93</v>
      </c>
    </row>
    <row r="9" s="214" customFormat="1" spans="1:7">
      <c r="A9" s="217">
        <v>46034.0520833333</v>
      </c>
      <c r="B9" s="218">
        <v>6732.97</v>
      </c>
      <c r="C9" s="218">
        <v>50.01</v>
      </c>
      <c r="D9" s="218">
        <v>-27.25</v>
      </c>
      <c r="E9" s="218">
        <v>0.96</v>
      </c>
      <c r="F9" s="218">
        <v>688.83</v>
      </c>
      <c r="G9" s="218">
        <v>5.93</v>
      </c>
    </row>
    <row r="10" s="214" customFormat="1" spans="1:7">
      <c r="A10" s="217">
        <v>46034.0625</v>
      </c>
      <c r="B10" s="218">
        <v>6671.77</v>
      </c>
      <c r="C10" s="218">
        <v>50.02</v>
      </c>
      <c r="D10" s="218">
        <v>-10.79</v>
      </c>
      <c r="E10" s="218">
        <v>0.94</v>
      </c>
      <c r="F10" s="218">
        <v>661.53</v>
      </c>
      <c r="G10" s="218">
        <v>6.93</v>
      </c>
    </row>
    <row r="11" s="214" customFormat="1" spans="1:7">
      <c r="A11" s="217">
        <v>46034.0729166667</v>
      </c>
      <c r="B11" s="218">
        <v>6668.95</v>
      </c>
      <c r="C11" s="218">
        <v>50.03</v>
      </c>
      <c r="D11" s="218">
        <v>66.22</v>
      </c>
      <c r="E11" s="218">
        <v>0.96</v>
      </c>
      <c r="F11" s="218">
        <v>622.24</v>
      </c>
      <c r="G11" s="218">
        <v>7.93</v>
      </c>
    </row>
    <row r="12" s="214" customFormat="1" spans="1:7">
      <c r="A12" s="217">
        <v>46034.0833333333</v>
      </c>
      <c r="B12" s="218">
        <v>6605.17</v>
      </c>
      <c r="C12" s="218">
        <v>50.02</v>
      </c>
      <c r="D12" s="218">
        <v>-79.6</v>
      </c>
      <c r="E12" s="218">
        <v>0.97</v>
      </c>
      <c r="F12" s="218">
        <v>584.73</v>
      </c>
      <c r="G12" s="218">
        <v>8.93</v>
      </c>
    </row>
    <row r="13" s="214" customFormat="1" spans="1:7">
      <c r="A13" s="217">
        <v>46034.09375</v>
      </c>
      <c r="B13" s="218">
        <v>6572.42</v>
      </c>
      <c r="C13" s="218">
        <v>49.99</v>
      </c>
      <c r="D13" s="218">
        <v>-33.92</v>
      </c>
      <c r="E13" s="218">
        <v>0.91</v>
      </c>
      <c r="F13" s="218">
        <v>539.05</v>
      </c>
      <c r="G13" s="218">
        <v>9.93</v>
      </c>
    </row>
    <row r="14" s="214" customFormat="1" spans="1:7">
      <c r="A14" s="217">
        <v>46034.1041666667</v>
      </c>
      <c r="B14" s="218">
        <v>6594.23</v>
      </c>
      <c r="C14" s="218">
        <v>50</v>
      </c>
      <c r="D14" s="218">
        <v>24.62</v>
      </c>
      <c r="E14" s="218">
        <v>0.86</v>
      </c>
      <c r="F14" s="218">
        <v>498.16</v>
      </c>
      <c r="G14" s="218">
        <v>10.93</v>
      </c>
    </row>
    <row r="15" s="214" customFormat="1" spans="1:7">
      <c r="A15" s="217">
        <v>46034.1145833333</v>
      </c>
      <c r="B15" s="218">
        <v>6568.3</v>
      </c>
      <c r="C15" s="218">
        <v>49.98</v>
      </c>
      <c r="D15" s="218">
        <v>39.24</v>
      </c>
      <c r="E15" s="218">
        <v>0.87</v>
      </c>
      <c r="F15" s="218">
        <v>457.62</v>
      </c>
      <c r="G15" s="218">
        <v>11.93</v>
      </c>
    </row>
    <row r="16" s="214" customFormat="1" spans="1:7">
      <c r="A16" s="217">
        <v>46034.125</v>
      </c>
      <c r="B16" s="218">
        <v>6602.05</v>
      </c>
      <c r="C16" s="218">
        <v>49.97</v>
      </c>
      <c r="D16" s="218">
        <v>44.96</v>
      </c>
      <c r="E16" s="218">
        <v>0.9</v>
      </c>
      <c r="F16" s="218">
        <v>399.4</v>
      </c>
      <c r="G16" s="218">
        <v>12.93</v>
      </c>
    </row>
    <row r="17" s="214" customFormat="1" spans="1:7">
      <c r="A17" s="217">
        <v>46034.1354166667</v>
      </c>
      <c r="B17" s="218">
        <v>6670.43</v>
      </c>
      <c r="C17" s="218">
        <v>49.97</v>
      </c>
      <c r="D17" s="218">
        <v>-6.18</v>
      </c>
      <c r="E17" s="218">
        <v>0.93</v>
      </c>
      <c r="F17" s="218">
        <v>359.95</v>
      </c>
      <c r="G17" s="218">
        <v>13.93</v>
      </c>
    </row>
    <row r="18" s="214" customFormat="1" spans="1:7">
      <c r="A18" s="217">
        <v>46034.1458333333</v>
      </c>
      <c r="B18" s="218">
        <v>6634.03</v>
      </c>
      <c r="C18" s="218">
        <v>49.98</v>
      </c>
      <c r="D18" s="218">
        <v>45.05</v>
      </c>
      <c r="E18" s="218">
        <v>0.95</v>
      </c>
      <c r="F18" s="218">
        <v>348.33</v>
      </c>
      <c r="G18" s="218">
        <v>14.93</v>
      </c>
    </row>
    <row r="19" s="214" customFormat="1" spans="1:7">
      <c r="A19" s="217">
        <v>46034.15625</v>
      </c>
      <c r="B19" s="218">
        <v>6708.72</v>
      </c>
      <c r="C19" s="218">
        <v>50</v>
      </c>
      <c r="D19" s="218">
        <v>90.69</v>
      </c>
      <c r="E19" s="218">
        <v>0.97</v>
      </c>
      <c r="F19" s="218">
        <v>361.25</v>
      </c>
      <c r="G19" s="218">
        <v>15.93</v>
      </c>
    </row>
    <row r="20" s="214" customFormat="1" spans="1:7">
      <c r="A20" s="217">
        <v>46034.1666666667</v>
      </c>
      <c r="B20" s="218">
        <v>6840.21</v>
      </c>
      <c r="C20" s="218">
        <v>50</v>
      </c>
      <c r="D20" s="218">
        <v>136.39</v>
      </c>
      <c r="E20" s="218">
        <v>0.88</v>
      </c>
      <c r="F20" s="218">
        <v>359.8</v>
      </c>
      <c r="G20" s="218">
        <v>16.93</v>
      </c>
    </row>
    <row r="21" s="214" customFormat="1" spans="1:7">
      <c r="A21" s="217">
        <v>46034.1770833333</v>
      </c>
      <c r="B21" s="218">
        <v>6975.69</v>
      </c>
      <c r="C21" s="218">
        <v>50.02</v>
      </c>
      <c r="D21" s="218">
        <v>167.45</v>
      </c>
      <c r="E21" s="218">
        <v>1.01</v>
      </c>
      <c r="F21" s="218">
        <v>349.36</v>
      </c>
      <c r="G21" s="218">
        <v>17.93</v>
      </c>
    </row>
    <row r="22" s="214" customFormat="1" spans="1:7">
      <c r="A22" s="217">
        <v>46034.1875</v>
      </c>
      <c r="B22" s="218">
        <v>7027.6</v>
      </c>
      <c r="C22" s="218">
        <v>50.03</v>
      </c>
      <c r="D22" s="218">
        <v>-162.93</v>
      </c>
      <c r="E22" s="218">
        <v>0.99</v>
      </c>
      <c r="F22" s="218">
        <v>327.93</v>
      </c>
      <c r="G22" s="218">
        <v>18.93</v>
      </c>
    </row>
    <row r="23" s="214" customFormat="1" spans="1:7">
      <c r="A23" s="217">
        <v>46034.1979166667</v>
      </c>
      <c r="B23" s="218">
        <v>7115.88</v>
      </c>
      <c r="C23" s="218">
        <v>50.03</v>
      </c>
      <c r="D23" s="218">
        <v>-93.64</v>
      </c>
      <c r="E23" s="218">
        <v>0.95</v>
      </c>
      <c r="F23" s="218">
        <v>318.46</v>
      </c>
      <c r="G23" s="218">
        <v>19.93</v>
      </c>
    </row>
    <row r="24" s="214" customFormat="1" spans="1:7">
      <c r="A24" s="217">
        <v>46034.2083333333</v>
      </c>
      <c r="B24" s="218">
        <v>7285.92</v>
      </c>
      <c r="C24" s="218">
        <v>50.01</v>
      </c>
      <c r="D24" s="218">
        <v>104.22</v>
      </c>
      <c r="E24" s="218">
        <v>0.9</v>
      </c>
      <c r="F24" s="218">
        <v>311.42</v>
      </c>
      <c r="G24" s="218">
        <v>20.93</v>
      </c>
    </row>
    <row r="25" s="214" customFormat="1" spans="1:7">
      <c r="A25" s="217">
        <v>46034.21875</v>
      </c>
      <c r="B25" s="218">
        <v>7488.92</v>
      </c>
      <c r="C25" s="218">
        <v>50</v>
      </c>
      <c r="D25" s="218">
        <v>67.45</v>
      </c>
      <c r="E25" s="218">
        <v>0.93</v>
      </c>
      <c r="F25" s="218">
        <v>309.63</v>
      </c>
      <c r="G25" s="218">
        <v>21.93</v>
      </c>
    </row>
    <row r="26" s="214" customFormat="1" spans="1:7">
      <c r="A26" s="217">
        <v>46034.2291666667</v>
      </c>
      <c r="B26" s="218">
        <v>7650.19</v>
      </c>
      <c r="C26" s="218">
        <v>50.02</v>
      </c>
      <c r="D26" s="218">
        <v>-34.47</v>
      </c>
      <c r="E26" s="218">
        <v>1</v>
      </c>
      <c r="F26" s="218">
        <v>300.08</v>
      </c>
      <c r="G26" s="218">
        <v>22.93</v>
      </c>
    </row>
    <row r="27" s="214" customFormat="1" spans="1:7">
      <c r="A27" s="217">
        <v>46034.2395833333</v>
      </c>
      <c r="B27" s="218">
        <v>7748.77</v>
      </c>
      <c r="C27" s="218">
        <v>50.04</v>
      </c>
      <c r="D27" s="218">
        <v>132.33</v>
      </c>
      <c r="E27" s="218">
        <v>0.97</v>
      </c>
      <c r="F27" s="218">
        <v>277.39</v>
      </c>
      <c r="G27" s="218">
        <v>23.93</v>
      </c>
    </row>
    <row r="28" s="214" customFormat="1" spans="1:7">
      <c r="A28" s="217">
        <v>46034.25</v>
      </c>
      <c r="B28" s="218">
        <v>8128.67</v>
      </c>
      <c r="C28" s="218">
        <v>50.08</v>
      </c>
      <c r="D28" s="218">
        <v>-319.39</v>
      </c>
      <c r="E28" s="218">
        <v>0.93</v>
      </c>
      <c r="F28" s="218">
        <v>269.65</v>
      </c>
      <c r="G28" s="218">
        <v>24.93</v>
      </c>
    </row>
    <row r="29" s="214" customFormat="1" spans="1:7">
      <c r="A29" s="217">
        <v>46034.2604166667</v>
      </c>
      <c r="B29" s="218">
        <v>8504.62</v>
      </c>
      <c r="C29" s="218">
        <v>50.03</v>
      </c>
      <c r="D29" s="218">
        <v>-440.29</v>
      </c>
      <c r="E29" s="218">
        <v>1.02</v>
      </c>
      <c r="F29" s="218">
        <v>270.51</v>
      </c>
      <c r="G29" s="218">
        <v>25.93</v>
      </c>
    </row>
    <row r="30" s="214" customFormat="1" spans="1:7">
      <c r="A30" s="217">
        <v>46034.2708333333</v>
      </c>
      <c r="B30" s="218">
        <v>8697.82</v>
      </c>
      <c r="C30" s="218">
        <v>50.02</v>
      </c>
      <c r="D30" s="218">
        <v>-499.45</v>
      </c>
      <c r="E30" s="218">
        <v>1.1</v>
      </c>
      <c r="F30" s="218">
        <v>264.87</v>
      </c>
      <c r="G30" s="218">
        <v>26.93</v>
      </c>
    </row>
    <row r="31" s="214" customFormat="1" spans="1:7">
      <c r="A31" s="217">
        <v>46034.28125</v>
      </c>
      <c r="B31" s="218">
        <v>8849.49</v>
      </c>
      <c r="C31" s="218">
        <v>50.04</v>
      </c>
      <c r="D31" s="218">
        <v>-503.9</v>
      </c>
      <c r="E31" s="218">
        <v>5.22</v>
      </c>
      <c r="F31" s="218">
        <v>279.98</v>
      </c>
      <c r="G31" s="218">
        <v>27.93</v>
      </c>
    </row>
    <row r="32" s="214" customFormat="1" spans="1:7">
      <c r="A32" s="217">
        <v>46034.2916666667</v>
      </c>
      <c r="B32" s="218">
        <v>9029.94</v>
      </c>
      <c r="C32" s="218">
        <v>50.05</v>
      </c>
      <c r="D32" s="218">
        <v>-330.06</v>
      </c>
      <c r="E32" s="218">
        <v>53.44</v>
      </c>
      <c r="F32" s="218">
        <v>314.85</v>
      </c>
      <c r="G32" s="218">
        <v>28.93</v>
      </c>
    </row>
    <row r="33" s="214" customFormat="1" spans="1:7">
      <c r="A33" s="217">
        <v>46034.3020833333</v>
      </c>
      <c r="B33" s="218">
        <v>9264.73</v>
      </c>
      <c r="C33" s="218">
        <v>49.98</v>
      </c>
      <c r="D33" s="218">
        <v>-271.8</v>
      </c>
      <c r="E33" s="218">
        <v>148.11</v>
      </c>
      <c r="F33" s="218">
        <v>340.74</v>
      </c>
      <c r="G33" s="218">
        <v>29.93</v>
      </c>
    </row>
    <row r="34" s="214" customFormat="1" spans="1:7">
      <c r="A34" s="217">
        <v>46034.3125</v>
      </c>
      <c r="B34" s="218">
        <v>9387.52</v>
      </c>
      <c r="C34" s="218">
        <v>50</v>
      </c>
      <c r="D34" s="218">
        <v>-66.37</v>
      </c>
      <c r="E34" s="218">
        <v>297.03</v>
      </c>
      <c r="F34" s="218">
        <v>311.25</v>
      </c>
      <c r="G34" s="218">
        <v>30.93</v>
      </c>
    </row>
    <row r="35" s="214" customFormat="1" spans="1:7">
      <c r="A35" s="217">
        <v>46034.3229166667</v>
      </c>
      <c r="B35" s="218">
        <v>9525.19</v>
      </c>
      <c r="C35" s="218">
        <v>50.07</v>
      </c>
      <c r="D35" s="218">
        <v>-172.4</v>
      </c>
      <c r="E35" s="218">
        <v>564.88</v>
      </c>
      <c r="F35" s="218">
        <v>275.28</v>
      </c>
      <c r="G35" s="218">
        <v>31.93</v>
      </c>
    </row>
    <row r="36" s="214" customFormat="1" spans="1:7">
      <c r="A36" s="217">
        <v>46034.3333333333</v>
      </c>
      <c r="B36" s="218">
        <v>10223.49</v>
      </c>
      <c r="C36" s="218">
        <v>50.06</v>
      </c>
      <c r="D36" s="218">
        <v>151.77</v>
      </c>
      <c r="E36" s="218">
        <v>768.59</v>
      </c>
      <c r="F36" s="218">
        <v>228.15</v>
      </c>
      <c r="G36" s="218">
        <v>32.93</v>
      </c>
    </row>
    <row r="37" s="214" customFormat="1" spans="1:7">
      <c r="A37" s="217">
        <v>46034.34375</v>
      </c>
      <c r="B37" s="218">
        <v>10770.17</v>
      </c>
      <c r="C37" s="218">
        <v>50.1</v>
      </c>
      <c r="D37" s="218">
        <v>152.19</v>
      </c>
      <c r="E37" s="218">
        <v>951.44</v>
      </c>
      <c r="F37" s="218">
        <v>227.78</v>
      </c>
      <c r="G37" s="218">
        <v>33.93</v>
      </c>
    </row>
    <row r="38" s="214" customFormat="1" spans="1:7">
      <c r="A38" s="217">
        <v>46034.3541666667</v>
      </c>
      <c r="B38" s="218">
        <v>11013.73</v>
      </c>
      <c r="C38" s="218">
        <v>50.18</v>
      </c>
      <c r="D38" s="218">
        <v>53.42</v>
      </c>
      <c r="E38" s="218">
        <v>1118.94</v>
      </c>
      <c r="F38" s="218">
        <v>287.12</v>
      </c>
      <c r="G38" s="218">
        <v>34.93</v>
      </c>
    </row>
    <row r="39" s="214" customFormat="1" spans="1:7">
      <c r="A39" s="217">
        <v>46034.3645833333</v>
      </c>
      <c r="B39" s="218">
        <v>11277.05</v>
      </c>
      <c r="C39" s="218">
        <v>50.25</v>
      </c>
      <c r="D39" s="218">
        <v>56.32</v>
      </c>
      <c r="E39" s="218">
        <v>1225.63</v>
      </c>
      <c r="F39" s="218">
        <v>391.16</v>
      </c>
      <c r="G39" s="218">
        <v>35.93</v>
      </c>
    </row>
    <row r="40" s="214" customFormat="1" spans="1:7">
      <c r="A40" s="217">
        <v>46034.375</v>
      </c>
      <c r="B40" s="218">
        <v>11565.82</v>
      </c>
      <c r="C40" s="218">
        <v>50.22</v>
      </c>
      <c r="D40" s="218">
        <v>23.81</v>
      </c>
      <c r="E40" s="218">
        <v>1307.85</v>
      </c>
      <c r="F40" s="218">
        <v>545.33</v>
      </c>
      <c r="G40" s="218">
        <v>36.93</v>
      </c>
    </row>
    <row r="41" s="214" customFormat="1" spans="1:7">
      <c r="A41" s="217">
        <v>46034.3854166667</v>
      </c>
      <c r="B41" s="218">
        <v>11679.12</v>
      </c>
      <c r="C41" s="218">
        <v>50.09</v>
      </c>
      <c r="D41" s="218">
        <v>-323.5</v>
      </c>
      <c r="E41" s="218">
        <v>1460.89</v>
      </c>
      <c r="F41" s="218">
        <v>730.43</v>
      </c>
      <c r="G41" s="218">
        <v>37.93</v>
      </c>
    </row>
    <row r="42" s="214" customFormat="1" spans="1:7">
      <c r="A42" s="217">
        <v>46034.3958333333</v>
      </c>
      <c r="B42" s="218">
        <v>11593.69</v>
      </c>
      <c r="C42" s="218">
        <v>50.08</v>
      </c>
      <c r="D42" s="218">
        <v>-647.5</v>
      </c>
      <c r="E42" s="218">
        <v>1670.74</v>
      </c>
      <c r="F42" s="218">
        <v>818.91</v>
      </c>
      <c r="G42" s="218">
        <v>38.93</v>
      </c>
    </row>
    <row r="43" s="214" customFormat="1" spans="1:7">
      <c r="A43" s="217">
        <v>46034.40625</v>
      </c>
      <c r="B43" s="218">
        <v>11448</v>
      </c>
      <c r="C43" s="218">
        <v>50.03</v>
      </c>
      <c r="D43" s="218">
        <v>-499.9</v>
      </c>
      <c r="E43" s="218">
        <v>1705.75</v>
      </c>
      <c r="F43" s="218">
        <v>862.79</v>
      </c>
      <c r="G43" s="218">
        <v>39.93</v>
      </c>
    </row>
    <row r="44" s="214" customFormat="1" spans="1:7">
      <c r="A44" s="217">
        <v>46034.4166666667</v>
      </c>
      <c r="B44" s="218">
        <v>11210.48</v>
      </c>
      <c r="C44" s="218">
        <v>49.93</v>
      </c>
      <c r="D44" s="218">
        <v>-408.66</v>
      </c>
      <c r="E44" s="218">
        <v>1796.49</v>
      </c>
      <c r="F44" s="218">
        <v>932.28</v>
      </c>
      <c r="G44" s="218">
        <v>40.93</v>
      </c>
    </row>
    <row r="45" s="214" customFormat="1" spans="1:7">
      <c r="A45" s="217">
        <v>46034.4270833333</v>
      </c>
      <c r="B45" s="218">
        <v>11085.47</v>
      </c>
      <c r="C45" s="218">
        <v>49.83</v>
      </c>
      <c r="D45" s="218">
        <v>-499.63</v>
      </c>
      <c r="E45" s="218">
        <v>1961.39</v>
      </c>
      <c r="F45" s="218">
        <v>1014.45</v>
      </c>
      <c r="G45" s="218">
        <v>41.93</v>
      </c>
    </row>
    <row r="46" s="214" customFormat="1" spans="1:7">
      <c r="A46" s="217">
        <v>46034.4375</v>
      </c>
      <c r="B46" s="218">
        <v>10943.39</v>
      </c>
      <c r="C46" s="218">
        <v>49.76</v>
      </c>
      <c r="D46" s="218">
        <v>-421.34</v>
      </c>
      <c r="E46" s="218">
        <v>2053.74</v>
      </c>
      <c r="F46" s="218">
        <v>1138</v>
      </c>
      <c r="G46" s="218">
        <v>42.93</v>
      </c>
    </row>
    <row r="47" s="214" customFormat="1" spans="1:7">
      <c r="A47" s="217">
        <v>46034.4479166667</v>
      </c>
      <c r="B47" s="218">
        <v>10942.89</v>
      </c>
      <c r="C47" s="218">
        <v>49.95</v>
      </c>
      <c r="D47" s="218">
        <v>-421.06</v>
      </c>
      <c r="E47" s="218">
        <v>2142.48</v>
      </c>
      <c r="F47" s="218">
        <v>1251.21</v>
      </c>
      <c r="G47" s="218">
        <v>43.93</v>
      </c>
    </row>
    <row r="48" s="214" customFormat="1" spans="1:7">
      <c r="A48" s="217">
        <v>46034.4583333333</v>
      </c>
      <c r="B48" s="218">
        <v>10819.97</v>
      </c>
      <c r="C48" s="218">
        <v>49.99</v>
      </c>
      <c r="D48" s="218">
        <v>-238.93</v>
      </c>
      <c r="E48" s="218">
        <v>2084.76</v>
      </c>
      <c r="F48" s="218">
        <v>1256.6</v>
      </c>
      <c r="G48" s="218">
        <v>44.93</v>
      </c>
    </row>
    <row r="49" s="214" customFormat="1" spans="1:7">
      <c r="A49" s="217">
        <v>46034.46875</v>
      </c>
      <c r="B49" s="218">
        <v>10812.92</v>
      </c>
      <c r="C49" s="218">
        <v>49.97</v>
      </c>
      <c r="D49" s="218">
        <v>-52.66</v>
      </c>
      <c r="E49" s="218">
        <v>2163.83</v>
      </c>
      <c r="F49" s="218">
        <v>1267.18</v>
      </c>
      <c r="G49" s="218">
        <v>45.93</v>
      </c>
    </row>
    <row r="50" s="214" customFormat="1" spans="1:7">
      <c r="A50" s="217">
        <v>46034.4791666667</v>
      </c>
      <c r="B50" s="218">
        <v>10891.59</v>
      </c>
      <c r="C50" s="218">
        <v>49.99</v>
      </c>
      <c r="D50" s="218">
        <v>221.32</v>
      </c>
      <c r="E50" s="218">
        <v>2163.09</v>
      </c>
      <c r="F50" s="218">
        <v>1252.1</v>
      </c>
      <c r="G50" s="218">
        <v>46.93</v>
      </c>
    </row>
    <row r="51" s="214" customFormat="1" spans="1:7">
      <c r="A51" s="217">
        <v>46034.4895833333</v>
      </c>
      <c r="B51" s="218">
        <v>10942.89</v>
      </c>
      <c r="C51" s="218">
        <v>50.03</v>
      </c>
      <c r="D51" s="218">
        <v>374.03</v>
      </c>
      <c r="E51" s="218">
        <v>2089.35</v>
      </c>
      <c r="F51" s="218">
        <v>1225.75</v>
      </c>
      <c r="G51" s="218">
        <v>47.93</v>
      </c>
    </row>
    <row r="52" s="214" customFormat="1" spans="1:7">
      <c r="A52" s="217">
        <v>46034.5</v>
      </c>
      <c r="B52" s="218">
        <v>10950.96</v>
      </c>
      <c r="C52" s="218">
        <v>50.04</v>
      </c>
      <c r="D52" s="218">
        <v>339.61</v>
      </c>
      <c r="E52" s="218">
        <v>2024.37</v>
      </c>
      <c r="F52" s="218">
        <v>1172.51</v>
      </c>
      <c r="G52" s="218">
        <v>48.93</v>
      </c>
    </row>
    <row r="53" s="214" customFormat="1" spans="1:7">
      <c r="A53" s="217">
        <v>46034.5104166667</v>
      </c>
      <c r="B53" s="218">
        <v>10969.08</v>
      </c>
      <c r="C53" s="218">
        <v>50.01</v>
      </c>
      <c r="D53" s="218">
        <v>263.84</v>
      </c>
      <c r="E53" s="218">
        <v>2051.83</v>
      </c>
      <c r="F53" s="218">
        <v>1119.17</v>
      </c>
      <c r="G53" s="218">
        <v>49.93</v>
      </c>
    </row>
    <row r="54" s="214" customFormat="1" spans="1:7">
      <c r="A54" s="217">
        <v>46034.5208333333</v>
      </c>
      <c r="B54" s="218">
        <v>10846.83</v>
      </c>
      <c r="C54" s="218">
        <v>50.01</v>
      </c>
      <c r="D54" s="218">
        <v>151.29</v>
      </c>
      <c r="E54" s="218">
        <v>1937.88</v>
      </c>
      <c r="F54" s="218">
        <v>1068.79</v>
      </c>
      <c r="G54" s="218">
        <v>50.93</v>
      </c>
    </row>
    <row r="55" s="214" customFormat="1" spans="1:7">
      <c r="A55" s="217">
        <v>46034.53125</v>
      </c>
      <c r="B55" s="218">
        <v>10758.01</v>
      </c>
      <c r="C55" s="218">
        <v>50.01</v>
      </c>
      <c r="D55" s="218">
        <v>222.52</v>
      </c>
      <c r="E55" s="218">
        <v>1937.71</v>
      </c>
      <c r="F55" s="218">
        <v>995.57</v>
      </c>
      <c r="G55" s="218">
        <v>51.93</v>
      </c>
    </row>
    <row r="56" s="214" customFormat="1" spans="1:7">
      <c r="A56" s="217">
        <v>46034.5416666667</v>
      </c>
      <c r="B56" s="218">
        <v>10472.87</v>
      </c>
      <c r="C56" s="218">
        <v>50.08</v>
      </c>
      <c r="D56" s="218">
        <v>-152.49</v>
      </c>
      <c r="E56" s="218">
        <v>2141.02</v>
      </c>
      <c r="F56" s="218">
        <v>942.95</v>
      </c>
      <c r="G56" s="218">
        <v>52.93</v>
      </c>
    </row>
    <row r="57" s="214" customFormat="1" spans="1:7">
      <c r="A57" s="217">
        <v>46034.5520833333</v>
      </c>
      <c r="B57" s="218">
        <v>10360.08</v>
      </c>
      <c r="C57" s="218">
        <v>50.02</v>
      </c>
      <c r="D57" s="218">
        <v>-244.68</v>
      </c>
      <c r="E57" s="218">
        <v>2177.9</v>
      </c>
      <c r="F57" s="218">
        <v>906.95</v>
      </c>
      <c r="G57" s="218">
        <v>53.93</v>
      </c>
    </row>
    <row r="58" s="214" customFormat="1" spans="1:7">
      <c r="A58" s="217">
        <v>46034.5625</v>
      </c>
      <c r="B58" s="218">
        <v>10357.45</v>
      </c>
      <c r="C58" s="218">
        <v>50.01</v>
      </c>
      <c r="D58" s="218">
        <v>4.6</v>
      </c>
      <c r="E58" s="218">
        <v>2217.24</v>
      </c>
      <c r="F58" s="218">
        <v>857.19</v>
      </c>
      <c r="G58" s="218">
        <v>54.93</v>
      </c>
    </row>
    <row r="59" s="214" customFormat="1" spans="1:7">
      <c r="A59" s="217">
        <v>46034.5729166667</v>
      </c>
      <c r="B59" s="218">
        <v>10322.41</v>
      </c>
      <c r="C59" s="218">
        <v>50.04</v>
      </c>
      <c r="D59" s="218">
        <v>-99.36</v>
      </c>
      <c r="E59" s="218">
        <v>2143.09</v>
      </c>
      <c r="F59" s="218">
        <v>788.94</v>
      </c>
      <c r="G59" s="218">
        <v>55.93</v>
      </c>
    </row>
    <row r="60" s="214" customFormat="1" spans="1:7">
      <c r="A60" s="217">
        <v>46034.5833333333</v>
      </c>
      <c r="B60" s="218">
        <v>10278.48</v>
      </c>
      <c r="C60" s="218">
        <v>50.09</v>
      </c>
      <c r="D60" s="218">
        <v>-13.99</v>
      </c>
      <c r="E60" s="218">
        <v>2054.45</v>
      </c>
      <c r="F60" s="218">
        <v>772.43</v>
      </c>
      <c r="G60" s="218">
        <v>56.93</v>
      </c>
    </row>
    <row r="61" s="214" customFormat="1" spans="1:7">
      <c r="A61" s="217">
        <v>46034.59375</v>
      </c>
      <c r="B61" s="218">
        <v>10431</v>
      </c>
      <c r="C61" s="218">
        <v>50.04</v>
      </c>
      <c r="D61" s="218">
        <v>243.31</v>
      </c>
      <c r="E61" s="218">
        <v>1897.22</v>
      </c>
      <c r="F61" s="218">
        <v>748.26</v>
      </c>
      <c r="G61" s="218">
        <v>57.93</v>
      </c>
    </row>
    <row r="62" s="214" customFormat="1" spans="1:7">
      <c r="A62" s="217">
        <v>46034.6041666667</v>
      </c>
      <c r="B62" s="218">
        <v>10546.38</v>
      </c>
      <c r="C62" s="218">
        <v>50.01</v>
      </c>
      <c r="D62" s="218">
        <v>413.68</v>
      </c>
      <c r="E62" s="218">
        <v>1776.58</v>
      </c>
      <c r="F62" s="218">
        <v>732.24</v>
      </c>
      <c r="G62" s="218">
        <v>58.93</v>
      </c>
    </row>
    <row r="63" s="214" customFormat="1" spans="1:7">
      <c r="A63" s="217">
        <v>46034.6145833333</v>
      </c>
      <c r="B63" s="218">
        <v>10709.89</v>
      </c>
      <c r="C63" s="218">
        <v>49.99</v>
      </c>
      <c r="D63" s="218">
        <v>117.32</v>
      </c>
      <c r="E63" s="218">
        <v>1696.41</v>
      </c>
      <c r="F63" s="218">
        <v>693.18</v>
      </c>
      <c r="G63" s="218">
        <v>59.93</v>
      </c>
    </row>
    <row r="64" s="214" customFormat="1" spans="1:7">
      <c r="A64" s="217">
        <v>46034.625</v>
      </c>
      <c r="B64" s="218">
        <v>10470.79</v>
      </c>
      <c r="C64" s="218">
        <v>50.04</v>
      </c>
      <c r="D64" s="218">
        <v>-43.6</v>
      </c>
      <c r="E64" s="218">
        <v>1617.92</v>
      </c>
      <c r="F64" s="218">
        <v>685.03</v>
      </c>
      <c r="G64" s="218">
        <v>60.93</v>
      </c>
    </row>
    <row r="65" s="214" customFormat="1" spans="1:7">
      <c r="A65" s="217">
        <v>46034.6354166667</v>
      </c>
      <c r="B65" s="218">
        <v>10511.89</v>
      </c>
      <c r="C65" s="218">
        <v>50</v>
      </c>
      <c r="D65" s="218">
        <v>75.01</v>
      </c>
      <c r="E65" s="218">
        <v>1490.31</v>
      </c>
      <c r="F65" s="218">
        <v>712.74</v>
      </c>
      <c r="G65" s="218">
        <v>61.93</v>
      </c>
    </row>
    <row r="66" s="214" customFormat="1" spans="1:7">
      <c r="A66" s="217">
        <v>46034.6458333333</v>
      </c>
      <c r="B66" s="218">
        <v>10502.85</v>
      </c>
      <c r="C66" s="218">
        <v>49.99</v>
      </c>
      <c r="D66" s="218">
        <v>-19.65</v>
      </c>
      <c r="E66" s="218">
        <v>1199.11</v>
      </c>
      <c r="F66" s="218">
        <v>743.76</v>
      </c>
      <c r="G66" s="218">
        <v>62.93</v>
      </c>
    </row>
    <row r="67" s="214" customFormat="1" spans="1:7">
      <c r="A67" s="217">
        <v>46034.65625</v>
      </c>
      <c r="B67" s="218">
        <v>10400.91</v>
      </c>
      <c r="C67" s="218">
        <v>49.99</v>
      </c>
      <c r="D67" s="218">
        <v>-32.18</v>
      </c>
      <c r="E67" s="218">
        <v>903.25</v>
      </c>
      <c r="F67" s="218">
        <v>783.23</v>
      </c>
      <c r="G67" s="218">
        <v>63.93</v>
      </c>
    </row>
    <row r="68" s="214" customFormat="1" spans="1:7">
      <c r="A68" s="217">
        <v>46034.6666666667</v>
      </c>
      <c r="B68" s="218">
        <v>8885.1</v>
      </c>
      <c r="C68" s="218">
        <v>45.96</v>
      </c>
      <c r="D68" s="218">
        <v>59.55</v>
      </c>
      <c r="E68" s="218">
        <v>675.3</v>
      </c>
      <c r="F68" s="218">
        <v>741.18</v>
      </c>
      <c r="G68" s="218">
        <v>18.49</v>
      </c>
    </row>
    <row r="69" s="214" customFormat="1" spans="1:7">
      <c r="A69" s="217">
        <v>46034.6770833333</v>
      </c>
      <c r="B69" s="218">
        <v>10025.82</v>
      </c>
      <c r="C69" s="218">
        <v>50.07</v>
      </c>
      <c r="D69" s="218">
        <v>-63.02</v>
      </c>
      <c r="E69" s="218">
        <v>635.05</v>
      </c>
      <c r="F69" s="218">
        <v>859.35</v>
      </c>
      <c r="G69" s="218">
        <v>65.93</v>
      </c>
    </row>
    <row r="70" s="214" customFormat="1" spans="1:7">
      <c r="A70" s="217">
        <v>46034.6875</v>
      </c>
      <c r="B70" s="218">
        <v>9819.55</v>
      </c>
      <c r="C70" s="218">
        <v>50.11</v>
      </c>
      <c r="D70" s="218">
        <v>-329.7</v>
      </c>
      <c r="E70" s="218">
        <v>522.65</v>
      </c>
      <c r="F70" s="218">
        <v>883.32</v>
      </c>
      <c r="G70" s="218">
        <v>66.93</v>
      </c>
    </row>
    <row r="71" s="214" customFormat="1" spans="1:7">
      <c r="A71" s="217">
        <v>46034.6979166667</v>
      </c>
      <c r="B71" s="218">
        <v>9991.34</v>
      </c>
      <c r="C71" s="218">
        <v>50.05</v>
      </c>
      <c r="D71" s="218">
        <v>157.34</v>
      </c>
      <c r="E71" s="218">
        <v>440.59</v>
      </c>
      <c r="F71" s="218">
        <v>898.39</v>
      </c>
      <c r="G71" s="218">
        <v>67.93</v>
      </c>
    </row>
    <row r="72" s="214" customFormat="1" spans="1:7">
      <c r="A72" s="217">
        <v>46034.7083333333</v>
      </c>
      <c r="B72" s="218">
        <v>8970.89</v>
      </c>
      <c r="C72" s="218">
        <v>50.13</v>
      </c>
      <c r="D72" s="218">
        <v>-62.61</v>
      </c>
      <c r="E72" s="218">
        <v>259.32</v>
      </c>
      <c r="F72" s="218">
        <v>917.82</v>
      </c>
      <c r="G72" s="218">
        <v>68.93</v>
      </c>
    </row>
    <row r="73" s="214" customFormat="1" spans="1:7">
      <c r="A73" s="217">
        <v>46034.71875</v>
      </c>
      <c r="B73" s="218">
        <v>8701.99</v>
      </c>
      <c r="C73" s="218">
        <v>50.07</v>
      </c>
      <c r="D73" s="218">
        <v>-212.17</v>
      </c>
      <c r="E73" s="218">
        <v>126.38</v>
      </c>
      <c r="F73" s="218">
        <v>955.65</v>
      </c>
      <c r="G73" s="218">
        <v>69.93</v>
      </c>
    </row>
    <row r="74" s="214" customFormat="1" spans="1:7">
      <c r="A74" s="217">
        <v>46034.7291666667</v>
      </c>
      <c r="B74" s="218">
        <v>8731.07</v>
      </c>
      <c r="C74" s="218">
        <v>50</v>
      </c>
      <c r="D74" s="218">
        <v>-279.2</v>
      </c>
      <c r="E74" s="218">
        <v>53.77</v>
      </c>
      <c r="F74" s="218">
        <v>971.97</v>
      </c>
      <c r="G74" s="218">
        <v>70.93</v>
      </c>
    </row>
    <row r="75" s="214" customFormat="1" spans="1:7">
      <c r="A75" s="217">
        <v>46034.7395833333</v>
      </c>
      <c r="B75" s="218">
        <v>8817.3</v>
      </c>
      <c r="C75" s="218">
        <v>49.92</v>
      </c>
      <c r="D75" s="218">
        <v>-122.23</v>
      </c>
      <c r="E75" s="218">
        <v>12.23</v>
      </c>
      <c r="F75" s="218">
        <v>963.44</v>
      </c>
      <c r="G75" s="218">
        <v>71.93</v>
      </c>
    </row>
    <row r="76" s="214" customFormat="1" spans="1:7">
      <c r="A76" s="217">
        <v>46034.75</v>
      </c>
      <c r="B76" s="218">
        <v>8445.63</v>
      </c>
      <c r="C76" s="218">
        <v>50.01</v>
      </c>
      <c r="D76" s="218">
        <v>-216.33</v>
      </c>
      <c r="E76" s="218">
        <v>2.17</v>
      </c>
      <c r="F76" s="218">
        <v>912.17</v>
      </c>
      <c r="G76" s="218">
        <v>72.93</v>
      </c>
    </row>
    <row r="77" s="214" customFormat="1" spans="1:7">
      <c r="A77" s="217">
        <v>46034.7604166667</v>
      </c>
      <c r="B77" s="218">
        <v>8592.46</v>
      </c>
      <c r="C77" s="218">
        <v>49.96</v>
      </c>
      <c r="D77" s="218">
        <v>-190.71</v>
      </c>
      <c r="E77" s="218">
        <v>1.77</v>
      </c>
      <c r="F77" s="218">
        <v>937.7</v>
      </c>
      <c r="G77" s="218">
        <v>73.93</v>
      </c>
    </row>
    <row r="78" s="214" customFormat="1" spans="1:7">
      <c r="A78" s="217">
        <v>46034.7708333333</v>
      </c>
      <c r="B78" s="218">
        <v>8718.81</v>
      </c>
      <c r="C78" s="218">
        <v>50.03</v>
      </c>
      <c r="D78" s="218">
        <v>3.69</v>
      </c>
      <c r="E78" s="218">
        <v>2.12</v>
      </c>
      <c r="F78" s="218">
        <v>997.35</v>
      </c>
      <c r="G78" s="218">
        <v>74.93</v>
      </c>
    </row>
    <row r="79" s="214" customFormat="1" spans="1:7">
      <c r="A79" s="217">
        <v>46034.78125</v>
      </c>
      <c r="B79" s="218">
        <v>8706.46</v>
      </c>
      <c r="C79" s="218">
        <v>50.02</v>
      </c>
      <c r="D79" s="218">
        <v>-14.02</v>
      </c>
      <c r="E79" s="218">
        <v>1.82</v>
      </c>
      <c r="F79" s="218">
        <v>1002.63</v>
      </c>
      <c r="G79" s="218">
        <v>75.93</v>
      </c>
    </row>
    <row r="80" s="214" customFormat="1" spans="1:7">
      <c r="A80" s="217">
        <v>46034.7916666667</v>
      </c>
      <c r="B80" s="218">
        <v>8605.48</v>
      </c>
      <c r="C80" s="218">
        <v>50.01</v>
      </c>
      <c r="D80" s="218">
        <v>-123.27</v>
      </c>
      <c r="E80" s="218">
        <v>2.01</v>
      </c>
      <c r="F80" s="218">
        <v>1018.61</v>
      </c>
      <c r="G80" s="218">
        <v>76.93</v>
      </c>
    </row>
    <row r="81" s="214" customFormat="1" spans="1:7">
      <c r="A81" s="217">
        <v>46034.8020833333</v>
      </c>
      <c r="B81" s="218">
        <v>8460.63</v>
      </c>
      <c r="C81" s="218">
        <v>50.03</v>
      </c>
      <c r="D81" s="218">
        <v>-350.88</v>
      </c>
      <c r="E81" s="218">
        <v>2.09</v>
      </c>
      <c r="F81" s="218">
        <v>1062.11</v>
      </c>
      <c r="G81" s="218">
        <v>77.93</v>
      </c>
    </row>
    <row r="82" s="214" customFormat="1" spans="1:7">
      <c r="A82" s="217">
        <v>46034.8125</v>
      </c>
      <c r="B82" s="218">
        <v>8390.58</v>
      </c>
      <c r="C82" s="218">
        <v>50.05</v>
      </c>
      <c r="D82" s="218">
        <v>-181.01</v>
      </c>
      <c r="E82" s="218">
        <v>2.09</v>
      </c>
      <c r="F82" s="218">
        <v>1123.51</v>
      </c>
      <c r="G82" s="218">
        <v>78.93</v>
      </c>
    </row>
    <row r="83" s="214" customFormat="1" spans="1:7">
      <c r="A83" s="217">
        <v>46034.8229166667</v>
      </c>
      <c r="B83" s="218">
        <v>8349.72</v>
      </c>
      <c r="C83" s="218">
        <v>50.07</v>
      </c>
      <c r="D83" s="218">
        <v>-87.33</v>
      </c>
      <c r="E83" s="218">
        <v>1.93</v>
      </c>
      <c r="F83" s="218">
        <v>1146.57</v>
      </c>
      <c r="G83" s="218">
        <v>79.93</v>
      </c>
    </row>
    <row r="84" s="214" customFormat="1" spans="1:7">
      <c r="A84" s="217">
        <v>46034.8333333333</v>
      </c>
      <c r="B84" s="218">
        <v>8244.96</v>
      </c>
      <c r="C84" s="218">
        <v>50.07</v>
      </c>
      <c r="D84" s="218">
        <v>-186.96</v>
      </c>
      <c r="E84" s="218">
        <v>2.07</v>
      </c>
      <c r="F84" s="218">
        <v>1140.73</v>
      </c>
      <c r="G84" s="218">
        <v>80.93</v>
      </c>
    </row>
    <row r="85" s="214" customFormat="1" spans="1:7">
      <c r="A85" s="217">
        <v>46034.84375</v>
      </c>
      <c r="B85" s="218">
        <v>8174.31</v>
      </c>
      <c r="C85" s="218">
        <v>50.03</v>
      </c>
      <c r="D85" s="218">
        <v>-263.27</v>
      </c>
      <c r="E85" s="218">
        <v>2.01</v>
      </c>
      <c r="F85" s="218">
        <v>1137.72</v>
      </c>
      <c r="G85" s="218">
        <v>81.93</v>
      </c>
    </row>
    <row r="86" s="214" customFormat="1" spans="1:7">
      <c r="A86" s="217">
        <v>46034.8541666667</v>
      </c>
      <c r="B86" s="218">
        <v>8073.3</v>
      </c>
      <c r="C86" s="218">
        <v>50.01</v>
      </c>
      <c r="D86" s="218">
        <v>-40.18</v>
      </c>
      <c r="E86" s="218">
        <v>2.06</v>
      </c>
      <c r="F86" s="218">
        <v>1156.14</v>
      </c>
      <c r="G86" s="218">
        <v>82.93</v>
      </c>
    </row>
    <row r="87" s="214" customFormat="1" spans="1:7">
      <c r="A87" s="217">
        <v>46034.8645833333</v>
      </c>
      <c r="B87" s="218">
        <v>7987.58</v>
      </c>
      <c r="C87" s="218">
        <v>50</v>
      </c>
      <c r="D87" s="218">
        <v>139.14</v>
      </c>
      <c r="E87" s="218">
        <v>2.04</v>
      </c>
      <c r="F87" s="218">
        <v>1137.05</v>
      </c>
      <c r="G87" s="218">
        <v>83.93</v>
      </c>
    </row>
    <row r="88" s="214" customFormat="1" spans="1:7">
      <c r="A88" s="217">
        <v>46034.875</v>
      </c>
      <c r="B88" s="218">
        <v>8047.44</v>
      </c>
      <c r="C88" s="218">
        <v>50.01</v>
      </c>
      <c r="D88" s="218">
        <v>-114.7</v>
      </c>
      <c r="E88" s="218">
        <v>2.05</v>
      </c>
      <c r="F88" s="218">
        <v>1141.31</v>
      </c>
      <c r="G88" s="218">
        <v>84.93</v>
      </c>
    </row>
    <row r="89" s="214" customFormat="1" spans="1:7">
      <c r="A89" s="217">
        <v>46034.8854166667</v>
      </c>
      <c r="B89" s="218">
        <v>7965.99</v>
      </c>
      <c r="C89" s="218">
        <v>50.03</v>
      </c>
      <c r="D89" s="218">
        <v>-210.55</v>
      </c>
      <c r="E89" s="218">
        <v>2.01</v>
      </c>
      <c r="F89" s="218">
        <v>1125.66</v>
      </c>
      <c r="G89" s="218">
        <v>85.93</v>
      </c>
    </row>
    <row r="90" s="214" customFormat="1" spans="1:7">
      <c r="A90" s="217">
        <v>46034.8958333333</v>
      </c>
      <c r="B90" s="218">
        <v>7843.97</v>
      </c>
      <c r="C90" s="218">
        <v>50</v>
      </c>
      <c r="D90" s="218">
        <v>-258.25</v>
      </c>
      <c r="E90" s="218">
        <v>2.19</v>
      </c>
      <c r="F90" s="218">
        <v>1082.07</v>
      </c>
      <c r="G90" s="218">
        <v>86.93</v>
      </c>
    </row>
    <row r="91" s="214" customFormat="1" spans="1:7">
      <c r="A91" s="217">
        <v>46034.90625</v>
      </c>
      <c r="B91" s="218">
        <v>7699.22</v>
      </c>
      <c r="C91" s="218">
        <v>50.04</v>
      </c>
      <c r="D91" s="218">
        <v>-199.57</v>
      </c>
      <c r="E91" s="218">
        <v>1.94</v>
      </c>
      <c r="F91" s="218">
        <v>1024.22</v>
      </c>
      <c r="G91" s="218">
        <v>87.93</v>
      </c>
    </row>
    <row r="92" s="214" customFormat="1" spans="1:7">
      <c r="A92" s="217">
        <v>46034.9166666667</v>
      </c>
      <c r="B92" s="218">
        <v>7578.66</v>
      </c>
      <c r="C92" s="218">
        <v>49.98</v>
      </c>
      <c r="D92" s="218">
        <v>-29.49</v>
      </c>
      <c r="E92" s="218">
        <v>1.81</v>
      </c>
      <c r="F92" s="218">
        <v>984.19</v>
      </c>
      <c r="G92" s="218">
        <v>88.93</v>
      </c>
    </row>
    <row r="93" s="214" customFormat="1" spans="1:7">
      <c r="A93" s="217">
        <v>46034.9270833333</v>
      </c>
      <c r="B93" s="218">
        <v>7461.54</v>
      </c>
      <c r="C93" s="218">
        <v>49.99</v>
      </c>
      <c r="D93" s="218">
        <v>10.38</v>
      </c>
      <c r="E93" s="218">
        <v>1.84</v>
      </c>
      <c r="F93" s="218">
        <v>944.12</v>
      </c>
      <c r="G93" s="218">
        <v>89.93</v>
      </c>
    </row>
    <row r="94" s="214" customFormat="1" spans="1:7">
      <c r="A94" s="217">
        <v>46034.9375</v>
      </c>
      <c r="B94" s="218">
        <v>7383.75</v>
      </c>
      <c r="C94" s="218">
        <v>50.04</v>
      </c>
      <c r="D94" s="218">
        <v>-103.63</v>
      </c>
      <c r="E94" s="218">
        <v>2.11</v>
      </c>
      <c r="F94" s="218">
        <v>915.76</v>
      </c>
      <c r="G94" s="218">
        <v>90.93</v>
      </c>
    </row>
    <row r="95" s="214" customFormat="1" spans="1:7">
      <c r="A95" s="217">
        <v>46034.9479166667</v>
      </c>
      <c r="B95" s="218">
        <v>7298.31</v>
      </c>
      <c r="C95" s="218">
        <v>50.06</v>
      </c>
      <c r="D95" s="218">
        <v>-269.5</v>
      </c>
      <c r="E95" s="218">
        <v>1.84</v>
      </c>
      <c r="F95" s="218">
        <v>894.35</v>
      </c>
      <c r="G95" s="218">
        <v>91.93</v>
      </c>
    </row>
    <row r="96" s="214" customFormat="1" spans="1:7">
      <c r="A96" s="217">
        <v>46034.9583333333</v>
      </c>
      <c r="B96" s="218">
        <v>7228.26</v>
      </c>
      <c r="C96" s="218">
        <v>50.06</v>
      </c>
      <c r="D96" s="218">
        <v>-38.62</v>
      </c>
      <c r="E96" s="218">
        <v>2</v>
      </c>
      <c r="F96" s="218">
        <v>881.15</v>
      </c>
      <c r="G96" s="218">
        <v>92.93</v>
      </c>
    </row>
    <row r="97" s="214" customFormat="1" spans="1:7">
      <c r="A97" s="217">
        <v>46034.96875</v>
      </c>
      <c r="B97" s="218">
        <v>7126.41</v>
      </c>
      <c r="C97" s="218">
        <v>50.05</v>
      </c>
      <c r="D97" s="218">
        <v>4.27</v>
      </c>
      <c r="E97" s="218">
        <v>1.93</v>
      </c>
      <c r="F97" s="218">
        <v>873.31</v>
      </c>
      <c r="G97" s="218">
        <v>93.93</v>
      </c>
    </row>
    <row r="98" s="214" customFormat="1" spans="1:7">
      <c r="A98" s="217">
        <v>46034.9791666667</v>
      </c>
      <c r="B98" s="218">
        <v>7059.12</v>
      </c>
      <c r="C98" s="218">
        <v>50.03</v>
      </c>
      <c r="D98" s="218">
        <v>-160.02</v>
      </c>
      <c r="E98" s="218">
        <v>1.84</v>
      </c>
      <c r="F98" s="218">
        <v>850.91</v>
      </c>
      <c r="G98" s="218">
        <v>94.93</v>
      </c>
    </row>
    <row r="99" s="214" customFormat="1" spans="1:7">
      <c r="A99" s="217">
        <v>46034.9895833333</v>
      </c>
      <c r="B99" s="218">
        <v>6978.37</v>
      </c>
      <c r="C99" s="218">
        <v>50.03</v>
      </c>
      <c r="D99" s="218">
        <v>-170.41</v>
      </c>
      <c r="E99" s="218">
        <v>2.05</v>
      </c>
      <c r="F99" s="218">
        <v>854.79</v>
      </c>
      <c r="G99" s="218">
        <v>95.93</v>
      </c>
    </row>
    <row r="100" s="214" customFormat="1" spans="1:7">
      <c r="A100" s="219" t="s">
        <v>226</v>
      </c>
      <c r="B100" s="219">
        <v>8820.74</v>
      </c>
      <c r="C100" s="219">
        <v>49.98</v>
      </c>
      <c r="D100" s="219">
        <v>-77.34</v>
      </c>
      <c r="E100" s="219">
        <v>622.91</v>
      </c>
      <c r="F100" s="219">
        <v>757.81</v>
      </c>
      <c r="G100" s="219">
        <v>48.02</v>
      </c>
    </row>
    <row r="101" s="214" customFormat="1" spans="1:7">
      <c r="A101" s="219" t="s">
        <v>115</v>
      </c>
      <c r="B101" s="219">
        <v>0</v>
      </c>
      <c r="C101" s="219">
        <v>0</v>
      </c>
      <c r="D101" s="219">
        <v>-751.2</v>
      </c>
      <c r="E101" s="219">
        <v>0</v>
      </c>
      <c r="F101" s="219">
        <v>0</v>
      </c>
      <c r="G101" s="219">
        <v>0</v>
      </c>
    </row>
    <row r="102" s="214" customFormat="1" spans="1:7">
      <c r="A102" s="219" t="s">
        <v>116</v>
      </c>
      <c r="B102" s="219">
        <v>11750.74</v>
      </c>
      <c r="C102" s="219">
        <v>50.36</v>
      </c>
      <c r="D102" s="219">
        <v>614.57</v>
      </c>
      <c r="E102" s="219">
        <v>2246.91</v>
      </c>
      <c r="F102" s="219">
        <v>1296.24</v>
      </c>
      <c r="G102" s="219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M22" sqref="M22"/>
    </sheetView>
  </sheetViews>
  <sheetFormatPr defaultColWidth="15.7142857142857" defaultRowHeight="15" customHeight="1"/>
  <cols>
    <col min="1" max="16384" width="15.7142857142857" style="209" customWidth="1"/>
  </cols>
  <sheetData>
    <row r="2" s="208" customFormat="1" ht="20" customHeight="1" spans="1:10">
      <c r="A2" s="210" t="s">
        <v>229</v>
      </c>
      <c r="B2" s="210"/>
      <c r="C2" s="210"/>
      <c r="D2" s="210"/>
      <c r="E2" s="210"/>
      <c r="F2" s="210"/>
      <c r="G2" s="210"/>
      <c r="H2" s="210"/>
      <c r="I2" s="210"/>
      <c r="J2" s="210"/>
    </row>
    <row r="4" s="209" customFormat="1" ht="16.5" spans="1:10">
      <c r="A4" s="211" t="s">
        <v>230</v>
      </c>
      <c r="B4" s="211"/>
      <c r="C4" s="211" t="s">
        <v>220</v>
      </c>
      <c r="D4" s="211" t="s">
        <v>280</v>
      </c>
      <c r="E4" s="211" t="s">
        <v>281</v>
      </c>
      <c r="F4" s="211" t="s">
        <v>220</v>
      </c>
      <c r="G4" s="211" t="s">
        <v>282</v>
      </c>
      <c r="H4" s="211" t="s">
        <v>283</v>
      </c>
      <c r="I4" s="211" t="s">
        <v>283</v>
      </c>
      <c r="J4" s="211"/>
    </row>
    <row r="5" s="209" customFormat="1" ht="16.5" spans="1:10">
      <c r="A5" s="211" t="s">
        <v>231</v>
      </c>
      <c r="B5" s="211"/>
      <c r="C5" s="211" t="s">
        <v>234</v>
      </c>
      <c r="D5" s="211" t="s">
        <v>234</v>
      </c>
      <c r="E5" s="211"/>
      <c r="F5" s="211"/>
      <c r="G5" s="211" t="s">
        <v>284</v>
      </c>
      <c r="H5" s="211" t="s">
        <v>285</v>
      </c>
      <c r="I5" s="211" t="s">
        <v>285</v>
      </c>
      <c r="J5" s="211"/>
    </row>
    <row r="6" s="209" customFormat="1" ht="16.5" spans="1:10">
      <c r="A6" s="211" t="s">
        <v>232</v>
      </c>
      <c r="B6" s="211"/>
      <c r="C6" s="211" t="s">
        <v>220</v>
      </c>
      <c r="D6" s="211" t="s">
        <v>286</v>
      </c>
      <c r="E6" s="211" t="s">
        <v>281</v>
      </c>
      <c r="F6" s="211" t="s">
        <v>281</v>
      </c>
      <c r="G6" s="211" t="s">
        <v>282</v>
      </c>
      <c r="H6" s="211" t="s">
        <v>283</v>
      </c>
      <c r="I6" s="211" t="s">
        <v>283</v>
      </c>
      <c r="J6" s="211"/>
    </row>
    <row r="7" s="209" customFormat="1" ht="16.5" spans="1:10">
      <c r="A7" s="211" t="s">
        <v>233</v>
      </c>
      <c r="B7" s="211"/>
      <c r="C7" s="211" t="s">
        <v>284</v>
      </c>
      <c r="D7" s="211" t="s">
        <v>284</v>
      </c>
      <c r="E7" s="211" t="s">
        <v>234</v>
      </c>
      <c r="F7" s="211" t="s">
        <v>234</v>
      </c>
      <c r="G7" s="211" t="s">
        <v>234</v>
      </c>
      <c r="H7" s="211" t="s">
        <v>234</v>
      </c>
      <c r="I7" s="211" t="s">
        <v>234</v>
      </c>
      <c r="J7" s="211"/>
    </row>
    <row r="8" s="209" customFormat="1" ht="16.5" spans="1:10">
      <c r="A8" s="211" t="s">
        <v>235</v>
      </c>
      <c r="B8" s="211"/>
      <c r="C8" s="211" t="s">
        <v>282</v>
      </c>
      <c r="D8" s="211" t="s">
        <v>280</v>
      </c>
      <c r="E8" s="211" t="s">
        <v>287</v>
      </c>
      <c r="F8" s="211" t="s">
        <v>220</v>
      </c>
      <c r="G8" s="211" t="s">
        <v>220</v>
      </c>
      <c r="H8" s="211" t="s">
        <v>287</v>
      </c>
      <c r="I8" s="211" t="s">
        <v>287</v>
      </c>
      <c r="J8" s="211"/>
    </row>
    <row r="9" s="209" customFormat="1" ht="16.5" spans="1:10">
      <c r="A9" s="211" t="s">
        <v>236</v>
      </c>
      <c r="B9" s="211"/>
      <c r="C9" s="211" t="s">
        <v>237</v>
      </c>
      <c r="D9" s="211" t="s">
        <v>237</v>
      </c>
      <c r="E9" s="211" t="s">
        <v>237</v>
      </c>
      <c r="F9" s="211" t="s">
        <v>237</v>
      </c>
      <c r="G9" s="211" t="s">
        <v>237</v>
      </c>
      <c r="H9" s="211" t="s">
        <v>288</v>
      </c>
      <c r="I9" s="211" t="s">
        <v>288</v>
      </c>
      <c r="J9" s="211"/>
    </row>
    <row r="10" s="209" customFormat="1" ht="16.5" spans="1:10">
      <c r="A10" s="211" t="s">
        <v>238</v>
      </c>
      <c r="B10" s="211"/>
      <c r="C10" s="211" t="s">
        <v>289</v>
      </c>
      <c r="D10" s="211" t="s">
        <v>290</v>
      </c>
      <c r="E10" s="211" t="s">
        <v>291</v>
      </c>
      <c r="F10" s="211" t="s">
        <v>292</v>
      </c>
      <c r="G10" s="211" t="s">
        <v>293</v>
      </c>
      <c r="H10" s="211" t="s">
        <v>294</v>
      </c>
      <c r="I10" s="211" t="s">
        <v>295</v>
      </c>
      <c r="J10" s="211"/>
    </row>
    <row r="11" s="209" customFormat="1" ht="16.5" spans="1:10">
      <c r="A11" s="211" t="s">
        <v>239</v>
      </c>
      <c r="B11" s="211"/>
      <c r="C11" s="211" t="s">
        <v>240</v>
      </c>
      <c r="D11" s="211" t="s">
        <v>240</v>
      </c>
      <c r="E11" s="211" t="s">
        <v>240</v>
      </c>
      <c r="F11" s="211" t="s">
        <v>240</v>
      </c>
      <c r="G11" s="211" t="s">
        <v>240</v>
      </c>
      <c r="H11" s="211" t="s">
        <v>240</v>
      </c>
      <c r="I11" s="211" t="s">
        <v>240</v>
      </c>
      <c r="J11" s="211"/>
    </row>
    <row r="12" s="209" customFormat="1" ht="16.5" spans="1:10">
      <c r="A12" s="211" t="s">
        <v>145</v>
      </c>
      <c r="B12" s="211" t="s">
        <v>146</v>
      </c>
      <c r="C12" s="211"/>
      <c r="D12" s="211"/>
      <c r="E12" s="211"/>
      <c r="F12" s="211"/>
      <c r="G12" s="211"/>
      <c r="H12" s="211"/>
      <c r="I12" s="211"/>
      <c r="J12" s="211" t="s">
        <v>241</v>
      </c>
    </row>
    <row r="13" s="209" customFormat="1" ht="16.5" spans="1:10">
      <c r="A13" s="211">
        <v>1</v>
      </c>
      <c r="B13" s="211" t="s">
        <v>14</v>
      </c>
      <c r="C13" s="212">
        <v>0</v>
      </c>
      <c r="D13" s="212">
        <v>0</v>
      </c>
      <c r="E13" s="212">
        <v>0</v>
      </c>
      <c r="F13" s="212">
        <v>219.46</v>
      </c>
      <c r="G13" s="212">
        <v>0</v>
      </c>
      <c r="H13" s="212">
        <v>0</v>
      </c>
      <c r="I13" s="212">
        <v>0</v>
      </c>
      <c r="J13" s="211">
        <v>219.46</v>
      </c>
    </row>
    <row r="14" s="209" customFormat="1" ht="16.5" spans="1:10">
      <c r="A14" s="211">
        <v>2</v>
      </c>
      <c r="B14" s="211" t="s">
        <v>15</v>
      </c>
      <c r="C14" s="212">
        <v>0</v>
      </c>
      <c r="D14" s="212">
        <v>0</v>
      </c>
      <c r="E14" s="212">
        <v>0</v>
      </c>
      <c r="F14" s="212">
        <v>219.46</v>
      </c>
      <c r="G14" s="212">
        <v>0</v>
      </c>
      <c r="H14" s="212">
        <v>0</v>
      </c>
      <c r="I14" s="212">
        <v>0</v>
      </c>
      <c r="J14" s="211">
        <v>219.46</v>
      </c>
    </row>
    <row r="15" s="209" customFormat="1" ht="16.5" spans="1:10">
      <c r="A15" s="211">
        <v>3</v>
      </c>
      <c r="B15" s="211" t="s">
        <v>16</v>
      </c>
      <c r="C15" s="212">
        <v>0</v>
      </c>
      <c r="D15" s="212">
        <v>0</v>
      </c>
      <c r="E15" s="212">
        <v>0</v>
      </c>
      <c r="F15" s="212">
        <v>219.46</v>
      </c>
      <c r="G15" s="212">
        <v>0</v>
      </c>
      <c r="H15" s="212">
        <v>0</v>
      </c>
      <c r="I15" s="212">
        <v>0</v>
      </c>
      <c r="J15" s="211">
        <v>219.46</v>
      </c>
    </row>
    <row r="16" s="209" customFormat="1" ht="16.5" spans="1:10">
      <c r="A16" s="211">
        <v>4</v>
      </c>
      <c r="B16" s="211" t="s">
        <v>17</v>
      </c>
      <c r="C16" s="212">
        <v>0</v>
      </c>
      <c r="D16" s="212">
        <v>0</v>
      </c>
      <c r="E16" s="212">
        <v>0</v>
      </c>
      <c r="F16" s="212">
        <v>219.46</v>
      </c>
      <c r="G16" s="212">
        <v>0</v>
      </c>
      <c r="H16" s="212">
        <v>0</v>
      </c>
      <c r="I16" s="212">
        <v>0</v>
      </c>
      <c r="J16" s="211">
        <v>219.46</v>
      </c>
    </row>
    <row r="17" s="209" customFormat="1" ht="16.5" spans="1:10">
      <c r="A17" s="211">
        <v>5</v>
      </c>
      <c r="B17" s="211" t="s">
        <v>18</v>
      </c>
      <c r="C17" s="212">
        <v>0</v>
      </c>
      <c r="D17" s="212">
        <v>0</v>
      </c>
      <c r="E17" s="212">
        <v>0</v>
      </c>
      <c r="F17" s="212">
        <v>219.46</v>
      </c>
      <c r="G17" s="212">
        <v>0</v>
      </c>
      <c r="H17" s="212">
        <v>0</v>
      </c>
      <c r="I17" s="212">
        <v>0</v>
      </c>
      <c r="J17" s="211">
        <v>219.46</v>
      </c>
    </row>
    <row r="18" s="209" customFormat="1" ht="16.5" spans="1:10">
      <c r="A18" s="211">
        <v>6</v>
      </c>
      <c r="B18" s="211" t="s">
        <v>19</v>
      </c>
      <c r="C18" s="212">
        <v>0</v>
      </c>
      <c r="D18" s="212">
        <v>0</v>
      </c>
      <c r="E18" s="212">
        <v>0</v>
      </c>
      <c r="F18" s="212">
        <v>219.46</v>
      </c>
      <c r="G18" s="212">
        <v>0</v>
      </c>
      <c r="H18" s="212">
        <v>0</v>
      </c>
      <c r="I18" s="212">
        <v>0</v>
      </c>
      <c r="J18" s="211">
        <v>219.46</v>
      </c>
    </row>
    <row r="19" s="209" customFormat="1" ht="16.5" spans="1:10">
      <c r="A19" s="211">
        <v>7</v>
      </c>
      <c r="B19" s="211" t="s">
        <v>20</v>
      </c>
      <c r="C19" s="212">
        <v>0</v>
      </c>
      <c r="D19" s="212">
        <v>0</v>
      </c>
      <c r="E19" s="212">
        <v>0</v>
      </c>
      <c r="F19" s="212">
        <v>120.7</v>
      </c>
      <c r="G19" s="212">
        <v>0</v>
      </c>
      <c r="H19" s="212">
        <v>0</v>
      </c>
      <c r="I19" s="212">
        <v>0</v>
      </c>
      <c r="J19" s="211">
        <v>120.7</v>
      </c>
    </row>
    <row r="20" s="209" customFormat="1" ht="16.5" spans="1:10">
      <c r="A20" s="211">
        <v>8</v>
      </c>
      <c r="B20" s="211" t="s">
        <v>21</v>
      </c>
      <c r="C20" s="212">
        <v>0</v>
      </c>
      <c r="D20" s="212">
        <v>0</v>
      </c>
      <c r="E20" s="212">
        <v>0</v>
      </c>
      <c r="F20" s="212">
        <v>120.7</v>
      </c>
      <c r="G20" s="212">
        <v>0</v>
      </c>
      <c r="H20" s="212">
        <v>0</v>
      </c>
      <c r="I20" s="212">
        <v>0</v>
      </c>
      <c r="J20" s="211">
        <v>120.7</v>
      </c>
    </row>
    <row r="21" s="209" customFormat="1" ht="16.5" spans="1:10">
      <c r="A21" s="211">
        <v>9</v>
      </c>
      <c r="B21" s="211" t="s">
        <v>22</v>
      </c>
      <c r="C21" s="212">
        <v>0</v>
      </c>
      <c r="D21" s="212">
        <v>0</v>
      </c>
      <c r="E21" s="212">
        <v>0</v>
      </c>
      <c r="F21" s="212">
        <v>120.7</v>
      </c>
      <c r="G21" s="212">
        <v>0</v>
      </c>
      <c r="H21" s="212">
        <v>0</v>
      </c>
      <c r="I21" s="212">
        <v>0</v>
      </c>
      <c r="J21" s="211">
        <v>120.7</v>
      </c>
    </row>
    <row r="22" s="209" customFormat="1" ht="16.5" spans="1:10">
      <c r="A22" s="211">
        <v>10</v>
      </c>
      <c r="B22" s="211" t="s">
        <v>23</v>
      </c>
      <c r="C22" s="212">
        <v>0</v>
      </c>
      <c r="D22" s="212">
        <v>0</v>
      </c>
      <c r="E22" s="212">
        <v>0</v>
      </c>
      <c r="F22" s="212">
        <v>120.7</v>
      </c>
      <c r="G22" s="212">
        <v>0</v>
      </c>
      <c r="H22" s="212">
        <v>0</v>
      </c>
      <c r="I22" s="212">
        <v>0</v>
      </c>
      <c r="J22" s="211">
        <v>120.7</v>
      </c>
    </row>
    <row r="23" s="209" customFormat="1" ht="16.5" spans="1:10">
      <c r="A23" s="211">
        <v>11</v>
      </c>
      <c r="B23" s="211" t="s">
        <v>24</v>
      </c>
      <c r="C23" s="212">
        <v>0</v>
      </c>
      <c r="D23" s="212">
        <v>0</v>
      </c>
      <c r="E23" s="212">
        <v>0</v>
      </c>
      <c r="F23" s="212">
        <v>120.7</v>
      </c>
      <c r="G23" s="212">
        <v>0</v>
      </c>
      <c r="H23" s="212">
        <v>0</v>
      </c>
      <c r="I23" s="212">
        <v>0</v>
      </c>
      <c r="J23" s="211">
        <v>120.7</v>
      </c>
    </row>
    <row r="24" s="209" customFormat="1" ht="16.5" spans="1:10">
      <c r="A24" s="211">
        <v>12</v>
      </c>
      <c r="B24" s="211" t="s">
        <v>25</v>
      </c>
      <c r="C24" s="212">
        <v>0</v>
      </c>
      <c r="D24" s="212">
        <v>0</v>
      </c>
      <c r="E24" s="212">
        <v>0</v>
      </c>
      <c r="F24" s="212">
        <v>120.7</v>
      </c>
      <c r="G24" s="212">
        <v>0</v>
      </c>
      <c r="H24" s="212">
        <v>0</v>
      </c>
      <c r="I24" s="212">
        <v>0</v>
      </c>
      <c r="J24" s="211">
        <v>120.7</v>
      </c>
    </row>
    <row r="25" s="209" customFormat="1" ht="16.5" spans="1:10">
      <c r="A25" s="211">
        <v>13</v>
      </c>
      <c r="B25" s="211" t="s">
        <v>26</v>
      </c>
      <c r="C25" s="212">
        <v>0</v>
      </c>
      <c r="D25" s="212">
        <v>0</v>
      </c>
      <c r="E25" s="212">
        <v>0</v>
      </c>
      <c r="F25" s="212">
        <v>120.7</v>
      </c>
      <c r="G25" s="212">
        <v>0</v>
      </c>
      <c r="H25" s="212">
        <v>0</v>
      </c>
      <c r="I25" s="212">
        <v>0</v>
      </c>
      <c r="J25" s="211">
        <v>120.7</v>
      </c>
    </row>
    <row r="26" s="209" customFormat="1" ht="16.5" spans="1:10">
      <c r="A26" s="211">
        <v>14</v>
      </c>
      <c r="B26" s="211" t="s">
        <v>27</v>
      </c>
      <c r="C26" s="212">
        <v>0</v>
      </c>
      <c r="D26" s="212">
        <v>0</v>
      </c>
      <c r="E26" s="212">
        <v>0</v>
      </c>
      <c r="F26" s="212">
        <v>120.7</v>
      </c>
      <c r="G26" s="212">
        <v>0</v>
      </c>
      <c r="H26" s="212">
        <v>0</v>
      </c>
      <c r="I26" s="212">
        <v>0</v>
      </c>
      <c r="J26" s="211">
        <v>120.7</v>
      </c>
    </row>
    <row r="27" s="209" customFormat="1" ht="16.5" spans="1:10">
      <c r="A27" s="211">
        <v>15</v>
      </c>
      <c r="B27" s="211" t="s">
        <v>28</v>
      </c>
      <c r="C27" s="212">
        <v>0</v>
      </c>
      <c r="D27" s="212">
        <v>0</v>
      </c>
      <c r="E27" s="212">
        <v>0</v>
      </c>
      <c r="F27" s="212">
        <v>120.7</v>
      </c>
      <c r="G27" s="212">
        <v>0</v>
      </c>
      <c r="H27" s="212">
        <v>0</v>
      </c>
      <c r="I27" s="212">
        <v>0</v>
      </c>
      <c r="J27" s="211">
        <v>120.7</v>
      </c>
    </row>
    <row r="28" s="209" customFormat="1" ht="16.5" spans="1:10">
      <c r="A28" s="211">
        <v>16</v>
      </c>
      <c r="B28" s="211" t="s">
        <v>29</v>
      </c>
      <c r="C28" s="212">
        <v>0</v>
      </c>
      <c r="D28" s="212">
        <v>0</v>
      </c>
      <c r="E28" s="212">
        <v>0</v>
      </c>
      <c r="F28" s="212">
        <v>120.7</v>
      </c>
      <c r="G28" s="212">
        <v>0</v>
      </c>
      <c r="H28" s="212">
        <v>0</v>
      </c>
      <c r="I28" s="212">
        <v>0</v>
      </c>
      <c r="J28" s="211">
        <v>120.7</v>
      </c>
    </row>
    <row r="29" s="209" customFormat="1" ht="16.5" spans="1:10">
      <c r="A29" s="211">
        <v>17</v>
      </c>
      <c r="B29" s="211" t="s">
        <v>30</v>
      </c>
      <c r="C29" s="212">
        <v>0</v>
      </c>
      <c r="D29" s="212">
        <v>0</v>
      </c>
      <c r="E29" s="212">
        <v>0</v>
      </c>
      <c r="F29" s="212">
        <v>219.46</v>
      </c>
      <c r="G29" s="212">
        <v>0</v>
      </c>
      <c r="H29" s="212">
        <v>0</v>
      </c>
      <c r="I29" s="212">
        <v>0</v>
      </c>
      <c r="J29" s="211">
        <v>219.46</v>
      </c>
    </row>
    <row r="30" s="209" customFormat="1" ht="16.5" spans="1:10">
      <c r="A30" s="211">
        <v>18</v>
      </c>
      <c r="B30" s="211" t="s">
        <v>31</v>
      </c>
      <c r="C30" s="212">
        <v>0</v>
      </c>
      <c r="D30" s="212">
        <v>0</v>
      </c>
      <c r="E30" s="212">
        <v>0</v>
      </c>
      <c r="F30" s="212">
        <v>219.46</v>
      </c>
      <c r="G30" s="212">
        <v>0</v>
      </c>
      <c r="H30" s="212">
        <v>0</v>
      </c>
      <c r="I30" s="212">
        <v>0</v>
      </c>
      <c r="J30" s="211">
        <v>219.46</v>
      </c>
    </row>
    <row r="31" s="209" customFormat="1" ht="16.5" spans="1:10">
      <c r="A31" s="211">
        <v>19</v>
      </c>
      <c r="B31" s="211" t="s">
        <v>32</v>
      </c>
      <c r="C31" s="212">
        <v>0</v>
      </c>
      <c r="D31" s="212">
        <v>0</v>
      </c>
      <c r="E31" s="212">
        <v>0</v>
      </c>
      <c r="F31" s="212">
        <v>219.46</v>
      </c>
      <c r="G31" s="212">
        <v>0</v>
      </c>
      <c r="H31" s="212">
        <v>0</v>
      </c>
      <c r="I31" s="212">
        <v>0</v>
      </c>
      <c r="J31" s="211">
        <v>219.46</v>
      </c>
    </row>
    <row r="32" s="209" customFormat="1" ht="16.5" spans="1:10">
      <c r="A32" s="211">
        <v>20</v>
      </c>
      <c r="B32" s="211" t="s">
        <v>33</v>
      </c>
      <c r="C32" s="212">
        <v>0</v>
      </c>
      <c r="D32" s="212">
        <v>0</v>
      </c>
      <c r="E32" s="212">
        <v>0</v>
      </c>
      <c r="F32" s="212">
        <v>219.46</v>
      </c>
      <c r="G32" s="212">
        <v>0</v>
      </c>
      <c r="H32" s="212">
        <v>0</v>
      </c>
      <c r="I32" s="212">
        <v>0</v>
      </c>
      <c r="J32" s="211">
        <v>219.46</v>
      </c>
    </row>
    <row r="33" s="209" customFormat="1" ht="16.5" spans="1:10">
      <c r="A33" s="211">
        <v>21</v>
      </c>
      <c r="B33" s="211" t="s">
        <v>34</v>
      </c>
      <c r="C33" s="212">
        <v>0</v>
      </c>
      <c r="D33" s="212">
        <v>0</v>
      </c>
      <c r="E33" s="212">
        <v>0</v>
      </c>
      <c r="F33" s="212">
        <v>219.46</v>
      </c>
      <c r="G33" s="212">
        <v>0</v>
      </c>
      <c r="H33" s="212">
        <v>0</v>
      </c>
      <c r="I33" s="212">
        <v>0</v>
      </c>
      <c r="J33" s="211">
        <v>219.46</v>
      </c>
    </row>
    <row r="34" s="209" customFormat="1" ht="16.5" spans="1:10">
      <c r="A34" s="211">
        <v>22</v>
      </c>
      <c r="B34" s="211" t="s">
        <v>35</v>
      </c>
      <c r="C34" s="212">
        <v>0</v>
      </c>
      <c r="D34" s="212">
        <v>0</v>
      </c>
      <c r="E34" s="212">
        <v>0</v>
      </c>
      <c r="F34" s="212">
        <v>219.46</v>
      </c>
      <c r="G34" s="212">
        <v>0</v>
      </c>
      <c r="H34" s="212">
        <v>0</v>
      </c>
      <c r="I34" s="212">
        <v>0</v>
      </c>
      <c r="J34" s="211">
        <v>219.46</v>
      </c>
    </row>
    <row r="35" s="209" customFormat="1" ht="16.5" spans="1:10">
      <c r="A35" s="211">
        <v>23</v>
      </c>
      <c r="B35" s="211" t="s">
        <v>36</v>
      </c>
      <c r="C35" s="212">
        <v>0</v>
      </c>
      <c r="D35" s="212">
        <v>0</v>
      </c>
      <c r="E35" s="212">
        <v>0</v>
      </c>
      <c r="F35" s="212">
        <v>219.46</v>
      </c>
      <c r="G35" s="212">
        <v>0</v>
      </c>
      <c r="H35" s="212">
        <v>0</v>
      </c>
      <c r="I35" s="212">
        <v>0</v>
      </c>
      <c r="J35" s="211">
        <v>219.46</v>
      </c>
    </row>
    <row r="36" s="209" customFormat="1" ht="16.5" spans="1:10">
      <c r="A36" s="211">
        <v>24</v>
      </c>
      <c r="B36" s="211" t="s">
        <v>37</v>
      </c>
      <c r="C36" s="212">
        <v>0</v>
      </c>
      <c r="D36" s="212">
        <v>0</v>
      </c>
      <c r="E36" s="212">
        <v>0</v>
      </c>
      <c r="F36" s="212">
        <v>219.46</v>
      </c>
      <c r="G36" s="212">
        <v>0</v>
      </c>
      <c r="H36" s="212">
        <v>0</v>
      </c>
      <c r="I36" s="212">
        <v>0</v>
      </c>
      <c r="J36" s="211">
        <v>219.46</v>
      </c>
    </row>
    <row r="37" s="209" customFormat="1" ht="16.5" spans="1:10">
      <c r="A37" s="211">
        <v>25</v>
      </c>
      <c r="B37" s="211" t="s">
        <v>38</v>
      </c>
      <c r="C37" s="212">
        <v>0</v>
      </c>
      <c r="D37" s="212">
        <v>-0.03</v>
      </c>
      <c r="E37" s="212">
        <v>0</v>
      </c>
      <c r="F37" s="212">
        <v>219.46</v>
      </c>
      <c r="G37" s="212">
        <v>0</v>
      </c>
      <c r="H37" s="212">
        <v>0</v>
      </c>
      <c r="I37" s="212">
        <v>0</v>
      </c>
      <c r="J37" s="211">
        <v>219.43</v>
      </c>
    </row>
    <row r="38" s="209" customFormat="1" ht="16.5" spans="1:10">
      <c r="A38" s="211">
        <v>26</v>
      </c>
      <c r="B38" s="211" t="s">
        <v>39</v>
      </c>
      <c r="C38" s="212">
        <v>0</v>
      </c>
      <c r="D38" s="212">
        <v>-0.09</v>
      </c>
      <c r="E38" s="212">
        <v>0</v>
      </c>
      <c r="F38" s="212">
        <v>219.46</v>
      </c>
      <c r="G38" s="212">
        <v>0</v>
      </c>
      <c r="H38" s="212">
        <v>0</v>
      </c>
      <c r="I38" s="212">
        <v>0</v>
      </c>
      <c r="J38" s="211">
        <v>219.37</v>
      </c>
    </row>
    <row r="39" s="209" customFormat="1" ht="16.5" spans="1:10">
      <c r="A39" s="211">
        <v>27</v>
      </c>
      <c r="B39" s="211" t="s">
        <v>40</v>
      </c>
      <c r="C39" s="212">
        <v>0</v>
      </c>
      <c r="D39" s="212">
        <v>-0.19</v>
      </c>
      <c r="E39" s="212">
        <v>0</v>
      </c>
      <c r="F39" s="212">
        <v>219.46</v>
      </c>
      <c r="G39" s="212">
        <v>0</v>
      </c>
      <c r="H39" s="212">
        <v>0</v>
      </c>
      <c r="I39" s="212">
        <v>0</v>
      </c>
      <c r="J39" s="211">
        <v>219.27</v>
      </c>
    </row>
    <row r="40" s="209" customFormat="1" ht="16.5" spans="1:10">
      <c r="A40" s="211">
        <v>28</v>
      </c>
      <c r="B40" s="211" t="s">
        <v>41</v>
      </c>
      <c r="C40" s="212">
        <v>0</v>
      </c>
      <c r="D40" s="212">
        <v>-0.34</v>
      </c>
      <c r="E40" s="212">
        <v>0</v>
      </c>
      <c r="F40" s="212">
        <v>219.46</v>
      </c>
      <c r="G40" s="212">
        <v>0</v>
      </c>
      <c r="H40" s="212">
        <v>0</v>
      </c>
      <c r="I40" s="212">
        <v>0</v>
      </c>
      <c r="J40" s="211">
        <v>219.12</v>
      </c>
    </row>
    <row r="41" s="209" customFormat="1" ht="16.5" spans="1:10">
      <c r="A41" s="211">
        <v>29</v>
      </c>
      <c r="B41" s="211" t="s">
        <v>42</v>
      </c>
      <c r="C41" s="212">
        <v>0</v>
      </c>
      <c r="D41" s="212">
        <v>-0.82</v>
      </c>
      <c r="E41" s="212">
        <v>0</v>
      </c>
      <c r="F41" s="212">
        <v>219.46</v>
      </c>
      <c r="G41" s="212">
        <v>0</v>
      </c>
      <c r="H41" s="212">
        <v>218.6</v>
      </c>
      <c r="I41" s="212">
        <v>188.48</v>
      </c>
      <c r="J41" s="211">
        <v>625.72</v>
      </c>
    </row>
    <row r="42" s="209" customFormat="1" ht="16.5" spans="1:10">
      <c r="A42" s="211">
        <v>30</v>
      </c>
      <c r="B42" s="211" t="s">
        <v>43</v>
      </c>
      <c r="C42" s="212">
        <v>0</v>
      </c>
      <c r="D42" s="212">
        <v>-1.26</v>
      </c>
      <c r="E42" s="212">
        <v>0</v>
      </c>
      <c r="F42" s="212">
        <v>219.46</v>
      </c>
      <c r="G42" s="212">
        <v>0</v>
      </c>
      <c r="H42" s="212">
        <v>218.6</v>
      </c>
      <c r="I42" s="212">
        <v>188.48</v>
      </c>
      <c r="J42" s="211">
        <v>625.28</v>
      </c>
    </row>
    <row r="43" s="209" customFormat="1" ht="16.5" spans="1:10">
      <c r="A43" s="211">
        <v>31</v>
      </c>
      <c r="B43" s="211" t="s">
        <v>44</v>
      </c>
      <c r="C43" s="212">
        <v>0</v>
      </c>
      <c r="D43" s="212">
        <v>-1.74</v>
      </c>
      <c r="E43" s="212">
        <v>0</v>
      </c>
      <c r="F43" s="212">
        <v>219.46</v>
      </c>
      <c r="G43" s="212">
        <v>0</v>
      </c>
      <c r="H43" s="212">
        <v>218.6</v>
      </c>
      <c r="I43" s="212">
        <v>188.48</v>
      </c>
      <c r="J43" s="211">
        <v>624.8</v>
      </c>
    </row>
    <row r="44" s="209" customFormat="1" ht="16.5" spans="1:10">
      <c r="A44" s="211">
        <v>32</v>
      </c>
      <c r="B44" s="211" t="s">
        <v>45</v>
      </c>
      <c r="C44" s="212">
        <v>0</v>
      </c>
      <c r="D44" s="212">
        <v>-2.25</v>
      </c>
      <c r="E44" s="212">
        <v>0</v>
      </c>
      <c r="F44" s="212">
        <v>219.46</v>
      </c>
      <c r="G44" s="212">
        <v>0</v>
      </c>
      <c r="H44" s="212">
        <v>218.6</v>
      </c>
      <c r="I44" s="212">
        <v>188.48</v>
      </c>
      <c r="J44" s="211">
        <v>624.29</v>
      </c>
    </row>
    <row r="45" s="209" customFormat="1" ht="16.5" spans="1:10">
      <c r="A45" s="211">
        <v>33</v>
      </c>
      <c r="B45" s="211" t="s">
        <v>46</v>
      </c>
      <c r="C45" s="212">
        <v>0</v>
      </c>
      <c r="D45" s="212">
        <v>-2.85</v>
      </c>
      <c r="E45" s="212">
        <v>0</v>
      </c>
      <c r="F45" s="212">
        <v>219.46</v>
      </c>
      <c r="G45" s="212">
        <v>0</v>
      </c>
      <c r="H45" s="212">
        <v>218.6</v>
      </c>
      <c r="I45" s="212">
        <v>188.48</v>
      </c>
      <c r="J45" s="211">
        <v>623.69</v>
      </c>
    </row>
    <row r="46" s="209" customFormat="1" ht="16.5" spans="1:10">
      <c r="A46" s="211">
        <v>34</v>
      </c>
      <c r="B46" s="211" t="s">
        <v>47</v>
      </c>
      <c r="C46" s="212">
        <v>0</v>
      </c>
      <c r="D46" s="212">
        <v>-3.73</v>
      </c>
      <c r="E46" s="212">
        <v>0</v>
      </c>
      <c r="F46" s="212">
        <v>219.46</v>
      </c>
      <c r="G46" s="212">
        <v>0</v>
      </c>
      <c r="H46" s="212">
        <v>218.6</v>
      </c>
      <c r="I46" s="212">
        <v>188.48</v>
      </c>
      <c r="J46" s="211">
        <v>622.81</v>
      </c>
    </row>
    <row r="47" s="209" customFormat="1" ht="16.5" spans="1:10">
      <c r="A47" s="211">
        <v>35</v>
      </c>
      <c r="B47" s="211" t="s">
        <v>48</v>
      </c>
      <c r="C47" s="212">
        <v>0</v>
      </c>
      <c r="D47" s="212">
        <v>-4.74</v>
      </c>
      <c r="E47" s="212">
        <v>0</v>
      </c>
      <c r="F47" s="212">
        <v>219.46</v>
      </c>
      <c r="G47" s="212">
        <v>0</v>
      </c>
      <c r="H47" s="212">
        <v>218.6</v>
      </c>
      <c r="I47" s="212">
        <v>188.48</v>
      </c>
      <c r="J47" s="211">
        <v>621.8</v>
      </c>
    </row>
    <row r="48" s="209" customFormat="1" ht="16.5" spans="1:10">
      <c r="A48" s="211">
        <v>36</v>
      </c>
      <c r="B48" s="211" t="s">
        <v>49</v>
      </c>
      <c r="C48" s="212">
        <v>0</v>
      </c>
      <c r="D48" s="212">
        <v>-5.74</v>
      </c>
      <c r="E48" s="212">
        <v>0</v>
      </c>
      <c r="F48" s="212">
        <v>219.46</v>
      </c>
      <c r="G48" s="212">
        <v>0</v>
      </c>
      <c r="H48" s="212">
        <v>218.6</v>
      </c>
      <c r="I48" s="212">
        <v>188.48</v>
      </c>
      <c r="J48" s="211">
        <v>620.8</v>
      </c>
    </row>
    <row r="49" s="209" customFormat="1" ht="16.5" spans="1:10">
      <c r="A49" s="211">
        <v>37</v>
      </c>
      <c r="B49" s="211" t="s">
        <v>50</v>
      </c>
      <c r="C49" s="212">
        <v>0</v>
      </c>
      <c r="D49" s="212">
        <v>-6.7</v>
      </c>
      <c r="E49" s="212">
        <v>0</v>
      </c>
      <c r="F49" s="212">
        <v>219.46</v>
      </c>
      <c r="G49" s="212">
        <v>0</v>
      </c>
      <c r="H49" s="212">
        <v>0</v>
      </c>
      <c r="I49" s="212">
        <v>0</v>
      </c>
      <c r="J49" s="211">
        <v>212.76</v>
      </c>
    </row>
    <row r="50" s="209" customFormat="1" ht="16.5" spans="1:10">
      <c r="A50" s="211">
        <v>38</v>
      </c>
      <c r="B50" s="211" t="s">
        <v>51</v>
      </c>
      <c r="C50" s="212">
        <v>0</v>
      </c>
      <c r="D50" s="212">
        <v>-7.62</v>
      </c>
      <c r="E50" s="212">
        <v>0</v>
      </c>
      <c r="F50" s="212">
        <v>219.46</v>
      </c>
      <c r="G50" s="212">
        <v>0</v>
      </c>
      <c r="H50" s="212">
        <v>0</v>
      </c>
      <c r="I50" s="212">
        <v>0</v>
      </c>
      <c r="J50" s="211">
        <v>211.84</v>
      </c>
    </row>
    <row r="51" s="209" customFormat="1" ht="16.5" spans="1:10">
      <c r="A51" s="211">
        <v>39</v>
      </c>
      <c r="B51" s="211" t="s">
        <v>52</v>
      </c>
      <c r="C51" s="212">
        <v>0</v>
      </c>
      <c r="D51" s="212">
        <v>-8.44</v>
      </c>
      <c r="E51" s="212">
        <v>0</v>
      </c>
      <c r="F51" s="212">
        <v>219.46</v>
      </c>
      <c r="G51" s="212">
        <v>0</v>
      </c>
      <c r="H51" s="212">
        <v>0</v>
      </c>
      <c r="I51" s="212">
        <v>0</v>
      </c>
      <c r="J51" s="211">
        <v>211.02</v>
      </c>
    </row>
    <row r="52" s="209" customFormat="1" ht="16.5" spans="1:10">
      <c r="A52" s="211">
        <v>40</v>
      </c>
      <c r="B52" s="211" t="s">
        <v>53</v>
      </c>
      <c r="C52" s="212">
        <v>0</v>
      </c>
      <c r="D52" s="212">
        <v>-8.99</v>
      </c>
      <c r="E52" s="212">
        <v>0</v>
      </c>
      <c r="F52" s="212">
        <v>219.46</v>
      </c>
      <c r="G52" s="212">
        <v>0</v>
      </c>
      <c r="H52" s="212">
        <v>0</v>
      </c>
      <c r="I52" s="212">
        <v>0</v>
      </c>
      <c r="J52" s="211">
        <v>210.47</v>
      </c>
    </row>
    <row r="53" s="209" customFormat="1" ht="16.5" spans="1:10">
      <c r="A53" s="211">
        <v>41</v>
      </c>
      <c r="B53" s="211" t="s">
        <v>54</v>
      </c>
      <c r="C53" s="212">
        <v>0</v>
      </c>
      <c r="D53" s="212">
        <v>-7.24</v>
      </c>
      <c r="E53" s="212">
        <v>0</v>
      </c>
      <c r="F53" s="212">
        <v>219.46</v>
      </c>
      <c r="G53" s="212">
        <v>0</v>
      </c>
      <c r="H53" s="212">
        <v>0</v>
      </c>
      <c r="I53" s="212">
        <v>0</v>
      </c>
      <c r="J53" s="211">
        <v>212.22</v>
      </c>
    </row>
    <row r="54" s="209" customFormat="1" ht="16.5" spans="1:10">
      <c r="A54" s="211">
        <v>42</v>
      </c>
      <c r="B54" s="211" t="s">
        <v>55</v>
      </c>
      <c r="C54" s="212">
        <v>0</v>
      </c>
      <c r="D54" s="212">
        <v>-7.59</v>
      </c>
      <c r="E54" s="212">
        <v>0</v>
      </c>
      <c r="F54" s="212">
        <v>219.46</v>
      </c>
      <c r="G54" s="212">
        <v>0</v>
      </c>
      <c r="H54" s="212">
        <v>0</v>
      </c>
      <c r="I54" s="212">
        <v>0</v>
      </c>
      <c r="J54" s="211">
        <v>211.87</v>
      </c>
    </row>
    <row r="55" s="209" customFormat="1" ht="16.5" spans="1:10">
      <c r="A55" s="211">
        <v>43</v>
      </c>
      <c r="B55" s="211" t="s">
        <v>56</v>
      </c>
      <c r="C55" s="212">
        <v>0</v>
      </c>
      <c r="D55" s="212">
        <v>-7.97</v>
      </c>
      <c r="E55" s="212">
        <v>0</v>
      </c>
      <c r="F55" s="212">
        <v>219.46</v>
      </c>
      <c r="G55" s="212">
        <v>0</v>
      </c>
      <c r="H55" s="212">
        <v>0</v>
      </c>
      <c r="I55" s="212">
        <v>0</v>
      </c>
      <c r="J55" s="211">
        <v>211.49</v>
      </c>
    </row>
    <row r="56" s="209" customFormat="1" ht="16.5" spans="1:10">
      <c r="A56" s="211">
        <v>44</v>
      </c>
      <c r="B56" s="211" t="s">
        <v>57</v>
      </c>
      <c r="C56" s="212">
        <v>0</v>
      </c>
      <c r="D56" s="212">
        <v>-8.33</v>
      </c>
      <c r="E56" s="212">
        <v>0</v>
      </c>
      <c r="F56" s="212">
        <v>219.46</v>
      </c>
      <c r="G56" s="212">
        <v>0</v>
      </c>
      <c r="H56" s="212">
        <v>0</v>
      </c>
      <c r="I56" s="212">
        <v>0</v>
      </c>
      <c r="J56" s="211">
        <v>211.13</v>
      </c>
    </row>
    <row r="57" s="209" customFormat="1" ht="16.5" spans="1:10">
      <c r="A57" s="211">
        <v>45</v>
      </c>
      <c r="B57" s="211" t="s">
        <v>58</v>
      </c>
      <c r="C57" s="212">
        <v>0</v>
      </c>
      <c r="D57" s="212">
        <v>-8.52</v>
      </c>
      <c r="E57" s="212">
        <v>0</v>
      </c>
      <c r="F57" s="212">
        <v>219.46</v>
      </c>
      <c r="G57" s="212">
        <v>0</v>
      </c>
      <c r="H57" s="212">
        <v>0</v>
      </c>
      <c r="I57" s="212">
        <v>0</v>
      </c>
      <c r="J57" s="211">
        <v>210.94</v>
      </c>
    </row>
    <row r="58" s="209" customFormat="1" ht="16.5" spans="1:10">
      <c r="A58" s="211">
        <v>46</v>
      </c>
      <c r="B58" s="211" t="s">
        <v>59</v>
      </c>
      <c r="C58" s="212">
        <v>0</v>
      </c>
      <c r="D58" s="212">
        <v>-8.73</v>
      </c>
      <c r="E58" s="212">
        <v>0</v>
      </c>
      <c r="F58" s="212">
        <v>219.46</v>
      </c>
      <c r="G58" s="212">
        <v>0</v>
      </c>
      <c r="H58" s="212">
        <v>0</v>
      </c>
      <c r="I58" s="212">
        <v>0</v>
      </c>
      <c r="J58" s="211">
        <v>210.73</v>
      </c>
    </row>
    <row r="59" s="209" customFormat="1" ht="16.5" spans="1:10">
      <c r="A59" s="211">
        <v>47</v>
      </c>
      <c r="B59" s="211" t="s">
        <v>60</v>
      </c>
      <c r="C59" s="212">
        <v>0</v>
      </c>
      <c r="D59" s="212">
        <v>-8.94</v>
      </c>
      <c r="E59" s="212">
        <v>0</v>
      </c>
      <c r="F59" s="212">
        <v>219.46</v>
      </c>
      <c r="G59" s="212">
        <v>0</v>
      </c>
      <c r="H59" s="212">
        <v>0</v>
      </c>
      <c r="I59" s="212">
        <v>0</v>
      </c>
      <c r="J59" s="211">
        <v>210.52</v>
      </c>
    </row>
    <row r="60" s="209" customFormat="1" ht="16.5" spans="1:10">
      <c r="A60" s="211">
        <v>48</v>
      </c>
      <c r="B60" s="211" t="s">
        <v>61</v>
      </c>
      <c r="C60" s="212">
        <v>0</v>
      </c>
      <c r="D60" s="212">
        <v>-9.13</v>
      </c>
      <c r="E60" s="212">
        <v>0</v>
      </c>
      <c r="F60" s="212">
        <v>219.46</v>
      </c>
      <c r="G60" s="212">
        <v>0</v>
      </c>
      <c r="H60" s="212">
        <v>0</v>
      </c>
      <c r="I60" s="212">
        <v>0</v>
      </c>
      <c r="J60" s="211">
        <v>210.33</v>
      </c>
    </row>
    <row r="61" s="209" customFormat="1" ht="16.5" spans="1:10">
      <c r="A61" s="211">
        <v>49</v>
      </c>
      <c r="B61" s="211" t="s">
        <v>62</v>
      </c>
      <c r="C61" s="212">
        <v>0</v>
      </c>
      <c r="D61" s="212">
        <v>-9.15</v>
      </c>
      <c r="E61" s="212">
        <v>0</v>
      </c>
      <c r="F61" s="212">
        <v>219.46</v>
      </c>
      <c r="G61" s="212">
        <v>0</v>
      </c>
      <c r="H61" s="212">
        <v>0</v>
      </c>
      <c r="I61" s="212">
        <v>0</v>
      </c>
      <c r="J61" s="211">
        <v>210.31</v>
      </c>
    </row>
    <row r="62" s="209" customFormat="1" ht="16.5" spans="1:10">
      <c r="A62" s="211">
        <v>50</v>
      </c>
      <c r="B62" s="211" t="s">
        <v>63</v>
      </c>
      <c r="C62" s="212">
        <v>0</v>
      </c>
      <c r="D62" s="212">
        <v>-9.15</v>
      </c>
      <c r="E62" s="212">
        <v>0</v>
      </c>
      <c r="F62" s="212">
        <v>219.46</v>
      </c>
      <c r="G62" s="212">
        <v>0</v>
      </c>
      <c r="H62" s="212">
        <v>0</v>
      </c>
      <c r="I62" s="212">
        <v>0</v>
      </c>
      <c r="J62" s="211">
        <v>210.31</v>
      </c>
    </row>
    <row r="63" s="209" customFormat="1" ht="16.5" spans="1:10">
      <c r="A63" s="211">
        <v>51</v>
      </c>
      <c r="B63" s="211" t="s">
        <v>64</v>
      </c>
      <c r="C63" s="212">
        <v>0</v>
      </c>
      <c r="D63" s="212">
        <v>-9.13</v>
      </c>
      <c r="E63" s="212">
        <v>0</v>
      </c>
      <c r="F63" s="212">
        <v>219.46</v>
      </c>
      <c r="G63" s="212">
        <v>0</v>
      </c>
      <c r="H63" s="212">
        <v>0</v>
      </c>
      <c r="I63" s="212">
        <v>0</v>
      </c>
      <c r="J63" s="211">
        <v>210.33</v>
      </c>
    </row>
    <row r="64" s="209" customFormat="1" ht="16.5" spans="1:10">
      <c r="A64" s="211">
        <v>52</v>
      </c>
      <c r="B64" s="211" t="s">
        <v>65</v>
      </c>
      <c r="C64" s="212">
        <v>0</v>
      </c>
      <c r="D64" s="212">
        <v>-9.1</v>
      </c>
      <c r="E64" s="212">
        <v>0</v>
      </c>
      <c r="F64" s="212">
        <v>219.46</v>
      </c>
      <c r="G64" s="212">
        <v>0</v>
      </c>
      <c r="H64" s="212">
        <v>0</v>
      </c>
      <c r="I64" s="212">
        <v>0</v>
      </c>
      <c r="J64" s="211">
        <v>210.36</v>
      </c>
    </row>
    <row r="65" s="209" customFormat="1" ht="16.5" spans="1:10">
      <c r="A65" s="211">
        <v>53</v>
      </c>
      <c r="B65" s="211" t="s">
        <v>66</v>
      </c>
      <c r="C65" s="212">
        <v>0</v>
      </c>
      <c r="D65" s="212">
        <v>-8.87</v>
      </c>
      <c r="E65" s="212">
        <v>0</v>
      </c>
      <c r="F65" s="212">
        <v>219.46</v>
      </c>
      <c r="G65" s="212">
        <v>0</v>
      </c>
      <c r="H65" s="212">
        <v>0</v>
      </c>
      <c r="I65" s="212">
        <v>0</v>
      </c>
      <c r="J65" s="211">
        <v>210.59</v>
      </c>
    </row>
    <row r="66" s="209" customFormat="1" ht="16.5" spans="1:10">
      <c r="A66" s="211">
        <v>54</v>
      </c>
      <c r="B66" s="211" t="s">
        <v>67</v>
      </c>
      <c r="C66" s="212">
        <v>0</v>
      </c>
      <c r="D66" s="212">
        <v>-8.66</v>
      </c>
      <c r="E66" s="212">
        <v>0</v>
      </c>
      <c r="F66" s="212">
        <v>219.46</v>
      </c>
      <c r="G66" s="212">
        <v>0</v>
      </c>
      <c r="H66" s="212">
        <v>0</v>
      </c>
      <c r="I66" s="212">
        <v>0</v>
      </c>
      <c r="J66" s="211">
        <v>210.8</v>
      </c>
    </row>
    <row r="67" s="209" customFormat="1" ht="16.5" spans="1:10">
      <c r="A67" s="211">
        <v>55</v>
      </c>
      <c r="B67" s="211" t="s">
        <v>68</v>
      </c>
      <c r="C67" s="212">
        <v>0</v>
      </c>
      <c r="D67" s="212">
        <v>-8.46</v>
      </c>
      <c r="E67" s="212">
        <v>0</v>
      </c>
      <c r="F67" s="212">
        <v>219.46</v>
      </c>
      <c r="G67" s="212">
        <v>0</v>
      </c>
      <c r="H67" s="212">
        <v>0</v>
      </c>
      <c r="I67" s="212">
        <v>0</v>
      </c>
      <c r="J67" s="211">
        <v>211</v>
      </c>
    </row>
    <row r="68" s="209" customFormat="1" ht="16.5" spans="1:10">
      <c r="A68" s="211">
        <v>56</v>
      </c>
      <c r="B68" s="211" t="s">
        <v>69</v>
      </c>
      <c r="C68" s="212">
        <v>0</v>
      </c>
      <c r="D68" s="212">
        <v>-8.22</v>
      </c>
      <c r="E68" s="212">
        <v>0</v>
      </c>
      <c r="F68" s="212">
        <v>219.46</v>
      </c>
      <c r="G68" s="212">
        <v>0</v>
      </c>
      <c r="H68" s="212">
        <v>0</v>
      </c>
      <c r="I68" s="212">
        <v>0</v>
      </c>
      <c r="J68" s="211">
        <v>211.24</v>
      </c>
    </row>
    <row r="69" s="209" customFormat="1" ht="16.5" spans="1:10">
      <c r="A69" s="211">
        <v>57</v>
      </c>
      <c r="B69" s="211" t="s">
        <v>70</v>
      </c>
      <c r="C69" s="212">
        <v>0</v>
      </c>
      <c r="D69" s="212">
        <v>-7.78</v>
      </c>
      <c r="E69" s="212">
        <v>0</v>
      </c>
      <c r="F69" s="212">
        <v>219.46</v>
      </c>
      <c r="G69" s="212">
        <v>0</v>
      </c>
      <c r="H69" s="212">
        <v>0</v>
      </c>
      <c r="I69" s="212">
        <v>0</v>
      </c>
      <c r="J69" s="211">
        <v>211.68</v>
      </c>
    </row>
    <row r="70" s="209" customFormat="1" ht="16.5" spans="1:10">
      <c r="A70" s="211">
        <v>58</v>
      </c>
      <c r="B70" s="211" t="s">
        <v>71</v>
      </c>
      <c r="C70" s="212">
        <v>0</v>
      </c>
      <c r="D70" s="212">
        <v>-7.34</v>
      </c>
      <c r="E70" s="212">
        <v>0</v>
      </c>
      <c r="F70" s="212">
        <v>219.46</v>
      </c>
      <c r="G70" s="212">
        <v>0</v>
      </c>
      <c r="H70" s="212">
        <v>0</v>
      </c>
      <c r="I70" s="212">
        <v>0</v>
      </c>
      <c r="J70" s="211">
        <v>212.12</v>
      </c>
    </row>
    <row r="71" s="209" customFormat="1" ht="16.5" spans="1:10">
      <c r="A71" s="211">
        <v>59</v>
      </c>
      <c r="B71" s="211" t="s">
        <v>72</v>
      </c>
      <c r="C71" s="212">
        <v>0</v>
      </c>
      <c r="D71" s="212">
        <v>-6.86</v>
      </c>
      <c r="E71" s="212">
        <v>0</v>
      </c>
      <c r="F71" s="212">
        <v>219.46</v>
      </c>
      <c r="G71" s="212">
        <v>0</v>
      </c>
      <c r="H71" s="212">
        <v>0</v>
      </c>
      <c r="I71" s="212">
        <v>0</v>
      </c>
      <c r="J71" s="211">
        <v>212.6</v>
      </c>
    </row>
    <row r="72" s="209" customFormat="1" ht="16.5" spans="1:10">
      <c r="A72" s="211">
        <v>60</v>
      </c>
      <c r="B72" s="211" t="s">
        <v>73</v>
      </c>
      <c r="C72" s="212">
        <v>0</v>
      </c>
      <c r="D72" s="212">
        <v>-6.37</v>
      </c>
      <c r="E72" s="212">
        <v>0</v>
      </c>
      <c r="F72" s="212">
        <v>219.46</v>
      </c>
      <c r="G72" s="212">
        <v>0</v>
      </c>
      <c r="H72" s="212">
        <v>0</v>
      </c>
      <c r="I72" s="212">
        <v>0</v>
      </c>
      <c r="J72" s="211">
        <v>213.09</v>
      </c>
    </row>
    <row r="73" s="209" customFormat="1" ht="16.5" spans="1:10">
      <c r="A73" s="211">
        <v>61</v>
      </c>
      <c r="B73" s="211" t="s">
        <v>74</v>
      </c>
      <c r="C73" s="212">
        <v>0</v>
      </c>
      <c r="D73" s="212">
        <v>-5.87</v>
      </c>
      <c r="E73" s="212">
        <v>0</v>
      </c>
      <c r="F73" s="212">
        <v>219.46</v>
      </c>
      <c r="G73" s="212">
        <v>0</v>
      </c>
      <c r="H73" s="212">
        <v>0</v>
      </c>
      <c r="I73" s="212">
        <v>0</v>
      </c>
      <c r="J73" s="211">
        <v>213.59</v>
      </c>
    </row>
    <row r="74" s="209" customFormat="1" ht="16.5" spans="1:10">
      <c r="A74" s="211">
        <v>62</v>
      </c>
      <c r="B74" s="211" t="s">
        <v>75</v>
      </c>
      <c r="C74" s="212">
        <v>0</v>
      </c>
      <c r="D74" s="212">
        <v>-5.37</v>
      </c>
      <c r="E74" s="212">
        <v>0</v>
      </c>
      <c r="F74" s="212">
        <v>219.46</v>
      </c>
      <c r="G74" s="212">
        <v>0</v>
      </c>
      <c r="H74" s="212">
        <v>0</v>
      </c>
      <c r="I74" s="212">
        <v>0</v>
      </c>
      <c r="J74" s="211">
        <v>214.09</v>
      </c>
    </row>
    <row r="75" s="209" customFormat="1" ht="16.5" spans="1:10">
      <c r="A75" s="211">
        <v>63</v>
      </c>
      <c r="B75" s="211" t="s">
        <v>76</v>
      </c>
      <c r="C75" s="212">
        <v>0</v>
      </c>
      <c r="D75" s="212">
        <v>-4.84</v>
      </c>
      <c r="E75" s="212">
        <v>0</v>
      </c>
      <c r="F75" s="212">
        <v>219.46</v>
      </c>
      <c r="G75" s="212">
        <v>0</v>
      </c>
      <c r="H75" s="212">
        <v>0</v>
      </c>
      <c r="I75" s="212">
        <v>0</v>
      </c>
      <c r="J75" s="211">
        <v>214.62</v>
      </c>
    </row>
    <row r="76" s="209" customFormat="1" ht="16.5" spans="1:10">
      <c r="A76" s="211">
        <v>64</v>
      </c>
      <c r="B76" s="211" t="s">
        <v>77</v>
      </c>
      <c r="C76" s="212">
        <v>0</v>
      </c>
      <c r="D76" s="212">
        <v>-4.32</v>
      </c>
      <c r="E76" s="212">
        <v>0</v>
      </c>
      <c r="F76" s="212">
        <v>219.46</v>
      </c>
      <c r="G76" s="212">
        <v>0</v>
      </c>
      <c r="H76" s="212">
        <v>0</v>
      </c>
      <c r="I76" s="212">
        <v>0</v>
      </c>
      <c r="J76" s="211">
        <v>215.14</v>
      </c>
    </row>
    <row r="77" s="209" customFormat="1" ht="16.5" spans="1:10">
      <c r="A77" s="211">
        <v>65</v>
      </c>
      <c r="B77" s="211" t="s">
        <v>78</v>
      </c>
      <c r="C77" s="212">
        <v>0</v>
      </c>
      <c r="D77" s="212">
        <v>-3.74</v>
      </c>
      <c r="E77" s="212">
        <v>0</v>
      </c>
      <c r="F77" s="212">
        <v>219.46</v>
      </c>
      <c r="G77" s="212">
        <v>0</v>
      </c>
      <c r="H77" s="212">
        <v>0</v>
      </c>
      <c r="I77" s="212">
        <v>0</v>
      </c>
      <c r="J77" s="211">
        <v>215.72</v>
      </c>
    </row>
    <row r="78" s="209" customFormat="1" ht="16.5" spans="1:10">
      <c r="A78" s="211">
        <v>66</v>
      </c>
      <c r="B78" s="211" t="s">
        <v>79</v>
      </c>
      <c r="C78" s="212">
        <v>0</v>
      </c>
      <c r="D78" s="212">
        <v>-3.15</v>
      </c>
      <c r="E78" s="212">
        <v>0</v>
      </c>
      <c r="F78" s="212">
        <v>219.46</v>
      </c>
      <c r="G78" s="212">
        <v>0</v>
      </c>
      <c r="H78" s="212">
        <v>0</v>
      </c>
      <c r="I78" s="212">
        <v>0</v>
      </c>
      <c r="J78" s="211">
        <v>216.31</v>
      </c>
    </row>
    <row r="79" s="209" customFormat="1" ht="16.5" spans="1:10">
      <c r="A79" s="211">
        <v>67</v>
      </c>
      <c r="B79" s="211" t="s">
        <v>80</v>
      </c>
      <c r="C79" s="212">
        <v>0</v>
      </c>
      <c r="D79" s="212">
        <v>-2.56</v>
      </c>
      <c r="E79" s="212">
        <v>0</v>
      </c>
      <c r="F79" s="212">
        <v>219.46</v>
      </c>
      <c r="G79" s="212">
        <v>0</v>
      </c>
      <c r="H79" s="212">
        <v>0</v>
      </c>
      <c r="I79" s="212">
        <v>0</v>
      </c>
      <c r="J79" s="211">
        <v>216.9</v>
      </c>
    </row>
    <row r="80" s="209" customFormat="1" ht="16.5" spans="1:10">
      <c r="A80" s="211">
        <v>68</v>
      </c>
      <c r="B80" s="211" t="s">
        <v>81</v>
      </c>
      <c r="C80" s="212">
        <v>0</v>
      </c>
      <c r="D80" s="212">
        <v>-1.99</v>
      </c>
      <c r="E80" s="212">
        <v>0</v>
      </c>
      <c r="F80" s="212">
        <v>219.46</v>
      </c>
      <c r="G80" s="212">
        <v>0</v>
      </c>
      <c r="H80" s="212">
        <v>0</v>
      </c>
      <c r="I80" s="212">
        <v>0</v>
      </c>
      <c r="J80" s="211">
        <v>217.47</v>
      </c>
    </row>
    <row r="81" s="209" customFormat="1" ht="16.5" spans="1:10">
      <c r="A81" s="211">
        <v>69</v>
      </c>
      <c r="B81" s="211" t="s">
        <v>82</v>
      </c>
      <c r="C81" s="212">
        <v>0</v>
      </c>
      <c r="D81" s="212">
        <v>-1.51</v>
      </c>
      <c r="E81" s="212">
        <v>0</v>
      </c>
      <c r="F81" s="212">
        <v>219.46</v>
      </c>
      <c r="G81" s="212">
        <v>0</v>
      </c>
      <c r="H81" s="212">
        <v>0</v>
      </c>
      <c r="I81" s="212">
        <v>0</v>
      </c>
      <c r="J81" s="211">
        <v>217.95</v>
      </c>
    </row>
    <row r="82" s="209" customFormat="1" ht="16.5" spans="1:10">
      <c r="A82" s="211">
        <v>70</v>
      </c>
      <c r="B82" s="211" t="s">
        <v>83</v>
      </c>
      <c r="C82" s="212">
        <v>0</v>
      </c>
      <c r="D82" s="212">
        <v>-1.05</v>
      </c>
      <c r="E82" s="212">
        <v>0</v>
      </c>
      <c r="F82" s="212">
        <v>219.46</v>
      </c>
      <c r="G82" s="212">
        <v>0</v>
      </c>
      <c r="H82" s="212">
        <v>0</v>
      </c>
      <c r="I82" s="212">
        <v>0</v>
      </c>
      <c r="J82" s="211">
        <v>218.41</v>
      </c>
    </row>
    <row r="83" s="209" customFormat="1" ht="16.5" spans="1:10">
      <c r="A83" s="211">
        <v>71</v>
      </c>
      <c r="B83" s="211" t="s">
        <v>84</v>
      </c>
      <c r="C83" s="212">
        <v>0</v>
      </c>
      <c r="D83" s="212">
        <v>-0.62</v>
      </c>
      <c r="E83" s="212">
        <v>0</v>
      </c>
      <c r="F83" s="212">
        <v>219.46</v>
      </c>
      <c r="G83" s="212">
        <v>0</v>
      </c>
      <c r="H83" s="212">
        <v>218.6</v>
      </c>
      <c r="I83" s="212">
        <v>188.48</v>
      </c>
      <c r="J83" s="211">
        <v>625.92</v>
      </c>
    </row>
    <row r="84" s="209" customFormat="1" ht="16.5" spans="1:10">
      <c r="A84" s="211">
        <v>72</v>
      </c>
      <c r="B84" s="211" t="s">
        <v>85</v>
      </c>
      <c r="C84" s="212">
        <v>0</v>
      </c>
      <c r="D84" s="212">
        <v>-0.2</v>
      </c>
      <c r="E84" s="212">
        <v>0</v>
      </c>
      <c r="F84" s="212">
        <v>219.46</v>
      </c>
      <c r="G84" s="212">
        <v>0</v>
      </c>
      <c r="H84" s="212">
        <v>218.6</v>
      </c>
      <c r="I84" s="212">
        <v>188.48</v>
      </c>
      <c r="J84" s="211">
        <v>626.34</v>
      </c>
    </row>
    <row r="85" s="209" customFormat="1" ht="16.5" spans="1:10">
      <c r="A85" s="211">
        <v>73</v>
      </c>
      <c r="B85" s="211" t="s">
        <v>86</v>
      </c>
      <c r="C85" s="212">
        <v>0</v>
      </c>
      <c r="D85" s="212">
        <v>-0.1</v>
      </c>
      <c r="E85" s="212">
        <v>0</v>
      </c>
      <c r="F85" s="212">
        <v>219.46</v>
      </c>
      <c r="G85" s="212">
        <v>0</v>
      </c>
      <c r="H85" s="212">
        <v>218.6</v>
      </c>
      <c r="I85" s="212">
        <v>188.48</v>
      </c>
      <c r="J85" s="211">
        <v>626.44</v>
      </c>
    </row>
    <row r="86" s="209" customFormat="1" ht="16.5" spans="1:10">
      <c r="A86" s="211">
        <v>74</v>
      </c>
      <c r="B86" s="211" t="s">
        <v>87</v>
      </c>
      <c r="C86" s="212">
        <v>0</v>
      </c>
      <c r="D86" s="212">
        <v>-0.05</v>
      </c>
      <c r="E86" s="212">
        <v>0</v>
      </c>
      <c r="F86" s="212">
        <v>219.46</v>
      </c>
      <c r="G86" s="212">
        <v>0</v>
      </c>
      <c r="H86" s="212">
        <v>218.6</v>
      </c>
      <c r="I86" s="212">
        <v>188.48</v>
      </c>
      <c r="J86" s="211">
        <v>626.49</v>
      </c>
    </row>
    <row r="87" s="209" customFormat="1" ht="16.5" spans="1:10">
      <c r="A87" s="211">
        <v>75</v>
      </c>
      <c r="B87" s="211" t="s">
        <v>88</v>
      </c>
      <c r="C87" s="212">
        <v>0</v>
      </c>
      <c r="D87" s="212">
        <v>-0.02</v>
      </c>
      <c r="E87" s="212">
        <v>0</v>
      </c>
      <c r="F87" s="212">
        <v>219.46</v>
      </c>
      <c r="G87" s="212">
        <v>0</v>
      </c>
      <c r="H87" s="212">
        <v>218.6</v>
      </c>
      <c r="I87" s="212">
        <v>188.48</v>
      </c>
      <c r="J87" s="211">
        <v>626.52</v>
      </c>
    </row>
    <row r="88" s="209" customFormat="1" ht="16.5" spans="1:10">
      <c r="A88" s="211">
        <v>76</v>
      </c>
      <c r="B88" s="211" t="s">
        <v>89</v>
      </c>
      <c r="C88" s="212">
        <v>0</v>
      </c>
      <c r="D88" s="212">
        <v>-0.01</v>
      </c>
      <c r="E88" s="212">
        <v>0</v>
      </c>
      <c r="F88" s="212">
        <v>219.46</v>
      </c>
      <c r="G88" s="212">
        <v>0</v>
      </c>
      <c r="H88" s="212">
        <v>218.6</v>
      </c>
      <c r="I88" s="212">
        <v>188.48</v>
      </c>
      <c r="J88" s="211">
        <v>626.53</v>
      </c>
    </row>
    <row r="89" s="209" customFormat="1" ht="16.5" spans="1:10">
      <c r="A89" s="211">
        <v>77</v>
      </c>
      <c r="B89" s="211" t="s">
        <v>90</v>
      </c>
      <c r="C89" s="212">
        <v>0</v>
      </c>
      <c r="D89" s="212">
        <v>0</v>
      </c>
      <c r="E89" s="212">
        <v>0</v>
      </c>
      <c r="F89" s="212">
        <v>219.46</v>
      </c>
      <c r="G89" s="212">
        <v>0</v>
      </c>
      <c r="H89" s="212">
        <v>218.6</v>
      </c>
      <c r="I89" s="212">
        <v>188.48</v>
      </c>
      <c r="J89" s="211">
        <v>626.54</v>
      </c>
    </row>
    <row r="90" s="209" customFormat="1" ht="16.5" spans="1:10">
      <c r="A90" s="211">
        <v>78</v>
      </c>
      <c r="B90" s="211" t="s">
        <v>91</v>
      </c>
      <c r="C90" s="212">
        <v>0</v>
      </c>
      <c r="D90" s="212">
        <v>0</v>
      </c>
      <c r="E90" s="212">
        <v>0</v>
      </c>
      <c r="F90" s="212">
        <v>219.46</v>
      </c>
      <c r="G90" s="212">
        <v>0</v>
      </c>
      <c r="H90" s="212">
        <v>218.6</v>
      </c>
      <c r="I90" s="212">
        <v>188.48</v>
      </c>
      <c r="J90" s="211">
        <v>626.54</v>
      </c>
    </row>
    <row r="91" s="209" customFormat="1" ht="16.5" spans="1:10">
      <c r="A91" s="211">
        <v>79</v>
      </c>
      <c r="B91" s="211" t="s">
        <v>92</v>
      </c>
      <c r="C91" s="212">
        <v>0</v>
      </c>
      <c r="D91" s="212">
        <v>0</v>
      </c>
      <c r="E91" s="212">
        <v>0</v>
      </c>
      <c r="F91" s="212">
        <v>219.46</v>
      </c>
      <c r="G91" s="212">
        <v>0</v>
      </c>
      <c r="H91" s="212">
        <v>0</v>
      </c>
      <c r="I91" s="212">
        <v>0</v>
      </c>
      <c r="J91" s="211">
        <v>219.46</v>
      </c>
    </row>
    <row r="92" s="209" customFormat="1" ht="16.5" spans="1:10">
      <c r="A92" s="211">
        <v>80</v>
      </c>
      <c r="B92" s="211" t="s">
        <v>93</v>
      </c>
      <c r="C92" s="212">
        <v>0</v>
      </c>
      <c r="D92" s="212">
        <v>0</v>
      </c>
      <c r="E92" s="212">
        <v>0</v>
      </c>
      <c r="F92" s="212">
        <v>219.46</v>
      </c>
      <c r="G92" s="212">
        <v>0</v>
      </c>
      <c r="H92" s="212">
        <v>0</v>
      </c>
      <c r="I92" s="212">
        <v>0</v>
      </c>
      <c r="J92" s="211">
        <v>219.46</v>
      </c>
    </row>
    <row r="93" s="209" customFormat="1" ht="16.5" spans="1:10">
      <c r="A93" s="211">
        <v>81</v>
      </c>
      <c r="B93" s="211" t="s">
        <v>94</v>
      </c>
      <c r="C93" s="212">
        <v>0</v>
      </c>
      <c r="D93" s="212">
        <v>0</v>
      </c>
      <c r="E93" s="212">
        <v>0</v>
      </c>
      <c r="F93" s="212">
        <v>219.46</v>
      </c>
      <c r="G93" s="212">
        <v>0</v>
      </c>
      <c r="H93" s="212">
        <v>0</v>
      </c>
      <c r="I93" s="212">
        <v>0</v>
      </c>
      <c r="J93" s="211">
        <v>219.46</v>
      </c>
    </row>
    <row r="94" s="209" customFormat="1" ht="16.5" spans="1:10">
      <c r="A94" s="211">
        <v>82</v>
      </c>
      <c r="B94" s="211" t="s">
        <v>95</v>
      </c>
      <c r="C94" s="212">
        <v>0</v>
      </c>
      <c r="D94" s="212">
        <v>0</v>
      </c>
      <c r="E94" s="212">
        <v>0</v>
      </c>
      <c r="F94" s="212">
        <v>219.46</v>
      </c>
      <c r="G94" s="212">
        <v>0</v>
      </c>
      <c r="H94" s="212">
        <v>0</v>
      </c>
      <c r="I94" s="212">
        <v>0</v>
      </c>
      <c r="J94" s="211">
        <v>219.46</v>
      </c>
    </row>
    <row r="95" s="209" customFormat="1" ht="16.5" spans="1:10">
      <c r="A95" s="211">
        <v>83</v>
      </c>
      <c r="B95" s="211" t="s">
        <v>96</v>
      </c>
      <c r="C95" s="212">
        <v>0</v>
      </c>
      <c r="D95" s="212">
        <v>0</v>
      </c>
      <c r="E95" s="212">
        <v>0</v>
      </c>
      <c r="F95" s="212">
        <v>219.46</v>
      </c>
      <c r="G95" s="212">
        <v>0</v>
      </c>
      <c r="H95" s="212">
        <v>0</v>
      </c>
      <c r="I95" s="212">
        <v>0</v>
      </c>
      <c r="J95" s="211">
        <v>219.46</v>
      </c>
    </row>
    <row r="96" s="209" customFormat="1" ht="16.5" spans="1:10">
      <c r="A96" s="211">
        <v>84</v>
      </c>
      <c r="B96" s="211" t="s">
        <v>97</v>
      </c>
      <c r="C96" s="212">
        <v>0</v>
      </c>
      <c r="D96" s="212">
        <v>0</v>
      </c>
      <c r="E96" s="212">
        <v>0</v>
      </c>
      <c r="F96" s="212">
        <v>219.46</v>
      </c>
      <c r="G96" s="212">
        <v>0</v>
      </c>
      <c r="H96" s="212">
        <v>0</v>
      </c>
      <c r="I96" s="212">
        <v>0</v>
      </c>
      <c r="J96" s="211">
        <v>219.46</v>
      </c>
    </row>
    <row r="97" s="209" customFormat="1" ht="16.5" spans="1:10">
      <c r="A97" s="211">
        <v>85</v>
      </c>
      <c r="B97" s="211" t="s">
        <v>98</v>
      </c>
      <c r="C97" s="212">
        <v>0</v>
      </c>
      <c r="D97" s="212">
        <v>0</v>
      </c>
      <c r="E97" s="212">
        <v>0</v>
      </c>
      <c r="F97" s="212">
        <v>219.46</v>
      </c>
      <c r="G97" s="212">
        <v>0</v>
      </c>
      <c r="H97" s="212">
        <v>0</v>
      </c>
      <c r="I97" s="212">
        <v>0</v>
      </c>
      <c r="J97" s="211">
        <v>219.46</v>
      </c>
    </row>
    <row r="98" s="209" customFormat="1" ht="16.5" spans="1:10">
      <c r="A98" s="211">
        <v>86</v>
      </c>
      <c r="B98" s="211" t="s">
        <v>99</v>
      </c>
      <c r="C98" s="212">
        <v>0</v>
      </c>
      <c r="D98" s="212">
        <v>0</v>
      </c>
      <c r="E98" s="212">
        <v>0</v>
      </c>
      <c r="F98" s="212">
        <v>219.46</v>
      </c>
      <c r="G98" s="212">
        <v>0</v>
      </c>
      <c r="H98" s="212">
        <v>0</v>
      </c>
      <c r="I98" s="212">
        <v>0</v>
      </c>
      <c r="J98" s="211">
        <v>219.46</v>
      </c>
    </row>
    <row r="99" s="209" customFormat="1" ht="16.5" spans="1:10">
      <c r="A99" s="211">
        <v>87</v>
      </c>
      <c r="B99" s="211" t="s">
        <v>100</v>
      </c>
      <c r="C99" s="212">
        <v>0</v>
      </c>
      <c r="D99" s="212">
        <v>0</v>
      </c>
      <c r="E99" s="212">
        <v>0</v>
      </c>
      <c r="F99" s="212">
        <v>219.46</v>
      </c>
      <c r="G99" s="212">
        <v>0</v>
      </c>
      <c r="H99" s="212">
        <v>0</v>
      </c>
      <c r="I99" s="212">
        <v>0</v>
      </c>
      <c r="J99" s="211">
        <v>219.46</v>
      </c>
    </row>
    <row r="100" s="209" customFormat="1" ht="16.5" spans="1:10">
      <c r="A100" s="211">
        <v>88</v>
      </c>
      <c r="B100" s="211" t="s">
        <v>101</v>
      </c>
      <c r="C100" s="212">
        <v>0</v>
      </c>
      <c r="D100" s="212">
        <v>0</v>
      </c>
      <c r="E100" s="212">
        <v>0</v>
      </c>
      <c r="F100" s="212">
        <v>219.46</v>
      </c>
      <c r="G100" s="212">
        <v>0</v>
      </c>
      <c r="H100" s="212">
        <v>0</v>
      </c>
      <c r="I100" s="212">
        <v>0</v>
      </c>
      <c r="J100" s="211">
        <v>219.46</v>
      </c>
    </row>
    <row r="101" s="209" customFormat="1" ht="16.5" spans="1:10">
      <c r="A101" s="211">
        <v>89</v>
      </c>
      <c r="B101" s="211" t="s">
        <v>102</v>
      </c>
      <c r="C101" s="212">
        <v>0</v>
      </c>
      <c r="D101" s="212">
        <v>0</v>
      </c>
      <c r="E101" s="212">
        <v>0</v>
      </c>
      <c r="F101" s="212">
        <v>219.46</v>
      </c>
      <c r="G101" s="212">
        <v>0</v>
      </c>
      <c r="H101" s="212">
        <v>0</v>
      </c>
      <c r="I101" s="212">
        <v>0</v>
      </c>
      <c r="J101" s="211">
        <v>219.46</v>
      </c>
    </row>
    <row r="102" s="209" customFormat="1" ht="16.5" spans="1:10">
      <c r="A102" s="211">
        <v>90</v>
      </c>
      <c r="B102" s="211" t="s">
        <v>103</v>
      </c>
      <c r="C102" s="212">
        <v>0</v>
      </c>
      <c r="D102" s="212">
        <v>0</v>
      </c>
      <c r="E102" s="212">
        <v>0</v>
      </c>
      <c r="F102" s="212">
        <v>219.46</v>
      </c>
      <c r="G102" s="212">
        <v>0</v>
      </c>
      <c r="H102" s="212">
        <v>0</v>
      </c>
      <c r="I102" s="212">
        <v>0</v>
      </c>
      <c r="J102" s="211">
        <v>219.46</v>
      </c>
    </row>
    <row r="103" s="209" customFormat="1" ht="16.5" spans="1:10">
      <c r="A103" s="211">
        <v>91</v>
      </c>
      <c r="B103" s="211" t="s">
        <v>104</v>
      </c>
      <c r="C103" s="212">
        <v>0</v>
      </c>
      <c r="D103" s="212">
        <v>0</v>
      </c>
      <c r="E103" s="212">
        <v>0</v>
      </c>
      <c r="F103" s="212">
        <v>219.46</v>
      </c>
      <c r="G103" s="212">
        <v>0</v>
      </c>
      <c r="H103" s="212">
        <v>0</v>
      </c>
      <c r="I103" s="212">
        <v>0</v>
      </c>
      <c r="J103" s="211">
        <v>219.46</v>
      </c>
    </row>
    <row r="104" s="209" customFormat="1" ht="16.5" spans="1:10">
      <c r="A104" s="211">
        <v>92</v>
      </c>
      <c r="B104" s="211" t="s">
        <v>105</v>
      </c>
      <c r="C104" s="212">
        <v>0</v>
      </c>
      <c r="D104" s="212">
        <v>0</v>
      </c>
      <c r="E104" s="212">
        <v>0</v>
      </c>
      <c r="F104" s="212">
        <v>219.46</v>
      </c>
      <c r="G104" s="212">
        <v>0</v>
      </c>
      <c r="H104" s="212">
        <v>0</v>
      </c>
      <c r="I104" s="212">
        <v>0</v>
      </c>
      <c r="J104" s="211">
        <v>219.46</v>
      </c>
    </row>
    <row r="105" s="209" customFormat="1" ht="16.5" spans="1:10">
      <c r="A105" s="211">
        <v>93</v>
      </c>
      <c r="B105" s="211" t="s">
        <v>106</v>
      </c>
      <c r="C105" s="212">
        <v>0</v>
      </c>
      <c r="D105" s="212">
        <v>0</v>
      </c>
      <c r="E105" s="212">
        <v>0</v>
      </c>
      <c r="F105" s="212">
        <v>219.46</v>
      </c>
      <c r="G105" s="212">
        <v>0</v>
      </c>
      <c r="H105" s="212">
        <v>0</v>
      </c>
      <c r="I105" s="212">
        <v>0</v>
      </c>
      <c r="J105" s="211">
        <v>219.46</v>
      </c>
    </row>
    <row r="106" s="209" customFormat="1" ht="16.5" spans="1:10">
      <c r="A106" s="211">
        <v>94</v>
      </c>
      <c r="B106" s="211" t="s">
        <v>107</v>
      </c>
      <c r="C106" s="212">
        <v>0</v>
      </c>
      <c r="D106" s="212">
        <v>0</v>
      </c>
      <c r="E106" s="212">
        <v>0</v>
      </c>
      <c r="F106" s="212">
        <v>219.46</v>
      </c>
      <c r="G106" s="212">
        <v>0</v>
      </c>
      <c r="H106" s="212">
        <v>0</v>
      </c>
      <c r="I106" s="212">
        <v>0</v>
      </c>
      <c r="J106" s="211">
        <v>219.46</v>
      </c>
    </row>
    <row r="107" s="209" customFormat="1" ht="16.5" spans="1:10">
      <c r="A107" s="211">
        <v>95</v>
      </c>
      <c r="B107" s="211" t="s">
        <v>108</v>
      </c>
      <c r="C107" s="212">
        <v>0</v>
      </c>
      <c r="D107" s="212">
        <v>0</v>
      </c>
      <c r="E107" s="212">
        <v>0</v>
      </c>
      <c r="F107" s="212">
        <v>219.46</v>
      </c>
      <c r="G107" s="212">
        <v>0</v>
      </c>
      <c r="H107" s="212">
        <v>0</v>
      </c>
      <c r="I107" s="212">
        <v>0</v>
      </c>
      <c r="J107" s="211">
        <v>219.46</v>
      </c>
    </row>
    <row r="108" s="209" customFormat="1" ht="16.5" spans="1:10">
      <c r="A108" s="211">
        <v>96</v>
      </c>
      <c r="B108" s="211" t="s">
        <v>109</v>
      </c>
      <c r="C108" s="212">
        <v>0</v>
      </c>
      <c r="D108" s="212">
        <v>0</v>
      </c>
      <c r="E108" s="212">
        <v>0</v>
      </c>
      <c r="F108" s="212">
        <v>219.46</v>
      </c>
      <c r="G108" s="212">
        <v>0</v>
      </c>
      <c r="H108" s="212">
        <v>0</v>
      </c>
      <c r="I108" s="212">
        <v>0</v>
      </c>
      <c r="J108" s="211">
        <v>219.46</v>
      </c>
    </row>
    <row r="109" s="209" customFormat="1" ht="16.5" spans="1:10">
      <c r="A109" s="211"/>
      <c r="B109" s="211" t="s">
        <v>226</v>
      </c>
      <c r="C109" s="211">
        <v>0</v>
      </c>
      <c r="D109" s="211">
        <v>-2.67</v>
      </c>
      <c r="E109" s="211">
        <v>0</v>
      </c>
      <c r="F109" s="211">
        <v>209.17</v>
      </c>
      <c r="G109" s="211">
        <v>0</v>
      </c>
      <c r="H109" s="211">
        <v>36.43</v>
      </c>
      <c r="I109" s="211">
        <v>31.41</v>
      </c>
      <c r="J109" s="211">
        <v>274.35</v>
      </c>
    </row>
    <row r="110" s="209" customFormat="1" ht="16.5" spans="1:10">
      <c r="A110" s="211"/>
      <c r="B110" s="211" t="s">
        <v>116</v>
      </c>
      <c r="C110" s="211">
        <v>0</v>
      </c>
      <c r="D110" s="211">
        <v>0</v>
      </c>
      <c r="E110" s="211">
        <v>0</v>
      </c>
      <c r="F110" s="211">
        <v>219.46</v>
      </c>
      <c r="G110" s="211">
        <v>0</v>
      </c>
      <c r="H110" s="211">
        <v>218.6</v>
      </c>
      <c r="I110" s="211">
        <v>188.48</v>
      </c>
      <c r="J110" s="211">
        <v>626.54</v>
      </c>
    </row>
    <row r="111" s="209" customFormat="1" ht="16.5" spans="1:10">
      <c r="A111" s="211"/>
      <c r="B111" s="211" t="s">
        <v>115</v>
      </c>
      <c r="C111" s="211">
        <v>0</v>
      </c>
      <c r="D111" s="211">
        <v>-9.15</v>
      </c>
      <c r="E111" s="211">
        <v>0</v>
      </c>
      <c r="F111" s="211">
        <v>120.7</v>
      </c>
      <c r="G111" s="211">
        <v>0</v>
      </c>
      <c r="H111" s="211">
        <v>0</v>
      </c>
      <c r="I111" s="211">
        <v>0</v>
      </c>
      <c r="J111" s="211">
        <v>120.7</v>
      </c>
    </row>
    <row r="112" s="209" customFormat="1" ht="16.5" spans="1:10">
      <c r="A112" s="211"/>
      <c r="B112" s="211" t="s">
        <v>227</v>
      </c>
      <c r="C112" s="211">
        <v>0</v>
      </c>
      <c r="D112" s="211">
        <v>-64.12</v>
      </c>
      <c r="E112" s="211">
        <v>0</v>
      </c>
      <c r="F112" s="211">
        <v>5020.14</v>
      </c>
      <c r="G112" s="211">
        <v>0</v>
      </c>
      <c r="H112" s="211">
        <v>874.4</v>
      </c>
      <c r="I112" s="211">
        <v>753.92</v>
      </c>
      <c r="J112" s="211">
        <v>6584.34</v>
      </c>
    </row>
    <row r="115" s="208" customFormat="1" ht="20" customHeight="1" spans="1:10">
      <c r="A115" s="213" t="s">
        <v>228</v>
      </c>
      <c r="B115" s="213"/>
      <c r="C115" s="213"/>
      <c r="D115" s="213"/>
      <c r="E115" s="213"/>
      <c r="F115" s="213"/>
      <c r="G115" s="213"/>
      <c r="H115" s="213"/>
      <c r="I115" s="213"/>
      <c r="J115" s="213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O115"/>
  <sheetViews>
    <sheetView zoomScale="90" zoomScaleNormal="90" topLeftCell="B1" workbookViewId="0">
      <selection activeCell="B83" sqref="$A1:$XFD1048576"/>
    </sheetView>
  </sheetViews>
  <sheetFormatPr defaultColWidth="15.7142857142857" defaultRowHeight="15" customHeight="1"/>
  <cols>
    <col min="1" max="16384" width="15.7142857142857" style="209" customWidth="1"/>
  </cols>
  <sheetData>
    <row r="2" s="208" customFormat="1" ht="20" customHeight="1" spans="1:10">
      <c r="A2" s="210" t="s">
        <v>229</v>
      </c>
      <c r="B2" s="210"/>
      <c r="C2" s="210"/>
      <c r="D2" s="210"/>
      <c r="E2" s="210"/>
      <c r="F2" s="210"/>
      <c r="G2" s="210"/>
      <c r="H2" s="210"/>
      <c r="I2" s="210"/>
      <c r="J2" s="210"/>
    </row>
    <row r="4" s="209" customFormat="1" ht="16.5" spans="1:15">
      <c r="A4" s="211" t="s">
        <v>230</v>
      </c>
      <c r="B4" s="211"/>
      <c r="C4" s="211" t="s">
        <v>296</v>
      </c>
      <c r="D4" s="211" t="s">
        <v>297</v>
      </c>
      <c r="E4" s="211" t="s">
        <v>298</v>
      </c>
      <c r="F4" s="211" t="s">
        <v>299</v>
      </c>
      <c r="G4" s="211" t="s">
        <v>300</v>
      </c>
      <c r="H4" s="211" t="s">
        <v>300</v>
      </c>
      <c r="I4" s="211" t="s">
        <v>300</v>
      </c>
      <c r="J4" s="211" t="s">
        <v>300</v>
      </c>
      <c r="K4" s="211" t="s">
        <v>301</v>
      </c>
      <c r="L4" s="211" t="s">
        <v>300</v>
      </c>
      <c r="M4" s="211" t="s">
        <v>302</v>
      </c>
      <c r="N4" s="211" t="s">
        <v>303</v>
      </c>
      <c r="O4" s="211"/>
    </row>
    <row r="5" s="209" customFormat="1" ht="16.5" spans="1:15">
      <c r="A5" s="211" t="s">
        <v>231</v>
      </c>
      <c r="B5" s="211"/>
      <c r="C5" s="211" t="s">
        <v>234</v>
      </c>
      <c r="D5" s="211" t="s">
        <v>234</v>
      </c>
      <c r="E5" s="211" t="s">
        <v>234</v>
      </c>
      <c r="F5" s="211" t="s">
        <v>234</v>
      </c>
      <c r="G5" s="211" t="s">
        <v>234</v>
      </c>
      <c r="H5" s="211" t="s">
        <v>234</v>
      </c>
      <c r="I5" s="211" t="s">
        <v>234</v>
      </c>
      <c r="J5" s="211" t="s">
        <v>234</v>
      </c>
      <c r="K5" s="211" t="s">
        <v>234</v>
      </c>
      <c r="L5" s="211" t="s">
        <v>234</v>
      </c>
      <c r="M5" s="211" t="s">
        <v>234</v>
      </c>
      <c r="N5" s="211" t="s">
        <v>234</v>
      </c>
      <c r="O5" s="211"/>
    </row>
    <row r="6" s="209" customFormat="1" ht="16.5" spans="1:15">
      <c r="A6" s="211" t="s">
        <v>232</v>
      </c>
      <c r="B6" s="211"/>
      <c r="C6" s="211" t="s">
        <v>304</v>
      </c>
      <c r="D6" s="211" t="s">
        <v>304</v>
      </c>
      <c r="E6" s="211" t="s">
        <v>305</v>
      </c>
      <c r="F6" s="211" t="s">
        <v>305</v>
      </c>
      <c r="G6" s="211" t="s">
        <v>306</v>
      </c>
      <c r="H6" s="211" t="s">
        <v>306</v>
      </c>
      <c r="I6" s="211" t="s">
        <v>307</v>
      </c>
      <c r="J6" s="211" t="s">
        <v>308</v>
      </c>
      <c r="K6" s="211" t="s">
        <v>309</v>
      </c>
      <c r="L6" s="211" t="s">
        <v>310</v>
      </c>
      <c r="M6" s="211" t="s">
        <v>310</v>
      </c>
      <c r="N6" s="211" t="s">
        <v>310</v>
      </c>
      <c r="O6" s="211"/>
    </row>
    <row r="7" s="209" customFormat="1" ht="16.5" spans="1:15">
      <c r="A7" s="211" t="s">
        <v>233</v>
      </c>
      <c r="B7" s="211"/>
      <c r="C7" s="211" t="s">
        <v>311</v>
      </c>
      <c r="D7" s="211" t="s">
        <v>285</v>
      </c>
      <c r="E7" s="211" t="s">
        <v>312</v>
      </c>
      <c r="F7" s="211" t="s">
        <v>313</v>
      </c>
      <c r="G7" s="211" t="s">
        <v>314</v>
      </c>
      <c r="H7" s="211" t="s">
        <v>311</v>
      </c>
      <c r="I7" s="211" t="s">
        <v>311</v>
      </c>
      <c r="J7" s="211" t="s">
        <v>311</v>
      </c>
      <c r="K7" s="211" t="s">
        <v>315</v>
      </c>
      <c r="L7" s="211" t="s">
        <v>316</v>
      </c>
      <c r="M7" s="211" t="s">
        <v>316</v>
      </c>
      <c r="N7" s="211" t="s">
        <v>316</v>
      </c>
      <c r="O7" s="211"/>
    </row>
    <row r="8" s="209" customFormat="1" ht="16.5" spans="1:15">
      <c r="A8" s="211" t="s">
        <v>235</v>
      </c>
      <c r="B8" s="211"/>
      <c r="C8" s="211" t="s">
        <v>296</v>
      </c>
      <c r="D8" s="211" t="s">
        <v>297</v>
      </c>
      <c r="E8" s="211" t="s">
        <v>298</v>
      </c>
      <c r="F8" s="211" t="s">
        <v>299</v>
      </c>
      <c r="G8" s="211" t="s">
        <v>317</v>
      </c>
      <c r="H8" s="211" t="s">
        <v>318</v>
      </c>
      <c r="I8" s="211" t="s">
        <v>318</v>
      </c>
      <c r="J8" s="211" t="s">
        <v>318</v>
      </c>
      <c r="K8" s="211" t="s">
        <v>301</v>
      </c>
      <c r="L8" s="211" t="s">
        <v>319</v>
      </c>
      <c r="M8" s="211" t="s">
        <v>319</v>
      </c>
      <c r="N8" s="211" t="s">
        <v>319</v>
      </c>
      <c r="O8" s="211"/>
    </row>
    <row r="9" s="209" customFormat="1" ht="16.5" spans="1:15">
      <c r="A9" s="211" t="s">
        <v>236</v>
      </c>
      <c r="B9" s="211"/>
      <c r="C9" s="211" t="s">
        <v>320</v>
      </c>
      <c r="D9" s="211" t="s">
        <v>320</v>
      </c>
      <c r="E9" s="211" t="s">
        <v>321</v>
      </c>
      <c r="F9" s="211" t="s">
        <v>322</v>
      </c>
      <c r="G9" s="211" t="s">
        <v>321</v>
      </c>
      <c r="H9" s="211" t="s">
        <v>320</v>
      </c>
      <c r="I9" s="211" t="s">
        <v>320</v>
      </c>
      <c r="J9" s="211" t="s">
        <v>320</v>
      </c>
      <c r="K9" s="211" t="s">
        <v>322</v>
      </c>
      <c r="L9" s="211" t="s">
        <v>237</v>
      </c>
      <c r="M9" s="211" t="s">
        <v>237</v>
      </c>
      <c r="N9" s="211" t="s">
        <v>237</v>
      </c>
      <c r="O9" s="211"/>
    </row>
    <row r="10" s="209" customFormat="1" ht="16.5" spans="1:15">
      <c r="A10" s="211" t="s">
        <v>238</v>
      </c>
      <c r="B10" s="211"/>
      <c r="C10" s="211" t="s">
        <v>323</v>
      </c>
      <c r="D10" s="211" t="s">
        <v>324</v>
      </c>
      <c r="E10" s="211" t="s">
        <v>325</v>
      </c>
      <c r="F10" s="211" t="s">
        <v>326</v>
      </c>
      <c r="G10" s="211" t="s">
        <v>327</v>
      </c>
      <c r="H10" s="211" t="s">
        <v>328</v>
      </c>
      <c r="I10" s="211" t="s">
        <v>329</v>
      </c>
      <c r="J10" s="211" t="s">
        <v>330</v>
      </c>
      <c r="K10" s="211" t="s">
        <v>331</v>
      </c>
      <c r="L10" s="211" t="s">
        <v>332</v>
      </c>
      <c r="M10" s="211" t="s">
        <v>333</v>
      </c>
      <c r="N10" s="211" t="s">
        <v>334</v>
      </c>
      <c r="O10" s="211"/>
    </row>
    <row r="11" s="209" customFormat="1" ht="16.5" spans="1:15">
      <c r="A11" s="211" t="s">
        <v>239</v>
      </c>
      <c r="B11" s="211"/>
      <c r="C11" s="211" t="s">
        <v>240</v>
      </c>
      <c r="D11" s="211" t="s">
        <v>240</v>
      </c>
      <c r="E11" s="211" t="s">
        <v>240</v>
      </c>
      <c r="F11" s="211" t="s">
        <v>240</v>
      </c>
      <c r="G11" s="211" t="s">
        <v>240</v>
      </c>
      <c r="H11" s="211" t="s">
        <v>240</v>
      </c>
      <c r="I11" s="211" t="s">
        <v>240</v>
      </c>
      <c r="J11" s="211" t="s">
        <v>240</v>
      </c>
      <c r="K11" s="211" t="s">
        <v>240</v>
      </c>
      <c r="L11" s="211" t="s">
        <v>240</v>
      </c>
      <c r="M11" s="211" t="s">
        <v>240</v>
      </c>
      <c r="N11" s="211" t="s">
        <v>240</v>
      </c>
      <c r="O11" s="211"/>
    </row>
    <row r="12" s="209" customFormat="1" ht="16.5" spans="1:15">
      <c r="A12" s="211" t="s">
        <v>145</v>
      </c>
      <c r="B12" s="211" t="s">
        <v>146</v>
      </c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 t="s">
        <v>241</v>
      </c>
    </row>
    <row r="13" s="209" customFormat="1" ht="16.5" spans="1:15">
      <c r="A13" s="211">
        <v>1</v>
      </c>
      <c r="B13" s="211" t="s">
        <v>14</v>
      </c>
      <c r="C13" s="212">
        <v>-0.4</v>
      </c>
      <c r="D13" s="212">
        <v>-0.7</v>
      </c>
      <c r="E13" s="212">
        <v>-0.6</v>
      </c>
      <c r="F13" s="212">
        <v>-0.26</v>
      </c>
      <c r="G13" s="212">
        <v>0</v>
      </c>
      <c r="H13" s="212">
        <v>-2</v>
      </c>
      <c r="I13" s="212">
        <v>-2</v>
      </c>
      <c r="J13" s="212">
        <v>-3</v>
      </c>
      <c r="K13" s="212">
        <v>-7.9</v>
      </c>
      <c r="L13" s="212">
        <v>0</v>
      </c>
      <c r="M13" s="212">
        <v>0</v>
      </c>
      <c r="N13" s="212">
        <v>0</v>
      </c>
      <c r="O13" s="211">
        <v>-16.86</v>
      </c>
    </row>
    <row r="14" s="209" customFormat="1" ht="16.5" spans="1:15">
      <c r="A14" s="211">
        <v>2</v>
      </c>
      <c r="B14" s="211" t="s">
        <v>15</v>
      </c>
      <c r="C14" s="212">
        <v>-0.4</v>
      </c>
      <c r="D14" s="212">
        <v>-0.7</v>
      </c>
      <c r="E14" s="212">
        <v>-0.6</v>
      </c>
      <c r="F14" s="212">
        <v>-0.26</v>
      </c>
      <c r="G14" s="212">
        <v>0</v>
      </c>
      <c r="H14" s="212">
        <v>-2</v>
      </c>
      <c r="I14" s="212">
        <v>-2</v>
      </c>
      <c r="J14" s="212">
        <v>-3</v>
      </c>
      <c r="K14" s="212">
        <v>-7.8</v>
      </c>
      <c r="L14" s="212">
        <v>0</v>
      </c>
      <c r="M14" s="212">
        <v>0</v>
      </c>
      <c r="N14" s="212">
        <v>0</v>
      </c>
      <c r="O14" s="211">
        <v>-16.76</v>
      </c>
    </row>
    <row r="15" s="209" customFormat="1" ht="16.5" spans="1:15">
      <c r="A15" s="211">
        <v>3</v>
      </c>
      <c r="B15" s="211" t="s">
        <v>16</v>
      </c>
      <c r="C15" s="212">
        <v>-0.4</v>
      </c>
      <c r="D15" s="212">
        <v>-0.7</v>
      </c>
      <c r="E15" s="212">
        <v>-0.6</v>
      </c>
      <c r="F15" s="212">
        <v>-0.26</v>
      </c>
      <c r="G15" s="212">
        <v>0</v>
      </c>
      <c r="H15" s="212">
        <v>-2</v>
      </c>
      <c r="I15" s="212">
        <v>-2</v>
      </c>
      <c r="J15" s="212">
        <v>-3</v>
      </c>
      <c r="K15" s="212">
        <v>-7.61</v>
      </c>
      <c r="L15" s="212">
        <v>0</v>
      </c>
      <c r="M15" s="212">
        <v>0</v>
      </c>
      <c r="N15" s="212">
        <v>0</v>
      </c>
      <c r="O15" s="211">
        <v>-16.57</v>
      </c>
    </row>
    <row r="16" s="209" customFormat="1" ht="16.5" spans="1:15">
      <c r="A16" s="211">
        <v>4</v>
      </c>
      <c r="B16" s="211" t="s">
        <v>17</v>
      </c>
      <c r="C16" s="212">
        <v>-0.4</v>
      </c>
      <c r="D16" s="212">
        <v>-0.7</v>
      </c>
      <c r="E16" s="212">
        <v>-0.6</v>
      </c>
      <c r="F16" s="212">
        <v>-0.26</v>
      </c>
      <c r="G16" s="212">
        <v>0</v>
      </c>
      <c r="H16" s="212">
        <v>-2</v>
      </c>
      <c r="I16" s="212">
        <v>-2</v>
      </c>
      <c r="J16" s="212">
        <v>-3</v>
      </c>
      <c r="K16" s="212">
        <v>-7.24</v>
      </c>
      <c r="L16" s="212">
        <v>0</v>
      </c>
      <c r="M16" s="212">
        <v>0</v>
      </c>
      <c r="N16" s="212">
        <v>0</v>
      </c>
      <c r="O16" s="211">
        <v>-16.2</v>
      </c>
    </row>
    <row r="17" s="209" customFormat="1" ht="16.5" spans="1:15">
      <c r="A17" s="211">
        <v>5</v>
      </c>
      <c r="B17" s="211" t="s">
        <v>18</v>
      </c>
      <c r="C17" s="212">
        <v>-0.4</v>
      </c>
      <c r="D17" s="212">
        <v>-0.7</v>
      </c>
      <c r="E17" s="212">
        <v>-0.6</v>
      </c>
      <c r="F17" s="212">
        <v>-0.26</v>
      </c>
      <c r="G17" s="212">
        <v>0</v>
      </c>
      <c r="H17" s="212">
        <v>-2</v>
      </c>
      <c r="I17" s="212">
        <v>-2</v>
      </c>
      <c r="J17" s="212">
        <v>-3</v>
      </c>
      <c r="K17" s="212">
        <v>-6.77</v>
      </c>
      <c r="L17" s="212">
        <v>0</v>
      </c>
      <c r="M17" s="212">
        <v>0</v>
      </c>
      <c r="N17" s="212">
        <v>0</v>
      </c>
      <c r="O17" s="211">
        <v>-15.73</v>
      </c>
    </row>
    <row r="18" s="209" customFormat="1" ht="16.5" spans="1:15">
      <c r="A18" s="211">
        <v>6</v>
      </c>
      <c r="B18" s="211" t="s">
        <v>19</v>
      </c>
      <c r="C18" s="212">
        <v>-0.4</v>
      </c>
      <c r="D18" s="212">
        <v>-0.7</v>
      </c>
      <c r="E18" s="212">
        <v>-0.6</v>
      </c>
      <c r="F18" s="212">
        <v>-0.26</v>
      </c>
      <c r="G18" s="212">
        <v>0</v>
      </c>
      <c r="H18" s="212">
        <v>-2</v>
      </c>
      <c r="I18" s="212">
        <v>-2</v>
      </c>
      <c r="J18" s="212">
        <v>-3</v>
      </c>
      <c r="K18" s="212">
        <v>-6.49</v>
      </c>
      <c r="L18" s="212">
        <v>0</v>
      </c>
      <c r="M18" s="212">
        <v>0</v>
      </c>
      <c r="N18" s="212">
        <v>0</v>
      </c>
      <c r="O18" s="211">
        <v>-15.45</v>
      </c>
    </row>
    <row r="19" s="209" customFormat="1" ht="16.5" spans="1:15">
      <c r="A19" s="211">
        <v>7</v>
      </c>
      <c r="B19" s="211" t="s">
        <v>20</v>
      </c>
      <c r="C19" s="212">
        <v>-0.4</v>
      </c>
      <c r="D19" s="212">
        <v>-0.7</v>
      </c>
      <c r="E19" s="212">
        <v>-0.6</v>
      </c>
      <c r="F19" s="212">
        <v>-0.26</v>
      </c>
      <c r="G19" s="212">
        <v>0</v>
      </c>
      <c r="H19" s="212">
        <v>-2</v>
      </c>
      <c r="I19" s="212">
        <v>-2</v>
      </c>
      <c r="J19" s="212">
        <v>-3</v>
      </c>
      <c r="K19" s="212">
        <v>-6.11</v>
      </c>
      <c r="L19" s="212">
        <v>0</v>
      </c>
      <c r="M19" s="212">
        <v>0</v>
      </c>
      <c r="N19" s="212">
        <v>0</v>
      </c>
      <c r="O19" s="211">
        <v>-15.07</v>
      </c>
    </row>
    <row r="20" s="209" customFormat="1" ht="16.5" spans="1:15">
      <c r="A20" s="211">
        <v>8</v>
      </c>
      <c r="B20" s="211" t="s">
        <v>21</v>
      </c>
      <c r="C20" s="212">
        <v>-0.4</v>
      </c>
      <c r="D20" s="212">
        <v>-0.63</v>
      </c>
      <c r="E20" s="212">
        <v>-0.6</v>
      </c>
      <c r="F20" s="212">
        <v>-0.26</v>
      </c>
      <c r="G20" s="212">
        <v>0</v>
      </c>
      <c r="H20" s="212">
        <v>-2</v>
      </c>
      <c r="I20" s="212">
        <v>-2</v>
      </c>
      <c r="J20" s="212">
        <v>-3</v>
      </c>
      <c r="K20" s="212">
        <v>-5.73</v>
      </c>
      <c r="L20" s="212">
        <v>0</v>
      </c>
      <c r="M20" s="212">
        <v>0</v>
      </c>
      <c r="N20" s="212">
        <v>0</v>
      </c>
      <c r="O20" s="211">
        <v>-14.62</v>
      </c>
    </row>
    <row r="21" s="209" customFormat="1" ht="16.5" spans="1:15">
      <c r="A21" s="211">
        <v>9</v>
      </c>
      <c r="B21" s="211" t="s">
        <v>22</v>
      </c>
      <c r="C21" s="212">
        <v>-0.4</v>
      </c>
      <c r="D21" s="212">
        <v>-0.63</v>
      </c>
      <c r="E21" s="212">
        <v>-0.6</v>
      </c>
      <c r="F21" s="212">
        <v>-0.26</v>
      </c>
      <c r="G21" s="212">
        <v>0</v>
      </c>
      <c r="H21" s="212">
        <v>-2</v>
      </c>
      <c r="I21" s="212">
        <v>-2</v>
      </c>
      <c r="J21" s="212">
        <v>-3</v>
      </c>
      <c r="K21" s="212">
        <v>-5.36</v>
      </c>
      <c r="L21" s="212">
        <v>0</v>
      </c>
      <c r="M21" s="212">
        <v>0</v>
      </c>
      <c r="N21" s="212">
        <v>0</v>
      </c>
      <c r="O21" s="211">
        <v>-14.25</v>
      </c>
    </row>
    <row r="22" s="209" customFormat="1" ht="16.5" spans="1:15">
      <c r="A22" s="211">
        <v>10</v>
      </c>
      <c r="B22" s="211" t="s">
        <v>23</v>
      </c>
      <c r="C22" s="212">
        <v>-0.4</v>
      </c>
      <c r="D22" s="212">
        <v>-0.63</v>
      </c>
      <c r="E22" s="212">
        <v>-0.6</v>
      </c>
      <c r="F22" s="212">
        <v>-0.26</v>
      </c>
      <c r="G22" s="212">
        <v>0</v>
      </c>
      <c r="H22" s="212">
        <v>-2</v>
      </c>
      <c r="I22" s="212">
        <v>-2</v>
      </c>
      <c r="J22" s="212">
        <v>-3</v>
      </c>
      <c r="K22" s="212">
        <v>-5.26</v>
      </c>
      <c r="L22" s="212">
        <v>0</v>
      </c>
      <c r="M22" s="212">
        <v>0</v>
      </c>
      <c r="N22" s="212">
        <v>0</v>
      </c>
      <c r="O22" s="211">
        <v>-14.15</v>
      </c>
    </row>
    <row r="23" s="209" customFormat="1" ht="16.5" spans="1:15">
      <c r="A23" s="211">
        <v>11</v>
      </c>
      <c r="B23" s="211" t="s">
        <v>24</v>
      </c>
      <c r="C23" s="212">
        <v>-0.4</v>
      </c>
      <c r="D23" s="212">
        <v>-0.63</v>
      </c>
      <c r="E23" s="212">
        <v>-0.6</v>
      </c>
      <c r="F23" s="212">
        <v>-0.26</v>
      </c>
      <c r="G23" s="212">
        <v>0</v>
      </c>
      <c r="H23" s="212">
        <v>-2</v>
      </c>
      <c r="I23" s="212">
        <v>-2</v>
      </c>
      <c r="J23" s="212">
        <v>-3</v>
      </c>
      <c r="K23" s="212">
        <v>-5.17</v>
      </c>
      <c r="L23" s="212">
        <v>0</v>
      </c>
      <c r="M23" s="212">
        <v>0</v>
      </c>
      <c r="N23" s="212">
        <v>0</v>
      </c>
      <c r="O23" s="211">
        <v>-14.06</v>
      </c>
    </row>
    <row r="24" s="209" customFormat="1" ht="16.5" spans="1:15">
      <c r="A24" s="211">
        <v>12</v>
      </c>
      <c r="B24" s="211" t="s">
        <v>25</v>
      </c>
      <c r="C24" s="212">
        <v>-0.4</v>
      </c>
      <c r="D24" s="212">
        <v>-0.63</v>
      </c>
      <c r="E24" s="212">
        <v>-0.6</v>
      </c>
      <c r="F24" s="212">
        <v>-0.26</v>
      </c>
      <c r="G24" s="212">
        <v>0</v>
      </c>
      <c r="H24" s="212">
        <v>-2</v>
      </c>
      <c r="I24" s="212">
        <v>-2</v>
      </c>
      <c r="J24" s="212">
        <v>-3</v>
      </c>
      <c r="K24" s="212">
        <v>-5.17</v>
      </c>
      <c r="L24" s="212">
        <v>0</v>
      </c>
      <c r="M24" s="212">
        <v>0</v>
      </c>
      <c r="N24" s="212">
        <v>0</v>
      </c>
      <c r="O24" s="211">
        <v>-14.06</v>
      </c>
    </row>
    <row r="25" s="209" customFormat="1" ht="16.5" spans="1:15">
      <c r="A25" s="211">
        <v>13</v>
      </c>
      <c r="B25" s="211" t="s">
        <v>26</v>
      </c>
      <c r="C25" s="212">
        <v>-0.4</v>
      </c>
      <c r="D25" s="212">
        <v>-0.63</v>
      </c>
      <c r="E25" s="212">
        <v>-0.6</v>
      </c>
      <c r="F25" s="212">
        <v>-0.26</v>
      </c>
      <c r="G25" s="212">
        <v>0</v>
      </c>
      <c r="H25" s="212">
        <v>-2</v>
      </c>
      <c r="I25" s="212">
        <v>-2</v>
      </c>
      <c r="J25" s="212">
        <v>-3</v>
      </c>
      <c r="K25" s="212">
        <v>-5.17</v>
      </c>
      <c r="L25" s="212">
        <v>0</v>
      </c>
      <c r="M25" s="212">
        <v>0</v>
      </c>
      <c r="N25" s="212">
        <v>0</v>
      </c>
      <c r="O25" s="211">
        <v>-14.06</v>
      </c>
    </row>
    <row r="26" s="209" customFormat="1" ht="16.5" spans="1:15">
      <c r="A26" s="211">
        <v>14</v>
      </c>
      <c r="B26" s="211" t="s">
        <v>27</v>
      </c>
      <c r="C26" s="212">
        <v>-0.4</v>
      </c>
      <c r="D26" s="212">
        <v>-0.63</v>
      </c>
      <c r="E26" s="212">
        <v>-0.6</v>
      </c>
      <c r="F26" s="212">
        <v>-0.26</v>
      </c>
      <c r="G26" s="212">
        <v>0</v>
      </c>
      <c r="H26" s="212">
        <v>-2</v>
      </c>
      <c r="I26" s="212">
        <v>-2</v>
      </c>
      <c r="J26" s="212">
        <v>-3</v>
      </c>
      <c r="K26" s="212">
        <v>-5.26</v>
      </c>
      <c r="L26" s="212">
        <v>0</v>
      </c>
      <c r="M26" s="212">
        <v>0</v>
      </c>
      <c r="N26" s="212">
        <v>0</v>
      </c>
      <c r="O26" s="211">
        <v>-14.15</v>
      </c>
    </row>
    <row r="27" s="209" customFormat="1" ht="16.5" spans="1:15">
      <c r="A27" s="211">
        <v>15</v>
      </c>
      <c r="B27" s="211" t="s">
        <v>28</v>
      </c>
      <c r="C27" s="212">
        <v>-0.4</v>
      </c>
      <c r="D27" s="212">
        <v>-0.63</v>
      </c>
      <c r="E27" s="212">
        <v>-0.6</v>
      </c>
      <c r="F27" s="212">
        <v>-0.26</v>
      </c>
      <c r="G27" s="212">
        <v>0</v>
      </c>
      <c r="H27" s="212">
        <v>-2</v>
      </c>
      <c r="I27" s="212">
        <v>-2</v>
      </c>
      <c r="J27" s="212">
        <v>-3</v>
      </c>
      <c r="K27" s="212">
        <v>-5.08</v>
      </c>
      <c r="L27" s="212">
        <v>0</v>
      </c>
      <c r="M27" s="212">
        <v>0</v>
      </c>
      <c r="N27" s="212">
        <v>0</v>
      </c>
      <c r="O27" s="211">
        <v>-13.97</v>
      </c>
    </row>
    <row r="28" s="209" customFormat="1" ht="16.5" spans="1:15">
      <c r="A28" s="211">
        <v>16</v>
      </c>
      <c r="B28" s="211" t="s">
        <v>29</v>
      </c>
      <c r="C28" s="212">
        <v>-0.4</v>
      </c>
      <c r="D28" s="212">
        <v>-0.63</v>
      </c>
      <c r="E28" s="212">
        <v>-0.6</v>
      </c>
      <c r="F28" s="212">
        <v>-0.26</v>
      </c>
      <c r="G28" s="212">
        <v>0</v>
      </c>
      <c r="H28" s="212">
        <v>-2</v>
      </c>
      <c r="I28" s="212">
        <v>-2</v>
      </c>
      <c r="J28" s="212">
        <v>-3</v>
      </c>
      <c r="K28" s="212">
        <v>-4.61</v>
      </c>
      <c r="L28" s="212">
        <v>0</v>
      </c>
      <c r="M28" s="212">
        <v>0</v>
      </c>
      <c r="N28" s="212">
        <v>0</v>
      </c>
      <c r="O28" s="211">
        <v>-13.5</v>
      </c>
    </row>
    <row r="29" s="209" customFormat="1" ht="16.5" spans="1:15">
      <c r="A29" s="211">
        <v>17</v>
      </c>
      <c r="B29" s="211" t="s">
        <v>30</v>
      </c>
      <c r="C29" s="212">
        <v>-0.4</v>
      </c>
      <c r="D29" s="212">
        <v>-0.64</v>
      </c>
      <c r="E29" s="212">
        <v>-0.6</v>
      </c>
      <c r="F29" s="212">
        <v>-0.26</v>
      </c>
      <c r="G29" s="212">
        <v>0</v>
      </c>
      <c r="H29" s="212">
        <v>-2</v>
      </c>
      <c r="I29" s="212">
        <v>-2</v>
      </c>
      <c r="J29" s="212">
        <v>-3</v>
      </c>
      <c r="K29" s="212">
        <v>-4.32</v>
      </c>
      <c r="L29" s="212">
        <v>0</v>
      </c>
      <c r="M29" s="212">
        <v>0</v>
      </c>
      <c r="N29" s="212">
        <v>0</v>
      </c>
      <c r="O29" s="211">
        <v>-13.22</v>
      </c>
    </row>
    <row r="30" s="209" customFormat="1" ht="16.5" spans="1:15">
      <c r="A30" s="211">
        <v>18</v>
      </c>
      <c r="B30" s="211" t="s">
        <v>31</v>
      </c>
      <c r="C30" s="212">
        <v>-0.4</v>
      </c>
      <c r="D30" s="212">
        <v>-0.64</v>
      </c>
      <c r="E30" s="212">
        <v>-0.6</v>
      </c>
      <c r="F30" s="212">
        <v>-0.26</v>
      </c>
      <c r="G30" s="212">
        <v>0</v>
      </c>
      <c r="H30" s="212">
        <v>-2</v>
      </c>
      <c r="I30" s="212">
        <v>-2</v>
      </c>
      <c r="J30" s="212">
        <v>-3</v>
      </c>
      <c r="K30" s="212">
        <v>-4.14</v>
      </c>
      <c r="L30" s="212">
        <v>0</v>
      </c>
      <c r="M30" s="212">
        <v>0</v>
      </c>
      <c r="N30" s="212">
        <v>0</v>
      </c>
      <c r="O30" s="211">
        <v>-13.04</v>
      </c>
    </row>
    <row r="31" s="209" customFormat="1" ht="16.5" spans="1:15">
      <c r="A31" s="211">
        <v>19</v>
      </c>
      <c r="B31" s="211" t="s">
        <v>32</v>
      </c>
      <c r="C31" s="212">
        <v>-0.4</v>
      </c>
      <c r="D31" s="212">
        <v>-0.64</v>
      </c>
      <c r="E31" s="212">
        <v>-0.6</v>
      </c>
      <c r="F31" s="212">
        <v>-0.26</v>
      </c>
      <c r="G31" s="212">
        <v>0</v>
      </c>
      <c r="H31" s="212">
        <v>-2</v>
      </c>
      <c r="I31" s="212">
        <v>-2</v>
      </c>
      <c r="J31" s="212">
        <v>-3</v>
      </c>
      <c r="K31" s="212">
        <v>-3.95</v>
      </c>
      <c r="L31" s="212">
        <v>0</v>
      </c>
      <c r="M31" s="212">
        <v>0</v>
      </c>
      <c r="N31" s="212">
        <v>0</v>
      </c>
      <c r="O31" s="211">
        <v>-12.85</v>
      </c>
    </row>
    <row r="32" s="209" customFormat="1" ht="16.5" spans="1:15">
      <c r="A32" s="211">
        <v>20</v>
      </c>
      <c r="B32" s="211" t="s">
        <v>33</v>
      </c>
      <c r="C32" s="212">
        <v>-0.4</v>
      </c>
      <c r="D32" s="212">
        <v>-0.64</v>
      </c>
      <c r="E32" s="212">
        <v>-0.6</v>
      </c>
      <c r="F32" s="212">
        <v>-0.26</v>
      </c>
      <c r="G32" s="212">
        <v>0</v>
      </c>
      <c r="H32" s="212">
        <v>-2</v>
      </c>
      <c r="I32" s="212">
        <v>-2</v>
      </c>
      <c r="J32" s="212">
        <v>-3</v>
      </c>
      <c r="K32" s="212">
        <v>-3.85</v>
      </c>
      <c r="L32" s="212">
        <v>0</v>
      </c>
      <c r="M32" s="212">
        <v>0</v>
      </c>
      <c r="N32" s="212">
        <v>0</v>
      </c>
      <c r="O32" s="211">
        <v>-12.75</v>
      </c>
    </row>
    <row r="33" s="209" customFormat="1" ht="16.5" spans="1:15">
      <c r="A33" s="211">
        <v>21</v>
      </c>
      <c r="B33" s="211" t="s">
        <v>34</v>
      </c>
      <c r="C33" s="212">
        <v>-0.45</v>
      </c>
      <c r="D33" s="212">
        <v>-0.64</v>
      </c>
      <c r="E33" s="212">
        <v>-0.6</v>
      </c>
      <c r="F33" s="212">
        <v>-0.26</v>
      </c>
      <c r="G33" s="212">
        <v>0</v>
      </c>
      <c r="H33" s="212">
        <v>-2</v>
      </c>
      <c r="I33" s="212">
        <v>-2</v>
      </c>
      <c r="J33" s="212">
        <v>-3</v>
      </c>
      <c r="K33" s="212">
        <v>-3.67</v>
      </c>
      <c r="L33" s="212">
        <v>0</v>
      </c>
      <c r="M33" s="212">
        <v>0</v>
      </c>
      <c r="N33" s="212">
        <v>0</v>
      </c>
      <c r="O33" s="211">
        <v>-12.62</v>
      </c>
    </row>
    <row r="34" s="209" customFormat="1" ht="16.5" spans="1:15">
      <c r="A34" s="211">
        <v>22</v>
      </c>
      <c r="B34" s="211" t="s">
        <v>35</v>
      </c>
      <c r="C34" s="212">
        <v>-0.45</v>
      </c>
      <c r="D34" s="212">
        <v>-0.64</v>
      </c>
      <c r="E34" s="212">
        <v>-0.6</v>
      </c>
      <c r="F34" s="212">
        <v>-0.26</v>
      </c>
      <c r="G34" s="212">
        <v>0</v>
      </c>
      <c r="H34" s="212">
        <v>-2</v>
      </c>
      <c r="I34" s="212">
        <v>-2</v>
      </c>
      <c r="J34" s="212">
        <v>-3</v>
      </c>
      <c r="K34" s="212">
        <v>-3.57</v>
      </c>
      <c r="L34" s="212">
        <v>0</v>
      </c>
      <c r="M34" s="212">
        <v>0</v>
      </c>
      <c r="N34" s="212">
        <v>0</v>
      </c>
      <c r="O34" s="211">
        <v>-12.52</v>
      </c>
    </row>
    <row r="35" s="209" customFormat="1" ht="16.5" spans="1:15">
      <c r="A35" s="211">
        <v>23</v>
      </c>
      <c r="B35" s="211" t="s">
        <v>36</v>
      </c>
      <c r="C35" s="212">
        <v>-0.45</v>
      </c>
      <c r="D35" s="212">
        <v>-0.64</v>
      </c>
      <c r="E35" s="212">
        <v>-0.6</v>
      </c>
      <c r="F35" s="212">
        <v>-0.26</v>
      </c>
      <c r="G35" s="212">
        <v>0</v>
      </c>
      <c r="H35" s="212">
        <v>-2</v>
      </c>
      <c r="I35" s="212">
        <v>-2</v>
      </c>
      <c r="J35" s="212">
        <v>-3</v>
      </c>
      <c r="K35" s="212">
        <v>-3.48</v>
      </c>
      <c r="L35" s="212">
        <v>0</v>
      </c>
      <c r="M35" s="212">
        <v>0</v>
      </c>
      <c r="N35" s="212">
        <v>0</v>
      </c>
      <c r="O35" s="211">
        <v>-12.43</v>
      </c>
    </row>
    <row r="36" s="209" customFormat="1" ht="16.5" spans="1:15">
      <c r="A36" s="211">
        <v>24</v>
      </c>
      <c r="B36" s="211" t="s">
        <v>37</v>
      </c>
      <c r="C36" s="212">
        <v>-0.45</v>
      </c>
      <c r="D36" s="212">
        <v>-0.64</v>
      </c>
      <c r="E36" s="212">
        <v>-0.6</v>
      </c>
      <c r="F36" s="212">
        <v>-0.26</v>
      </c>
      <c r="G36" s="212">
        <v>0</v>
      </c>
      <c r="H36" s="212">
        <v>-2</v>
      </c>
      <c r="I36" s="212">
        <v>-2</v>
      </c>
      <c r="J36" s="212">
        <v>-3</v>
      </c>
      <c r="K36" s="212">
        <v>-3.38</v>
      </c>
      <c r="L36" s="212">
        <v>0</v>
      </c>
      <c r="M36" s="212">
        <v>0</v>
      </c>
      <c r="N36" s="212">
        <v>0</v>
      </c>
      <c r="O36" s="211">
        <v>-12.33</v>
      </c>
    </row>
    <row r="37" s="209" customFormat="1" ht="16.5" spans="1:15">
      <c r="A37" s="211">
        <v>25</v>
      </c>
      <c r="B37" s="211" t="s">
        <v>38</v>
      </c>
      <c r="C37" s="212">
        <v>-0.4</v>
      </c>
      <c r="D37" s="212">
        <v>-0.64</v>
      </c>
      <c r="E37" s="212">
        <v>-0.6</v>
      </c>
      <c r="F37" s="212">
        <v>-0.26</v>
      </c>
      <c r="G37" s="212">
        <v>0</v>
      </c>
      <c r="H37" s="212">
        <v>-2</v>
      </c>
      <c r="I37" s="212">
        <v>-2</v>
      </c>
      <c r="J37" s="212">
        <v>-3</v>
      </c>
      <c r="K37" s="212">
        <v>-3.29</v>
      </c>
      <c r="L37" s="212">
        <v>0</v>
      </c>
      <c r="M37" s="212">
        <v>0</v>
      </c>
      <c r="N37" s="212">
        <v>-121.9</v>
      </c>
      <c r="O37" s="211">
        <v>-134.09</v>
      </c>
    </row>
    <row r="38" s="209" customFormat="1" ht="16.5" spans="1:15">
      <c r="A38" s="211">
        <v>26</v>
      </c>
      <c r="B38" s="211" t="s">
        <v>39</v>
      </c>
      <c r="C38" s="212">
        <v>-0.4</v>
      </c>
      <c r="D38" s="212">
        <v>-0.64</v>
      </c>
      <c r="E38" s="212">
        <v>-0.6</v>
      </c>
      <c r="F38" s="212">
        <v>-0.26</v>
      </c>
      <c r="G38" s="212">
        <v>0</v>
      </c>
      <c r="H38" s="212">
        <v>-2</v>
      </c>
      <c r="I38" s="212">
        <v>-2</v>
      </c>
      <c r="J38" s="212">
        <v>-3</v>
      </c>
      <c r="K38" s="212">
        <v>-3.2</v>
      </c>
      <c r="L38" s="212">
        <v>0</v>
      </c>
      <c r="M38" s="212">
        <v>0</v>
      </c>
      <c r="N38" s="212">
        <v>-121.9</v>
      </c>
      <c r="O38" s="211">
        <v>-134</v>
      </c>
    </row>
    <row r="39" s="209" customFormat="1" ht="16.5" spans="1:15">
      <c r="A39" s="211">
        <v>27</v>
      </c>
      <c r="B39" s="211" t="s">
        <v>40</v>
      </c>
      <c r="C39" s="212">
        <v>-0.4</v>
      </c>
      <c r="D39" s="212">
        <v>-0.64</v>
      </c>
      <c r="E39" s="212">
        <v>-0.6</v>
      </c>
      <c r="F39" s="212">
        <v>-0.26</v>
      </c>
      <c r="G39" s="212">
        <v>0</v>
      </c>
      <c r="H39" s="212">
        <v>-2</v>
      </c>
      <c r="I39" s="212">
        <v>-2</v>
      </c>
      <c r="J39" s="212">
        <v>-3</v>
      </c>
      <c r="K39" s="212">
        <v>-3.01</v>
      </c>
      <c r="L39" s="212">
        <v>0</v>
      </c>
      <c r="M39" s="212">
        <v>0</v>
      </c>
      <c r="N39" s="212">
        <v>-121.9</v>
      </c>
      <c r="O39" s="211">
        <v>-133.81</v>
      </c>
    </row>
    <row r="40" s="209" customFormat="1" ht="16.5" spans="1:15">
      <c r="A40" s="211">
        <v>28</v>
      </c>
      <c r="B40" s="211" t="s">
        <v>41</v>
      </c>
      <c r="C40" s="212">
        <v>-0.4</v>
      </c>
      <c r="D40" s="212">
        <v>-0.64</v>
      </c>
      <c r="E40" s="212">
        <v>-0.6</v>
      </c>
      <c r="F40" s="212">
        <v>-0.26</v>
      </c>
      <c r="G40" s="212">
        <v>0</v>
      </c>
      <c r="H40" s="212">
        <v>-2</v>
      </c>
      <c r="I40" s="212">
        <v>-2</v>
      </c>
      <c r="J40" s="212">
        <v>-3</v>
      </c>
      <c r="K40" s="212">
        <v>-2.91</v>
      </c>
      <c r="L40" s="212">
        <v>0</v>
      </c>
      <c r="M40" s="212">
        <v>0</v>
      </c>
      <c r="N40" s="212">
        <v>-121.9</v>
      </c>
      <c r="O40" s="211">
        <v>-133.71</v>
      </c>
    </row>
    <row r="41" s="209" customFormat="1" ht="16.5" spans="1:15">
      <c r="A41" s="211">
        <v>29</v>
      </c>
      <c r="B41" s="211" t="s">
        <v>42</v>
      </c>
      <c r="C41" s="212">
        <v>-0.55</v>
      </c>
      <c r="D41" s="212">
        <v>-0.64</v>
      </c>
      <c r="E41" s="212">
        <v>-0.6</v>
      </c>
      <c r="F41" s="212">
        <v>-0.31</v>
      </c>
      <c r="G41" s="212">
        <v>0</v>
      </c>
      <c r="H41" s="212">
        <v>-2</v>
      </c>
      <c r="I41" s="212">
        <v>-2</v>
      </c>
      <c r="J41" s="212">
        <v>-3</v>
      </c>
      <c r="K41" s="212">
        <v>-2.91</v>
      </c>
      <c r="L41" s="212">
        <v>0</v>
      </c>
      <c r="M41" s="212">
        <v>0</v>
      </c>
      <c r="N41" s="212">
        <v>-121.9</v>
      </c>
      <c r="O41" s="211">
        <v>-133.91</v>
      </c>
    </row>
    <row r="42" s="209" customFormat="1" ht="16.5" spans="1:15">
      <c r="A42" s="211">
        <v>30</v>
      </c>
      <c r="B42" s="211" t="s">
        <v>43</v>
      </c>
      <c r="C42" s="212">
        <v>-0.55</v>
      </c>
      <c r="D42" s="212">
        <v>-0.64</v>
      </c>
      <c r="E42" s="212">
        <v>-0.6</v>
      </c>
      <c r="F42" s="212">
        <v>-0.31</v>
      </c>
      <c r="G42" s="212">
        <v>0</v>
      </c>
      <c r="H42" s="212">
        <v>-2</v>
      </c>
      <c r="I42" s="212">
        <v>-2</v>
      </c>
      <c r="J42" s="212">
        <v>-3</v>
      </c>
      <c r="K42" s="212">
        <v>-2.91</v>
      </c>
      <c r="L42" s="212">
        <v>0</v>
      </c>
      <c r="M42" s="212">
        <v>0</v>
      </c>
      <c r="N42" s="212">
        <v>-121.9</v>
      </c>
      <c r="O42" s="211">
        <v>-133.91</v>
      </c>
    </row>
    <row r="43" s="209" customFormat="1" ht="16.5" spans="1:15">
      <c r="A43" s="211">
        <v>31</v>
      </c>
      <c r="B43" s="211" t="s">
        <v>44</v>
      </c>
      <c r="C43" s="212">
        <v>-0.55</v>
      </c>
      <c r="D43" s="212">
        <v>-0.64</v>
      </c>
      <c r="E43" s="212">
        <v>-0.6</v>
      </c>
      <c r="F43" s="212">
        <v>-0.31</v>
      </c>
      <c r="G43" s="212">
        <v>0</v>
      </c>
      <c r="H43" s="212">
        <v>-2</v>
      </c>
      <c r="I43" s="212">
        <v>-2</v>
      </c>
      <c r="J43" s="212">
        <v>-3</v>
      </c>
      <c r="K43" s="212">
        <v>-2.91</v>
      </c>
      <c r="L43" s="212">
        <v>0</v>
      </c>
      <c r="M43" s="212">
        <v>0</v>
      </c>
      <c r="N43" s="212">
        <v>-121.9</v>
      </c>
      <c r="O43" s="211">
        <v>-133.91</v>
      </c>
    </row>
    <row r="44" s="209" customFormat="1" ht="16.5" spans="1:15">
      <c r="A44" s="211">
        <v>32</v>
      </c>
      <c r="B44" s="211" t="s">
        <v>45</v>
      </c>
      <c r="C44" s="212">
        <v>-0.55</v>
      </c>
      <c r="D44" s="212">
        <v>-0.64</v>
      </c>
      <c r="E44" s="212">
        <v>-0.6</v>
      </c>
      <c r="F44" s="212">
        <v>-0.31</v>
      </c>
      <c r="G44" s="212">
        <v>0</v>
      </c>
      <c r="H44" s="212">
        <v>-2</v>
      </c>
      <c r="I44" s="212">
        <v>-2</v>
      </c>
      <c r="J44" s="212">
        <v>-3</v>
      </c>
      <c r="K44" s="212">
        <v>-2.91</v>
      </c>
      <c r="L44" s="212">
        <v>0</v>
      </c>
      <c r="M44" s="212">
        <v>0</v>
      </c>
      <c r="N44" s="212">
        <v>-121.9</v>
      </c>
      <c r="O44" s="211">
        <v>-133.91</v>
      </c>
    </row>
    <row r="45" s="209" customFormat="1" ht="16.5" spans="1:15">
      <c r="A45" s="211">
        <v>33</v>
      </c>
      <c r="B45" s="211" t="s">
        <v>46</v>
      </c>
      <c r="C45" s="212">
        <v>-1</v>
      </c>
      <c r="D45" s="212">
        <v>-0.64</v>
      </c>
      <c r="E45" s="212">
        <v>-0.6</v>
      </c>
      <c r="F45" s="212">
        <v>-0.31</v>
      </c>
      <c r="G45" s="212">
        <v>0</v>
      </c>
      <c r="H45" s="212">
        <v>-2</v>
      </c>
      <c r="I45" s="212">
        <v>-2</v>
      </c>
      <c r="J45" s="212">
        <v>-3</v>
      </c>
      <c r="K45" s="212">
        <v>-2.63</v>
      </c>
      <c r="L45" s="212">
        <v>0</v>
      </c>
      <c r="M45" s="212">
        <v>0</v>
      </c>
      <c r="N45" s="212">
        <v>-121.9</v>
      </c>
      <c r="O45" s="211">
        <v>-134.08</v>
      </c>
    </row>
    <row r="46" s="209" customFormat="1" ht="16.5" spans="1:15">
      <c r="A46" s="211">
        <v>34</v>
      </c>
      <c r="B46" s="211" t="s">
        <v>47</v>
      </c>
      <c r="C46" s="212">
        <v>-1</v>
      </c>
      <c r="D46" s="212">
        <v>-0.7</v>
      </c>
      <c r="E46" s="212">
        <v>-0.6</v>
      </c>
      <c r="F46" s="212">
        <v>-0.31</v>
      </c>
      <c r="G46" s="212">
        <v>0</v>
      </c>
      <c r="H46" s="212">
        <v>-2</v>
      </c>
      <c r="I46" s="212">
        <v>-2</v>
      </c>
      <c r="J46" s="212">
        <v>-3</v>
      </c>
      <c r="K46" s="212">
        <v>-2.63</v>
      </c>
      <c r="L46" s="212">
        <v>0</v>
      </c>
      <c r="M46" s="212">
        <v>0</v>
      </c>
      <c r="N46" s="212">
        <v>-121.9</v>
      </c>
      <c r="O46" s="211">
        <v>-134.14</v>
      </c>
    </row>
    <row r="47" s="209" customFormat="1" ht="16.5" spans="1:15">
      <c r="A47" s="211">
        <v>35</v>
      </c>
      <c r="B47" s="211" t="s">
        <v>48</v>
      </c>
      <c r="C47" s="212">
        <v>-1</v>
      </c>
      <c r="D47" s="212">
        <v>-0.7</v>
      </c>
      <c r="E47" s="212">
        <v>-0.6</v>
      </c>
      <c r="F47" s="212">
        <v>-0.31</v>
      </c>
      <c r="G47" s="212">
        <v>0</v>
      </c>
      <c r="H47" s="212">
        <v>-2</v>
      </c>
      <c r="I47" s="212">
        <v>-2</v>
      </c>
      <c r="J47" s="212">
        <v>-3</v>
      </c>
      <c r="K47" s="212">
        <v>-2.73</v>
      </c>
      <c r="L47" s="212">
        <v>0</v>
      </c>
      <c r="M47" s="212">
        <v>0</v>
      </c>
      <c r="N47" s="212">
        <v>-121.9</v>
      </c>
      <c r="O47" s="211">
        <v>-134.24</v>
      </c>
    </row>
    <row r="48" s="209" customFormat="1" ht="16.5" spans="1:15">
      <c r="A48" s="211">
        <v>36</v>
      </c>
      <c r="B48" s="211" t="s">
        <v>49</v>
      </c>
      <c r="C48" s="212">
        <v>-1</v>
      </c>
      <c r="D48" s="212">
        <v>-0.7</v>
      </c>
      <c r="E48" s="212">
        <v>-0.6</v>
      </c>
      <c r="F48" s="212">
        <v>-0.31</v>
      </c>
      <c r="G48" s="212">
        <v>0</v>
      </c>
      <c r="H48" s="212">
        <v>-2</v>
      </c>
      <c r="I48" s="212">
        <v>-2</v>
      </c>
      <c r="J48" s="212">
        <v>-3</v>
      </c>
      <c r="K48" s="212">
        <v>-2.82</v>
      </c>
      <c r="L48" s="212">
        <v>0</v>
      </c>
      <c r="M48" s="212">
        <v>0</v>
      </c>
      <c r="N48" s="212">
        <v>-121.9</v>
      </c>
      <c r="O48" s="211">
        <v>-134.33</v>
      </c>
    </row>
    <row r="49" s="209" customFormat="1" ht="16.5" spans="1:15">
      <c r="A49" s="211">
        <v>37</v>
      </c>
      <c r="B49" s="211" t="s">
        <v>50</v>
      </c>
      <c r="C49" s="212">
        <v>-1</v>
      </c>
      <c r="D49" s="212">
        <v>-0.7</v>
      </c>
      <c r="E49" s="212">
        <v>-0.6</v>
      </c>
      <c r="F49" s="212">
        <v>-0.31</v>
      </c>
      <c r="G49" s="212">
        <v>0</v>
      </c>
      <c r="H49" s="212">
        <v>-2</v>
      </c>
      <c r="I49" s="212">
        <v>-2</v>
      </c>
      <c r="J49" s="212">
        <v>-3</v>
      </c>
      <c r="K49" s="212">
        <v>-3.01</v>
      </c>
      <c r="L49" s="212">
        <v>0</v>
      </c>
      <c r="M49" s="212">
        <v>0</v>
      </c>
      <c r="N49" s="212">
        <v>0</v>
      </c>
      <c r="O49" s="211">
        <v>-12.62</v>
      </c>
    </row>
    <row r="50" s="209" customFormat="1" ht="16.5" spans="1:15">
      <c r="A50" s="211">
        <v>38</v>
      </c>
      <c r="B50" s="211" t="s">
        <v>51</v>
      </c>
      <c r="C50" s="212">
        <v>-1</v>
      </c>
      <c r="D50" s="212">
        <v>-0.98</v>
      </c>
      <c r="E50" s="212">
        <v>-0.6</v>
      </c>
      <c r="F50" s="212">
        <v>-0.31</v>
      </c>
      <c r="G50" s="212">
        <v>0</v>
      </c>
      <c r="H50" s="212">
        <v>-2</v>
      </c>
      <c r="I50" s="212">
        <v>-2</v>
      </c>
      <c r="J50" s="212">
        <v>-3</v>
      </c>
      <c r="K50" s="212">
        <v>-3.1</v>
      </c>
      <c r="L50" s="212">
        <v>0</v>
      </c>
      <c r="M50" s="212">
        <v>0</v>
      </c>
      <c r="N50" s="212">
        <v>0</v>
      </c>
      <c r="O50" s="211">
        <v>-12.99</v>
      </c>
    </row>
    <row r="51" s="209" customFormat="1" ht="16.5" spans="1:15">
      <c r="A51" s="211">
        <v>39</v>
      </c>
      <c r="B51" s="211" t="s">
        <v>52</v>
      </c>
      <c r="C51" s="212">
        <v>-1</v>
      </c>
      <c r="D51" s="212">
        <v>-0.98</v>
      </c>
      <c r="E51" s="212">
        <v>-0.6</v>
      </c>
      <c r="F51" s="212">
        <v>-0.31</v>
      </c>
      <c r="G51" s="212">
        <v>0</v>
      </c>
      <c r="H51" s="212">
        <v>-2</v>
      </c>
      <c r="I51" s="212">
        <v>-2</v>
      </c>
      <c r="J51" s="212">
        <v>-3</v>
      </c>
      <c r="K51" s="212">
        <v>-3.01</v>
      </c>
      <c r="L51" s="212">
        <v>0</v>
      </c>
      <c r="M51" s="212">
        <v>0</v>
      </c>
      <c r="N51" s="212">
        <v>0</v>
      </c>
      <c r="O51" s="211">
        <v>-12.9</v>
      </c>
    </row>
    <row r="52" s="209" customFormat="1" ht="16.5" spans="1:15">
      <c r="A52" s="211">
        <v>40</v>
      </c>
      <c r="B52" s="211" t="s">
        <v>53</v>
      </c>
      <c r="C52" s="212">
        <v>-1</v>
      </c>
      <c r="D52" s="212">
        <v>-0.98</v>
      </c>
      <c r="E52" s="212">
        <v>-0.6</v>
      </c>
      <c r="F52" s="212">
        <v>-0.31</v>
      </c>
      <c r="G52" s="212">
        <v>0</v>
      </c>
      <c r="H52" s="212">
        <v>-2</v>
      </c>
      <c r="I52" s="212">
        <v>-2</v>
      </c>
      <c r="J52" s="212">
        <v>-3</v>
      </c>
      <c r="K52" s="212">
        <v>-2.91</v>
      </c>
      <c r="L52" s="212">
        <v>0</v>
      </c>
      <c r="M52" s="212">
        <v>0</v>
      </c>
      <c r="N52" s="212">
        <v>0</v>
      </c>
      <c r="O52" s="211">
        <v>-12.8</v>
      </c>
    </row>
    <row r="53" s="209" customFormat="1" ht="16.5" spans="1:15">
      <c r="A53" s="211">
        <v>41</v>
      </c>
      <c r="B53" s="211" t="s">
        <v>54</v>
      </c>
      <c r="C53" s="212">
        <v>-1</v>
      </c>
      <c r="D53" s="212">
        <v>-0.98</v>
      </c>
      <c r="E53" s="212">
        <v>-0.6</v>
      </c>
      <c r="F53" s="212">
        <v>-0.31</v>
      </c>
      <c r="G53" s="212">
        <v>0</v>
      </c>
      <c r="H53" s="212">
        <v>-2</v>
      </c>
      <c r="I53" s="212">
        <v>-2</v>
      </c>
      <c r="J53" s="212">
        <v>-3</v>
      </c>
      <c r="K53" s="212">
        <v>-3.01</v>
      </c>
      <c r="L53" s="212">
        <v>0</v>
      </c>
      <c r="M53" s="212">
        <v>0</v>
      </c>
      <c r="N53" s="212">
        <v>0</v>
      </c>
      <c r="O53" s="211">
        <v>-12.9</v>
      </c>
    </row>
    <row r="54" s="209" customFormat="1" ht="16.5" spans="1:15">
      <c r="A54" s="211">
        <v>42</v>
      </c>
      <c r="B54" s="211" t="s">
        <v>55</v>
      </c>
      <c r="C54" s="212">
        <v>-1</v>
      </c>
      <c r="D54" s="212">
        <v>-0.98</v>
      </c>
      <c r="E54" s="212">
        <v>-0.6</v>
      </c>
      <c r="F54" s="212">
        <v>-0.31</v>
      </c>
      <c r="G54" s="212">
        <v>0</v>
      </c>
      <c r="H54" s="212">
        <v>-2</v>
      </c>
      <c r="I54" s="212">
        <v>-2</v>
      </c>
      <c r="J54" s="212">
        <v>-3</v>
      </c>
      <c r="K54" s="212">
        <v>-2.82</v>
      </c>
      <c r="L54" s="212">
        <v>0</v>
      </c>
      <c r="M54" s="212">
        <v>0</v>
      </c>
      <c r="N54" s="212">
        <v>0</v>
      </c>
      <c r="O54" s="211">
        <v>-12.71</v>
      </c>
    </row>
    <row r="55" s="209" customFormat="1" ht="16.5" spans="1:15">
      <c r="A55" s="211">
        <v>43</v>
      </c>
      <c r="B55" s="211" t="s">
        <v>56</v>
      </c>
      <c r="C55" s="212">
        <v>-1</v>
      </c>
      <c r="D55" s="212">
        <v>-0.98</v>
      </c>
      <c r="E55" s="212">
        <v>-0.6</v>
      </c>
      <c r="F55" s="212">
        <v>-0.31</v>
      </c>
      <c r="G55" s="212">
        <v>0</v>
      </c>
      <c r="H55" s="212">
        <v>-2</v>
      </c>
      <c r="I55" s="212">
        <v>-2</v>
      </c>
      <c r="J55" s="212">
        <v>-3</v>
      </c>
      <c r="K55" s="212">
        <v>-2.82</v>
      </c>
      <c r="L55" s="212">
        <v>0</v>
      </c>
      <c r="M55" s="212">
        <v>0</v>
      </c>
      <c r="N55" s="212">
        <v>0</v>
      </c>
      <c r="O55" s="211">
        <v>-12.71</v>
      </c>
    </row>
    <row r="56" s="209" customFormat="1" ht="16.5" spans="1:15">
      <c r="A56" s="211">
        <v>44</v>
      </c>
      <c r="B56" s="211" t="s">
        <v>57</v>
      </c>
      <c r="C56" s="212">
        <v>-1</v>
      </c>
      <c r="D56" s="212">
        <v>-0.98</v>
      </c>
      <c r="E56" s="212">
        <v>-0.6</v>
      </c>
      <c r="F56" s="212">
        <v>-0.31</v>
      </c>
      <c r="G56" s="212">
        <v>0</v>
      </c>
      <c r="H56" s="212">
        <v>-2</v>
      </c>
      <c r="I56" s="212">
        <v>-2</v>
      </c>
      <c r="J56" s="212">
        <v>-3</v>
      </c>
      <c r="K56" s="212">
        <v>-2.73</v>
      </c>
      <c r="L56" s="212">
        <v>0</v>
      </c>
      <c r="M56" s="212">
        <v>0</v>
      </c>
      <c r="N56" s="212">
        <v>0</v>
      </c>
      <c r="O56" s="211">
        <v>-12.62</v>
      </c>
    </row>
    <row r="57" s="209" customFormat="1" ht="16.5" spans="1:15">
      <c r="A57" s="211">
        <v>45</v>
      </c>
      <c r="B57" s="211" t="s">
        <v>58</v>
      </c>
      <c r="C57" s="212">
        <v>-1</v>
      </c>
      <c r="D57" s="212">
        <v>-0.98</v>
      </c>
      <c r="E57" s="212">
        <v>-0.6</v>
      </c>
      <c r="F57" s="212">
        <v>-0.31</v>
      </c>
      <c r="G57" s="212">
        <v>0</v>
      </c>
      <c r="H57" s="212">
        <v>-2</v>
      </c>
      <c r="I57" s="212">
        <v>-2</v>
      </c>
      <c r="J57" s="212">
        <v>-3</v>
      </c>
      <c r="K57" s="212">
        <v>-2.73</v>
      </c>
      <c r="L57" s="212">
        <v>0</v>
      </c>
      <c r="M57" s="212">
        <v>0</v>
      </c>
      <c r="N57" s="212">
        <v>0</v>
      </c>
      <c r="O57" s="211">
        <v>-12.62</v>
      </c>
    </row>
    <row r="58" s="209" customFormat="1" ht="16.5" spans="1:15">
      <c r="A58" s="211">
        <v>46</v>
      </c>
      <c r="B58" s="211" t="s">
        <v>59</v>
      </c>
      <c r="C58" s="212">
        <v>-1</v>
      </c>
      <c r="D58" s="212">
        <v>-0.1</v>
      </c>
      <c r="E58" s="212">
        <v>-0.6</v>
      </c>
      <c r="F58" s="212">
        <v>-0.31</v>
      </c>
      <c r="G58" s="212">
        <v>0</v>
      </c>
      <c r="H58" s="212">
        <v>-2</v>
      </c>
      <c r="I58" s="212">
        <v>-2</v>
      </c>
      <c r="J58" s="212">
        <v>-3</v>
      </c>
      <c r="K58" s="212">
        <v>-2.63</v>
      </c>
      <c r="L58" s="212">
        <v>0</v>
      </c>
      <c r="M58" s="212">
        <v>0</v>
      </c>
      <c r="N58" s="212">
        <v>0</v>
      </c>
      <c r="O58" s="211">
        <v>-11.64</v>
      </c>
    </row>
    <row r="59" s="209" customFormat="1" ht="16.5" spans="1:15">
      <c r="A59" s="211">
        <v>47</v>
      </c>
      <c r="B59" s="211" t="s">
        <v>60</v>
      </c>
      <c r="C59" s="212">
        <v>-1</v>
      </c>
      <c r="D59" s="212">
        <v>-0.1</v>
      </c>
      <c r="E59" s="212">
        <v>-0.6</v>
      </c>
      <c r="F59" s="212">
        <v>-0.31</v>
      </c>
      <c r="G59" s="212">
        <v>0</v>
      </c>
      <c r="H59" s="212">
        <v>-2</v>
      </c>
      <c r="I59" s="212">
        <v>-2</v>
      </c>
      <c r="J59" s="212">
        <v>-3</v>
      </c>
      <c r="K59" s="212">
        <v>-2.73</v>
      </c>
      <c r="L59" s="212">
        <v>0</v>
      </c>
      <c r="M59" s="212">
        <v>0</v>
      </c>
      <c r="N59" s="212">
        <v>0</v>
      </c>
      <c r="O59" s="211">
        <v>-11.74</v>
      </c>
    </row>
    <row r="60" s="209" customFormat="1" ht="16.5" spans="1:15">
      <c r="A60" s="211">
        <v>48</v>
      </c>
      <c r="B60" s="211" t="s">
        <v>61</v>
      </c>
      <c r="C60" s="212">
        <v>-1</v>
      </c>
      <c r="D60" s="212">
        <v>-0.1</v>
      </c>
      <c r="E60" s="212">
        <v>-0.6</v>
      </c>
      <c r="F60" s="212">
        <v>-0.31</v>
      </c>
      <c r="G60" s="212">
        <v>0</v>
      </c>
      <c r="H60" s="212">
        <v>-2</v>
      </c>
      <c r="I60" s="212">
        <v>-2</v>
      </c>
      <c r="J60" s="212">
        <v>-3</v>
      </c>
      <c r="K60" s="212">
        <v>-2.82</v>
      </c>
      <c r="L60" s="212">
        <v>0</v>
      </c>
      <c r="M60" s="212">
        <v>0</v>
      </c>
      <c r="N60" s="212">
        <v>0</v>
      </c>
      <c r="O60" s="211">
        <v>-11.83</v>
      </c>
    </row>
    <row r="61" s="209" customFormat="1" ht="16.5" spans="1:15">
      <c r="A61" s="211">
        <v>49</v>
      </c>
      <c r="B61" s="211" t="s">
        <v>62</v>
      </c>
      <c r="C61" s="212">
        <v>-1</v>
      </c>
      <c r="D61" s="212">
        <v>-0.1</v>
      </c>
      <c r="E61" s="212">
        <v>-0.6</v>
      </c>
      <c r="F61" s="212">
        <v>-0.31</v>
      </c>
      <c r="G61" s="212">
        <v>0</v>
      </c>
      <c r="H61" s="212">
        <v>-2</v>
      </c>
      <c r="I61" s="212">
        <v>-2</v>
      </c>
      <c r="J61" s="212">
        <v>-3</v>
      </c>
      <c r="K61" s="212">
        <v>-2.91</v>
      </c>
      <c r="L61" s="212">
        <v>0</v>
      </c>
      <c r="M61" s="212">
        <v>0</v>
      </c>
      <c r="N61" s="212">
        <v>0</v>
      </c>
      <c r="O61" s="211">
        <v>-11.92</v>
      </c>
    </row>
    <row r="62" s="209" customFormat="1" ht="16.5" spans="1:15">
      <c r="A62" s="211">
        <v>50</v>
      </c>
      <c r="B62" s="211" t="s">
        <v>63</v>
      </c>
      <c r="C62" s="212">
        <v>-1</v>
      </c>
      <c r="D62" s="212">
        <v>-0.1</v>
      </c>
      <c r="E62" s="212">
        <v>-0.6</v>
      </c>
      <c r="F62" s="212">
        <v>-0.31</v>
      </c>
      <c r="G62" s="212">
        <v>0</v>
      </c>
      <c r="H62" s="212">
        <v>-2</v>
      </c>
      <c r="I62" s="212">
        <v>-2</v>
      </c>
      <c r="J62" s="212">
        <v>-3</v>
      </c>
      <c r="K62" s="212">
        <v>-2.91</v>
      </c>
      <c r="L62" s="212">
        <v>0</v>
      </c>
      <c r="M62" s="212">
        <v>0</v>
      </c>
      <c r="N62" s="212">
        <v>0</v>
      </c>
      <c r="O62" s="211">
        <v>-11.92</v>
      </c>
    </row>
    <row r="63" s="209" customFormat="1" ht="16.5" spans="1:15">
      <c r="A63" s="211">
        <v>51</v>
      </c>
      <c r="B63" s="211" t="s">
        <v>64</v>
      </c>
      <c r="C63" s="212">
        <v>-1</v>
      </c>
      <c r="D63" s="212">
        <v>-0.1</v>
      </c>
      <c r="E63" s="212">
        <v>-0.6</v>
      </c>
      <c r="F63" s="212">
        <v>-0.31</v>
      </c>
      <c r="G63" s="212">
        <v>0</v>
      </c>
      <c r="H63" s="212">
        <v>-2</v>
      </c>
      <c r="I63" s="212">
        <v>-2</v>
      </c>
      <c r="J63" s="212">
        <v>-3</v>
      </c>
      <c r="K63" s="212">
        <v>-3.01</v>
      </c>
      <c r="L63" s="212">
        <v>0</v>
      </c>
      <c r="M63" s="212">
        <v>0</v>
      </c>
      <c r="N63" s="212">
        <v>0</v>
      </c>
      <c r="O63" s="211">
        <v>-12.02</v>
      </c>
    </row>
    <row r="64" s="209" customFormat="1" ht="16.5" spans="1:15">
      <c r="A64" s="211">
        <v>52</v>
      </c>
      <c r="B64" s="211" t="s">
        <v>65</v>
      </c>
      <c r="C64" s="212">
        <v>-1</v>
      </c>
      <c r="D64" s="212">
        <v>-0.1</v>
      </c>
      <c r="E64" s="212">
        <v>-0.6</v>
      </c>
      <c r="F64" s="212">
        <v>-0.31</v>
      </c>
      <c r="G64" s="212">
        <v>0</v>
      </c>
      <c r="H64" s="212">
        <v>-2</v>
      </c>
      <c r="I64" s="212">
        <v>-2</v>
      </c>
      <c r="J64" s="212">
        <v>-3</v>
      </c>
      <c r="K64" s="212">
        <v>-3.2</v>
      </c>
      <c r="L64" s="212">
        <v>0</v>
      </c>
      <c r="M64" s="212">
        <v>0</v>
      </c>
      <c r="N64" s="212">
        <v>0</v>
      </c>
      <c r="O64" s="211">
        <v>-12.21</v>
      </c>
    </row>
    <row r="65" s="209" customFormat="1" ht="16.5" spans="1:15">
      <c r="A65" s="211">
        <v>53</v>
      </c>
      <c r="B65" s="211" t="s">
        <v>66</v>
      </c>
      <c r="C65" s="212">
        <v>-1</v>
      </c>
      <c r="D65" s="212">
        <v>-0.1</v>
      </c>
      <c r="E65" s="212">
        <v>-0.6</v>
      </c>
      <c r="F65" s="212">
        <v>-0.31</v>
      </c>
      <c r="G65" s="212">
        <v>0</v>
      </c>
      <c r="H65" s="212">
        <v>-2</v>
      </c>
      <c r="I65" s="212">
        <v>-2</v>
      </c>
      <c r="J65" s="212">
        <v>-3</v>
      </c>
      <c r="K65" s="212">
        <v>-3.38</v>
      </c>
      <c r="L65" s="212">
        <v>0</v>
      </c>
      <c r="M65" s="212">
        <v>0</v>
      </c>
      <c r="N65" s="212">
        <v>0</v>
      </c>
      <c r="O65" s="211">
        <v>-12.39</v>
      </c>
    </row>
    <row r="66" s="209" customFormat="1" ht="16.5" spans="1:15">
      <c r="A66" s="211">
        <v>54</v>
      </c>
      <c r="B66" s="211" t="s">
        <v>67</v>
      </c>
      <c r="C66" s="212">
        <v>-1</v>
      </c>
      <c r="D66" s="212">
        <v>-0.1</v>
      </c>
      <c r="E66" s="212">
        <v>-0.6</v>
      </c>
      <c r="F66" s="212">
        <v>-0.31</v>
      </c>
      <c r="G66" s="212">
        <v>0</v>
      </c>
      <c r="H66" s="212">
        <v>-2</v>
      </c>
      <c r="I66" s="212">
        <v>-2</v>
      </c>
      <c r="J66" s="212">
        <v>-3</v>
      </c>
      <c r="K66" s="212">
        <v>-3.48</v>
      </c>
      <c r="L66" s="212">
        <v>0</v>
      </c>
      <c r="M66" s="212">
        <v>0</v>
      </c>
      <c r="N66" s="212">
        <v>0</v>
      </c>
      <c r="O66" s="211">
        <v>-12.49</v>
      </c>
    </row>
    <row r="67" s="209" customFormat="1" ht="16.5" spans="1:15">
      <c r="A67" s="211">
        <v>55</v>
      </c>
      <c r="B67" s="211" t="s">
        <v>68</v>
      </c>
      <c r="C67" s="212">
        <v>-1</v>
      </c>
      <c r="D67" s="212">
        <v>-0.1</v>
      </c>
      <c r="E67" s="212">
        <v>-0.6</v>
      </c>
      <c r="F67" s="212">
        <v>-0.31</v>
      </c>
      <c r="G67" s="212">
        <v>0</v>
      </c>
      <c r="H67" s="212">
        <v>-2</v>
      </c>
      <c r="I67" s="212">
        <v>-2</v>
      </c>
      <c r="J67" s="212">
        <v>-3</v>
      </c>
      <c r="K67" s="212">
        <v>-3.67</v>
      </c>
      <c r="L67" s="212">
        <v>0</v>
      </c>
      <c r="M67" s="212">
        <v>0</v>
      </c>
      <c r="N67" s="212">
        <v>0</v>
      </c>
      <c r="O67" s="211">
        <v>-12.68</v>
      </c>
    </row>
    <row r="68" s="209" customFormat="1" ht="16.5" spans="1:15">
      <c r="A68" s="211">
        <v>56</v>
      </c>
      <c r="B68" s="211" t="s">
        <v>69</v>
      </c>
      <c r="C68" s="212">
        <v>-1</v>
      </c>
      <c r="D68" s="212">
        <v>-0.1</v>
      </c>
      <c r="E68" s="212">
        <v>-0.6</v>
      </c>
      <c r="F68" s="212">
        <v>-0.31</v>
      </c>
      <c r="G68" s="212">
        <v>0</v>
      </c>
      <c r="H68" s="212">
        <v>-2</v>
      </c>
      <c r="I68" s="212">
        <v>-2</v>
      </c>
      <c r="J68" s="212">
        <v>-3</v>
      </c>
      <c r="K68" s="212">
        <v>-3.85</v>
      </c>
      <c r="L68" s="212">
        <v>0</v>
      </c>
      <c r="M68" s="212">
        <v>0</v>
      </c>
      <c r="N68" s="212">
        <v>0</v>
      </c>
      <c r="O68" s="211">
        <v>-12.86</v>
      </c>
    </row>
    <row r="69" s="209" customFormat="1" ht="16.5" spans="1:15">
      <c r="A69" s="211">
        <v>57</v>
      </c>
      <c r="B69" s="211" t="s">
        <v>70</v>
      </c>
      <c r="C69" s="212">
        <v>-1</v>
      </c>
      <c r="D69" s="212">
        <v>-0.1</v>
      </c>
      <c r="E69" s="212">
        <v>-0.6</v>
      </c>
      <c r="F69" s="212">
        <v>-0.31</v>
      </c>
      <c r="G69" s="212">
        <v>0</v>
      </c>
      <c r="H69" s="212">
        <v>-2</v>
      </c>
      <c r="I69" s="212">
        <v>-2</v>
      </c>
      <c r="J69" s="212">
        <v>-3</v>
      </c>
      <c r="K69" s="212">
        <v>-4.14</v>
      </c>
      <c r="L69" s="212">
        <v>0</v>
      </c>
      <c r="M69" s="212">
        <v>0</v>
      </c>
      <c r="N69" s="212">
        <v>0</v>
      </c>
      <c r="O69" s="211">
        <v>-13.15</v>
      </c>
    </row>
    <row r="70" s="209" customFormat="1" ht="16.5" spans="1:15">
      <c r="A70" s="211">
        <v>58</v>
      </c>
      <c r="B70" s="211" t="s">
        <v>71</v>
      </c>
      <c r="C70" s="212">
        <v>-1</v>
      </c>
      <c r="D70" s="212">
        <v>-0.1</v>
      </c>
      <c r="E70" s="212">
        <v>-0.6</v>
      </c>
      <c r="F70" s="212">
        <v>-0.31</v>
      </c>
      <c r="G70" s="212">
        <v>0</v>
      </c>
      <c r="H70" s="212">
        <v>-2</v>
      </c>
      <c r="I70" s="212">
        <v>-2</v>
      </c>
      <c r="J70" s="212">
        <v>-3</v>
      </c>
      <c r="K70" s="212">
        <v>-4.42</v>
      </c>
      <c r="L70" s="212">
        <v>0</v>
      </c>
      <c r="M70" s="212">
        <v>0</v>
      </c>
      <c r="N70" s="212">
        <v>0</v>
      </c>
      <c r="O70" s="211">
        <v>-13.43</v>
      </c>
    </row>
    <row r="71" s="209" customFormat="1" ht="16.5" spans="1:15">
      <c r="A71" s="211">
        <v>59</v>
      </c>
      <c r="B71" s="211" t="s">
        <v>72</v>
      </c>
      <c r="C71" s="212">
        <v>-1</v>
      </c>
      <c r="D71" s="212">
        <v>-0.1</v>
      </c>
      <c r="E71" s="212">
        <v>-0.6</v>
      </c>
      <c r="F71" s="212">
        <v>-0.31</v>
      </c>
      <c r="G71" s="212">
        <v>0</v>
      </c>
      <c r="H71" s="212">
        <v>-2</v>
      </c>
      <c r="I71" s="212">
        <v>-2</v>
      </c>
      <c r="J71" s="212">
        <v>-3</v>
      </c>
      <c r="K71" s="212">
        <v>-4.7</v>
      </c>
      <c r="L71" s="212">
        <v>0</v>
      </c>
      <c r="M71" s="212">
        <v>0</v>
      </c>
      <c r="N71" s="212">
        <v>0</v>
      </c>
      <c r="O71" s="211">
        <v>-13.71</v>
      </c>
    </row>
    <row r="72" s="209" customFormat="1" ht="16.5" spans="1:15">
      <c r="A72" s="211">
        <v>60</v>
      </c>
      <c r="B72" s="211" t="s">
        <v>73</v>
      </c>
      <c r="C72" s="212">
        <v>-1</v>
      </c>
      <c r="D72" s="212">
        <v>-0.1</v>
      </c>
      <c r="E72" s="212">
        <v>-0.6</v>
      </c>
      <c r="F72" s="212">
        <v>-0.31</v>
      </c>
      <c r="G72" s="212">
        <v>0</v>
      </c>
      <c r="H72" s="212">
        <v>-2</v>
      </c>
      <c r="I72" s="212">
        <v>-2</v>
      </c>
      <c r="J72" s="212">
        <v>-3</v>
      </c>
      <c r="K72" s="212">
        <v>-4.79</v>
      </c>
      <c r="L72" s="212">
        <v>0</v>
      </c>
      <c r="M72" s="212">
        <v>0</v>
      </c>
      <c r="N72" s="212">
        <v>0</v>
      </c>
      <c r="O72" s="211">
        <v>-13.8</v>
      </c>
    </row>
    <row r="73" s="209" customFormat="1" ht="16.5" spans="1:15">
      <c r="A73" s="211">
        <v>61</v>
      </c>
      <c r="B73" s="211" t="s">
        <v>74</v>
      </c>
      <c r="C73" s="212">
        <v>-1</v>
      </c>
      <c r="D73" s="212">
        <v>-0.1</v>
      </c>
      <c r="E73" s="212">
        <v>-0.6</v>
      </c>
      <c r="F73" s="212">
        <v>-0.31</v>
      </c>
      <c r="G73" s="212">
        <v>0</v>
      </c>
      <c r="H73" s="212">
        <v>-2</v>
      </c>
      <c r="I73" s="212">
        <v>-2</v>
      </c>
      <c r="J73" s="212">
        <v>-3</v>
      </c>
      <c r="K73" s="212">
        <v>-5.08</v>
      </c>
      <c r="L73" s="212">
        <v>0</v>
      </c>
      <c r="M73" s="212">
        <v>0</v>
      </c>
      <c r="N73" s="212">
        <v>0</v>
      </c>
      <c r="O73" s="211">
        <v>-14.09</v>
      </c>
    </row>
    <row r="74" s="209" customFormat="1" ht="16.5" spans="1:15">
      <c r="A74" s="211">
        <v>62</v>
      </c>
      <c r="B74" s="211" t="s">
        <v>75</v>
      </c>
      <c r="C74" s="212">
        <v>-1</v>
      </c>
      <c r="D74" s="212">
        <v>-0.1</v>
      </c>
      <c r="E74" s="212">
        <v>-0.6</v>
      </c>
      <c r="F74" s="212">
        <v>-0.31</v>
      </c>
      <c r="G74" s="212">
        <v>0</v>
      </c>
      <c r="H74" s="212">
        <v>-2</v>
      </c>
      <c r="I74" s="212">
        <v>-2</v>
      </c>
      <c r="J74" s="212">
        <v>-3</v>
      </c>
      <c r="K74" s="212">
        <v>-5.26</v>
      </c>
      <c r="L74" s="212">
        <v>0</v>
      </c>
      <c r="M74" s="212">
        <v>0</v>
      </c>
      <c r="N74" s="212">
        <v>0</v>
      </c>
      <c r="O74" s="211">
        <v>-14.27</v>
      </c>
    </row>
    <row r="75" s="209" customFormat="1" ht="16.5" spans="1:15">
      <c r="A75" s="211">
        <v>63</v>
      </c>
      <c r="B75" s="211" t="s">
        <v>76</v>
      </c>
      <c r="C75" s="212">
        <v>-1</v>
      </c>
      <c r="D75" s="212">
        <v>-0.1</v>
      </c>
      <c r="E75" s="212">
        <v>-0.6</v>
      </c>
      <c r="F75" s="212">
        <v>-0.31</v>
      </c>
      <c r="G75" s="212">
        <v>0</v>
      </c>
      <c r="H75" s="212">
        <v>-2</v>
      </c>
      <c r="I75" s="212">
        <v>-2</v>
      </c>
      <c r="J75" s="212">
        <v>-3</v>
      </c>
      <c r="K75" s="212">
        <v>-5.17</v>
      </c>
      <c r="L75" s="212">
        <v>0</v>
      </c>
      <c r="M75" s="212">
        <v>0</v>
      </c>
      <c r="N75" s="212">
        <v>-121.9</v>
      </c>
      <c r="O75" s="211">
        <v>-136.08</v>
      </c>
    </row>
    <row r="76" s="209" customFormat="1" ht="16.5" spans="1:15">
      <c r="A76" s="211">
        <v>64</v>
      </c>
      <c r="B76" s="211" t="s">
        <v>77</v>
      </c>
      <c r="C76" s="212">
        <v>-1</v>
      </c>
      <c r="D76" s="212">
        <v>-0.1</v>
      </c>
      <c r="E76" s="212">
        <v>-0.6</v>
      </c>
      <c r="F76" s="212">
        <v>-0.31</v>
      </c>
      <c r="G76" s="212">
        <v>0</v>
      </c>
      <c r="H76" s="212">
        <v>-2</v>
      </c>
      <c r="I76" s="212">
        <v>-2</v>
      </c>
      <c r="J76" s="212">
        <v>-3</v>
      </c>
      <c r="K76" s="212">
        <v>-5.26</v>
      </c>
      <c r="L76" s="212">
        <v>0</v>
      </c>
      <c r="M76" s="212">
        <v>0</v>
      </c>
      <c r="N76" s="212">
        <v>-121.9</v>
      </c>
      <c r="O76" s="211">
        <v>-136.17</v>
      </c>
    </row>
    <row r="77" s="209" customFormat="1" ht="16.5" spans="1:15">
      <c r="A77" s="211">
        <v>65</v>
      </c>
      <c r="B77" s="211" t="s">
        <v>78</v>
      </c>
      <c r="C77" s="212">
        <v>-0.5</v>
      </c>
      <c r="D77" s="212">
        <v>-0.1</v>
      </c>
      <c r="E77" s="212">
        <v>-0.6</v>
      </c>
      <c r="F77" s="212">
        <v>-0.31</v>
      </c>
      <c r="G77" s="212">
        <v>-1.6</v>
      </c>
      <c r="H77" s="212">
        <v>-2</v>
      </c>
      <c r="I77" s="212">
        <v>-2</v>
      </c>
      <c r="J77" s="212">
        <v>-3</v>
      </c>
      <c r="K77" s="212">
        <v>-5.45</v>
      </c>
      <c r="L77" s="212">
        <v>0</v>
      </c>
      <c r="M77" s="212">
        <v>0</v>
      </c>
      <c r="N77" s="212">
        <v>-121.9</v>
      </c>
      <c r="O77" s="211">
        <v>-137.46</v>
      </c>
    </row>
    <row r="78" s="209" customFormat="1" ht="16.5" spans="1:15">
      <c r="A78" s="211">
        <v>66</v>
      </c>
      <c r="B78" s="211" t="s">
        <v>79</v>
      </c>
      <c r="C78" s="212">
        <v>-0.5</v>
      </c>
      <c r="D78" s="212">
        <v>-0.1</v>
      </c>
      <c r="E78" s="212">
        <v>-0.6</v>
      </c>
      <c r="F78" s="212">
        <v>-0.31</v>
      </c>
      <c r="G78" s="212">
        <v>-1.6</v>
      </c>
      <c r="H78" s="212">
        <v>-2</v>
      </c>
      <c r="I78" s="212">
        <v>-2</v>
      </c>
      <c r="J78" s="212">
        <v>-3</v>
      </c>
      <c r="K78" s="212">
        <v>-6.49</v>
      </c>
      <c r="L78" s="212">
        <v>0</v>
      </c>
      <c r="M78" s="212">
        <v>0</v>
      </c>
      <c r="N78" s="212">
        <v>-121.9</v>
      </c>
      <c r="O78" s="211">
        <v>-138.5</v>
      </c>
    </row>
    <row r="79" s="209" customFormat="1" ht="16.5" spans="1:15">
      <c r="A79" s="211">
        <v>67</v>
      </c>
      <c r="B79" s="211" t="s">
        <v>80</v>
      </c>
      <c r="C79" s="212">
        <v>-0.5</v>
      </c>
      <c r="D79" s="212">
        <v>-0.1</v>
      </c>
      <c r="E79" s="212">
        <v>-0.6</v>
      </c>
      <c r="F79" s="212">
        <v>-0.31</v>
      </c>
      <c r="G79" s="212">
        <v>-1.6</v>
      </c>
      <c r="H79" s="212">
        <v>-2</v>
      </c>
      <c r="I79" s="212">
        <v>-2</v>
      </c>
      <c r="J79" s="212">
        <v>-3</v>
      </c>
      <c r="K79" s="212">
        <v>-6.11</v>
      </c>
      <c r="L79" s="212">
        <v>0</v>
      </c>
      <c r="M79" s="212">
        <v>0</v>
      </c>
      <c r="N79" s="212">
        <v>-121.9</v>
      </c>
      <c r="O79" s="211">
        <v>-138.12</v>
      </c>
    </row>
    <row r="80" s="209" customFormat="1" ht="16.5" spans="1:15">
      <c r="A80" s="211">
        <v>68</v>
      </c>
      <c r="B80" s="211" t="s">
        <v>81</v>
      </c>
      <c r="C80" s="212">
        <v>-0.5</v>
      </c>
      <c r="D80" s="212">
        <v>-0.1</v>
      </c>
      <c r="E80" s="212">
        <v>-0.6</v>
      </c>
      <c r="F80" s="212">
        <v>-0.31</v>
      </c>
      <c r="G80" s="212">
        <v>-1.6</v>
      </c>
      <c r="H80" s="212">
        <v>-2</v>
      </c>
      <c r="I80" s="212">
        <v>-2</v>
      </c>
      <c r="J80" s="212">
        <v>-3</v>
      </c>
      <c r="K80" s="212">
        <v>-6.49</v>
      </c>
      <c r="L80" s="212">
        <v>0</v>
      </c>
      <c r="M80" s="212">
        <v>0</v>
      </c>
      <c r="N80" s="212">
        <v>-121.9</v>
      </c>
      <c r="O80" s="211">
        <v>-138.5</v>
      </c>
    </row>
    <row r="81" s="209" customFormat="1" ht="16.5" spans="1:15">
      <c r="A81" s="211">
        <v>69</v>
      </c>
      <c r="B81" s="211" t="s">
        <v>82</v>
      </c>
      <c r="C81" s="212">
        <v>-0.5</v>
      </c>
      <c r="D81" s="212">
        <v>-0.1</v>
      </c>
      <c r="E81" s="212">
        <v>-0.6</v>
      </c>
      <c r="F81" s="212">
        <v>-0.31</v>
      </c>
      <c r="G81" s="212">
        <v>-1.6</v>
      </c>
      <c r="H81" s="212">
        <v>-2</v>
      </c>
      <c r="I81" s="212">
        <v>-2</v>
      </c>
      <c r="J81" s="212">
        <v>-3</v>
      </c>
      <c r="K81" s="212">
        <v>-6.86</v>
      </c>
      <c r="L81" s="212">
        <v>-50</v>
      </c>
      <c r="M81" s="212">
        <v>-71.9</v>
      </c>
      <c r="N81" s="212">
        <v>0</v>
      </c>
      <c r="O81" s="211">
        <v>-138.87</v>
      </c>
    </row>
    <row r="82" s="209" customFormat="1" ht="16.5" spans="1:15">
      <c r="A82" s="211">
        <v>70</v>
      </c>
      <c r="B82" s="211" t="s">
        <v>83</v>
      </c>
      <c r="C82" s="212">
        <v>-0.5</v>
      </c>
      <c r="D82" s="212">
        <v>-0.1</v>
      </c>
      <c r="E82" s="212">
        <v>-0.6</v>
      </c>
      <c r="F82" s="212">
        <v>-0.31</v>
      </c>
      <c r="G82" s="212">
        <v>-1.6</v>
      </c>
      <c r="H82" s="212">
        <v>-2</v>
      </c>
      <c r="I82" s="212">
        <v>-2</v>
      </c>
      <c r="J82" s="212">
        <v>-3</v>
      </c>
      <c r="K82" s="212">
        <v>-7.43</v>
      </c>
      <c r="L82" s="212">
        <v>-50</v>
      </c>
      <c r="M82" s="212">
        <v>-71.9</v>
      </c>
      <c r="N82" s="212">
        <v>0</v>
      </c>
      <c r="O82" s="211">
        <v>-139.44</v>
      </c>
    </row>
    <row r="83" s="209" customFormat="1" ht="16.5" spans="1:15">
      <c r="A83" s="211">
        <v>71</v>
      </c>
      <c r="B83" s="211" t="s">
        <v>84</v>
      </c>
      <c r="C83" s="212">
        <v>-0.5</v>
      </c>
      <c r="D83" s="212">
        <v>-0.1</v>
      </c>
      <c r="E83" s="212">
        <v>-0.6</v>
      </c>
      <c r="F83" s="212">
        <v>-0.31</v>
      </c>
      <c r="G83" s="212">
        <v>-1.6</v>
      </c>
      <c r="H83" s="212">
        <v>-2</v>
      </c>
      <c r="I83" s="212">
        <v>-2</v>
      </c>
      <c r="J83" s="212">
        <v>-3</v>
      </c>
      <c r="K83" s="212">
        <v>-8.08</v>
      </c>
      <c r="L83" s="212">
        <v>-50</v>
      </c>
      <c r="M83" s="212">
        <v>-71.9</v>
      </c>
      <c r="N83" s="212">
        <v>0</v>
      </c>
      <c r="O83" s="211">
        <v>-140.09</v>
      </c>
    </row>
    <row r="84" s="209" customFormat="1" ht="16.5" spans="1:15">
      <c r="A84" s="211">
        <v>72</v>
      </c>
      <c r="B84" s="211" t="s">
        <v>85</v>
      </c>
      <c r="C84" s="212">
        <v>-0.5</v>
      </c>
      <c r="D84" s="212">
        <v>-0.1</v>
      </c>
      <c r="E84" s="212">
        <v>-0.6</v>
      </c>
      <c r="F84" s="212">
        <v>-0.31</v>
      </c>
      <c r="G84" s="212">
        <v>-1.6</v>
      </c>
      <c r="H84" s="212">
        <v>-2</v>
      </c>
      <c r="I84" s="212">
        <v>-2</v>
      </c>
      <c r="J84" s="212">
        <v>-3</v>
      </c>
      <c r="K84" s="212">
        <v>-9.12</v>
      </c>
      <c r="L84" s="212">
        <v>-50</v>
      </c>
      <c r="M84" s="212">
        <v>-71.9</v>
      </c>
      <c r="N84" s="212">
        <v>0</v>
      </c>
      <c r="O84" s="211">
        <v>-141.13</v>
      </c>
    </row>
    <row r="85" s="209" customFormat="1" ht="16.5" spans="1:15">
      <c r="A85" s="211">
        <v>73</v>
      </c>
      <c r="B85" s="211" t="s">
        <v>86</v>
      </c>
      <c r="C85" s="212">
        <v>-0.5</v>
      </c>
      <c r="D85" s="212">
        <v>-0.1</v>
      </c>
      <c r="E85" s="212">
        <v>-0.6</v>
      </c>
      <c r="F85" s="212">
        <v>-0.31</v>
      </c>
      <c r="G85" s="212">
        <v>-1.6</v>
      </c>
      <c r="H85" s="212">
        <v>-2</v>
      </c>
      <c r="I85" s="212">
        <v>-2</v>
      </c>
      <c r="J85" s="212">
        <v>-3</v>
      </c>
      <c r="K85" s="212">
        <v>-9.68</v>
      </c>
      <c r="L85" s="212">
        <v>-50</v>
      </c>
      <c r="M85" s="212">
        <v>-71.9</v>
      </c>
      <c r="N85" s="212">
        <v>0</v>
      </c>
      <c r="O85" s="211">
        <v>-141.69</v>
      </c>
    </row>
    <row r="86" s="209" customFormat="1" ht="16.5" spans="1:15">
      <c r="A86" s="211">
        <v>74</v>
      </c>
      <c r="B86" s="211" t="s">
        <v>87</v>
      </c>
      <c r="C86" s="212">
        <v>-0.5</v>
      </c>
      <c r="D86" s="212">
        <v>-0.1</v>
      </c>
      <c r="E86" s="212">
        <v>-0.6</v>
      </c>
      <c r="F86" s="212">
        <v>-0.31</v>
      </c>
      <c r="G86" s="212">
        <v>-1.6</v>
      </c>
      <c r="H86" s="212">
        <v>-2</v>
      </c>
      <c r="I86" s="212">
        <v>-2</v>
      </c>
      <c r="J86" s="212">
        <v>-3</v>
      </c>
      <c r="K86" s="212">
        <v>-10.15</v>
      </c>
      <c r="L86" s="212">
        <v>-50</v>
      </c>
      <c r="M86" s="212">
        <v>-71.9</v>
      </c>
      <c r="N86" s="212">
        <v>0</v>
      </c>
      <c r="O86" s="211">
        <v>-142.16</v>
      </c>
    </row>
    <row r="87" s="209" customFormat="1" ht="16.5" spans="1:15">
      <c r="A87" s="211">
        <v>75</v>
      </c>
      <c r="B87" s="211" t="s">
        <v>88</v>
      </c>
      <c r="C87" s="212">
        <v>-0.5</v>
      </c>
      <c r="D87" s="212">
        <v>-0.1</v>
      </c>
      <c r="E87" s="212">
        <v>-0.6</v>
      </c>
      <c r="F87" s="212">
        <v>-0.31</v>
      </c>
      <c r="G87" s="212">
        <v>-1.6</v>
      </c>
      <c r="H87" s="212">
        <v>-2</v>
      </c>
      <c r="I87" s="212">
        <v>-2</v>
      </c>
      <c r="J87" s="212">
        <v>-3</v>
      </c>
      <c r="K87" s="212">
        <v>-10.62</v>
      </c>
      <c r="L87" s="212">
        <v>-50</v>
      </c>
      <c r="M87" s="212">
        <v>-71.9</v>
      </c>
      <c r="N87" s="212">
        <v>0</v>
      </c>
      <c r="O87" s="211">
        <v>-142.63</v>
      </c>
    </row>
    <row r="88" s="209" customFormat="1" ht="16.5" spans="1:15">
      <c r="A88" s="211">
        <v>76</v>
      </c>
      <c r="B88" s="211" t="s">
        <v>89</v>
      </c>
      <c r="C88" s="212">
        <v>-0.5</v>
      </c>
      <c r="D88" s="212">
        <v>-0.1</v>
      </c>
      <c r="E88" s="212">
        <v>-0.6</v>
      </c>
      <c r="F88" s="212">
        <v>-0.31</v>
      </c>
      <c r="G88" s="212">
        <v>-1.6</v>
      </c>
      <c r="H88" s="212">
        <v>-2</v>
      </c>
      <c r="I88" s="212">
        <v>-2</v>
      </c>
      <c r="J88" s="212">
        <v>-3</v>
      </c>
      <c r="K88" s="212">
        <v>-10.81</v>
      </c>
      <c r="L88" s="212">
        <v>-50</v>
      </c>
      <c r="M88" s="212">
        <v>-71.9</v>
      </c>
      <c r="N88" s="212">
        <v>0</v>
      </c>
      <c r="O88" s="211">
        <v>-142.82</v>
      </c>
    </row>
    <row r="89" s="209" customFormat="1" ht="16.5" spans="1:15">
      <c r="A89" s="211">
        <v>77</v>
      </c>
      <c r="B89" s="211" t="s">
        <v>90</v>
      </c>
      <c r="C89" s="212">
        <v>-0.6</v>
      </c>
      <c r="D89" s="212">
        <v>-0.1</v>
      </c>
      <c r="E89" s="212">
        <v>-0.6</v>
      </c>
      <c r="F89" s="212">
        <v>-0.31</v>
      </c>
      <c r="G89" s="212">
        <v>-1.6</v>
      </c>
      <c r="H89" s="212">
        <v>-2</v>
      </c>
      <c r="I89" s="212">
        <v>-2</v>
      </c>
      <c r="J89" s="212">
        <v>-3</v>
      </c>
      <c r="K89" s="212">
        <v>-11.47</v>
      </c>
      <c r="L89" s="212">
        <v>-50</v>
      </c>
      <c r="M89" s="212">
        <v>-71.9</v>
      </c>
      <c r="N89" s="212">
        <v>0</v>
      </c>
      <c r="O89" s="211">
        <v>-143.58</v>
      </c>
    </row>
    <row r="90" s="209" customFormat="1" ht="16.5" spans="1:15">
      <c r="A90" s="211">
        <v>78</v>
      </c>
      <c r="B90" s="211" t="s">
        <v>91</v>
      </c>
      <c r="C90" s="212">
        <v>-0.6</v>
      </c>
      <c r="D90" s="212">
        <v>-0.1</v>
      </c>
      <c r="E90" s="212">
        <v>-0.6</v>
      </c>
      <c r="F90" s="212">
        <v>-0.31</v>
      </c>
      <c r="G90" s="212">
        <v>-1.6</v>
      </c>
      <c r="H90" s="212">
        <v>-2</v>
      </c>
      <c r="I90" s="212">
        <v>-2</v>
      </c>
      <c r="J90" s="212">
        <v>-3</v>
      </c>
      <c r="K90" s="212">
        <v>-12.13</v>
      </c>
      <c r="L90" s="212">
        <v>-50</v>
      </c>
      <c r="M90" s="212">
        <v>-71.9</v>
      </c>
      <c r="N90" s="212">
        <v>0</v>
      </c>
      <c r="O90" s="211">
        <v>-144.24</v>
      </c>
    </row>
    <row r="91" s="209" customFormat="1" ht="16.5" spans="1:15">
      <c r="A91" s="211">
        <v>79</v>
      </c>
      <c r="B91" s="211" t="s">
        <v>92</v>
      </c>
      <c r="C91" s="212">
        <v>-0.6</v>
      </c>
      <c r="D91" s="212">
        <v>-0.1</v>
      </c>
      <c r="E91" s="212">
        <v>-0.6</v>
      </c>
      <c r="F91" s="212">
        <v>-0.31</v>
      </c>
      <c r="G91" s="212">
        <v>-1.6</v>
      </c>
      <c r="H91" s="212">
        <v>-2</v>
      </c>
      <c r="I91" s="212">
        <v>-2</v>
      </c>
      <c r="J91" s="212">
        <v>-3</v>
      </c>
      <c r="K91" s="212">
        <v>-12.78</v>
      </c>
      <c r="L91" s="212">
        <v>-50</v>
      </c>
      <c r="M91" s="212">
        <v>-71.9</v>
      </c>
      <c r="N91" s="212">
        <v>0</v>
      </c>
      <c r="O91" s="211">
        <v>-144.89</v>
      </c>
    </row>
    <row r="92" s="209" customFormat="1" ht="16.5" spans="1:15">
      <c r="A92" s="211">
        <v>80</v>
      </c>
      <c r="B92" s="211" t="s">
        <v>93</v>
      </c>
      <c r="C92" s="212">
        <v>-0.6</v>
      </c>
      <c r="D92" s="212">
        <v>-0.9</v>
      </c>
      <c r="E92" s="212">
        <v>-0.6</v>
      </c>
      <c r="F92" s="212">
        <v>-0.31</v>
      </c>
      <c r="G92" s="212">
        <v>-1.6</v>
      </c>
      <c r="H92" s="212">
        <v>-2</v>
      </c>
      <c r="I92" s="212">
        <v>-2</v>
      </c>
      <c r="J92" s="212">
        <v>-3</v>
      </c>
      <c r="K92" s="212">
        <v>-13.07</v>
      </c>
      <c r="L92" s="212">
        <v>-50</v>
      </c>
      <c r="M92" s="212">
        <v>-71.9</v>
      </c>
      <c r="N92" s="212">
        <v>0</v>
      </c>
      <c r="O92" s="211">
        <v>-145.98</v>
      </c>
    </row>
    <row r="93" s="209" customFormat="1" ht="16.5" spans="1:15">
      <c r="A93" s="211">
        <v>81</v>
      </c>
      <c r="B93" s="211" t="s">
        <v>94</v>
      </c>
      <c r="C93" s="212">
        <v>-0.6</v>
      </c>
      <c r="D93" s="212">
        <v>-0.9</v>
      </c>
      <c r="E93" s="212">
        <v>-0.6</v>
      </c>
      <c r="F93" s="212">
        <v>-0.35</v>
      </c>
      <c r="G93" s="212">
        <v>-1.6</v>
      </c>
      <c r="H93" s="212">
        <v>-2</v>
      </c>
      <c r="I93" s="212">
        <v>-2</v>
      </c>
      <c r="J93" s="212">
        <v>-3</v>
      </c>
      <c r="K93" s="212">
        <v>-13.35</v>
      </c>
      <c r="L93" s="212">
        <v>-50</v>
      </c>
      <c r="M93" s="212">
        <v>-71.9</v>
      </c>
      <c r="N93" s="212">
        <v>0</v>
      </c>
      <c r="O93" s="211">
        <v>-146.3</v>
      </c>
    </row>
    <row r="94" s="209" customFormat="1" ht="16.5" spans="1:15">
      <c r="A94" s="211">
        <v>82</v>
      </c>
      <c r="B94" s="211" t="s">
        <v>95</v>
      </c>
      <c r="C94" s="212">
        <v>-0.6</v>
      </c>
      <c r="D94" s="212">
        <v>-0.9</v>
      </c>
      <c r="E94" s="212">
        <v>-0.6</v>
      </c>
      <c r="F94" s="212">
        <v>-0.35</v>
      </c>
      <c r="G94" s="212">
        <v>-1.6</v>
      </c>
      <c r="H94" s="212">
        <v>-2</v>
      </c>
      <c r="I94" s="212">
        <v>-2</v>
      </c>
      <c r="J94" s="212">
        <v>-3</v>
      </c>
      <c r="K94" s="212">
        <v>-13.63</v>
      </c>
      <c r="L94" s="212">
        <v>-50</v>
      </c>
      <c r="M94" s="212">
        <v>-71.9</v>
      </c>
      <c r="N94" s="212">
        <v>0</v>
      </c>
      <c r="O94" s="211">
        <v>-146.58</v>
      </c>
    </row>
    <row r="95" s="209" customFormat="1" ht="16.5" spans="1:15">
      <c r="A95" s="211">
        <v>83</v>
      </c>
      <c r="B95" s="211" t="s">
        <v>96</v>
      </c>
      <c r="C95" s="212">
        <v>-0.6</v>
      </c>
      <c r="D95" s="212">
        <v>-0.9</v>
      </c>
      <c r="E95" s="212">
        <v>-0.6</v>
      </c>
      <c r="F95" s="212">
        <v>-0.35</v>
      </c>
      <c r="G95" s="212">
        <v>-1.6</v>
      </c>
      <c r="H95" s="212">
        <v>-2</v>
      </c>
      <c r="I95" s="212">
        <v>-2</v>
      </c>
      <c r="J95" s="212">
        <v>-3</v>
      </c>
      <c r="K95" s="212">
        <v>-13.91</v>
      </c>
      <c r="L95" s="212">
        <v>-50</v>
      </c>
      <c r="M95" s="212">
        <v>-71.9</v>
      </c>
      <c r="N95" s="212">
        <v>0</v>
      </c>
      <c r="O95" s="211">
        <v>-146.86</v>
      </c>
    </row>
    <row r="96" s="209" customFormat="1" ht="16.5" spans="1:15">
      <c r="A96" s="211">
        <v>84</v>
      </c>
      <c r="B96" s="211" t="s">
        <v>97</v>
      </c>
      <c r="C96" s="212">
        <v>-0.6</v>
      </c>
      <c r="D96" s="212">
        <v>-0.9</v>
      </c>
      <c r="E96" s="212">
        <v>-0.6</v>
      </c>
      <c r="F96" s="212">
        <v>-0.35</v>
      </c>
      <c r="G96" s="212">
        <v>-1.6</v>
      </c>
      <c r="H96" s="212">
        <v>-2</v>
      </c>
      <c r="I96" s="212">
        <v>-2</v>
      </c>
      <c r="J96" s="212">
        <v>-3</v>
      </c>
      <c r="K96" s="212">
        <v>-14.76</v>
      </c>
      <c r="L96" s="212">
        <v>-50</v>
      </c>
      <c r="M96" s="212">
        <v>-71.9</v>
      </c>
      <c r="N96" s="212">
        <v>0</v>
      </c>
      <c r="O96" s="211">
        <v>-147.71</v>
      </c>
    </row>
    <row r="97" s="209" customFormat="1" ht="16.5" spans="1:15">
      <c r="A97" s="211">
        <v>85</v>
      </c>
      <c r="B97" s="211" t="s">
        <v>98</v>
      </c>
      <c r="C97" s="212">
        <v>-0.6</v>
      </c>
      <c r="D97" s="212">
        <v>-0.7</v>
      </c>
      <c r="E97" s="212">
        <v>-0.6</v>
      </c>
      <c r="F97" s="212">
        <v>-0.31</v>
      </c>
      <c r="G97" s="212">
        <v>-1.6</v>
      </c>
      <c r="H97" s="212">
        <v>-2</v>
      </c>
      <c r="I97" s="212">
        <v>-2</v>
      </c>
      <c r="J97" s="212">
        <v>-3</v>
      </c>
      <c r="K97" s="212">
        <v>-15.23</v>
      </c>
      <c r="L97" s="212">
        <v>-50</v>
      </c>
      <c r="M97" s="212">
        <v>-71.9</v>
      </c>
      <c r="N97" s="212">
        <v>0</v>
      </c>
      <c r="O97" s="211">
        <v>-147.94</v>
      </c>
    </row>
    <row r="98" s="209" customFormat="1" ht="16.5" spans="1:15">
      <c r="A98" s="211">
        <v>86</v>
      </c>
      <c r="B98" s="211" t="s">
        <v>99</v>
      </c>
      <c r="C98" s="212">
        <v>-0.6</v>
      </c>
      <c r="D98" s="212">
        <v>-0.7</v>
      </c>
      <c r="E98" s="212">
        <v>-0.6</v>
      </c>
      <c r="F98" s="212">
        <v>-0.31</v>
      </c>
      <c r="G98" s="212">
        <v>-1.6</v>
      </c>
      <c r="H98" s="212">
        <v>-2</v>
      </c>
      <c r="I98" s="212">
        <v>-2</v>
      </c>
      <c r="J98" s="212">
        <v>-3</v>
      </c>
      <c r="K98" s="212">
        <v>-15.7</v>
      </c>
      <c r="L98" s="212">
        <v>-50</v>
      </c>
      <c r="M98" s="212">
        <v>-71.9</v>
      </c>
      <c r="N98" s="212">
        <v>0</v>
      </c>
      <c r="O98" s="211">
        <v>-148.41</v>
      </c>
    </row>
    <row r="99" s="209" customFormat="1" ht="16.5" spans="1:15">
      <c r="A99" s="211">
        <v>87</v>
      </c>
      <c r="B99" s="211" t="s">
        <v>100</v>
      </c>
      <c r="C99" s="212">
        <v>-0.6</v>
      </c>
      <c r="D99" s="212">
        <v>-0.7</v>
      </c>
      <c r="E99" s="212">
        <v>-0.6</v>
      </c>
      <c r="F99" s="212">
        <v>-0.31</v>
      </c>
      <c r="G99" s="212">
        <v>-1.6</v>
      </c>
      <c r="H99" s="212">
        <v>-2</v>
      </c>
      <c r="I99" s="212">
        <v>-2</v>
      </c>
      <c r="J99" s="212">
        <v>-3</v>
      </c>
      <c r="K99" s="212">
        <v>-16.26</v>
      </c>
      <c r="L99" s="212">
        <v>-50</v>
      </c>
      <c r="M99" s="212">
        <v>-71.9</v>
      </c>
      <c r="N99" s="212">
        <v>0</v>
      </c>
      <c r="O99" s="211">
        <v>-148.97</v>
      </c>
    </row>
    <row r="100" s="209" customFormat="1" ht="16.5" spans="1:15">
      <c r="A100" s="211">
        <v>88</v>
      </c>
      <c r="B100" s="211" t="s">
        <v>101</v>
      </c>
      <c r="C100" s="212">
        <v>-0.6</v>
      </c>
      <c r="D100" s="212">
        <v>-0.7</v>
      </c>
      <c r="E100" s="212">
        <v>-0.6</v>
      </c>
      <c r="F100" s="212">
        <v>-0.31</v>
      </c>
      <c r="G100" s="212">
        <v>-1.6</v>
      </c>
      <c r="H100" s="212">
        <v>-2</v>
      </c>
      <c r="I100" s="212">
        <v>-2</v>
      </c>
      <c r="J100" s="212">
        <v>-3</v>
      </c>
      <c r="K100" s="212">
        <v>-17.39</v>
      </c>
      <c r="L100" s="212">
        <v>-50</v>
      </c>
      <c r="M100" s="212">
        <v>-71.9</v>
      </c>
      <c r="N100" s="212">
        <v>0</v>
      </c>
      <c r="O100" s="211">
        <v>-150.1</v>
      </c>
    </row>
    <row r="101" s="209" customFormat="1" ht="16.5" spans="1:15">
      <c r="A101" s="211">
        <v>89</v>
      </c>
      <c r="B101" s="211" t="s">
        <v>102</v>
      </c>
      <c r="C101" s="212">
        <v>-0.5</v>
      </c>
      <c r="D101" s="212">
        <v>-0.7</v>
      </c>
      <c r="E101" s="212">
        <v>-0.6</v>
      </c>
      <c r="F101" s="212">
        <v>-0.31</v>
      </c>
      <c r="G101" s="212">
        <v>-1.6</v>
      </c>
      <c r="H101" s="212">
        <v>-2</v>
      </c>
      <c r="I101" s="212">
        <v>-2</v>
      </c>
      <c r="J101" s="212">
        <v>-3</v>
      </c>
      <c r="K101" s="212">
        <v>-16.83</v>
      </c>
      <c r="L101" s="212">
        <v>-50</v>
      </c>
      <c r="M101" s="212">
        <v>-71.9</v>
      </c>
      <c r="N101" s="212">
        <v>0</v>
      </c>
      <c r="O101" s="211">
        <v>-149.44</v>
      </c>
    </row>
    <row r="102" s="209" customFormat="1" ht="16.5" spans="1:15">
      <c r="A102" s="211">
        <v>90</v>
      </c>
      <c r="B102" s="211" t="s">
        <v>103</v>
      </c>
      <c r="C102" s="212">
        <v>-0.5</v>
      </c>
      <c r="D102" s="212">
        <v>-0.68</v>
      </c>
      <c r="E102" s="212">
        <v>-0.6</v>
      </c>
      <c r="F102" s="212">
        <v>-0.31</v>
      </c>
      <c r="G102" s="212">
        <v>-1.6</v>
      </c>
      <c r="H102" s="212">
        <v>-2</v>
      </c>
      <c r="I102" s="212">
        <v>-2</v>
      </c>
      <c r="J102" s="212">
        <v>-3</v>
      </c>
      <c r="K102" s="212">
        <v>-16.17</v>
      </c>
      <c r="L102" s="212">
        <v>-50</v>
      </c>
      <c r="M102" s="212">
        <v>-71.9</v>
      </c>
      <c r="N102" s="212">
        <v>0</v>
      </c>
      <c r="O102" s="211">
        <v>-148.76</v>
      </c>
    </row>
    <row r="103" s="209" customFormat="1" ht="16.5" spans="1:15">
      <c r="A103" s="211">
        <v>91</v>
      </c>
      <c r="B103" s="211" t="s">
        <v>104</v>
      </c>
      <c r="C103" s="212">
        <v>-0.5</v>
      </c>
      <c r="D103" s="212">
        <v>-0.68</v>
      </c>
      <c r="E103" s="212">
        <v>-0.6</v>
      </c>
      <c r="F103" s="212">
        <v>-0.31</v>
      </c>
      <c r="G103" s="212">
        <v>-1.6</v>
      </c>
      <c r="H103" s="212">
        <v>-2</v>
      </c>
      <c r="I103" s="212">
        <v>-2</v>
      </c>
      <c r="J103" s="212">
        <v>-3</v>
      </c>
      <c r="K103" s="212">
        <v>-15.7</v>
      </c>
      <c r="L103" s="212">
        <v>-50</v>
      </c>
      <c r="M103" s="212">
        <v>-71.9</v>
      </c>
      <c r="N103" s="212">
        <v>0</v>
      </c>
      <c r="O103" s="211">
        <v>-148.29</v>
      </c>
    </row>
    <row r="104" s="209" customFormat="1" ht="16.5" spans="1:15">
      <c r="A104" s="211">
        <v>92</v>
      </c>
      <c r="B104" s="211" t="s">
        <v>105</v>
      </c>
      <c r="C104" s="212">
        <v>-0.5</v>
      </c>
      <c r="D104" s="212">
        <v>-0.68</v>
      </c>
      <c r="E104" s="212">
        <v>-0.6</v>
      </c>
      <c r="F104" s="212">
        <v>-0.31</v>
      </c>
      <c r="G104" s="212">
        <v>-1.6</v>
      </c>
      <c r="H104" s="212">
        <v>-2</v>
      </c>
      <c r="I104" s="212">
        <v>-2</v>
      </c>
      <c r="J104" s="212">
        <v>-3</v>
      </c>
      <c r="K104" s="212">
        <v>-14.57</v>
      </c>
      <c r="L104" s="212">
        <v>-50</v>
      </c>
      <c r="M104" s="212">
        <v>-71.9</v>
      </c>
      <c r="N104" s="212">
        <v>0</v>
      </c>
      <c r="O104" s="211">
        <v>-147.16</v>
      </c>
    </row>
    <row r="105" s="209" customFormat="1" ht="16.5" spans="1:15">
      <c r="A105" s="211">
        <v>93</v>
      </c>
      <c r="B105" s="211" t="s">
        <v>106</v>
      </c>
      <c r="C105" s="212">
        <v>-0.5</v>
      </c>
      <c r="D105" s="212">
        <v>-0.68</v>
      </c>
      <c r="E105" s="212">
        <v>-0.6</v>
      </c>
      <c r="F105" s="212">
        <v>-0.26</v>
      </c>
      <c r="G105" s="212">
        <v>-1.6</v>
      </c>
      <c r="H105" s="212">
        <v>-2</v>
      </c>
      <c r="I105" s="212">
        <v>-2</v>
      </c>
      <c r="J105" s="212">
        <v>-3</v>
      </c>
      <c r="K105" s="212">
        <v>-13.54</v>
      </c>
      <c r="L105" s="212">
        <v>0</v>
      </c>
      <c r="M105" s="212">
        <v>-75</v>
      </c>
      <c r="N105" s="212">
        <v>0</v>
      </c>
      <c r="O105" s="211">
        <v>-99.18</v>
      </c>
    </row>
    <row r="106" s="209" customFormat="1" ht="16.5" spans="1:15">
      <c r="A106" s="211">
        <v>94</v>
      </c>
      <c r="B106" s="211" t="s">
        <v>107</v>
      </c>
      <c r="C106" s="212">
        <v>-0.5</v>
      </c>
      <c r="D106" s="212">
        <v>-0.68</v>
      </c>
      <c r="E106" s="212">
        <v>-0.6</v>
      </c>
      <c r="F106" s="212">
        <v>-0.26</v>
      </c>
      <c r="G106" s="212">
        <v>-1.6</v>
      </c>
      <c r="H106" s="212">
        <v>-2</v>
      </c>
      <c r="I106" s="212">
        <v>-2</v>
      </c>
      <c r="J106" s="212">
        <v>-3</v>
      </c>
      <c r="K106" s="212">
        <v>-12.5</v>
      </c>
      <c r="L106" s="212">
        <v>0</v>
      </c>
      <c r="M106" s="212">
        <v>-75</v>
      </c>
      <c r="N106" s="212">
        <v>0</v>
      </c>
      <c r="O106" s="211">
        <v>-98.14</v>
      </c>
    </row>
    <row r="107" s="209" customFormat="1" ht="16.5" spans="1:15">
      <c r="A107" s="211">
        <v>95</v>
      </c>
      <c r="B107" s="211" t="s">
        <v>108</v>
      </c>
      <c r="C107" s="212">
        <v>-0.5</v>
      </c>
      <c r="D107" s="212">
        <v>-0.68</v>
      </c>
      <c r="E107" s="212">
        <v>-0.6</v>
      </c>
      <c r="F107" s="212">
        <v>-0.26</v>
      </c>
      <c r="G107" s="212">
        <v>-1.6</v>
      </c>
      <c r="H107" s="212">
        <v>-2</v>
      </c>
      <c r="I107" s="212">
        <v>-2</v>
      </c>
      <c r="J107" s="212">
        <v>-3</v>
      </c>
      <c r="K107" s="212">
        <v>-11.56</v>
      </c>
      <c r="L107" s="212">
        <v>0</v>
      </c>
      <c r="M107" s="212">
        <v>-75</v>
      </c>
      <c r="N107" s="212">
        <v>0</v>
      </c>
      <c r="O107" s="211">
        <v>-97.2</v>
      </c>
    </row>
    <row r="108" s="209" customFormat="1" ht="16.5" spans="1:15">
      <c r="A108" s="211">
        <v>96</v>
      </c>
      <c r="B108" s="211" t="s">
        <v>109</v>
      </c>
      <c r="C108" s="212">
        <v>-0.5</v>
      </c>
      <c r="D108" s="212">
        <v>-0.68</v>
      </c>
      <c r="E108" s="212">
        <v>-0.6</v>
      </c>
      <c r="F108" s="212">
        <v>-0.26</v>
      </c>
      <c r="G108" s="212">
        <v>-1.6</v>
      </c>
      <c r="H108" s="212">
        <v>-2</v>
      </c>
      <c r="I108" s="212">
        <v>-2</v>
      </c>
      <c r="J108" s="212">
        <v>-3</v>
      </c>
      <c r="K108" s="212">
        <v>-11</v>
      </c>
      <c r="L108" s="212">
        <v>0</v>
      </c>
      <c r="M108" s="212">
        <v>-75</v>
      </c>
      <c r="N108" s="212">
        <v>0</v>
      </c>
      <c r="O108" s="211">
        <v>-96.64</v>
      </c>
    </row>
    <row r="109" s="209" customFormat="1" ht="16.5" spans="1:15">
      <c r="A109" s="211"/>
      <c r="B109" s="211" t="s">
        <v>226</v>
      </c>
      <c r="C109" s="211">
        <v>-0.65</v>
      </c>
      <c r="D109" s="211">
        <v>-0.5</v>
      </c>
      <c r="E109" s="211">
        <v>-0.6</v>
      </c>
      <c r="F109" s="211">
        <v>-0.3</v>
      </c>
      <c r="G109" s="211">
        <v>-0.53</v>
      </c>
      <c r="H109" s="211">
        <v>-2</v>
      </c>
      <c r="I109" s="211">
        <v>-2</v>
      </c>
      <c r="J109" s="211">
        <v>-3</v>
      </c>
      <c r="K109" s="211">
        <v>-6.67</v>
      </c>
      <c r="L109" s="211">
        <v>-12.5</v>
      </c>
      <c r="M109" s="211">
        <v>-21.1</v>
      </c>
      <c r="N109" s="211">
        <v>-22.86</v>
      </c>
      <c r="O109" s="211">
        <v>-72.71</v>
      </c>
    </row>
    <row r="110" s="209" customFormat="1" ht="16.5" spans="1:15">
      <c r="A110" s="211"/>
      <c r="B110" s="211" t="s">
        <v>116</v>
      </c>
      <c r="C110" s="211">
        <v>-0.4</v>
      </c>
      <c r="D110" s="211">
        <v>-0.1</v>
      </c>
      <c r="E110" s="211">
        <v>-0.6</v>
      </c>
      <c r="F110" s="211">
        <v>-0.26</v>
      </c>
      <c r="G110" s="211">
        <v>0</v>
      </c>
      <c r="H110" s="211">
        <v>-2</v>
      </c>
      <c r="I110" s="211">
        <v>-2</v>
      </c>
      <c r="J110" s="211">
        <v>-3</v>
      </c>
      <c r="K110" s="211">
        <v>-2.63</v>
      </c>
      <c r="L110" s="211">
        <v>0</v>
      </c>
      <c r="M110" s="211">
        <v>0</v>
      </c>
      <c r="N110" s="211">
        <v>0</v>
      </c>
      <c r="O110" s="211">
        <v>-11.64</v>
      </c>
    </row>
    <row r="111" s="209" customFormat="1" ht="16.5" spans="1:15">
      <c r="A111" s="211"/>
      <c r="B111" s="211" t="s">
        <v>115</v>
      </c>
      <c r="C111" s="211">
        <v>-1</v>
      </c>
      <c r="D111" s="211">
        <v>-0.98</v>
      </c>
      <c r="E111" s="211">
        <v>-0.6</v>
      </c>
      <c r="F111" s="211">
        <v>-0.35</v>
      </c>
      <c r="G111" s="211">
        <v>-1.6</v>
      </c>
      <c r="H111" s="211">
        <v>-2</v>
      </c>
      <c r="I111" s="211">
        <v>-2</v>
      </c>
      <c r="J111" s="211">
        <v>-3</v>
      </c>
      <c r="K111" s="211">
        <v>-17.39</v>
      </c>
      <c r="L111" s="211">
        <v>-50</v>
      </c>
      <c r="M111" s="211">
        <v>-75</v>
      </c>
      <c r="N111" s="211">
        <v>-121.9</v>
      </c>
      <c r="O111" s="211">
        <v>-150.1</v>
      </c>
    </row>
    <row r="112" s="209" customFormat="1" ht="16.5" spans="1:15">
      <c r="A112" s="211"/>
      <c r="B112" s="211" t="s">
        <v>227</v>
      </c>
      <c r="C112" s="211">
        <v>-15.7</v>
      </c>
      <c r="D112" s="211">
        <v>-12.06</v>
      </c>
      <c r="E112" s="211">
        <v>-14.4</v>
      </c>
      <c r="F112" s="211">
        <v>-7.08</v>
      </c>
      <c r="G112" s="211">
        <v>-12.8</v>
      </c>
      <c r="H112" s="211">
        <v>-48</v>
      </c>
      <c r="I112" s="211">
        <v>-48</v>
      </c>
      <c r="J112" s="211">
        <v>-72</v>
      </c>
      <c r="K112" s="211">
        <v>-160.08</v>
      </c>
      <c r="L112" s="211">
        <v>-300</v>
      </c>
      <c r="M112" s="211">
        <v>-506.4</v>
      </c>
      <c r="N112" s="211">
        <v>-548.55</v>
      </c>
      <c r="O112" s="211">
        <v>-1745.08</v>
      </c>
    </row>
    <row r="115" s="208" customFormat="1" ht="20" customHeight="1" spans="1:10">
      <c r="A115" s="213" t="s">
        <v>228</v>
      </c>
      <c r="B115" s="213"/>
      <c r="C115" s="213"/>
      <c r="D115" s="213"/>
      <c r="E115" s="213"/>
      <c r="F115" s="213"/>
      <c r="G115" s="213"/>
      <c r="H115" s="213"/>
      <c r="I115" s="213"/>
      <c r="J115" s="213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L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0" customWidth="1"/>
    <col min="4" max="4" width="9" style="180"/>
    <col min="5" max="71" width="13.7142857142857" style="180" customWidth="1"/>
    <col min="72" max="72" width="9" style="180"/>
    <col min="73" max="139" width="13.7142857142857" style="180" customWidth="1"/>
    <col min="140" max="140" width="9" style="180"/>
    <col min="141" max="168" width="13.7142857142857" style="180" customWidth="1"/>
    <col min="169" max="16384" width="9" style="180"/>
  </cols>
  <sheetData>
    <row r="1" s="180" customFormat="1" ht="30" spans="1:3">
      <c r="A1" s="181" t="s">
        <v>335</v>
      </c>
      <c r="B1" s="181"/>
      <c r="C1" s="181" t="s">
        <v>336</v>
      </c>
    </row>
    <row r="2" s="180" customFormat="1" spans="1:3">
      <c r="A2" s="181" t="s">
        <v>337</v>
      </c>
      <c r="B2" s="181"/>
      <c r="C2" s="181" t="s">
        <v>338</v>
      </c>
    </row>
    <row r="3" s="180" customFormat="1" spans="1:3">
      <c r="A3" s="181"/>
      <c r="B3" s="181"/>
      <c r="C3" s="181"/>
    </row>
    <row r="4" s="180" customFormat="1" spans="1:3">
      <c r="A4" s="181" t="s">
        <v>339</v>
      </c>
      <c r="B4" s="181"/>
      <c r="C4" s="182">
        <v>46034</v>
      </c>
    </row>
    <row r="5" s="180" customFormat="1" spans="1:3">
      <c r="A5" s="181" t="s">
        <v>340</v>
      </c>
      <c r="B5" s="181"/>
      <c r="C5" s="203">
        <v>0.944444444444445</v>
      </c>
    </row>
    <row r="6" s="180" customFormat="1" spans="1:3">
      <c r="A6" s="181" t="s">
        <v>341</v>
      </c>
      <c r="B6" s="181"/>
      <c r="C6" s="182">
        <v>46034</v>
      </c>
    </row>
    <row r="7" s="180" customFormat="1" spans="1:3">
      <c r="A7" s="181" t="s">
        <v>342</v>
      </c>
      <c r="B7" s="181"/>
      <c r="C7" s="181">
        <v>48</v>
      </c>
    </row>
    <row r="8" s="180" customFormat="1" spans="1:1">
      <c r="A8" s="180" t="s">
        <v>343</v>
      </c>
    </row>
    <row r="10" s="180" customFormat="1" ht="30" customHeight="1" spans="1:168">
      <c r="A10" s="184" t="s">
        <v>344</v>
      </c>
      <c r="B10" s="185"/>
      <c r="C10" s="186"/>
      <c r="E10" s="184" t="s">
        <v>345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6"/>
      <c r="BT10" s="180"/>
      <c r="BU10" s="184" t="s">
        <v>346</v>
      </c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5"/>
      <c r="DL10" s="185"/>
      <c r="DM10" s="185"/>
      <c r="DN10" s="185"/>
      <c r="DO10" s="185"/>
      <c r="DP10" s="185"/>
      <c r="DQ10" s="185"/>
      <c r="DR10" s="185"/>
      <c r="DS10" s="185"/>
      <c r="DT10" s="185"/>
      <c r="DU10" s="185"/>
      <c r="DV10" s="185"/>
      <c r="DW10" s="185"/>
      <c r="DX10" s="185"/>
      <c r="DY10" s="185"/>
      <c r="DZ10" s="185"/>
      <c r="EA10" s="185"/>
      <c r="EB10" s="185"/>
      <c r="EC10" s="185"/>
      <c r="ED10" s="185"/>
      <c r="EE10" s="185"/>
      <c r="EF10" s="185"/>
      <c r="EG10" s="185"/>
      <c r="EH10" s="185"/>
      <c r="EI10" s="186"/>
      <c r="EJ10" s="180"/>
      <c r="EK10" s="184" t="s">
        <v>347</v>
      </c>
      <c r="EL10" s="185"/>
      <c r="EM10" s="185"/>
      <c r="EN10" s="185"/>
      <c r="EO10" s="185"/>
      <c r="EP10" s="185"/>
      <c r="EQ10" s="185"/>
      <c r="ER10" s="185"/>
      <c r="ES10" s="185"/>
      <c r="ET10" s="185"/>
      <c r="EU10" s="185"/>
      <c r="EV10" s="185"/>
      <c r="EW10" s="185"/>
      <c r="EX10" s="185"/>
      <c r="EY10" s="185"/>
      <c r="EZ10" s="185"/>
      <c r="FA10" s="185"/>
      <c r="FB10" s="185"/>
      <c r="FC10" s="185"/>
      <c r="FD10" s="185"/>
      <c r="FE10" s="185"/>
      <c r="FF10" s="185"/>
      <c r="FG10" s="185"/>
      <c r="FH10" s="185"/>
      <c r="FI10" s="185"/>
      <c r="FJ10" s="185"/>
      <c r="FK10" s="185"/>
      <c r="FL10" s="186"/>
    </row>
    <row r="11" s="180" customFormat="1" ht="75" spans="1:168">
      <c r="A11" s="187" t="s">
        <v>348</v>
      </c>
      <c r="B11" s="188" t="s">
        <v>349</v>
      </c>
      <c r="C11" s="189" t="s">
        <v>350</v>
      </c>
      <c r="E11" s="188" t="s">
        <v>348</v>
      </c>
      <c r="F11" s="188" t="s">
        <v>351</v>
      </c>
      <c r="G11" s="188" t="s">
        <v>352</v>
      </c>
      <c r="H11" s="188" t="s">
        <v>353</v>
      </c>
      <c r="I11" s="188" t="s">
        <v>354</v>
      </c>
      <c r="J11" s="188" t="s">
        <v>355</v>
      </c>
      <c r="K11" s="188" t="s">
        <v>356</v>
      </c>
      <c r="L11" s="188" t="s">
        <v>357</v>
      </c>
      <c r="M11" s="188" t="s">
        <v>358</v>
      </c>
      <c r="N11" s="188" t="s">
        <v>359</v>
      </c>
      <c r="O11" s="188" t="s">
        <v>360</v>
      </c>
      <c r="P11" s="188" t="s">
        <v>361</v>
      </c>
      <c r="Q11" s="188" t="s">
        <v>362</v>
      </c>
      <c r="R11" s="188" t="s">
        <v>363</v>
      </c>
      <c r="S11" s="188" t="s">
        <v>364</v>
      </c>
      <c r="T11" s="188" t="s">
        <v>365</v>
      </c>
      <c r="U11" s="188" t="s">
        <v>366</v>
      </c>
      <c r="V11" s="188" t="s">
        <v>367</v>
      </c>
      <c r="W11" s="188" t="s">
        <v>368</v>
      </c>
      <c r="X11" s="188" t="s">
        <v>369</v>
      </c>
      <c r="Y11" s="188" t="s">
        <v>370</v>
      </c>
      <c r="Z11" s="188" t="s">
        <v>371</v>
      </c>
      <c r="AA11" s="188" t="s">
        <v>372</v>
      </c>
      <c r="AB11" s="188" t="s">
        <v>373</v>
      </c>
      <c r="AC11" s="188" t="s">
        <v>374</v>
      </c>
      <c r="AD11" s="188" t="s">
        <v>375</v>
      </c>
      <c r="AE11" s="188" t="s">
        <v>376</v>
      </c>
      <c r="AF11" s="188" t="s">
        <v>377</v>
      </c>
      <c r="AG11" s="188" t="s">
        <v>378</v>
      </c>
      <c r="AH11" s="188" t="s">
        <v>379</v>
      </c>
      <c r="AI11" s="188" t="s">
        <v>380</v>
      </c>
      <c r="AJ11" s="188" t="s">
        <v>381</v>
      </c>
      <c r="AK11" s="188" t="s">
        <v>382</v>
      </c>
      <c r="AL11" s="188" t="s">
        <v>383</v>
      </c>
      <c r="AM11" s="188" t="s">
        <v>384</v>
      </c>
      <c r="AN11" s="188" t="s">
        <v>385</v>
      </c>
      <c r="AO11" s="188" t="s">
        <v>386</v>
      </c>
      <c r="AP11" s="188" t="s">
        <v>387</v>
      </c>
      <c r="AQ11" s="188" t="s">
        <v>388</v>
      </c>
      <c r="AR11" s="188" t="s">
        <v>389</v>
      </c>
      <c r="AS11" s="188" t="s">
        <v>390</v>
      </c>
      <c r="AT11" s="188" t="s">
        <v>391</v>
      </c>
      <c r="AU11" s="188" t="s">
        <v>392</v>
      </c>
      <c r="AV11" s="188" t="s">
        <v>393</v>
      </c>
      <c r="AW11" s="188" t="s">
        <v>394</v>
      </c>
      <c r="AX11" s="188" t="s">
        <v>395</v>
      </c>
      <c r="AY11" s="188" t="s">
        <v>396</v>
      </c>
      <c r="AZ11" s="188" t="s">
        <v>397</v>
      </c>
      <c r="BA11" s="188" t="s">
        <v>398</v>
      </c>
      <c r="BB11" s="188" t="s">
        <v>399</v>
      </c>
      <c r="BC11" s="188" t="s">
        <v>400</v>
      </c>
      <c r="BD11" s="188" t="s">
        <v>401</v>
      </c>
      <c r="BE11" s="188" t="s">
        <v>402</v>
      </c>
      <c r="BF11" s="188" t="s">
        <v>403</v>
      </c>
      <c r="BG11" s="188" t="s">
        <v>404</v>
      </c>
      <c r="BH11" s="188" t="s">
        <v>405</v>
      </c>
      <c r="BI11" s="188" t="s">
        <v>406</v>
      </c>
      <c r="BJ11" s="188" t="s">
        <v>407</v>
      </c>
      <c r="BK11" s="188" t="s">
        <v>408</v>
      </c>
      <c r="BL11" s="188" t="s">
        <v>409</v>
      </c>
      <c r="BM11" s="188" t="s">
        <v>410</v>
      </c>
      <c r="BN11" s="188" t="s">
        <v>411</v>
      </c>
      <c r="BO11" s="188" t="s">
        <v>412</v>
      </c>
      <c r="BP11" s="188" t="s">
        <v>413</v>
      </c>
      <c r="BQ11" s="188" t="s">
        <v>414</v>
      </c>
      <c r="BR11" s="188" t="s">
        <v>415</v>
      </c>
      <c r="BS11" s="189" t="s">
        <v>416</v>
      </c>
      <c r="BT11" s="180"/>
      <c r="BU11" s="188" t="s">
        <v>348</v>
      </c>
      <c r="BV11" s="188" t="s">
        <v>351</v>
      </c>
      <c r="BW11" s="188" t="s">
        <v>352</v>
      </c>
      <c r="BX11" s="188" t="s">
        <v>353</v>
      </c>
      <c r="BY11" s="188" t="s">
        <v>354</v>
      </c>
      <c r="BZ11" s="188" t="s">
        <v>355</v>
      </c>
      <c r="CA11" s="188" t="s">
        <v>356</v>
      </c>
      <c r="CB11" s="188" t="s">
        <v>357</v>
      </c>
      <c r="CC11" s="188" t="s">
        <v>358</v>
      </c>
      <c r="CD11" s="188" t="s">
        <v>359</v>
      </c>
      <c r="CE11" s="188" t="s">
        <v>360</v>
      </c>
      <c r="CF11" s="188" t="s">
        <v>361</v>
      </c>
      <c r="CG11" s="188" t="s">
        <v>362</v>
      </c>
      <c r="CH11" s="188" t="s">
        <v>363</v>
      </c>
      <c r="CI11" s="188" t="s">
        <v>364</v>
      </c>
      <c r="CJ11" s="188" t="s">
        <v>365</v>
      </c>
      <c r="CK11" s="188" t="s">
        <v>366</v>
      </c>
      <c r="CL11" s="188" t="s">
        <v>367</v>
      </c>
      <c r="CM11" s="188" t="s">
        <v>368</v>
      </c>
      <c r="CN11" s="188" t="s">
        <v>369</v>
      </c>
      <c r="CO11" s="188" t="s">
        <v>370</v>
      </c>
      <c r="CP11" s="188" t="s">
        <v>371</v>
      </c>
      <c r="CQ11" s="188" t="s">
        <v>372</v>
      </c>
      <c r="CR11" s="188" t="s">
        <v>373</v>
      </c>
      <c r="CS11" s="188" t="s">
        <v>374</v>
      </c>
      <c r="CT11" s="188" t="s">
        <v>375</v>
      </c>
      <c r="CU11" s="188" t="s">
        <v>376</v>
      </c>
      <c r="CV11" s="188" t="s">
        <v>377</v>
      </c>
      <c r="CW11" s="188" t="s">
        <v>378</v>
      </c>
      <c r="CX11" s="188" t="s">
        <v>379</v>
      </c>
      <c r="CY11" s="188" t="s">
        <v>380</v>
      </c>
      <c r="CZ11" s="188" t="s">
        <v>381</v>
      </c>
      <c r="DA11" s="188" t="s">
        <v>382</v>
      </c>
      <c r="DB11" s="188" t="s">
        <v>383</v>
      </c>
      <c r="DC11" s="188" t="s">
        <v>384</v>
      </c>
      <c r="DD11" s="188" t="s">
        <v>385</v>
      </c>
      <c r="DE11" s="188" t="s">
        <v>386</v>
      </c>
      <c r="DF11" s="188" t="s">
        <v>387</v>
      </c>
      <c r="DG11" s="188" t="s">
        <v>388</v>
      </c>
      <c r="DH11" s="188" t="s">
        <v>389</v>
      </c>
      <c r="DI11" s="188" t="s">
        <v>390</v>
      </c>
      <c r="DJ11" s="188" t="s">
        <v>391</v>
      </c>
      <c r="DK11" s="188" t="s">
        <v>392</v>
      </c>
      <c r="DL11" s="188" t="s">
        <v>393</v>
      </c>
      <c r="DM11" s="188" t="s">
        <v>394</v>
      </c>
      <c r="DN11" s="188" t="s">
        <v>395</v>
      </c>
      <c r="DO11" s="188" t="s">
        <v>396</v>
      </c>
      <c r="DP11" s="188" t="s">
        <v>397</v>
      </c>
      <c r="DQ11" s="188" t="s">
        <v>398</v>
      </c>
      <c r="DR11" s="188" t="s">
        <v>399</v>
      </c>
      <c r="DS11" s="188" t="s">
        <v>400</v>
      </c>
      <c r="DT11" s="188" t="s">
        <v>401</v>
      </c>
      <c r="DU11" s="188" t="s">
        <v>402</v>
      </c>
      <c r="DV11" s="188" t="s">
        <v>403</v>
      </c>
      <c r="DW11" s="188" t="s">
        <v>404</v>
      </c>
      <c r="DX11" s="188" t="s">
        <v>405</v>
      </c>
      <c r="DY11" s="188" t="s">
        <v>406</v>
      </c>
      <c r="DZ11" s="188" t="s">
        <v>407</v>
      </c>
      <c r="EA11" s="188" t="s">
        <v>408</v>
      </c>
      <c r="EB11" s="188" t="s">
        <v>409</v>
      </c>
      <c r="EC11" s="188" t="s">
        <v>410</v>
      </c>
      <c r="ED11" s="188" t="s">
        <v>411</v>
      </c>
      <c r="EE11" s="188" t="s">
        <v>412</v>
      </c>
      <c r="EF11" s="188" t="s">
        <v>413</v>
      </c>
      <c r="EG11" s="188" t="s">
        <v>414</v>
      </c>
      <c r="EH11" s="188" t="s">
        <v>415</v>
      </c>
      <c r="EI11" s="189" t="s">
        <v>416</v>
      </c>
      <c r="EJ11" s="180"/>
      <c r="EK11" s="188" t="s">
        <v>348</v>
      </c>
      <c r="EL11" s="188" t="s">
        <v>351</v>
      </c>
      <c r="EM11" s="188" t="s">
        <v>353</v>
      </c>
      <c r="EN11" s="188" t="s">
        <v>355</v>
      </c>
      <c r="EO11" s="188" t="s">
        <v>357</v>
      </c>
      <c r="EP11" s="188" t="s">
        <v>358</v>
      </c>
      <c r="EQ11" s="188" t="s">
        <v>361</v>
      </c>
      <c r="ER11" s="188" t="s">
        <v>362</v>
      </c>
      <c r="ES11" s="188" t="s">
        <v>368</v>
      </c>
      <c r="ET11" s="188" t="s">
        <v>369</v>
      </c>
      <c r="EU11" s="188" t="s">
        <v>371</v>
      </c>
      <c r="EV11" s="188" t="s">
        <v>372</v>
      </c>
      <c r="EW11" s="188" t="s">
        <v>373</v>
      </c>
      <c r="EX11" s="188" t="s">
        <v>374</v>
      </c>
      <c r="EY11" s="188" t="s">
        <v>377</v>
      </c>
      <c r="EZ11" s="188" t="s">
        <v>381</v>
      </c>
      <c r="FA11" s="188" t="s">
        <v>385</v>
      </c>
      <c r="FB11" s="188" t="s">
        <v>386</v>
      </c>
      <c r="FC11" s="188" t="s">
        <v>387</v>
      </c>
      <c r="FD11" s="188" t="s">
        <v>390</v>
      </c>
      <c r="FE11" s="188" t="s">
        <v>392</v>
      </c>
      <c r="FF11" s="188" t="s">
        <v>393</v>
      </c>
      <c r="FG11" s="188" t="s">
        <v>394</v>
      </c>
      <c r="FH11" s="188" t="s">
        <v>395</v>
      </c>
      <c r="FI11" s="188" t="s">
        <v>396</v>
      </c>
      <c r="FJ11" s="188" t="s">
        <v>406</v>
      </c>
      <c r="FK11" s="188" t="s">
        <v>408</v>
      </c>
      <c r="FL11" s="189" t="s">
        <v>415</v>
      </c>
    </row>
    <row r="12" s="180" customFormat="1" spans="1:168">
      <c r="A12" s="190" t="s">
        <v>417</v>
      </c>
      <c r="B12" s="191">
        <v>-20.2</v>
      </c>
      <c r="C12" s="192">
        <v>859.66</v>
      </c>
      <c r="E12" s="191" t="s">
        <v>417</v>
      </c>
      <c r="F12" s="191">
        <v>-7.6</v>
      </c>
      <c r="G12" s="191">
        <v>761.51</v>
      </c>
      <c r="H12" s="191">
        <v>0</v>
      </c>
      <c r="I12" s="191">
        <v>0</v>
      </c>
      <c r="J12" s="191">
        <v>0</v>
      </c>
      <c r="K12" s="191">
        <v>0</v>
      </c>
      <c r="L12" s="191">
        <v>0</v>
      </c>
      <c r="M12" s="191">
        <v>0</v>
      </c>
      <c r="N12" s="191">
        <v>0</v>
      </c>
      <c r="O12" s="191">
        <v>0</v>
      </c>
      <c r="P12" s="191">
        <v>0</v>
      </c>
      <c r="Q12" s="191">
        <v>0</v>
      </c>
      <c r="R12" s="191">
        <v>0</v>
      </c>
      <c r="S12" s="191">
        <v>0</v>
      </c>
      <c r="T12" s="191">
        <v>0</v>
      </c>
      <c r="U12" s="191">
        <v>0</v>
      </c>
      <c r="V12" s="191">
        <v>24.27</v>
      </c>
      <c r="W12" s="191">
        <v>0</v>
      </c>
      <c r="X12" s="191">
        <v>5.71</v>
      </c>
      <c r="Y12" s="191">
        <v>0</v>
      </c>
      <c r="Z12" s="191">
        <v>0</v>
      </c>
      <c r="AA12" s="191">
        <v>0</v>
      </c>
      <c r="AB12" s="191">
        <v>0</v>
      </c>
      <c r="AC12" s="191">
        <v>0</v>
      </c>
      <c r="AD12" s="191">
        <v>0</v>
      </c>
      <c r="AE12" s="191">
        <v>0</v>
      </c>
      <c r="AF12" s="191">
        <v>1.05</v>
      </c>
      <c r="AG12" s="191">
        <v>-0.6</v>
      </c>
      <c r="AH12" s="191">
        <v>0</v>
      </c>
      <c r="AI12" s="191">
        <v>14.28</v>
      </c>
      <c r="AJ12" s="191">
        <v>0</v>
      </c>
      <c r="AK12" s="191">
        <v>0</v>
      </c>
      <c r="AL12" s="191">
        <v>0</v>
      </c>
      <c r="AM12" s="191">
        <v>0</v>
      </c>
      <c r="AN12" s="191">
        <v>0</v>
      </c>
      <c r="AO12" s="191">
        <v>0</v>
      </c>
      <c r="AP12" s="191">
        <v>0</v>
      </c>
      <c r="AQ12" s="191">
        <v>0</v>
      </c>
      <c r="AR12" s="191">
        <v>0</v>
      </c>
      <c r="AS12" s="191">
        <v>0</v>
      </c>
      <c r="AT12" s="191">
        <v>0</v>
      </c>
      <c r="AU12" s="191">
        <v>-4.9</v>
      </c>
      <c r="AV12" s="191">
        <v>-4.8</v>
      </c>
      <c r="AW12" s="191">
        <v>-2.3</v>
      </c>
      <c r="AX12" s="191">
        <v>0</v>
      </c>
      <c r="AY12" s="191">
        <v>0</v>
      </c>
      <c r="AZ12" s="191">
        <v>13.52</v>
      </c>
      <c r="BA12" s="191">
        <v>0</v>
      </c>
      <c r="BB12" s="191">
        <v>0</v>
      </c>
      <c r="BC12" s="191">
        <v>2.67</v>
      </c>
      <c r="BD12" s="191">
        <v>0</v>
      </c>
      <c r="BE12" s="191">
        <v>0</v>
      </c>
      <c r="BF12" s="191">
        <v>0</v>
      </c>
      <c r="BG12" s="191">
        <v>0</v>
      </c>
      <c r="BH12" s="191">
        <v>5.71</v>
      </c>
      <c r="BI12" s="191">
        <v>0</v>
      </c>
      <c r="BJ12" s="191">
        <v>14.28</v>
      </c>
      <c r="BK12" s="191">
        <v>0</v>
      </c>
      <c r="BL12" s="191">
        <v>0</v>
      </c>
      <c r="BM12" s="191">
        <v>0</v>
      </c>
      <c r="BN12" s="191">
        <v>14.28</v>
      </c>
      <c r="BO12" s="191">
        <v>0</v>
      </c>
      <c r="BP12" s="191">
        <v>0</v>
      </c>
      <c r="BQ12" s="191">
        <v>0</v>
      </c>
      <c r="BR12" s="191">
        <v>2.38</v>
      </c>
      <c r="BS12" s="192">
        <v>0</v>
      </c>
      <c r="BT12" s="180"/>
      <c r="BU12" s="191" t="s">
        <v>417</v>
      </c>
      <c r="BV12" s="191">
        <v>-7.79</v>
      </c>
      <c r="BW12" s="191">
        <v>742.78</v>
      </c>
      <c r="BX12" s="191">
        <v>0</v>
      </c>
      <c r="BY12" s="191">
        <v>0</v>
      </c>
      <c r="BZ12" s="191">
        <v>0</v>
      </c>
      <c r="CA12" s="191">
        <v>0</v>
      </c>
      <c r="CB12" s="191">
        <v>0</v>
      </c>
      <c r="CC12" s="191">
        <v>0</v>
      </c>
      <c r="CD12" s="191">
        <v>0</v>
      </c>
      <c r="CE12" s="191">
        <v>0</v>
      </c>
      <c r="CF12" s="191">
        <v>0</v>
      </c>
      <c r="CG12" s="191">
        <v>0</v>
      </c>
      <c r="CH12" s="191">
        <v>0</v>
      </c>
      <c r="CI12" s="191">
        <v>0</v>
      </c>
      <c r="CJ12" s="191">
        <v>0</v>
      </c>
      <c r="CK12" s="191">
        <v>0</v>
      </c>
      <c r="CL12" s="191">
        <v>23.67</v>
      </c>
      <c r="CM12" s="191">
        <v>0</v>
      </c>
      <c r="CN12" s="191">
        <v>5.57</v>
      </c>
      <c r="CO12" s="191">
        <v>0</v>
      </c>
      <c r="CP12" s="191">
        <v>0</v>
      </c>
      <c r="CQ12" s="191">
        <v>0</v>
      </c>
      <c r="CR12" s="191">
        <v>0</v>
      </c>
      <c r="CS12" s="191">
        <v>0</v>
      </c>
      <c r="CT12" s="191">
        <v>0</v>
      </c>
      <c r="CU12" s="191">
        <v>0</v>
      </c>
      <c r="CV12" s="191">
        <v>1.02</v>
      </c>
      <c r="CW12" s="191">
        <v>-0.62</v>
      </c>
      <c r="CX12" s="191">
        <v>0</v>
      </c>
      <c r="CY12" s="191">
        <v>13.93</v>
      </c>
      <c r="CZ12" s="191">
        <v>0</v>
      </c>
      <c r="DA12" s="191">
        <v>0</v>
      </c>
      <c r="DB12" s="191">
        <v>0</v>
      </c>
      <c r="DC12" s="191">
        <v>0</v>
      </c>
      <c r="DD12" s="191">
        <v>0</v>
      </c>
      <c r="DE12" s="191">
        <v>0</v>
      </c>
      <c r="DF12" s="191">
        <v>0</v>
      </c>
      <c r="DG12" s="191">
        <v>0</v>
      </c>
      <c r="DH12" s="191">
        <v>0</v>
      </c>
      <c r="DI12" s="191">
        <v>0</v>
      </c>
      <c r="DJ12" s="191">
        <v>0</v>
      </c>
      <c r="DK12" s="191">
        <v>-5.02</v>
      </c>
      <c r="DL12" s="191">
        <v>-4.92</v>
      </c>
      <c r="DM12" s="191">
        <v>-2.36</v>
      </c>
      <c r="DN12" s="191">
        <v>0</v>
      </c>
      <c r="DO12" s="191">
        <v>0</v>
      </c>
      <c r="DP12" s="191">
        <v>13.19</v>
      </c>
      <c r="DQ12" s="191">
        <v>0</v>
      </c>
      <c r="DR12" s="191">
        <v>0</v>
      </c>
      <c r="DS12" s="191">
        <v>2.6</v>
      </c>
      <c r="DT12" s="191">
        <v>0</v>
      </c>
      <c r="DU12" s="191">
        <v>0</v>
      </c>
      <c r="DV12" s="191">
        <v>0</v>
      </c>
      <c r="DW12" s="191">
        <v>0</v>
      </c>
      <c r="DX12" s="191">
        <v>5.57</v>
      </c>
      <c r="DY12" s="191">
        <v>0</v>
      </c>
      <c r="DZ12" s="191">
        <v>13.93</v>
      </c>
      <c r="EA12" s="191">
        <v>0</v>
      </c>
      <c r="EB12" s="191">
        <v>0</v>
      </c>
      <c r="EC12" s="191">
        <v>0</v>
      </c>
      <c r="ED12" s="191">
        <v>13.93</v>
      </c>
      <c r="EE12" s="191">
        <v>0</v>
      </c>
      <c r="EF12" s="191">
        <v>0</v>
      </c>
      <c r="EG12" s="191">
        <v>0</v>
      </c>
      <c r="EH12" s="191">
        <v>2.32</v>
      </c>
      <c r="EI12" s="192">
        <v>0</v>
      </c>
      <c r="EJ12" s="180"/>
      <c r="EK12" s="191" t="s">
        <v>417</v>
      </c>
      <c r="EL12" s="191">
        <v>-8.03</v>
      </c>
      <c r="EM12" s="191">
        <v>0</v>
      </c>
      <c r="EN12" s="191">
        <v>0</v>
      </c>
      <c r="EO12" s="191">
        <v>0</v>
      </c>
      <c r="EP12" s="191">
        <v>0</v>
      </c>
      <c r="EQ12" s="191">
        <v>0</v>
      </c>
      <c r="ER12" s="191">
        <v>0</v>
      </c>
      <c r="ES12" s="191">
        <v>0</v>
      </c>
      <c r="ET12" s="191">
        <v>5.42</v>
      </c>
      <c r="EU12" s="191">
        <v>0</v>
      </c>
      <c r="EV12" s="191">
        <v>0</v>
      </c>
      <c r="EW12" s="191">
        <v>0</v>
      </c>
      <c r="EX12" s="191">
        <v>0</v>
      </c>
      <c r="EY12" s="191">
        <v>0.99</v>
      </c>
      <c r="EZ12" s="191">
        <v>0</v>
      </c>
      <c r="FA12" s="191">
        <v>0</v>
      </c>
      <c r="FB12" s="191">
        <v>0</v>
      </c>
      <c r="FC12" s="191">
        <v>0</v>
      </c>
      <c r="FD12" s="191">
        <v>0</v>
      </c>
      <c r="FE12" s="191">
        <v>-5.17</v>
      </c>
      <c r="FF12" s="191">
        <v>-5.07</v>
      </c>
      <c r="FG12" s="191">
        <v>-2.43</v>
      </c>
      <c r="FH12" s="191">
        <v>0</v>
      </c>
      <c r="FI12" s="191">
        <v>0</v>
      </c>
      <c r="FJ12" s="191">
        <v>0</v>
      </c>
      <c r="FK12" s="191">
        <v>0</v>
      </c>
      <c r="FL12" s="192">
        <v>2.25</v>
      </c>
    </row>
    <row r="13" s="180" customFormat="1" spans="1:168">
      <c r="A13" s="190" t="s">
        <v>418</v>
      </c>
      <c r="B13" s="191">
        <v>-20.2</v>
      </c>
      <c r="C13" s="192">
        <v>999.59</v>
      </c>
      <c r="E13" s="191" t="s">
        <v>418</v>
      </c>
      <c r="F13" s="191">
        <v>-7.6</v>
      </c>
      <c r="G13" s="191">
        <v>856.7</v>
      </c>
      <c r="H13" s="191">
        <v>0</v>
      </c>
      <c r="I13" s="191">
        <v>0</v>
      </c>
      <c r="J13" s="191">
        <v>0</v>
      </c>
      <c r="K13" s="191">
        <v>0</v>
      </c>
      <c r="L13" s="191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  <c r="R13" s="191">
        <v>0</v>
      </c>
      <c r="S13" s="191">
        <v>0</v>
      </c>
      <c r="T13" s="191">
        <v>0</v>
      </c>
      <c r="U13" s="191">
        <v>0</v>
      </c>
      <c r="V13" s="191">
        <v>24.27</v>
      </c>
      <c r="W13" s="191">
        <v>7.14</v>
      </c>
      <c r="X13" s="191">
        <v>5.71</v>
      </c>
      <c r="Y13" s="191">
        <v>0</v>
      </c>
      <c r="Z13" s="191">
        <v>0</v>
      </c>
      <c r="AA13" s="191">
        <v>0</v>
      </c>
      <c r="AB13" s="191">
        <v>0</v>
      </c>
      <c r="AC13" s="191">
        <v>2.86</v>
      </c>
      <c r="AD13" s="191">
        <v>0</v>
      </c>
      <c r="AE13" s="191">
        <v>4.28</v>
      </c>
      <c r="AF13" s="191">
        <v>1.05</v>
      </c>
      <c r="AG13" s="191">
        <v>-0.6</v>
      </c>
      <c r="AH13" s="191">
        <v>0</v>
      </c>
      <c r="AI13" s="191">
        <v>14.28</v>
      </c>
      <c r="AJ13" s="191">
        <v>0</v>
      </c>
      <c r="AK13" s="191">
        <v>0</v>
      </c>
      <c r="AL13" s="191">
        <v>0</v>
      </c>
      <c r="AM13" s="191">
        <v>0</v>
      </c>
      <c r="AN13" s="191">
        <v>0</v>
      </c>
      <c r="AO13" s="191">
        <v>0.95</v>
      </c>
      <c r="AP13" s="191">
        <v>0</v>
      </c>
      <c r="AQ13" s="191">
        <v>10.66</v>
      </c>
      <c r="AR13" s="191">
        <v>13.14</v>
      </c>
      <c r="AS13" s="191">
        <v>0</v>
      </c>
      <c r="AT13" s="191">
        <v>0</v>
      </c>
      <c r="AU13" s="191">
        <v>-4.9</v>
      </c>
      <c r="AV13" s="191">
        <v>-4.8</v>
      </c>
      <c r="AW13" s="191">
        <v>-2.3</v>
      </c>
      <c r="AX13" s="191">
        <v>0</v>
      </c>
      <c r="AY13" s="191">
        <v>0</v>
      </c>
      <c r="AZ13" s="191">
        <v>13.52</v>
      </c>
      <c r="BA13" s="191">
        <v>5.71</v>
      </c>
      <c r="BB13" s="191">
        <v>0</v>
      </c>
      <c r="BC13" s="191">
        <v>2.67</v>
      </c>
      <c r="BD13" s="191">
        <v>0</v>
      </c>
      <c r="BE13" s="191">
        <v>0</v>
      </c>
      <c r="BF13" s="191">
        <v>0</v>
      </c>
      <c r="BG13" s="191">
        <v>0</v>
      </c>
      <c r="BH13" s="191">
        <v>5.71</v>
      </c>
      <c r="BI13" s="191">
        <v>0</v>
      </c>
      <c r="BJ13" s="191">
        <v>14.28</v>
      </c>
      <c r="BK13" s="191">
        <v>0</v>
      </c>
      <c r="BL13" s="191">
        <v>0</v>
      </c>
      <c r="BM13" s="191">
        <v>0</v>
      </c>
      <c r="BN13" s="191">
        <v>14.28</v>
      </c>
      <c r="BO13" s="191">
        <v>0</v>
      </c>
      <c r="BP13" s="191">
        <v>0</v>
      </c>
      <c r="BQ13" s="191">
        <v>0</v>
      </c>
      <c r="BR13" s="191">
        <v>2.38</v>
      </c>
      <c r="BS13" s="192">
        <v>0</v>
      </c>
      <c r="BT13" s="180"/>
      <c r="BU13" s="191" t="s">
        <v>418</v>
      </c>
      <c r="BV13" s="191">
        <v>-7.79</v>
      </c>
      <c r="BW13" s="191">
        <v>835.63</v>
      </c>
      <c r="BX13" s="191">
        <v>0</v>
      </c>
      <c r="BY13" s="191">
        <v>0</v>
      </c>
      <c r="BZ13" s="191">
        <v>0</v>
      </c>
      <c r="CA13" s="191">
        <v>0</v>
      </c>
      <c r="CB13" s="191">
        <v>0</v>
      </c>
      <c r="CC13" s="191">
        <v>0</v>
      </c>
      <c r="CD13" s="191">
        <v>0</v>
      </c>
      <c r="CE13" s="191">
        <v>0</v>
      </c>
      <c r="CF13" s="191">
        <v>0</v>
      </c>
      <c r="CG13" s="191">
        <v>0</v>
      </c>
      <c r="CH13" s="191">
        <v>0</v>
      </c>
      <c r="CI13" s="191">
        <v>0</v>
      </c>
      <c r="CJ13" s="191">
        <v>0</v>
      </c>
      <c r="CK13" s="191">
        <v>0</v>
      </c>
      <c r="CL13" s="191">
        <v>23.67</v>
      </c>
      <c r="CM13" s="191">
        <v>6.96</v>
      </c>
      <c r="CN13" s="191">
        <v>5.57</v>
      </c>
      <c r="CO13" s="191">
        <v>0</v>
      </c>
      <c r="CP13" s="191">
        <v>0</v>
      </c>
      <c r="CQ13" s="191">
        <v>0</v>
      </c>
      <c r="CR13" s="191">
        <v>0</v>
      </c>
      <c r="CS13" s="191">
        <v>2.79</v>
      </c>
      <c r="CT13" s="191">
        <v>0</v>
      </c>
      <c r="CU13" s="191">
        <v>4.17</v>
      </c>
      <c r="CV13" s="191">
        <v>1.02</v>
      </c>
      <c r="CW13" s="191">
        <v>-0.62</v>
      </c>
      <c r="CX13" s="191">
        <v>0</v>
      </c>
      <c r="CY13" s="191">
        <v>13.93</v>
      </c>
      <c r="CZ13" s="191">
        <v>0</v>
      </c>
      <c r="DA13" s="191">
        <v>0</v>
      </c>
      <c r="DB13" s="191">
        <v>0</v>
      </c>
      <c r="DC13" s="191">
        <v>0</v>
      </c>
      <c r="DD13" s="191">
        <v>0</v>
      </c>
      <c r="DE13" s="191">
        <v>0.93</v>
      </c>
      <c r="DF13" s="191">
        <v>0</v>
      </c>
      <c r="DG13" s="191">
        <v>10.4</v>
      </c>
      <c r="DH13" s="191">
        <v>12.82</v>
      </c>
      <c r="DI13" s="191">
        <v>0</v>
      </c>
      <c r="DJ13" s="191">
        <v>0</v>
      </c>
      <c r="DK13" s="191">
        <v>-5.02</v>
      </c>
      <c r="DL13" s="191">
        <v>-4.92</v>
      </c>
      <c r="DM13" s="191">
        <v>-2.36</v>
      </c>
      <c r="DN13" s="191">
        <v>0</v>
      </c>
      <c r="DO13" s="191">
        <v>0</v>
      </c>
      <c r="DP13" s="191">
        <v>13.19</v>
      </c>
      <c r="DQ13" s="191">
        <v>5.57</v>
      </c>
      <c r="DR13" s="191">
        <v>0</v>
      </c>
      <c r="DS13" s="191">
        <v>2.6</v>
      </c>
      <c r="DT13" s="191">
        <v>0</v>
      </c>
      <c r="DU13" s="191">
        <v>0</v>
      </c>
      <c r="DV13" s="191">
        <v>0</v>
      </c>
      <c r="DW13" s="191">
        <v>0</v>
      </c>
      <c r="DX13" s="191">
        <v>5.57</v>
      </c>
      <c r="DY13" s="191">
        <v>0</v>
      </c>
      <c r="DZ13" s="191">
        <v>13.93</v>
      </c>
      <c r="EA13" s="191">
        <v>0</v>
      </c>
      <c r="EB13" s="191">
        <v>0</v>
      </c>
      <c r="EC13" s="191">
        <v>0</v>
      </c>
      <c r="ED13" s="191">
        <v>13.93</v>
      </c>
      <c r="EE13" s="191">
        <v>0</v>
      </c>
      <c r="EF13" s="191">
        <v>0</v>
      </c>
      <c r="EG13" s="191">
        <v>0</v>
      </c>
      <c r="EH13" s="191">
        <v>2.32</v>
      </c>
      <c r="EI13" s="192">
        <v>0</v>
      </c>
      <c r="EJ13" s="180"/>
      <c r="EK13" s="191" t="s">
        <v>418</v>
      </c>
      <c r="EL13" s="191">
        <v>-8.03</v>
      </c>
      <c r="EM13" s="191">
        <v>0</v>
      </c>
      <c r="EN13" s="191">
        <v>0</v>
      </c>
      <c r="EO13" s="191">
        <v>0</v>
      </c>
      <c r="EP13" s="191">
        <v>0</v>
      </c>
      <c r="EQ13" s="191">
        <v>0</v>
      </c>
      <c r="ER13" s="191">
        <v>0</v>
      </c>
      <c r="ES13" s="191">
        <v>6.77</v>
      </c>
      <c r="ET13" s="191">
        <v>5.42</v>
      </c>
      <c r="EU13" s="191">
        <v>0</v>
      </c>
      <c r="EV13" s="191">
        <v>0</v>
      </c>
      <c r="EW13" s="191">
        <v>0</v>
      </c>
      <c r="EX13" s="191">
        <v>2.71</v>
      </c>
      <c r="EY13" s="191">
        <v>0.99</v>
      </c>
      <c r="EZ13" s="191">
        <v>0</v>
      </c>
      <c r="FA13" s="191">
        <v>0</v>
      </c>
      <c r="FB13" s="191">
        <v>0.9</v>
      </c>
      <c r="FC13" s="191">
        <v>0</v>
      </c>
      <c r="FD13" s="191">
        <v>0</v>
      </c>
      <c r="FE13" s="191">
        <v>-5.17</v>
      </c>
      <c r="FF13" s="191">
        <v>-5.07</v>
      </c>
      <c r="FG13" s="191">
        <v>-2.43</v>
      </c>
      <c r="FH13" s="191">
        <v>0</v>
      </c>
      <c r="FI13" s="191">
        <v>0</v>
      </c>
      <c r="FJ13" s="191">
        <v>0</v>
      </c>
      <c r="FK13" s="191">
        <v>0</v>
      </c>
      <c r="FL13" s="192">
        <v>2.25</v>
      </c>
    </row>
    <row r="14" s="180" customFormat="1" spans="1:168">
      <c r="A14" s="190" t="s">
        <v>419</v>
      </c>
      <c r="B14" s="191">
        <v>-20.2</v>
      </c>
      <c r="C14" s="192">
        <v>1201.49</v>
      </c>
      <c r="E14" s="191" t="s">
        <v>419</v>
      </c>
      <c r="F14" s="191">
        <v>-7.6</v>
      </c>
      <c r="G14" s="191">
        <v>1047.08</v>
      </c>
      <c r="H14" s="191">
        <v>0</v>
      </c>
      <c r="I14" s="191">
        <v>0</v>
      </c>
      <c r="J14" s="191">
        <v>0</v>
      </c>
      <c r="K14" s="191">
        <v>0</v>
      </c>
      <c r="L14" s="191">
        <v>0</v>
      </c>
      <c r="M14" s="191">
        <v>0</v>
      </c>
      <c r="N14" s="191">
        <v>2.38</v>
      </c>
      <c r="O14" s="191">
        <v>0</v>
      </c>
      <c r="P14" s="191">
        <v>0</v>
      </c>
      <c r="Q14" s="191">
        <v>0</v>
      </c>
      <c r="R14" s="191">
        <v>0</v>
      </c>
      <c r="S14" s="191">
        <v>3.21</v>
      </c>
      <c r="T14" s="191">
        <v>0</v>
      </c>
      <c r="U14" s="191">
        <v>0</v>
      </c>
      <c r="V14" s="191">
        <v>24.27</v>
      </c>
      <c r="W14" s="191">
        <v>7.14</v>
      </c>
      <c r="X14" s="191">
        <v>5.71</v>
      </c>
      <c r="Y14" s="191">
        <v>0</v>
      </c>
      <c r="Z14" s="191">
        <v>1.17</v>
      </c>
      <c r="AA14" s="191">
        <v>0</v>
      </c>
      <c r="AB14" s="191">
        <v>0</v>
      </c>
      <c r="AC14" s="191">
        <v>2.86</v>
      </c>
      <c r="AD14" s="191">
        <v>0</v>
      </c>
      <c r="AE14" s="191">
        <v>4.28</v>
      </c>
      <c r="AF14" s="191">
        <v>1.05</v>
      </c>
      <c r="AG14" s="191">
        <v>-0.6</v>
      </c>
      <c r="AH14" s="191">
        <v>0</v>
      </c>
      <c r="AI14" s="191">
        <v>14.28</v>
      </c>
      <c r="AJ14" s="191">
        <v>0</v>
      </c>
      <c r="AK14" s="191">
        <v>0</v>
      </c>
      <c r="AL14" s="191">
        <v>0</v>
      </c>
      <c r="AM14" s="191">
        <v>0</v>
      </c>
      <c r="AN14" s="191">
        <v>4.76</v>
      </c>
      <c r="AO14" s="191">
        <v>0.95</v>
      </c>
      <c r="AP14" s="191">
        <v>0</v>
      </c>
      <c r="AQ14" s="191">
        <v>10.66</v>
      </c>
      <c r="AR14" s="191">
        <v>13.14</v>
      </c>
      <c r="AS14" s="191">
        <v>0</v>
      </c>
      <c r="AT14" s="191">
        <v>0</v>
      </c>
      <c r="AU14" s="191">
        <v>-4.9</v>
      </c>
      <c r="AV14" s="191">
        <v>-4.8</v>
      </c>
      <c r="AW14" s="191">
        <v>-2.3</v>
      </c>
      <c r="AX14" s="191">
        <v>0</v>
      </c>
      <c r="AY14" s="191">
        <v>0</v>
      </c>
      <c r="AZ14" s="191">
        <v>13.52</v>
      </c>
      <c r="BA14" s="191">
        <v>5.71</v>
      </c>
      <c r="BB14" s="191">
        <v>0</v>
      </c>
      <c r="BC14" s="191">
        <v>2.67</v>
      </c>
      <c r="BD14" s="191">
        <v>0</v>
      </c>
      <c r="BE14" s="191">
        <v>0</v>
      </c>
      <c r="BF14" s="191">
        <v>0</v>
      </c>
      <c r="BG14" s="191">
        <v>0</v>
      </c>
      <c r="BH14" s="191">
        <v>5.71</v>
      </c>
      <c r="BI14" s="191">
        <v>0</v>
      </c>
      <c r="BJ14" s="191">
        <v>14.28</v>
      </c>
      <c r="BK14" s="191">
        <v>0</v>
      </c>
      <c r="BL14" s="191">
        <v>0</v>
      </c>
      <c r="BM14" s="191">
        <v>0</v>
      </c>
      <c r="BN14" s="191">
        <v>14.28</v>
      </c>
      <c r="BO14" s="191">
        <v>0</v>
      </c>
      <c r="BP14" s="191">
        <v>0</v>
      </c>
      <c r="BQ14" s="191">
        <v>0</v>
      </c>
      <c r="BR14" s="191">
        <v>2.38</v>
      </c>
      <c r="BS14" s="192">
        <v>0</v>
      </c>
      <c r="BT14" s="180"/>
      <c r="BU14" s="191" t="s">
        <v>419</v>
      </c>
      <c r="BV14" s="191">
        <v>-7.79</v>
      </c>
      <c r="BW14" s="191">
        <v>1021.32</v>
      </c>
      <c r="BX14" s="191">
        <v>0</v>
      </c>
      <c r="BY14" s="191">
        <v>0</v>
      </c>
      <c r="BZ14" s="191">
        <v>0</v>
      </c>
      <c r="CA14" s="191">
        <v>0</v>
      </c>
      <c r="CB14" s="191">
        <v>0</v>
      </c>
      <c r="CC14" s="191">
        <v>0</v>
      </c>
      <c r="CD14" s="191">
        <v>2.32</v>
      </c>
      <c r="CE14" s="191">
        <v>0</v>
      </c>
      <c r="CF14" s="191">
        <v>0</v>
      </c>
      <c r="CG14" s="191">
        <v>0</v>
      </c>
      <c r="CH14" s="191">
        <v>0</v>
      </c>
      <c r="CI14" s="191">
        <v>3.13</v>
      </c>
      <c r="CJ14" s="191">
        <v>0</v>
      </c>
      <c r="CK14" s="191">
        <v>0</v>
      </c>
      <c r="CL14" s="191">
        <v>23.67</v>
      </c>
      <c r="CM14" s="191">
        <v>6.96</v>
      </c>
      <c r="CN14" s="191">
        <v>5.57</v>
      </c>
      <c r="CO14" s="191">
        <v>0</v>
      </c>
      <c r="CP14" s="191">
        <v>1.14</v>
      </c>
      <c r="CQ14" s="191">
        <v>0</v>
      </c>
      <c r="CR14" s="191">
        <v>0</v>
      </c>
      <c r="CS14" s="191">
        <v>2.79</v>
      </c>
      <c r="CT14" s="191">
        <v>0</v>
      </c>
      <c r="CU14" s="191">
        <v>4.17</v>
      </c>
      <c r="CV14" s="191">
        <v>1.02</v>
      </c>
      <c r="CW14" s="191">
        <v>-0.62</v>
      </c>
      <c r="CX14" s="191">
        <v>0</v>
      </c>
      <c r="CY14" s="191">
        <v>13.93</v>
      </c>
      <c r="CZ14" s="191">
        <v>0</v>
      </c>
      <c r="DA14" s="191">
        <v>0</v>
      </c>
      <c r="DB14" s="191">
        <v>0</v>
      </c>
      <c r="DC14" s="191">
        <v>0</v>
      </c>
      <c r="DD14" s="191">
        <v>4.64</v>
      </c>
      <c r="DE14" s="191">
        <v>0.93</v>
      </c>
      <c r="DF14" s="191">
        <v>0</v>
      </c>
      <c r="DG14" s="191">
        <v>10.4</v>
      </c>
      <c r="DH14" s="191">
        <v>12.82</v>
      </c>
      <c r="DI14" s="191">
        <v>0</v>
      </c>
      <c r="DJ14" s="191">
        <v>0</v>
      </c>
      <c r="DK14" s="191">
        <v>-5.02</v>
      </c>
      <c r="DL14" s="191">
        <v>-4.92</v>
      </c>
      <c r="DM14" s="191">
        <v>-2.36</v>
      </c>
      <c r="DN14" s="191">
        <v>0</v>
      </c>
      <c r="DO14" s="191">
        <v>0</v>
      </c>
      <c r="DP14" s="191">
        <v>13.19</v>
      </c>
      <c r="DQ14" s="191">
        <v>5.57</v>
      </c>
      <c r="DR14" s="191">
        <v>0</v>
      </c>
      <c r="DS14" s="191">
        <v>2.6</v>
      </c>
      <c r="DT14" s="191">
        <v>0</v>
      </c>
      <c r="DU14" s="191">
        <v>0</v>
      </c>
      <c r="DV14" s="191">
        <v>0</v>
      </c>
      <c r="DW14" s="191">
        <v>0</v>
      </c>
      <c r="DX14" s="191">
        <v>5.57</v>
      </c>
      <c r="DY14" s="191">
        <v>0</v>
      </c>
      <c r="DZ14" s="191">
        <v>13.93</v>
      </c>
      <c r="EA14" s="191">
        <v>0</v>
      </c>
      <c r="EB14" s="191">
        <v>0</v>
      </c>
      <c r="EC14" s="191">
        <v>0</v>
      </c>
      <c r="ED14" s="191">
        <v>13.93</v>
      </c>
      <c r="EE14" s="191">
        <v>0</v>
      </c>
      <c r="EF14" s="191">
        <v>0</v>
      </c>
      <c r="EG14" s="191">
        <v>0</v>
      </c>
      <c r="EH14" s="191">
        <v>2.32</v>
      </c>
      <c r="EI14" s="192">
        <v>0</v>
      </c>
      <c r="EJ14" s="180"/>
      <c r="EK14" s="191" t="s">
        <v>419</v>
      </c>
      <c r="EL14" s="191">
        <v>-8.03</v>
      </c>
      <c r="EM14" s="191">
        <v>0</v>
      </c>
      <c r="EN14" s="191">
        <v>0</v>
      </c>
      <c r="EO14" s="191">
        <v>0</v>
      </c>
      <c r="EP14" s="191">
        <v>0</v>
      </c>
      <c r="EQ14" s="191">
        <v>0</v>
      </c>
      <c r="ER14" s="191">
        <v>0</v>
      </c>
      <c r="ES14" s="191">
        <v>6.77</v>
      </c>
      <c r="ET14" s="191">
        <v>5.42</v>
      </c>
      <c r="EU14" s="191">
        <v>1.11</v>
      </c>
      <c r="EV14" s="191">
        <v>0</v>
      </c>
      <c r="EW14" s="191">
        <v>0</v>
      </c>
      <c r="EX14" s="191">
        <v>2.71</v>
      </c>
      <c r="EY14" s="191">
        <v>0.99</v>
      </c>
      <c r="EZ14" s="191">
        <v>0</v>
      </c>
      <c r="FA14" s="191">
        <v>4.51</v>
      </c>
      <c r="FB14" s="191">
        <v>0.9</v>
      </c>
      <c r="FC14" s="191">
        <v>0</v>
      </c>
      <c r="FD14" s="191">
        <v>0</v>
      </c>
      <c r="FE14" s="191">
        <v>-5.17</v>
      </c>
      <c r="FF14" s="191">
        <v>-5.07</v>
      </c>
      <c r="FG14" s="191">
        <v>-2.43</v>
      </c>
      <c r="FH14" s="191">
        <v>0</v>
      </c>
      <c r="FI14" s="191">
        <v>0</v>
      </c>
      <c r="FJ14" s="191">
        <v>0</v>
      </c>
      <c r="FK14" s="191">
        <v>0</v>
      </c>
      <c r="FL14" s="192">
        <v>2.25</v>
      </c>
    </row>
    <row r="15" s="180" customFormat="1" spans="1:168">
      <c r="A15" s="190" t="s">
        <v>420</v>
      </c>
      <c r="B15" s="191">
        <v>-20.2</v>
      </c>
      <c r="C15" s="192">
        <v>1109.06</v>
      </c>
      <c r="E15" s="191" t="s">
        <v>420</v>
      </c>
      <c r="F15" s="191">
        <v>-7.6</v>
      </c>
      <c r="G15" s="191">
        <v>951.89</v>
      </c>
      <c r="H15" s="191">
        <v>0</v>
      </c>
      <c r="I15" s="191">
        <v>0</v>
      </c>
      <c r="J15" s="191">
        <v>0</v>
      </c>
      <c r="K15" s="191">
        <v>0</v>
      </c>
      <c r="L15" s="191">
        <v>0</v>
      </c>
      <c r="M15" s="191">
        <v>0</v>
      </c>
      <c r="N15" s="191">
        <v>2.38</v>
      </c>
      <c r="O15" s="191">
        <v>0</v>
      </c>
      <c r="P15" s="191">
        <v>0</v>
      </c>
      <c r="Q15" s="191">
        <v>0</v>
      </c>
      <c r="R15" s="191">
        <v>0</v>
      </c>
      <c r="S15" s="191">
        <v>5.24</v>
      </c>
      <c r="T15" s="191">
        <v>0</v>
      </c>
      <c r="U15" s="191">
        <v>0</v>
      </c>
      <c r="V15" s="191">
        <v>24.27</v>
      </c>
      <c r="W15" s="191">
        <v>7.14</v>
      </c>
      <c r="X15" s="191">
        <v>5.71</v>
      </c>
      <c r="Y15" s="191">
        <v>0</v>
      </c>
      <c r="Z15" s="191">
        <v>1.9</v>
      </c>
      <c r="AA15" s="191">
        <v>0</v>
      </c>
      <c r="AB15" s="191">
        <v>0</v>
      </c>
      <c r="AC15" s="191">
        <v>2.86</v>
      </c>
      <c r="AD15" s="191">
        <v>0</v>
      </c>
      <c r="AE15" s="191">
        <v>4.28</v>
      </c>
      <c r="AF15" s="191">
        <v>1.05</v>
      </c>
      <c r="AG15" s="191">
        <v>-0.6</v>
      </c>
      <c r="AH15" s="191">
        <v>0</v>
      </c>
      <c r="AI15" s="191">
        <v>14.28</v>
      </c>
      <c r="AJ15" s="191">
        <v>0</v>
      </c>
      <c r="AK15" s="191">
        <v>0</v>
      </c>
      <c r="AL15" s="191">
        <v>0</v>
      </c>
      <c r="AM15" s="191">
        <v>0</v>
      </c>
      <c r="AN15" s="191">
        <v>4.76</v>
      </c>
      <c r="AO15" s="191">
        <v>0.95</v>
      </c>
      <c r="AP15" s="191">
        <v>0</v>
      </c>
      <c r="AQ15" s="191">
        <v>10.66</v>
      </c>
      <c r="AR15" s="191">
        <v>13.14</v>
      </c>
      <c r="AS15" s="191">
        <v>0</v>
      </c>
      <c r="AT15" s="191">
        <v>0</v>
      </c>
      <c r="AU15" s="191">
        <v>-4.9</v>
      </c>
      <c r="AV15" s="191">
        <v>-4.8</v>
      </c>
      <c r="AW15" s="191">
        <v>-2.3</v>
      </c>
      <c r="AX15" s="191">
        <v>0</v>
      </c>
      <c r="AY15" s="191">
        <v>0</v>
      </c>
      <c r="AZ15" s="191">
        <v>13.52</v>
      </c>
      <c r="BA15" s="191">
        <v>5.71</v>
      </c>
      <c r="BB15" s="191">
        <v>0</v>
      </c>
      <c r="BC15" s="191">
        <v>2.67</v>
      </c>
      <c r="BD15" s="191">
        <v>0</v>
      </c>
      <c r="BE15" s="191">
        <v>0</v>
      </c>
      <c r="BF15" s="191">
        <v>0</v>
      </c>
      <c r="BG15" s="191">
        <v>0</v>
      </c>
      <c r="BH15" s="191">
        <v>5.71</v>
      </c>
      <c r="BI15" s="191">
        <v>0</v>
      </c>
      <c r="BJ15" s="191">
        <v>14.28</v>
      </c>
      <c r="BK15" s="191">
        <v>0</v>
      </c>
      <c r="BL15" s="191">
        <v>0</v>
      </c>
      <c r="BM15" s="191">
        <v>0</v>
      </c>
      <c r="BN15" s="191">
        <v>14.28</v>
      </c>
      <c r="BO15" s="191">
        <v>0</v>
      </c>
      <c r="BP15" s="191">
        <v>0</v>
      </c>
      <c r="BQ15" s="191">
        <v>0</v>
      </c>
      <c r="BR15" s="191">
        <v>2.38</v>
      </c>
      <c r="BS15" s="192">
        <v>0</v>
      </c>
      <c r="BT15" s="180"/>
      <c r="BU15" s="191" t="s">
        <v>420</v>
      </c>
      <c r="BV15" s="191">
        <v>-7.79</v>
      </c>
      <c r="BW15" s="191">
        <v>928.47</v>
      </c>
      <c r="BX15" s="191">
        <v>0</v>
      </c>
      <c r="BY15" s="191">
        <v>0</v>
      </c>
      <c r="BZ15" s="191">
        <v>0</v>
      </c>
      <c r="CA15" s="191">
        <v>0</v>
      </c>
      <c r="CB15" s="191">
        <v>0</v>
      </c>
      <c r="CC15" s="191">
        <v>0</v>
      </c>
      <c r="CD15" s="191">
        <v>2.32</v>
      </c>
      <c r="CE15" s="191">
        <v>0</v>
      </c>
      <c r="CF15" s="191">
        <v>0</v>
      </c>
      <c r="CG15" s="191">
        <v>0</v>
      </c>
      <c r="CH15" s="191">
        <v>0</v>
      </c>
      <c r="CI15" s="191">
        <v>5.11</v>
      </c>
      <c r="CJ15" s="191">
        <v>0</v>
      </c>
      <c r="CK15" s="191">
        <v>0</v>
      </c>
      <c r="CL15" s="191">
        <v>23.67</v>
      </c>
      <c r="CM15" s="191">
        <v>6.96</v>
      </c>
      <c r="CN15" s="191">
        <v>5.57</v>
      </c>
      <c r="CO15" s="191">
        <v>0</v>
      </c>
      <c r="CP15" s="191">
        <v>1.85</v>
      </c>
      <c r="CQ15" s="191">
        <v>0</v>
      </c>
      <c r="CR15" s="191">
        <v>0</v>
      </c>
      <c r="CS15" s="191">
        <v>2.79</v>
      </c>
      <c r="CT15" s="191">
        <v>0</v>
      </c>
      <c r="CU15" s="191">
        <v>4.17</v>
      </c>
      <c r="CV15" s="191">
        <v>1.02</v>
      </c>
      <c r="CW15" s="191">
        <v>-0.62</v>
      </c>
      <c r="CX15" s="191">
        <v>0</v>
      </c>
      <c r="CY15" s="191">
        <v>13.93</v>
      </c>
      <c r="CZ15" s="191">
        <v>0</v>
      </c>
      <c r="DA15" s="191">
        <v>0</v>
      </c>
      <c r="DB15" s="191">
        <v>0</v>
      </c>
      <c r="DC15" s="191">
        <v>0</v>
      </c>
      <c r="DD15" s="191">
        <v>4.64</v>
      </c>
      <c r="DE15" s="191">
        <v>0.93</v>
      </c>
      <c r="DF15" s="191">
        <v>0</v>
      </c>
      <c r="DG15" s="191">
        <v>10.4</v>
      </c>
      <c r="DH15" s="191">
        <v>12.82</v>
      </c>
      <c r="DI15" s="191">
        <v>0</v>
      </c>
      <c r="DJ15" s="191">
        <v>0</v>
      </c>
      <c r="DK15" s="191">
        <v>-5.02</v>
      </c>
      <c r="DL15" s="191">
        <v>-4.92</v>
      </c>
      <c r="DM15" s="191">
        <v>-2.36</v>
      </c>
      <c r="DN15" s="191">
        <v>0</v>
      </c>
      <c r="DO15" s="191">
        <v>0</v>
      </c>
      <c r="DP15" s="191">
        <v>13.19</v>
      </c>
      <c r="DQ15" s="191">
        <v>5.57</v>
      </c>
      <c r="DR15" s="191">
        <v>0</v>
      </c>
      <c r="DS15" s="191">
        <v>2.6</v>
      </c>
      <c r="DT15" s="191">
        <v>0</v>
      </c>
      <c r="DU15" s="191">
        <v>0</v>
      </c>
      <c r="DV15" s="191">
        <v>0</v>
      </c>
      <c r="DW15" s="191">
        <v>0</v>
      </c>
      <c r="DX15" s="191">
        <v>5.57</v>
      </c>
      <c r="DY15" s="191">
        <v>0</v>
      </c>
      <c r="DZ15" s="191">
        <v>13.93</v>
      </c>
      <c r="EA15" s="191">
        <v>0</v>
      </c>
      <c r="EB15" s="191">
        <v>0</v>
      </c>
      <c r="EC15" s="191">
        <v>0</v>
      </c>
      <c r="ED15" s="191">
        <v>13.93</v>
      </c>
      <c r="EE15" s="191">
        <v>0</v>
      </c>
      <c r="EF15" s="191">
        <v>0</v>
      </c>
      <c r="EG15" s="191">
        <v>0</v>
      </c>
      <c r="EH15" s="191">
        <v>2.32</v>
      </c>
      <c r="EI15" s="192">
        <v>0</v>
      </c>
      <c r="EJ15" s="180"/>
      <c r="EK15" s="191" t="s">
        <v>420</v>
      </c>
      <c r="EL15" s="191">
        <v>-8.03</v>
      </c>
      <c r="EM15" s="191">
        <v>0</v>
      </c>
      <c r="EN15" s="191">
        <v>0</v>
      </c>
      <c r="EO15" s="191">
        <v>0</v>
      </c>
      <c r="EP15" s="191">
        <v>0</v>
      </c>
      <c r="EQ15" s="191">
        <v>0</v>
      </c>
      <c r="ER15" s="191">
        <v>0</v>
      </c>
      <c r="ES15" s="191">
        <v>6.77</v>
      </c>
      <c r="ET15" s="191">
        <v>5.42</v>
      </c>
      <c r="EU15" s="191">
        <v>1.8</v>
      </c>
      <c r="EV15" s="191">
        <v>0</v>
      </c>
      <c r="EW15" s="191">
        <v>0</v>
      </c>
      <c r="EX15" s="191">
        <v>2.71</v>
      </c>
      <c r="EY15" s="191">
        <v>0.99</v>
      </c>
      <c r="EZ15" s="191">
        <v>0</v>
      </c>
      <c r="FA15" s="191">
        <v>4.51</v>
      </c>
      <c r="FB15" s="191">
        <v>0.9</v>
      </c>
      <c r="FC15" s="191">
        <v>0</v>
      </c>
      <c r="FD15" s="191">
        <v>0</v>
      </c>
      <c r="FE15" s="191">
        <v>-5.17</v>
      </c>
      <c r="FF15" s="191">
        <v>-5.07</v>
      </c>
      <c r="FG15" s="191">
        <v>-2.43</v>
      </c>
      <c r="FH15" s="191">
        <v>0</v>
      </c>
      <c r="FI15" s="191">
        <v>0</v>
      </c>
      <c r="FJ15" s="191">
        <v>0</v>
      </c>
      <c r="FK15" s="191">
        <v>0</v>
      </c>
      <c r="FL15" s="192">
        <v>2.25</v>
      </c>
    </row>
    <row r="16" s="180" customFormat="1" spans="1:168">
      <c r="A16" s="190" t="s">
        <v>421</v>
      </c>
      <c r="B16" s="191">
        <v>-20.2</v>
      </c>
      <c r="C16" s="192">
        <v>1160.56</v>
      </c>
      <c r="E16" s="191" t="s">
        <v>421</v>
      </c>
      <c r="F16" s="191">
        <v>-7.6</v>
      </c>
      <c r="G16" s="191">
        <v>856.68</v>
      </c>
      <c r="H16" s="191">
        <v>4</v>
      </c>
      <c r="I16" s="191">
        <v>0</v>
      </c>
      <c r="J16" s="191">
        <v>8.38</v>
      </c>
      <c r="K16" s="191">
        <v>5.05</v>
      </c>
      <c r="L16" s="191">
        <v>2.67</v>
      </c>
      <c r="M16" s="191">
        <v>0.76</v>
      </c>
      <c r="N16" s="191">
        <v>2.38</v>
      </c>
      <c r="O16" s="191">
        <v>8.57</v>
      </c>
      <c r="P16" s="191">
        <v>0</v>
      </c>
      <c r="Q16" s="191">
        <v>0</v>
      </c>
      <c r="R16" s="191">
        <v>5.71</v>
      </c>
      <c r="S16" s="191">
        <v>5.24</v>
      </c>
      <c r="T16" s="191">
        <v>0</v>
      </c>
      <c r="U16" s="191">
        <v>0</v>
      </c>
      <c r="V16" s="191">
        <v>24.27</v>
      </c>
      <c r="W16" s="191">
        <v>7.14</v>
      </c>
      <c r="X16" s="191">
        <v>5.71</v>
      </c>
      <c r="Y16" s="191">
        <v>6.66</v>
      </c>
      <c r="Z16" s="191">
        <v>1.9</v>
      </c>
      <c r="AA16" s="191">
        <v>3.81</v>
      </c>
      <c r="AB16" s="191">
        <v>0</v>
      </c>
      <c r="AC16" s="191">
        <v>2.86</v>
      </c>
      <c r="AD16" s="191">
        <v>5.52</v>
      </c>
      <c r="AE16" s="191">
        <v>4.28</v>
      </c>
      <c r="AF16" s="191">
        <v>1.05</v>
      </c>
      <c r="AG16" s="191">
        <v>-0.6</v>
      </c>
      <c r="AH16" s="191">
        <v>0</v>
      </c>
      <c r="AI16" s="191">
        <v>14.28</v>
      </c>
      <c r="AJ16" s="191">
        <v>0</v>
      </c>
      <c r="AK16" s="191">
        <v>0.38</v>
      </c>
      <c r="AL16" s="191">
        <v>0</v>
      </c>
      <c r="AM16" s="191">
        <v>9.52</v>
      </c>
      <c r="AN16" s="191">
        <v>4.76</v>
      </c>
      <c r="AO16" s="191">
        <v>1.14</v>
      </c>
      <c r="AP16" s="191">
        <v>0</v>
      </c>
      <c r="AQ16" s="191">
        <v>10.66</v>
      </c>
      <c r="AR16" s="191">
        <v>13.14</v>
      </c>
      <c r="AS16" s="191">
        <v>0</v>
      </c>
      <c r="AT16" s="191">
        <v>0</v>
      </c>
      <c r="AU16" s="191">
        <v>-4.9</v>
      </c>
      <c r="AV16" s="191">
        <v>-4.8</v>
      </c>
      <c r="AW16" s="191">
        <v>-2.3</v>
      </c>
      <c r="AX16" s="191">
        <v>1.43</v>
      </c>
      <c r="AY16" s="191">
        <v>1.62</v>
      </c>
      <c r="AZ16" s="191">
        <v>13.52</v>
      </c>
      <c r="BA16" s="191">
        <v>5.71</v>
      </c>
      <c r="BB16" s="191">
        <v>9.52</v>
      </c>
      <c r="BC16" s="191">
        <v>2.67</v>
      </c>
      <c r="BD16" s="191">
        <v>0</v>
      </c>
      <c r="BE16" s="191">
        <v>16.18</v>
      </c>
      <c r="BF16" s="191">
        <v>19.04</v>
      </c>
      <c r="BG16" s="191">
        <v>7.62</v>
      </c>
      <c r="BH16" s="191">
        <v>5.71</v>
      </c>
      <c r="BI16" s="191">
        <v>2</v>
      </c>
      <c r="BJ16" s="191">
        <v>14.28</v>
      </c>
      <c r="BK16" s="191">
        <v>0</v>
      </c>
      <c r="BL16" s="191">
        <v>0</v>
      </c>
      <c r="BM16" s="191">
        <v>12.37</v>
      </c>
      <c r="BN16" s="191">
        <v>14.28</v>
      </c>
      <c r="BO16" s="191">
        <v>0</v>
      </c>
      <c r="BP16" s="191">
        <v>13.33</v>
      </c>
      <c r="BQ16" s="191">
        <v>2.38</v>
      </c>
      <c r="BR16" s="191">
        <v>2.38</v>
      </c>
      <c r="BS16" s="192">
        <v>0</v>
      </c>
      <c r="BT16" s="180"/>
      <c r="BU16" s="191" t="s">
        <v>421</v>
      </c>
      <c r="BV16" s="191">
        <v>-7.79</v>
      </c>
      <c r="BW16" s="191">
        <v>835.61</v>
      </c>
      <c r="BX16" s="191">
        <v>3.9</v>
      </c>
      <c r="BY16" s="191">
        <v>0</v>
      </c>
      <c r="BZ16" s="191">
        <v>8.17</v>
      </c>
      <c r="CA16" s="191">
        <v>4.93</v>
      </c>
      <c r="CB16" s="191">
        <v>2.6</v>
      </c>
      <c r="CC16" s="191">
        <v>0.74</v>
      </c>
      <c r="CD16" s="191">
        <v>2.32</v>
      </c>
      <c r="CE16" s="191">
        <v>8.36</v>
      </c>
      <c r="CF16" s="191">
        <v>0</v>
      </c>
      <c r="CG16" s="191">
        <v>0</v>
      </c>
      <c r="CH16" s="191">
        <v>5.57</v>
      </c>
      <c r="CI16" s="191">
        <v>5.11</v>
      </c>
      <c r="CJ16" s="191">
        <v>0</v>
      </c>
      <c r="CK16" s="191">
        <v>0</v>
      </c>
      <c r="CL16" s="191">
        <v>23.67</v>
      </c>
      <c r="CM16" s="191">
        <v>6.96</v>
      </c>
      <c r="CN16" s="191">
        <v>5.57</v>
      </c>
      <c r="CO16" s="191">
        <v>6.5</v>
      </c>
      <c r="CP16" s="191">
        <v>1.85</v>
      </c>
      <c r="CQ16" s="191">
        <v>3.72</v>
      </c>
      <c r="CR16" s="191">
        <v>0</v>
      </c>
      <c r="CS16" s="191">
        <v>2.79</v>
      </c>
      <c r="CT16" s="191">
        <v>5.38</v>
      </c>
      <c r="CU16" s="191">
        <v>4.17</v>
      </c>
      <c r="CV16" s="191">
        <v>1.02</v>
      </c>
      <c r="CW16" s="191">
        <v>-0.62</v>
      </c>
      <c r="CX16" s="191">
        <v>0</v>
      </c>
      <c r="CY16" s="191">
        <v>13.93</v>
      </c>
      <c r="CZ16" s="191">
        <v>0</v>
      </c>
      <c r="DA16" s="191">
        <v>0.37</v>
      </c>
      <c r="DB16" s="191">
        <v>0</v>
      </c>
      <c r="DC16" s="191">
        <v>9.29</v>
      </c>
      <c r="DD16" s="191">
        <v>4.64</v>
      </c>
      <c r="DE16" s="191">
        <v>1.11</v>
      </c>
      <c r="DF16" s="191">
        <v>0</v>
      </c>
      <c r="DG16" s="191">
        <v>10.4</v>
      </c>
      <c r="DH16" s="191">
        <v>12.82</v>
      </c>
      <c r="DI16" s="191">
        <v>0</v>
      </c>
      <c r="DJ16" s="191">
        <v>0</v>
      </c>
      <c r="DK16" s="191">
        <v>-5.02</v>
      </c>
      <c r="DL16" s="191">
        <v>-4.92</v>
      </c>
      <c r="DM16" s="191">
        <v>-2.36</v>
      </c>
      <c r="DN16" s="191">
        <v>1.39</v>
      </c>
      <c r="DO16" s="191">
        <v>1.58</v>
      </c>
      <c r="DP16" s="191">
        <v>13.19</v>
      </c>
      <c r="DQ16" s="191">
        <v>5.57</v>
      </c>
      <c r="DR16" s="191">
        <v>9.29</v>
      </c>
      <c r="DS16" s="191">
        <v>2.6</v>
      </c>
      <c r="DT16" s="191">
        <v>0</v>
      </c>
      <c r="DU16" s="191">
        <v>15.78</v>
      </c>
      <c r="DV16" s="191">
        <v>18.57</v>
      </c>
      <c r="DW16" s="191">
        <v>7.43</v>
      </c>
      <c r="DX16" s="191">
        <v>5.57</v>
      </c>
      <c r="DY16" s="191">
        <v>1.95</v>
      </c>
      <c r="DZ16" s="191">
        <v>13.93</v>
      </c>
      <c r="EA16" s="191">
        <v>0</v>
      </c>
      <c r="EB16" s="191">
        <v>0</v>
      </c>
      <c r="EC16" s="191">
        <v>12.07</v>
      </c>
      <c r="ED16" s="191">
        <v>13.93</v>
      </c>
      <c r="EE16" s="191">
        <v>0</v>
      </c>
      <c r="EF16" s="191">
        <v>13</v>
      </c>
      <c r="EG16" s="191">
        <v>2.32</v>
      </c>
      <c r="EH16" s="191">
        <v>2.32</v>
      </c>
      <c r="EI16" s="192">
        <v>0</v>
      </c>
      <c r="EJ16" s="180"/>
      <c r="EK16" s="191" t="s">
        <v>421</v>
      </c>
      <c r="EL16" s="191">
        <v>-8.03</v>
      </c>
      <c r="EM16" s="191">
        <v>3.78</v>
      </c>
      <c r="EN16" s="191">
        <v>7.93</v>
      </c>
      <c r="EO16" s="191">
        <v>2.52</v>
      </c>
      <c r="EP16" s="191">
        <v>0.72</v>
      </c>
      <c r="EQ16" s="191">
        <v>0</v>
      </c>
      <c r="ER16" s="191">
        <v>0</v>
      </c>
      <c r="ES16" s="191">
        <v>6.77</v>
      </c>
      <c r="ET16" s="191">
        <v>5.42</v>
      </c>
      <c r="EU16" s="191">
        <v>1.8</v>
      </c>
      <c r="EV16" s="191">
        <v>3.62</v>
      </c>
      <c r="EW16" s="191">
        <v>0</v>
      </c>
      <c r="EX16" s="191">
        <v>2.71</v>
      </c>
      <c r="EY16" s="191">
        <v>0.99</v>
      </c>
      <c r="EZ16" s="191">
        <v>0</v>
      </c>
      <c r="FA16" s="191">
        <v>4.51</v>
      </c>
      <c r="FB16" s="191">
        <v>1.08</v>
      </c>
      <c r="FC16" s="191">
        <v>0</v>
      </c>
      <c r="FD16" s="191">
        <v>0</v>
      </c>
      <c r="FE16" s="191">
        <v>-5.17</v>
      </c>
      <c r="FF16" s="191">
        <v>-5.07</v>
      </c>
      <c r="FG16" s="191">
        <v>-2.43</v>
      </c>
      <c r="FH16" s="191">
        <v>1.35</v>
      </c>
      <c r="FI16" s="191">
        <v>1.53</v>
      </c>
      <c r="FJ16" s="191">
        <v>1.89</v>
      </c>
      <c r="FK16" s="191">
        <v>0</v>
      </c>
      <c r="FL16" s="192">
        <v>2.25</v>
      </c>
    </row>
    <row r="17" s="180" customFormat="1" spans="1:168">
      <c r="A17" s="190" t="s">
        <v>422</v>
      </c>
      <c r="B17" s="191">
        <v>-20.2</v>
      </c>
      <c r="C17" s="192">
        <v>1078.98</v>
      </c>
      <c r="E17" s="191" t="s">
        <v>422</v>
      </c>
      <c r="F17" s="191">
        <v>-7.6</v>
      </c>
      <c r="G17" s="191">
        <v>761.48</v>
      </c>
      <c r="H17" s="191">
        <v>4</v>
      </c>
      <c r="I17" s="191">
        <v>0</v>
      </c>
      <c r="J17" s="191">
        <v>8.38</v>
      </c>
      <c r="K17" s="191">
        <v>5.05</v>
      </c>
      <c r="L17" s="191">
        <v>2.67</v>
      </c>
      <c r="M17" s="191">
        <v>0.76</v>
      </c>
      <c r="N17" s="191">
        <v>2.38</v>
      </c>
      <c r="O17" s="191">
        <v>8.57</v>
      </c>
      <c r="P17" s="191">
        <v>0</v>
      </c>
      <c r="Q17" s="191">
        <v>2.67</v>
      </c>
      <c r="R17" s="191">
        <v>5.71</v>
      </c>
      <c r="S17" s="191">
        <v>5.24</v>
      </c>
      <c r="T17" s="191">
        <v>0</v>
      </c>
      <c r="U17" s="191">
        <v>0</v>
      </c>
      <c r="V17" s="191">
        <v>24.27</v>
      </c>
      <c r="W17" s="191">
        <v>7.14</v>
      </c>
      <c r="X17" s="191">
        <v>5.71</v>
      </c>
      <c r="Y17" s="191">
        <v>6.66</v>
      </c>
      <c r="Z17" s="191">
        <v>1.9</v>
      </c>
      <c r="AA17" s="191">
        <v>3.81</v>
      </c>
      <c r="AB17" s="191">
        <v>0</v>
      </c>
      <c r="AC17" s="191">
        <v>2.86</v>
      </c>
      <c r="AD17" s="191">
        <v>5.52</v>
      </c>
      <c r="AE17" s="191">
        <v>4.28</v>
      </c>
      <c r="AF17" s="191">
        <v>1.05</v>
      </c>
      <c r="AG17" s="191">
        <v>-0.6</v>
      </c>
      <c r="AH17" s="191">
        <v>0</v>
      </c>
      <c r="AI17" s="191">
        <v>14.28</v>
      </c>
      <c r="AJ17" s="191">
        <v>1.43</v>
      </c>
      <c r="AK17" s="191">
        <v>0.38</v>
      </c>
      <c r="AL17" s="191">
        <v>9.52</v>
      </c>
      <c r="AM17" s="191">
        <v>9.52</v>
      </c>
      <c r="AN17" s="191">
        <v>4.76</v>
      </c>
      <c r="AO17" s="191">
        <v>1.14</v>
      </c>
      <c r="AP17" s="191">
        <v>0</v>
      </c>
      <c r="AQ17" s="191">
        <v>10.66</v>
      </c>
      <c r="AR17" s="191">
        <v>13.14</v>
      </c>
      <c r="AS17" s="191">
        <v>0</v>
      </c>
      <c r="AT17" s="191">
        <v>0</v>
      </c>
      <c r="AU17" s="191">
        <v>-4.9</v>
      </c>
      <c r="AV17" s="191">
        <v>-4.8</v>
      </c>
      <c r="AW17" s="191">
        <v>-2.3</v>
      </c>
      <c r="AX17" s="191">
        <v>1.43</v>
      </c>
      <c r="AY17" s="191">
        <v>1.62</v>
      </c>
      <c r="AZ17" s="191">
        <v>13.52</v>
      </c>
      <c r="BA17" s="191">
        <v>5.71</v>
      </c>
      <c r="BB17" s="191">
        <v>9.52</v>
      </c>
      <c r="BC17" s="191">
        <v>2.67</v>
      </c>
      <c r="BD17" s="191">
        <v>0</v>
      </c>
      <c r="BE17" s="191">
        <v>16.18</v>
      </c>
      <c r="BF17" s="191">
        <v>19.04</v>
      </c>
      <c r="BG17" s="191">
        <v>7.62</v>
      </c>
      <c r="BH17" s="191">
        <v>5.71</v>
      </c>
      <c r="BI17" s="191">
        <v>2</v>
      </c>
      <c r="BJ17" s="191">
        <v>14.28</v>
      </c>
      <c r="BK17" s="191">
        <v>0</v>
      </c>
      <c r="BL17" s="191">
        <v>0</v>
      </c>
      <c r="BM17" s="191">
        <v>12.37</v>
      </c>
      <c r="BN17" s="191">
        <v>14.28</v>
      </c>
      <c r="BO17" s="191">
        <v>0</v>
      </c>
      <c r="BP17" s="191">
        <v>13.33</v>
      </c>
      <c r="BQ17" s="191">
        <v>2.38</v>
      </c>
      <c r="BR17" s="191">
        <v>2.38</v>
      </c>
      <c r="BS17" s="192">
        <v>0</v>
      </c>
      <c r="BT17" s="180"/>
      <c r="BU17" s="191" t="s">
        <v>422</v>
      </c>
      <c r="BV17" s="191">
        <v>-7.79</v>
      </c>
      <c r="BW17" s="191">
        <v>742.75</v>
      </c>
      <c r="BX17" s="191">
        <v>3.9</v>
      </c>
      <c r="BY17" s="191">
        <v>0</v>
      </c>
      <c r="BZ17" s="191">
        <v>8.17</v>
      </c>
      <c r="CA17" s="191">
        <v>4.93</v>
      </c>
      <c r="CB17" s="191">
        <v>2.6</v>
      </c>
      <c r="CC17" s="191">
        <v>0.74</v>
      </c>
      <c r="CD17" s="191">
        <v>2.32</v>
      </c>
      <c r="CE17" s="191">
        <v>8.36</v>
      </c>
      <c r="CF17" s="191">
        <v>0</v>
      </c>
      <c r="CG17" s="191">
        <v>2.6</v>
      </c>
      <c r="CH17" s="191">
        <v>5.57</v>
      </c>
      <c r="CI17" s="191">
        <v>5.11</v>
      </c>
      <c r="CJ17" s="191">
        <v>0</v>
      </c>
      <c r="CK17" s="191">
        <v>0</v>
      </c>
      <c r="CL17" s="191">
        <v>23.67</v>
      </c>
      <c r="CM17" s="191">
        <v>6.96</v>
      </c>
      <c r="CN17" s="191">
        <v>5.57</v>
      </c>
      <c r="CO17" s="191">
        <v>6.5</v>
      </c>
      <c r="CP17" s="191">
        <v>1.85</v>
      </c>
      <c r="CQ17" s="191">
        <v>3.72</v>
      </c>
      <c r="CR17" s="191">
        <v>0</v>
      </c>
      <c r="CS17" s="191">
        <v>2.79</v>
      </c>
      <c r="CT17" s="191">
        <v>5.38</v>
      </c>
      <c r="CU17" s="191">
        <v>4.17</v>
      </c>
      <c r="CV17" s="191">
        <v>1.02</v>
      </c>
      <c r="CW17" s="191">
        <v>-0.62</v>
      </c>
      <c r="CX17" s="191">
        <v>0</v>
      </c>
      <c r="CY17" s="191">
        <v>13.93</v>
      </c>
      <c r="CZ17" s="191">
        <v>1.39</v>
      </c>
      <c r="DA17" s="191">
        <v>0.37</v>
      </c>
      <c r="DB17" s="191">
        <v>9.29</v>
      </c>
      <c r="DC17" s="191">
        <v>9.29</v>
      </c>
      <c r="DD17" s="191">
        <v>4.64</v>
      </c>
      <c r="DE17" s="191">
        <v>1.11</v>
      </c>
      <c r="DF17" s="191">
        <v>0</v>
      </c>
      <c r="DG17" s="191">
        <v>10.4</v>
      </c>
      <c r="DH17" s="191">
        <v>12.82</v>
      </c>
      <c r="DI17" s="191">
        <v>0</v>
      </c>
      <c r="DJ17" s="191">
        <v>0</v>
      </c>
      <c r="DK17" s="191">
        <v>-5.02</v>
      </c>
      <c r="DL17" s="191">
        <v>-4.92</v>
      </c>
      <c r="DM17" s="191">
        <v>-2.36</v>
      </c>
      <c r="DN17" s="191">
        <v>1.39</v>
      </c>
      <c r="DO17" s="191">
        <v>1.58</v>
      </c>
      <c r="DP17" s="191">
        <v>13.19</v>
      </c>
      <c r="DQ17" s="191">
        <v>5.57</v>
      </c>
      <c r="DR17" s="191">
        <v>9.29</v>
      </c>
      <c r="DS17" s="191">
        <v>2.6</v>
      </c>
      <c r="DT17" s="191">
        <v>0</v>
      </c>
      <c r="DU17" s="191">
        <v>15.78</v>
      </c>
      <c r="DV17" s="191">
        <v>18.57</v>
      </c>
      <c r="DW17" s="191">
        <v>7.43</v>
      </c>
      <c r="DX17" s="191">
        <v>5.57</v>
      </c>
      <c r="DY17" s="191">
        <v>1.95</v>
      </c>
      <c r="DZ17" s="191">
        <v>13.93</v>
      </c>
      <c r="EA17" s="191">
        <v>0</v>
      </c>
      <c r="EB17" s="191">
        <v>0</v>
      </c>
      <c r="EC17" s="191">
        <v>12.07</v>
      </c>
      <c r="ED17" s="191">
        <v>13.93</v>
      </c>
      <c r="EE17" s="191">
        <v>0</v>
      </c>
      <c r="EF17" s="191">
        <v>13</v>
      </c>
      <c r="EG17" s="191">
        <v>2.32</v>
      </c>
      <c r="EH17" s="191">
        <v>2.32</v>
      </c>
      <c r="EI17" s="192">
        <v>0</v>
      </c>
      <c r="EJ17" s="180"/>
      <c r="EK17" s="191" t="s">
        <v>422</v>
      </c>
      <c r="EL17" s="191">
        <v>-8.03</v>
      </c>
      <c r="EM17" s="191">
        <v>3.78</v>
      </c>
      <c r="EN17" s="191">
        <v>7.93</v>
      </c>
      <c r="EO17" s="191">
        <v>2.52</v>
      </c>
      <c r="EP17" s="191">
        <v>0.72</v>
      </c>
      <c r="EQ17" s="191">
        <v>0</v>
      </c>
      <c r="ER17" s="191">
        <v>2.53</v>
      </c>
      <c r="ES17" s="191">
        <v>6.77</v>
      </c>
      <c r="ET17" s="191">
        <v>5.42</v>
      </c>
      <c r="EU17" s="191">
        <v>1.8</v>
      </c>
      <c r="EV17" s="191">
        <v>3.62</v>
      </c>
      <c r="EW17" s="191">
        <v>0</v>
      </c>
      <c r="EX17" s="191">
        <v>2.71</v>
      </c>
      <c r="EY17" s="191">
        <v>0.99</v>
      </c>
      <c r="EZ17" s="191">
        <v>1.35</v>
      </c>
      <c r="FA17" s="191">
        <v>4.51</v>
      </c>
      <c r="FB17" s="191">
        <v>1.08</v>
      </c>
      <c r="FC17" s="191">
        <v>0</v>
      </c>
      <c r="FD17" s="191">
        <v>0</v>
      </c>
      <c r="FE17" s="191">
        <v>-5.17</v>
      </c>
      <c r="FF17" s="191">
        <v>-5.07</v>
      </c>
      <c r="FG17" s="191">
        <v>-2.43</v>
      </c>
      <c r="FH17" s="191">
        <v>1.35</v>
      </c>
      <c r="FI17" s="191">
        <v>1.53</v>
      </c>
      <c r="FJ17" s="191">
        <v>1.89</v>
      </c>
      <c r="FK17" s="191">
        <v>0</v>
      </c>
      <c r="FL17" s="192">
        <v>2.25</v>
      </c>
    </row>
    <row r="18" s="180" customFormat="1" spans="1:168">
      <c r="A18" s="190" t="s">
        <v>423</v>
      </c>
      <c r="B18" s="191">
        <v>-20.2</v>
      </c>
      <c r="C18" s="192">
        <v>1160.56</v>
      </c>
      <c r="E18" s="191" t="s">
        <v>423</v>
      </c>
      <c r="F18" s="191">
        <v>-7.6</v>
      </c>
      <c r="G18" s="191">
        <v>856.68</v>
      </c>
      <c r="H18" s="191">
        <v>4</v>
      </c>
      <c r="I18" s="191">
        <v>0</v>
      </c>
      <c r="J18" s="191">
        <v>8.38</v>
      </c>
      <c r="K18" s="191">
        <v>5.05</v>
      </c>
      <c r="L18" s="191">
        <v>2.67</v>
      </c>
      <c r="M18" s="191">
        <v>0.76</v>
      </c>
      <c r="N18" s="191">
        <v>2.38</v>
      </c>
      <c r="O18" s="191">
        <v>8.57</v>
      </c>
      <c r="P18" s="191">
        <v>0</v>
      </c>
      <c r="Q18" s="191">
        <v>0</v>
      </c>
      <c r="R18" s="191">
        <v>5.71</v>
      </c>
      <c r="S18" s="191">
        <v>5.24</v>
      </c>
      <c r="T18" s="191">
        <v>0</v>
      </c>
      <c r="U18" s="191">
        <v>0</v>
      </c>
      <c r="V18" s="191">
        <v>24.27</v>
      </c>
      <c r="W18" s="191">
        <v>7.14</v>
      </c>
      <c r="X18" s="191">
        <v>5.71</v>
      </c>
      <c r="Y18" s="191">
        <v>6.66</v>
      </c>
      <c r="Z18" s="191">
        <v>1.9</v>
      </c>
      <c r="AA18" s="191">
        <v>3.81</v>
      </c>
      <c r="AB18" s="191">
        <v>0</v>
      </c>
      <c r="AC18" s="191">
        <v>2.86</v>
      </c>
      <c r="AD18" s="191">
        <v>5.52</v>
      </c>
      <c r="AE18" s="191">
        <v>4.28</v>
      </c>
      <c r="AF18" s="191">
        <v>1.05</v>
      </c>
      <c r="AG18" s="191">
        <v>-0.6</v>
      </c>
      <c r="AH18" s="191">
        <v>0</v>
      </c>
      <c r="AI18" s="191">
        <v>14.28</v>
      </c>
      <c r="AJ18" s="191">
        <v>0</v>
      </c>
      <c r="AK18" s="191">
        <v>0.38</v>
      </c>
      <c r="AL18" s="191">
        <v>0</v>
      </c>
      <c r="AM18" s="191">
        <v>9.52</v>
      </c>
      <c r="AN18" s="191">
        <v>4.76</v>
      </c>
      <c r="AO18" s="191">
        <v>1.14</v>
      </c>
      <c r="AP18" s="191">
        <v>0</v>
      </c>
      <c r="AQ18" s="191">
        <v>10.66</v>
      </c>
      <c r="AR18" s="191">
        <v>13.14</v>
      </c>
      <c r="AS18" s="191">
        <v>0</v>
      </c>
      <c r="AT18" s="191">
        <v>0</v>
      </c>
      <c r="AU18" s="191">
        <v>-4.9</v>
      </c>
      <c r="AV18" s="191">
        <v>-4.8</v>
      </c>
      <c r="AW18" s="191">
        <v>-2.3</v>
      </c>
      <c r="AX18" s="191">
        <v>1.43</v>
      </c>
      <c r="AY18" s="191">
        <v>1.62</v>
      </c>
      <c r="AZ18" s="191">
        <v>13.52</v>
      </c>
      <c r="BA18" s="191">
        <v>5.71</v>
      </c>
      <c r="BB18" s="191">
        <v>9.52</v>
      </c>
      <c r="BC18" s="191">
        <v>2.67</v>
      </c>
      <c r="BD18" s="191">
        <v>0</v>
      </c>
      <c r="BE18" s="191">
        <v>16.18</v>
      </c>
      <c r="BF18" s="191">
        <v>19.04</v>
      </c>
      <c r="BG18" s="191">
        <v>7.62</v>
      </c>
      <c r="BH18" s="191">
        <v>5.71</v>
      </c>
      <c r="BI18" s="191">
        <v>2</v>
      </c>
      <c r="BJ18" s="191">
        <v>14.28</v>
      </c>
      <c r="BK18" s="191">
        <v>0</v>
      </c>
      <c r="BL18" s="191">
        <v>0</v>
      </c>
      <c r="BM18" s="191">
        <v>12.37</v>
      </c>
      <c r="BN18" s="191">
        <v>14.28</v>
      </c>
      <c r="BO18" s="191">
        <v>0</v>
      </c>
      <c r="BP18" s="191">
        <v>13.33</v>
      </c>
      <c r="BQ18" s="191">
        <v>2.38</v>
      </c>
      <c r="BR18" s="191">
        <v>2.38</v>
      </c>
      <c r="BS18" s="192">
        <v>0</v>
      </c>
      <c r="BT18" s="180"/>
      <c r="BU18" s="191" t="s">
        <v>423</v>
      </c>
      <c r="BV18" s="191">
        <v>-7.79</v>
      </c>
      <c r="BW18" s="191">
        <v>835.61</v>
      </c>
      <c r="BX18" s="191">
        <v>3.9</v>
      </c>
      <c r="BY18" s="191">
        <v>0</v>
      </c>
      <c r="BZ18" s="191">
        <v>8.17</v>
      </c>
      <c r="CA18" s="191">
        <v>4.93</v>
      </c>
      <c r="CB18" s="191">
        <v>2.6</v>
      </c>
      <c r="CC18" s="191">
        <v>0.74</v>
      </c>
      <c r="CD18" s="191">
        <v>2.32</v>
      </c>
      <c r="CE18" s="191">
        <v>8.36</v>
      </c>
      <c r="CF18" s="191">
        <v>0</v>
      </c>
      <c r="CG18" s="191">
        <v>0</v>
      </c>
      <c r="CH18" s="191">
        <v>5.57</v>
      </c>
      <c r="CI18" s="191">
        <v>5.11</v>
      </c>
      <c r="CJ18" s="191">
        <v>0</v>
      </c>
      <c r="CK18" s="191">
        <v>0</v>
      </c>
      <c r="CL18" s="191">
        <v>23.67</v>
      </c>
      <c r="CM18" s="191">
        <v>6.96</v>
      </c>
      <c r="CN18" s="191">
        <v>5.57</v>
      </c>
      <c r="CO18" s="191">
        <v>6.5</v>
      </c>
      <c r="CP18" s="191">
        <v>1.85</v>
      </c>
      <c r="CQ18" s="191">
        <v>3.72</v>
      </c>
      <c r="CR18" s="191">
        <v>0</v>
      </c>
      <c r="CS18" s="191">
        <v>2.79</v>
      </c>
      <c r="CT18" s="191">
        <v>5.38</v>
      </c>
      <c r="CU18" s="191">
        <v>4.17</v>
      </c>
      <c r="CV18" s="191">
        <v>1.02</v>
      </c>
      <c r="CW18" s="191">
        <v>-0.62</v>
      </c>
      <c r="CX18" s="191">
        <v>0</v>
      </c>
      <c r="CY18" s="191">
        <v>13.93</v>
      </c>
      <c r="CZ18" s="191">
        <v>0</v>
      </c>
      <c r="DA18" s="191">
        <v>0.37</v>
      </c>
      <c r="DB18" s="191">
        <v>0</v>
      </c>
      <c r="DC18" s="191">
        <v>9.29</v>
      </c>
      <c r="DD18" s="191">
        <v>4.64</v>
      </c>
      <c r="DE18" s="191">
        <v>1.11</v>
      </c>
      <c r="DF18" s="191">
        <v>0</v>
      </c>
      <c r="DG18" s="191">
        <v>10.4</v>
      </c>
      <c r="DH18" s="191">
        <v>12.82</v>
      </c>
      <c r="DI18" s="191">
        <v>0</v>
      </c>
      <c r="DJ18" s="191">
        <v>0</v>
      </c>
      <c r="DK18" s="191">
        <v>-5.02</v>
      </c>
      <c r="DL18" s="191">
        <v>-4.92</v>
      </c>
      <c r="DM18" s="191">
        <v>-2.36</v>
      </c>
      <c r="DN18" s="191">
        <v>1.39</v>
      </c>
      <c r="DO18" s="191">
        <v>1.58</v>
      </c>
      <c r="DP18" s="191">
        <v>13.19</v>
      </c>
      <c r="DQ18" s="191">
        <v>5.57</v>
      </c>
      <c r="DR18" s="191">
        <v>9.29</v>
      </c>
      <c r="DS18" s="191">
        <v>2.6</v>
      </c>
      <c r="DT18" s="191">
        <v>0</v>
      </c>
      <c r="DU18" s="191">
        <v>15.78</v>
      </c>
      <c r="DV18" s="191">
        <v>18.57</v>
      </c>
      <c r="DW18" s="191">
        <v>7.43</v>
      </c>
      <c r="DX18" s="191">
        <v>5.57</v>
      </c>
      <c r="DY18" s="191">
        <v>1.95</v>
      </c>
      <c r="DZ18" s="191">
        <v>13.93</v>
      </c>
      <c r="EA18" s="191">
        <v>0</v>
      </c>
      <c r="EB18" s="191">
        <v>0</v>
      </c>
      <c r="EC18" s="191">
        <v>12.07</v>
      </c>
      <c r="ED18" s="191">
        <v>13.93</v>
      </c>
      <c r="EE18" s="191">
        <v>0</v>
      </c>
      <c r="EF18" s="191">
        <v>13</v>
      </c>
      <c r="EG18" s="191">
        <v>2.32</v>
      </c>
      <c r="EH18" s="191">
        <v>2.32</v>
      </c>
      <c r="EI18" s="192">
        <v>0</v>
      </c>
      <c r="EJ18" s="180"/>
      <c r="EK18" s="191" t="s">
        <v>423</v>
      </c>
      <c r="EL18" s="191">
        <v>-8.03</v>
      </c>
      <c r="EM18" s="191">
        <v>3.78</v>
      </c>
      <c r="EN18" s="191">
        <v>7.93</v>
      </c>
      <c r="EO18" s="191">
        <v>2.52</v>
      </c>
      <c r="EP18" s="191">
        <v>0.72</v>
      </c>
      <c r="EQ18" s="191">
        <v>0</v>
      </c>
      <c r="ER18" s="191">
        <v>0</v>
      </c>
      <c r="ES18" s="191">
        <v>6.77</v>
      </c>
      <c r="ET18" s="191">
        <v>5.42</v>
      </c>
      <c r="EU18" s="191">
        <v>1.8</v>
      </c>
      <c r="EV18" s="191">
        <v>3.62</v>
      </c>
      <c r="EW18" s="191">
        <v>0</v>
      </c>
      <c r="EX18" s="191">
        <v>2.71</v>
      </c>
      <c r="EY18" s="191">
        <v>0.99</v>
      </c>
      <c r="EZ18" s="191">
        <v>0</v>
      </c>
      <c r="FA18" s="191">
        <v>4.51</v>
      </c>
      <c r="FB18" s="191">
        <v>1.08</v>
      </c>
      <c r="FC18" s="191">
        <v>0</v>
      </c>
      <c r="FD18" s="191">
        <v>0</v>
      </c>
      <c r="FE18" s="191">
        <v>-5.17</v>
      </c>
      <c r="FF18" s="191">
        <v>-5.07</v>
      </c>
      <c r="FG18" s="191">
        <v>-2.43</v>
      </c>
      <c r="FH18" s="191">
        <v>1.35</v>
      </c>
      <c r="FI18" s="191">
        <v>1.53</v>
      </c>
      <c r="FJ18" s="191">
        <v>1.89</v>
      </c>
      <c r="FK18" s="191">
        <v>0</v>
      </c>
      <c r="FL18" s="192">
        <v>2.25</v>
      </c>
    </row>
    <row r="19" s="180" customFormat="1" spans="1:168">
      <c r="A19" s="190" t="s">
        <v>424</v>
      </c>
      <c r="B19" s="191">
        <v>-20.2</v>
      </c>
      <c r="C19" s="192">
        <v>1174.17</v>
      </c>
      <c r="E19" s="191" t="s">
        <v>424</v>
      </c>
      <c r="F19" s="191">
        <v>-7.6</v>
      </c>
      <c r="G19" s="191">
        <v>856.67</v>
      </c>
      <c r="H19" s="191">
        <v>4</v>
      </c>
      <c r="I19" s="191">
        <v>0</v>
      </c>
      <c r="J19" s="191">
        <v>8.38</v>
      </c>
      <c r="K19" s="191">
        <v>5.05</v>
      </c>
      <c r="L19" s="191">
        <v>2.67</v>
      </c>
      <c r="M19" s="191">
        <v>0.76</v>
      </c>
      <c r="N19" s="191">
        <v>2.38</v>
      </c>
      <c r="O19" s="191">
        <v>8.57</v>
      </c>
      <c r="P19" s="191">
        <v>0</v>
      </c>
      <c r="Q19" s="191">
        <v>2.67</v>
      </c>
      <c r="R19" s="191">
        <v>5.71</v>
      </c>
      <c r="S19" s="191">
        <v>5.24</v>
      </c>
      <c r="T19" s="191">
        <v>0</v>
      </c>
      <c r="U19" s="191">
        <v>0</v>
      </c>
      <c r="V19" s="191">
        <v>24.27</v>
      </c>
      <c r="W19" s="191">
        <v>7.14</v>
      </c>
      <c r="X19" s="191">
        <v>5.71</v>
      </c>
      <c r="Y19" s="191">
        <v>6.66</v>
      </c>
      <c r="Z19" s="191">
        <v>1.9</v>
      </c>
      <c r="AA19" s="191">
        <v>3.81</v>
      </c>
      <c r="AB19" s="191">
        <v>0</v>
      </c>
      <c r="AC19" s="191">
        <v>2.86</v>
      </c>
      <c r="AD19" s="191">
        <v>5.52</v>
      </c>
      <c r="AE19" s="191">
        <v>4.28</v>
      </c>
      <c r="AF19" s="191">
        <v>1.05</v>
      </c>
      <c r="AG19" s="191">
        <v>-0.6</v>
      </c>
      <c r="AH19" s="191">
        <v>0</v>
      </c>
      <c r="AI19" s="191">
        <v>14.28</v>
      </c>
      <c r="AJ19" s="191">
        <v>1.43</v>
      </c>
      <c r="AK19" s="191">
        <v>0.38</v>
      </c>
      <c r="AL19" s="191">
        <v>9.52</v>
      </c>
      <c r="AM19" s="191">
        <v>9.52</v>
      </c>
      <c r="AN19" s="191">
        <v>4.76</v>
      </c>
      <c r="AO19" s="191">
        <v>1.14</v>
      </c>
      <c r="AP19" s="191">
        <v>0</v>
      </c>
      <c r="AQ19" s="191">
        <v>10.66</v>
      </c>
      <c r="AR19" s="191">
        <v>13.14</v>
      </c>
      <c r="AS19" s="191">
        <v>0</v>
      </c>
      <c r="AT19" s="191">
        <v>0</v>
      </c>
      <c r="AU19" s="191">
        <v>-4.9</v>
      </c>
      <c r="AV19" s="191">
        <v>-4.8</v>
      </c>
      <c r="AW19" s="191">
        <v>-2.3</v>
      </c>
      <c r="AX19" s="191">
        <v>1.43</v>
      </c>
      <c r="AY19" s="191">
        <v>1.62</v>
      </c>
      <c r="AZ19" s="191">
        <v>13.52</v>
      </c>
      <c r="BA19" s="191">
        <v>5.71</v>
      </c>
      <c r="BB19" s="191">
        <v>9.52</v>
      </c>
      <c r="BC19" s="191">
        <v>2.67</v>
      </c>
      <c r="BD19" s="191">
        <v>0</v>
      </c>
      <c r="BE19" s="191">
        <v>16.18</v>
      </c>
      <c r="BF19" s="191">
        <v>19.04</v>
      </c>
      <c r="BG19" s="191">
        <v>7.62</v>
      </c>
      <c r="BH19" s="191">
        <v>5.71</v>
      </c>
      <c r="BI19" s="191">
        <v>2</v>
      </c>
      <c r="BJ19" s="191">
        <v>14.28</v>
      </c>
      <c r="BK19" s="191">
        <v>0</v>
      </c>
      <c r="BL19" s="191">
        <v>0</v>
      </c>
      <c r="BM19" s="191">
        <v>12.37</v>
      </c>
      <c r="BN19" s="191">
        <v>14.28</v>
      </c>
      <c r="BO19" s="191">
        <v>0</v>
      </c>
      <c r="BP19" s="191">
        <v>13.33</v>
      </c>
      <c r="BQ19" s="191">
        <v>2.38</v>
      </c>
      <c r="BR19" s="191">
        <v>2.38</v>
      </c>
      <c r="BS19" s="192">
        <v>0</v>
      </c>
      <c r="BT19" s="180"/>
      <c r="BU19" s="191" t="s">
        <v>424</v>
      </c>
      <c r="BV19" s="191">
        <v>-7.79</v>
      </c>
      <c r="BW19" s="191">
        <v>835.6</v>
      </c>
      <c r="BX19" s="191">
        <v>3.9</v>
      </c>
      <c r="BY19" s="191">
        <v>0</v>
      </c>
      <c r="BZ19" s="191">
        <v>8.17</v>
      </c>
      <c r="CA19" s="191">
        <v>4.93</v>
      </c>
      <c r="CB19" s="191">
        <v>2.6</v>
      </c>
      <c r="CC19" s="191">
        <v>0.74</v>
      </c>
      <c r="CD19" s="191">
        <v>2.32</v>
      </c>
      <c r="CE19" s="191">
        <v>8.36</v>
      </c>
      <c r="CF19" s="191">
        <v>0</v>
      </c>
      <c r="CG19" s="191">
        <v>2.6</v>
      </c>
      <c r="CH19" s="191">
        <v>5.57</v>
      </c>
      <c r="CI19" s="191">
        <v>5.11</v>
      </c>
      <c r="CJ19" s="191">
        <v>0</v>
      </c>
      <c r="CK19" s="191">
        <v>0</v>
      </c>
      <c r="CL19" s="191">
        <v>23.67</v>
      </c>
      <c r="CM19" s="191">
        <v>6.96</v>
      </c>
      <c r="CN19" s="191">
        <v>5.57</v>
      </c>
      <c r="CO19" s="191">
        <v>6.5</v>
      </c>
      <c r="CP19" s="191">
        <v>1.85</v>
      </c>
      <c r="CQ19" s="191">
        <v>3.72</v>
      </c>
      <c r="CR19" s="191">
        <v>0</v>
      </c>
      <c r="CS19" s="191">
        <v>2.79</v>
      </c>
      <c r="CT19" s="191">
        <v>5.38</v>
      </c>
      <c r="CU19" s="191">
        <v>4.17</v>
      </c>
      <c r="CV19" s="191">
        <v>1.02</v>
      </c>
      <c r="CW19" s="191">
        <v>-0.62</v>
      </c>
      <c r="CX19" s="191">
        <v>0</v>
      </c>
      <c r="CY19" s="191">
        <v>13.93</v>
      </c>
      <c r="CZ19" s="191">
        <v>1.39</v>
      </c>
      <c r="DA19" s="191">
        <v>0.37</v>
      </c>
      <c r="DB19" s="191">
        <v>9.29</v>
      </c>
      <c r="DC19" s="191">
        <v>9.29</v>
      </c>
      <c r="DD19" s="191">
        <v>4.64</v>
      </c>
      <c r="DE19" s="191">
        <v>1.11</v>
      </c>
      <c r="DF19" s="191">
        <v>0</v>
      </c>
      <c r="DG19" s="191">
        <v>10.4</v>
      </c>
      <c r="DH19" s="191">
        <v>12.82</v>
      </c>
      <c r="DI19" s="191">
        <v>0</v>
      </c>
      <c r="DJ19" s="191">
        <v>0</v>
      </c>
      <c r="DK19" s="191">
        <v>-5.02</v>
      </c>
      <c r="DL19" s="191">
        <v>-4.92</v>
      </c>
      <c r="DM19" s="191">
        <v>-2.36</v>
      </c>
      <c r="DN19" s="191">
        <v>1.39</v>
      </c>
      <c r="DO19" s="191">
        <v>1.58</v>
      </c>
      <c r="DP19" s="191">
        <v>13.19</v>
      </c>
      <c r="DQ19" s="191">
        <v>5.57</v>
      </c>
      <c r="DR19" s="191">
        <v>9.29</v>
      </c>
      <c r="DS19" s="191">
        <v>2.6</v>
      </c>
      <c r="DT19" s="191">
        <v>0</v>
      </c>
      <c r="DU19" s="191">
        <v>15.78</v>
      </c>
      <c r="DV19" s="191">
        <v>18.57</v>
      </c>
      <c r="DW19" s="191">
        <v>7.43</v>
      </c>
      <c r="DX19" s="191">
        <v>5.57</v>
      </c>
      <c r="DY19" s="191">
        <v>1.95</v>
      </c>
      <c r="DZ19" s="191">
        <v>13.93</v>
      </c>
      <c r="EA19" s="191">
        <v>0</v>
      </c>
      <c r="EB19" s="191">
        <v>0</v>
      </c>
      <c r="EC19" s="191">
        <v>12.07</v>
      </c>
      <c r="ED19" s="191">
        <v>13.93</v>
      </c>
      <c r="EE19" s="191">
        <v>0</v>
      </c>
      <c r="EF19" s="191">
        <v>13</v>
      </c>
      <c r="EG19" s="191">
        <v>2.32</v>
      </c>
      <c r="EH19" s="191">
        <v>2.32</v>
      </c>
      <c r="EI19" s="192">
        <v>0</v>
      </c>
      <c r="EJ19" s="180"/>
      <c r="EK19" s="191" t="s">
        <v>424</v>
      </c>
      <c r="EL19" s="191">
        <v>-8.03</v>
      </c>
      <c r="EM19" s="191">
        <v>3.78</v>
      </c>
      <c r="EN19" s="191">
        <v>7.93</v>
      </c>
      <c r="EO19" s="191">
        <v>2.52</v>
      </c>
      <c r="EP19" s="191">
        <v>0.72</v>
      </c>
      <c r="EQ19" s="191">
        <v>0</v>
      </c>
      <c r="ER19" s="191">
        <v>2.53</v>
      </c>
      <c r="ES19" s="191">
        <v>6.77</v>
      </c>
      <c r="ET19" s="191">
        <v>5.42</v>
      </c>
      <c r="EU19" s="191">
        <v>1.8</v>
      </c>
      <c r="EV19" s="191">
        <v>3.62</v>
      </c>
      <c r="EW19" s="191">
        <v>0</v>
      </c>
      <c r="EX19" s="191">
        <v>2.71</v>
      </c>
      <c r="EY19" s="191">
        <v>0.99</v>
      </c>
      <c r="EZ19" s="191">
        <v>1.35</v>
      </c>
      <c r="FA19" s="191">
        <v>4.51</v>
      </c>
      <c r="FB19" s="191">
        <v>1.08</v>
      </c>
      <c r="FC19" s="191">
        <v>0</v>
      </c>
      <c r="FD19" s="191">
        <v>0</v>
      </c>
      <c r="FE19" s="191">
        <v>-5.17</v>
      </c>
      <c r="FF19" s="191">
        <v>-5.07</v>
      </c>
      <c r="FG19" s="191">
        <v>-2.43</v>
      </c>
      <c r="FH19" s="191">
        <v>1.35</v>
      </c>
      <c r="FI19" s="191">
        <v>1.53</v>
      </c>
      <c r="FJ19" s="191">
        <v>1.89</v>
      </c>
      <c r="FK19" s="191">
        <v>0</v>
      </c>
      <c r="FL19" s="192">
        <v>2.25</v>
      </c>
    </row>
    <row r="20" s="180" customFormat="1" spans="1:168">
      <c r="A20" s="190" t="s">
        <v>425</v>
      </c>
      <c r="B20" s="191">
        <v>-20.2</v>
      </c>
      <c r="C20" s="192">
        <v>1270.79</v>
      </c>
      <c r="E20" s="191" t="s">
        <v>425</v>
      </c>
      <c r="F20" s="191">
        <v>-7.6</v>
      </c>
      <c r="G20" s="191">
        <v>951.86</v>
      </c>
      <c r="H20" s="191">
        <v>4</v>
      </c>
      <c r="I20" s="191">
        <v>0</v>
      </c>
      <c r="J20" s="191">
        <v>8.38</v>
      </c>
      <c r="K20" s="191">
        <v>5.05</v>
      </c>
      <c r="L20" s="191">
        <v>2.67</v>
      </c>
      <c r="M20" s="191">
        <v>0.76</v>
      </c>
      <c r="N20" s="191">
        <v>2.38</v>
      </c>
      <c r="O20" s="191">
        <v>8.57</v>
      </c>
      <c r="P20" s="191">
        <v>0</v>
      </c>
      <c r="Q20" s="191">
        <v>2.67</v>
      </c>
      <c r="R20" s="191">
        <v>5.71</v>
      </c>
      <c r="S20" s="191">
        <v>5.24</v>
      </c>
      <c r="T20" s="191">
        <v>0</v>
      </c>
      <c r="U20" s="191">
        <v>0</v>
      </c>
      <c r="V20" s="191">
        <v>24.27</v>
      </c>
      <c r="W20" s="191">
        <v>7.14</v>
      </c>
      <c r="X20" s="191">
        <v>5.71</v>
      </c>
      <c r="Y20" s="191">
        <v>6.66</v>
      </c>
      <c r="Z20" s="191">
        <v>1.9</v>
      </c>
      <c r="AA20" s="191">
        <v>3.81</v>
      </c>
      <c r="AB20" s="191">
        <v>0</v>
      </c>
      <c r="AC20" s="191">
        <v>2.86</v>
      </c>
      <c r="AD20" s="191">
        <v>5.52</v>
      </c>
      <c r="AE20" s="191">
        <v>4.28</v>
      </c>
      <c r="AF20" s="191">
        <v>1.05</v>
      </c>
      <c r="AG20" s="191">
        <v>-0.6</v>
      </c>
      <c r="AH20" s="191">
        <v>0</v>
      </c>
      <c r="AI20" s="191">
        <v>14.28</v>
      </c>
      <c r="AJ20" s="191">
        <v>1.43</v>
      </c>
      <c r="AK20" s="191">
        <v>0.38</v>
      </c>
      <c r="AL20" s="191">
        <v>9.52</v>
      </c>
      <c r="AM20" s="191">
        <v>9.52</v>
      </c>
      <c r="AN20" s="191">
        <v>4.76</v>
      </c>
      <c r="AO20" s="191">
        <v>1.14</v>
      </c>
      <c r="AP20" s="191">
        <v>0</v>
      </c>
      <c r="AQ20" s="191">
        <v>10.66</v>
      </c>
      <c r="AR20" s="191">
        <v>13.14</v>
      </c>
      <c r="AS20" s="191">
        <v>0</v>
      </c>
      <c r="AT20" s="191">
        <v>0</v>
      </c>
      <c r="AU20" s="191">
        <v>-4.9</v>
      </c>
      <c r="AV20" s="191">
        <v>-4.8</v>
      </c>
      <c r="AW20" s="191">
        <v>-2.3</v>
      </c>
      <c r="AX20" s="191">
        <v>1.43</v>
      </c>
      <c r="AY20" s="191">
        <v>1.62</v>
      </c>
      <c r="AZ20" s="191">
        <v>13.52</v>
      </c>
      <c r="BA20" s="191">
        <v>5.71</v>
      </c>
      <c r="BB20" s="191">
        <v>9.52</v>
      </c>
      <c r="BC20" s="191">
        <v>2.67</v>
      </c>
      <c r="BD20" s="191">
        <v>0</v>
      </c>
      <c r="BE20" s="191">
        <v>19.04</v>
      </c>
      <c r="BF20" s="191">
        <v>19.04</v>
      </c>
      <c r="BG20" s="191">
        <v>7.62</v>
      </c>
      <c r="BH20" s="191">
        <v>5.71</v>
      </c>
      <c r="BI20" s="191">
        <v>2</v>
      </c>
      <c r="BJ20" s="191">
        <v>14.28</v>
      </c>
      <c r="BK20" s="191">
        <v>0</v>
      </c>
      <c r="BL20" s="191">
        <v>0</v>
      </c>
      <c r="BM20" s="191">
        <v>12.37</v>
      </c>
      <c r="BN20" s="191">
        <v>14.28</v>
      </c>
      <c r="BO20" s="191">
        <v>0</v>
      </c>
      <c r="BP20" s="191">
        <v>13.33</v>
      </c>
      <c r="BQ20" s="191">
        <v>0.95</v>
      </c>
      <c r="BR20" s="191">
        <v>2.38</v>
      </c>
      <c r="BS20" s="192">
        <v>0</v>
      </c>
      <c r="BT20" s="180"/>
      <c r="BU20" s="191" t="s">
        <v>425</v>
      </c>
      <c r="BV20" s="191">
        <v>-7.79</v>
      </c>
      <c r="BW20" s="191">
        <v>928.44</v>
      </c>
      <c r="BX20" s="191">
        <v>3.9</v>
      </c>
      <c r="BY20" s="191">
        <v>0</v>
      </c>
      <c r="BZ20" s="191">
        <v>8.17</v>
      </c>
      <c r="CA20" s="191">
        <v>4.93</v>
      </c>
      <c r="CB20" s="191">
        <v>2.6</v>
      </c>
      <c r="CC20" s="191">
        <v>0.74</v>
      </c>
      <c r="CD20" s="191">
        <v>2.32</v>
      </c>
      <c r="CE20" s="191">
        <v>8.36</v>
      </c>
      <c r="CF20" s="191">
        <v>0</v>
      </c>
      <c r="CG20" s="191">
        <v>2.6</v>
      </c>
      <c r="CH20" s="191">
        <v>5.57</v>
      </c>
      <c r="CI20" s="191">
        <v>5.11</v>
      </c>
      <c r="CJ20" s="191">
        <v>0</v>
      </c>
      <c r="CK20" s="191">
        <v>0</v>
      </c>
      <c r="CL20" s="191">
        <v>23.67</v>
      </c>
      <c r="CM20" s="191">
        <v>6.96</v>
      </c>
      <c r="CN20" s="191">
        <v>5.57</v>
      </c>
      <c r="CO20" s="191">
        <v>6.5</v>
      </c>
      <c r="CP20" s="191">
        <v>1.85</v>
      </c>
      <c r="CQ20" s="191">
        <v>3.72</v>
      </c>
      <c r="CR20" s="191">
        <v>0</v>
      </c>
      <c r="CS20" s="191">
        <v>2.79</v>
      </c>
      <c r="CT20" s="191">
        <v>5.38</v>
      </c>
      <c r="CU20" s="191">
        <v>4.17</v>
      </c>
      <c r="CV20" s="191">
        <v>1.02</v>
      </c>
      <c r="CW20" s="191">
        <v>-0.62</v>
      </c>
      <c r="CX20" s="191">
        <v>0</v>
      </c>
      <c r="CY20" s="191">
        <v>13.93</v>
      </c>
      <c r="CZ20" s="191">
        <v>1.39</v>
      </c>
      <c r="DA20" s="191">
        <v>0.37</v>
      </c>
      <c r="DB20" s="191">
        <v>9.29</v>
      </c>
      <c r="DC20" s="191">
        <v>9.29</v>
      </c>
      <c r="DD20" s="191">
        <v>4.64</v>
      </c>
      <c r="DE20" s="191">
        <v>1.11</v>
      </c>
      <c r="DF20" s="191">
        <v>0</v>
      </c>
      <c r="DG20" s="191">
        <v>10.4</v>
      </c>
      <c r="DH20" s="191">
        <v>12.82</v>
      </c>
      <c r="DI20" s="191">
        <v>0</v>
      </c>
      <c r="DJ20" s="191">
        <v>0</v>
      </c>
      <c r="DK20" s="191">
        <v>-5.02</v>
      </c>
      <c r="DL20" s="191">
        <v>-4.92</v>
      </c>
      <c r="DM20" s="191">
        <v>-2.36</v>
      </c>
      <c r="DN20" s="191">
        <v>1.39</v>
      </c>
      <c r="DO20" s="191">
        <v>1.58</v>
      </c>
      <c r="DP20" s="191">
        <v>13.19</v>
      </c>
      <c r="DQ20" s="191">
        <v>5.57</v>
      </c>
      <c r="DR20" s="191">
        <v>9.29</v>
      </c>
      <c r="DS20" s="191">
        <v>2.6</v>
      </c>
      <c r="DT20" s="191">
        <v>0</v>
      </c>
      <c r="DU20" s="191">
        <v>18.57</v>
      </c>
      <c r="DV20" s="191">
        <v>18.57</v>
      </c>
      <c r="DW20" s="191">
        <v>7.43</v>
      </c>
      <c r="DX20" s="191">
        <v>5.57</v>
      </c>
      <c r="DY20" s="191">
        <v>1.95</v>
      </c>
      <c r="DZ20" s="191">
        <v>13.93</v>
      </c>
      <c r="EA20" s="191">
        <v>0</v>
      </c>
      <c r="EB20" s="191">
        <v>0</v>
      </c>
      <c r="EC20" s="191">
        <v>12.07</v>
      </c>
      <c r="ED20" s="191">
        <v>13.93</v>
      </c>
      <c r="EE20" s="191">
        <v>0</v>
      </c>
      <c r="EF20" s="191">
        <v>13</v>
      </c>
      <c r="EG20" s="191">
        <v>0.93</v>
      </c>
      <c r="EH20" s="191">
        <v>2.32</v>
      </c>
      <c r="EI20" s="192">
        <v>0</v>
      </c>
      <c r="EJ20" s="180"/>
      <c r="EK20" s="191" t="s">
        <v>425</v>
      </c>
      <c r="EL20" s="191">
        <v>-8.03</v>
      </c>
      <c r="EM20" s="191">
        <v>3.78</v>
      </c>
      <c r="EN20" s="191">
        <v>7.93</v>
      </c>
      <c r="EO20" s="191">
        <v>2.52</v>
      </c>
      <c r="EP20" s="191">
        <v>0.72</v>
      </c>
      <c r="EQ20" s="191">
        <v>0</v>
      </c>
      <c r="ER20" s="191">
        <v>2.53</v>
      </c>
      <c r="ES20" s="191">
        <v>6.77</v>
      </c>
      <c r="ET20" s="191">
        <v>5.42</v>
      </c>
      <c r="EU20" s="191">
        <v>1.8</v>
      </c>
      <c r="EV20" s="191">
        <v>3.62</v>
      </c>
      <c r="EW20" s="191">
        <v>0</v>
      </c>
      <c r="EX20" s="191">
        <v>2.71</v>
      </c>
      <c r="EY20" s="191">
        <v>0.99</v>
      </c>
      <c r="EZ20" s="191">
        <v>1.35</v>
      </c>
      <c r="FA20" s="191">
        <v>4.51</v>
      </c>
      <c r="FB20" s="191">
        <v>1.08</v>
      </c>
      <c r="FC20" s="191">
        <v>0</v>
      </c>
      <c r="FD20" s="191">
        <v>0</v>
      </c>
      <c r="FE20" s="191">
        <v>-5.17</v>
      </c>
      <c r="FF20" s="191">
        <v>-5.07</v>
      </c>
      <c r="FG20" s="191">
        <v>-2.43</v>
      </c>
      <c r="FH20" s="191">
        <v>1.35</v>
      </c>
      <c r="FI20" s="191">
        <v>1.53</v>
      </c>
      <c r="FJ20" s="191">
        <v>1.89</v>
      </c>
      <c r="FK20" s="191">
        <v>0</v>
      </c>
      <c r="FL20" s="192">
        <v>2.25</v>
      </c>
    </row>
    <row r="21" s="180" customFormat="1" spans="1:168">
      <c r="A21" s="190" t="s">
        <v>426</v>
      </c>
      <c r="B21" s="191">
        <v>-21.2</v>
      </c>
      <c r="C21" s="192">
        <v>1270.79</v>
      </c>
      <c r="E21" s="191" t="s">
        <v>426</v>
      </c>
      <c r="F21" s="191">
        <v>-7.6</v>
      </c>
      <c r="G21" s="191">
        <v>951.86</v>
      </c>
      <c r="H21" s="191">
        <v>4</v>
      </c>
      <c r="I21" s="191">
        <v>0</v>
      </c>
      <c r="J21" s="191">
        <v>8.38</v>
      </c>
      <c r="K21" s="191">
        <v>5.05</v>
      </c>
      <c r="L21" s="191">
        <v>2.67</v>
      </c>
      <c r="M21" s="191">
        <v>0.76</v>
      </c>
      <c r="N21" s="191">
        <v>2.38</v>
      </c>
      <c r="O21" s="191">
        <v>8.57</v>
      </c>
      <c r="P21" s="191">
        <v>0</v>
      </c>
      <c r="Q21" s="191">
        <v>2.67</v>
      </c>
      <c r="R21" s="191">
        <v>5.71</v>
      </c>
      <c r="S21" s="191">
        <v>5.24</v>
      </c>
      <c r="T21" s="191">
        <v>0</v>
      </c>
      <c r="U21" s="191">
        <v>0</v>
      </c>
      <c r="V21" s="191">
        <v>24.27</v>
      </c>
      <c r="W21" s="191">
        <v>7.14</v>
      </c>
      <c r="X21" s="191">
        <v>5.71</v>
      </c>
      <c r="Y21" s="191">
        <v>6.66</v>
      </c>
      <c r="Z21" s="191">
        <v>1.9</v>
      </c>
      <c r="AA21" s="191">
        <v>3.81</v>
      </c>
      <c r="AB21" s="191">
        <v>0</v>
      </c>
      <c r="AC21" s="191">
        <v>2.86</v>
      </c>
      <c r="AD21" s="191">
        <v>5.52</v>
      </c>
      <c r="AE21" s="191">
        <v>4.28</v>
      </c>
      <c r="AF21" s="191">
        <v>1.05</v>
      </c>
      <c r="AG21" s="191">
        <v>-0.6</v>
      </c>
      <c r="AH21" s="191">
        <v>0</v>
      </c>
      <c r="AI21" s="191">
        <v>14.28</v>
      </c>
      <c r="AJ21" s="191">
        <v>1.43</v>
      </c>
      <c r="AK21" s="191">
        <v>0.38</v>
      </c>
      <c r="AL21" s="191">
        <v>9.52</v>
      </c>
      <c r="AM21" s="191">
        <v>9.52</v>
      </c>
      <c r="AN21" s="191">
        <v>4.76</v>
      </c>
      <c r="AO21" s="191">
        <v>1.14</v>
      </c>
      <c r="AP21" s="191">
        <v>0</v>
      </c>
      <c r="AQ21" s="191">
        <v>10.66</v>
      </c>
      <c r="AR21" s="191">
        <v>13.14</v>
      </c>
      <c r="AS21" s="191">
        <v>0</v>
      </c>
      <c r="AT21" s="191">
        <v>0</v>
      </c>
      <c r="AU21" s="191">
        <v>-4.9</v>
      </c>
      <c r="AV21" s="191">
        <v>-4.8</v>
      </c>
      <c r="AW21" s="191">
        <v>-2.3</v>
      </c>
      <c r="AX21" s="191">
        <v>1.43</v>
      </c>
      <c r="AY21" s="191">
        <v>1.62</v>
      </c>
      <c r="AZ21" s="191">
        <v>13.52</v>
      </c>
      <c r="BA21" s="191">
        <v>5.71</v>
      </c>
      <c r="BB21" s="191">
        <v>9.52</v>
      </c>
      <c r="BC21" s="191">
        <v>2.67</v>
      </c>
      <c r="BD21" s="191">
        <v>0</v>
      </c>
      <c r="BE21" s="191">
        <v>19.04</v>
      </c>
      <c r="BF21" s="191">
        <v>19.04</v>
      </c>
      <c r="BG21" s="191">
        <v>7.62</v>
      </c>
      <c r="BH21" s="191">
        <v>5.71</v>
      </c>
      <c r="BI21" s="191">
        <v>2</v>
      </c>
      <c r="BJ21" s="191">
        <v>14.28</v>
      </c>
      <c r="BK21" s="191">
        <v>0</v>
      </c>
      <c r="BL21" s="191">
        <v>0</v>
      </c>
      <c r="BM21" s="191">
        <v>12.37</v>
      </c>
      <c r="BN21" s="191">
        <v>14.28</v>
      </c>
      <c r="BO21" s="191">
        <v>-1</v>
      </c>
      <c r="BP21" s="191">
        <v>13.33</v>
      </c>
      <c r="BQ21" s="191">
        <v>0.95</v>
      </c>
      <c r="BR21" s="191">
        <v>2.38</v>
      </c>
      <c r="BS21" s="192">
        <v>0</v>
      </c>
      <c r="BT21" s="180"/>
      <c r="BU21" s="191" t="s">
        <v>426</v>
      </c>
      <c r="BV21" s="191">
        <v>-7.79</v>
      </c>
      <c r="BW21" s="191">
        <v>928.44</v>
      </c>
      <c r="BX21" s="191">
        <v>3.9</v>
      </c>
      <c r="BY21" s="191">
        <v>0</v>
      </c>
      <c r="BZ21" s="191">
        <v>8.17</v>
      </c>
      <c r="CA21" s="191">
        <v>4.93</v>
      </c>
      <c r="CB21" s="191">
        <v>2.6</v>
      </c>
      <c r="CC21" s="191">
        <v>0.74</v>
      </c>
      <c r="CD21" s="191">
        <v>2.32</v>
      </c>
      <c r="CE21" s="191">
        <v>8.36</v>
      </c>
      <c r="CF21" s="191">
        <v>0</v>
      </c>
      <c r="CG21" s="191">
        <v>2.6</v>
      </c>
      <c r="CH21" s="191">
        <v>5.57</v>
      </c>
      <c r="CI21" s="191">
        <v>5.11</v>
      </c>
      <c r="CJ21" s="191">
        <v>0</v>
      </c>
      <c r="CK21" s="191">
        <v>0</v>
      </c>
      <c r="CL21" s="191">
        <v>23.67</v>
      </c>
      <c r="CM21" s="191">
        <v>6.96</v>
      </c>
      <c r="CN21" s="191">
        <v>5.57</v>
      </c>
      <c r="CO21" s="191">
        <v>6.5</v>
      </c>
      <c r="CP21" s="191">
        <v>1.85</v>
      </c>
      <c r="CQ21" s="191">
        <v>3.72</v>
      </c>
      <c r="CR21" s="191">
        <v>0</v>
      </c>
      <c r="CS21" s="191">
        <v>2.79</v>
      </c>
      <c r="CT21" s="191">
        <v>5.38</v>
      </c>
      <c r="CU21" s="191">
        <v>4.17</v>
      </c>
      <c r="CV21" s="191">
        <v>1.02</v>
      </c>
      <c r="CW21" s="191">
        <v>-0.62</v>
      </c>
      <c r="CX21" s="191">
        <v>0</v>
      </c>
      <c r="CY21" s="191">
        <v>13.93</v>
      </c>
      <c r="CZ21" s="191">
        <v>1.39</v>
      </c>
      <c r="DA21" s="191">
        <v>0.37</v>
      </c>
      <c r="DB21" s="191">
        <v>9.29</v>
      </c>
      <c r="DC21" s="191">
        <v>9.29</v>
      </c>
      <c r="DD21" s="191">
        <v>4.64</v>
      </c>
      <c r="DE21" s="191">
        <v>1.11</v>
      </c>
      <c r="DF21" s="191">
        <v>0</v>
      </c>
      <c r="DG21" s="191">
        <v>10.4</v>
      </c>
      <c r="DH21" s="191">
        <v>12.82</v>
      </c>
      <c r="DI21" s="191">
        <v>0</v>
      </c>
      <c r="DJ21" s="191">
        <v>0</v>
      </c>
      <c r="DK21" s="191">
        <v>-5.02</v>
      </c>
      <c r="DL21" s="191">
        <v>-4.92</v>
      </c>
      <c r="DM21" s="191">
        <v>-2.36</v>
      </c>
      <c r="DN21" s="191">
        <v>1.39</v>
      </c>
      <c r="DO21" s="191">
        <v>1.58</v>
      </c>
      <c r="DP21" s="191">
        <v>13.19</v>
      </c>
      <c r="DQ21" s="191">
        <v>5.57</v>
      </c>
      <c r="DR21" s="191">
        <v>9.29</v>
      </c>
      <c r="DS21" s="191">
        <v>2.6</v>
      </c>
      <c r="DT21" s="191">
        <v>0</v>
      </c>
      <c r="DU21" s="191">
        <v>18.57</v>
      </c>
      <c r="DV21" s="191">
        <v>18.57</v>
      </c>
      <c r="DW21" s="191">
        <v>7.43</v>
      </c>
      <c r="DX21" s="191">
        <v>5.57</v>
      </c>
      <c r="DY21" s="191">
        <v>1.95</v>
      </c>
      <c r="DZ21" s="191">
        <v>13.93</v>
      </c>
      <c r="EA21" s="191">
        <v>0</v>
      </c>
      <c r="EB21" s="191">
        <v>0</v>
      </c>
      <c r="EC21" s="191">
        <v>12.07</v>
      </c>
      <c r="ED21" s="191">
        <v>13.93</v>
      </c>
      <c r="EE21" s="191">
        <v>-1.03</v>
      </c>
      <c r="EF21" s="191">
        <v>13</v>
      </c>
      <c r="EG21" s="191">
        <v>0.93</v>
      </c>
      <c r="EH21" s="191">
        <v>2.32</v>
      </c>
      <c r="EI21" s="192">
        <v>0</v>
      </c>
      <c r="EJ21" s="180"/>
      <c r="EK21" s="191" t="s">
        <v>426</v>
      </c>
      <c r="EL21" s="191">
        <v>-8.03</v>
      </c>
      <c r="EM21" s="191">
        <v>3.78</v>
      </c>
      <c r="EN21" s="191">
        <v>7.93</v>
      </c>
      <c r="EO21" s="191">
        <v>2.52</v>
      </c>
      <c r="EP21" s="191">
        <v>0.72</v>
      </c>
      <c r="EQ21" s="191">
        <v>0</v>
      </c>
      <c r="ER21" s="191">
        <v>2.53</v>
      </c>
      <c r="ES21" s="191">
        <v>6.77</v>
      </c>
      <c r="ET21" s="191">
        <v>5.42</v>
      </c>
      <c r="EU21" s="191">
        <v>1.8</v>
      </c>
      <c r="EV21" s="191">
        <v>3.62</v>
      </c>
      <c r="EW21" s="191">
        <v>0</v>
      </c>
      <c r="EX21" s="191">
        <v>2.71</v>
      </c>
      <c r="EY21" s="191">
        <v>0.99</v>
      </c>
      <c r="EZ21" s="191">
        <v>1.35</v>
      </c>
      <c r="FA21" s="191">
        <v>4.51</v>
      </c>
      <c r="FB21" s="191">
        <v>1.08</v>
      </c>
      <c r="FC21" s="191">
        <v>0</v>
      </c>
      <c r="FD21" s="191">
        <v>0</v>
      </c>
      <c r="FE21" s="191">
        <v>-5.17</v>
      </c>
      <c r="FF21" s="191">
        <v>-5.07</v>
      </c>
      <c r="FG21" s="191">
        <v>-2.43</v>
      </c>
      <c r="FH21" s="191">
        <v>1.35</v>
      </c>
      <c r="FI21" s="191">
        <v>1.53</v>
      </c>
      <c r="FJ21" s="191">
        <v>1.89</v>
      </c>
      <c r="FK21" s="191">
        <v>0</v>
      </c>
      <c r="FL21" s="192">
        <v>2.25</v>
      </c>
    </row>
    <row r="22" s="180" customFormat="1" spans="1:168">
      <c r="A22" s="190" t="s">
        <v>427</v>
      </c>
      <c r="B22" s="191">
        <v>-21.7</v>
      </c>
      <c r="C22" s="192">
        <v>1270.79</v>
      </c>
      <c r="E22" s="191" t="s">
        <v>427</v>
      </c>
      <c r="F22" s="191">
        <v>-7.6</v>
      </c>
      <c r="G22" s="191">
        <v>951.86</v>
      </c>
      <c r="H22" s="191">
        <v>4</v>
      </c>
      <c r="I22" s="191">
        <v>0</v>
      </c>
      <c r="J22" s="191">
        <v>8.38</v>
      </c>
      <c r="K22" s="191">
        <v>5.05</v>
      </c>
      <c r="L22" s="191">
        <v>2.67</v>
      </c>
      <c r="M22" s="191">
        <v>0.76</v>
      </c>
      <c r="N22" s="191">
        <v>2.38</v>
      </c>
      <c r="O22" s="191">
        <v>8.57</v>
      </c>
      <c r="P22" s="191">
        <v>0</v>
      </c>
      <c r="Q22" s="191">
        <v>2.67</v>
      </c>
      <c r="R22" s="191">
        <v>5.71</v>
      </c>
      <c r="S22" s="191">
        <v>5.24</v>
      </c>
      <c r="T22" s="191">
        <v>0</v>
      </c>
      <c r="U22" s="191">
        <v>0</v>
      </c>
      <c r="V22" s="191">
        <v>24.27</v>
      </c>
      <c r="W22" s="191">
        <v>7.14</v>
      </c>
      <c r="X22" s="191">
        <v>5.71</v>
      </c>
      <c r="Y22" s="191">
        <v>6.66</v>
      </c>
      <c r="Z22" s="191">
        <v>1.9</v>
      </c>
      <c r="AA22" s="191">
        <v>3.81</v>
      </c>
      <c r="AB22" s="191">
        <v>0</v>
      </c>
      <c r="AC22" s="191">
        <v>2.86</v>
      </c>
      <c r="AD22" s="191">
        <v>5.52</v>
      </c>
      <c r="AE22" s="191">
        <v>4.28</v>
      </c>
      <c r="AF22" s="191">
        <v>1.05</v>
      </c>
      <c r="AG22" s="191">
        <v>-0.6</v>
      </c>
      <c r="AH22" s="191">
        <v>0</v>
      </c>
      <c r="AI22" s="191">
        <v>14.28</v>
      </c>
      <c r="AJ22" s="191">
        <v>1.43</v>
      </c>
      <c r="AK22" s="191">
        <v>0.38</v>
      </c>
      <c r="AL22" s="191">
        <v>9.52</v>
      </c>
      <c r="AM22" s="191">
        <v>9.52</v>
      </c>
      <c r="AN22" s="191">
        <v>4.76</v>
      </c>
      <c r="AO22" s="191">
        <v>1.14</v>
      </c>
      <c r="AP22" s="191">
        <v>0</v>
      </c>
      <c r="AQ22" s="191">
        <v>10.66</v>
      </c>
      <c r="AR22" s="191">
        <v>13.14</v>
      </c>
      <c r="AS22" s="191">
        <v>0</v>
      </c>
      <c r="AT22" s="191">
        <v>0</v>
      </c>
      <c r="AU22" s="191">
        <v>-4.9</v>
      </c>
      <c r="AV22" s="191">
        <v>-4.8</v>
      </c>
      <c r="AW22" s="191">
        <v>-2.3</v>
      </c>
      <c r="AX22" s="191">
        <v>1.43</v>
      </c>
      <c r="AY22" s="191">
        <v>1.62</v>
      </c>
      <c r="AZ22" s="191">
        <v>13.52</v>
      </c>
      <c r="BA22" s="191">
        <v>5.71</v>
      </c>
      <c r="BB22" s="191">
        <v>9.52</v>
      </c>
      <c r="BC22" s="191">
        <v>2.67</v>
      </c>
      <c r="BD22" s="191">
        <v>0</v>
      </c>
      <c r="BE22" s="191">
        <v>19.04</v>
      </c>
      <c r="BF22" s="191">
        <v>19.04</v>
      </c>
      <c r="BG22" s="191">
        <v>7.62</v>
      </c>
      <c r="BH22" s="191">
        <v>5.71</v>
      </c>
      <c r="BI22" s="191">
        <v>2</v>
      </c>
      <c r="BJ22" s="191">
        <v>14.28</v>
      </c>
      <c r="BK22" s="191">
        <v>0</v>
      </c>
      <c r="BL22" s="191">
        <v>0</v>
      </c>
      <c r="BM22" s="191">
        <v>12.37</v>
      </c>
      <c r="BN22" s="191">
        <v>14.28</v>
      </c>
      <c r="BO22" s="191">
        <v>-1.5</v>
      </c>
      <c r="BP22" s="191">
        <v>13.33</v>
      </c>
      <c r="BQ22" s="191">
        <v>0.95</v>
      </c>
      <c r="BR22" s="191">
        <v>2.38</v>
      </c>
      <c r="BS22" s="192">
        <v>0</v>
      </c>
      <c r="BT22" s="180"/>
      <c r="BU22" s="191" t="s">
        <v>427</v>
      </c>
      <c r="BV22" s="191">
        <v>-7.79</v>
      </c>
      <c r="BW22" s="191">
        <v>928.44</v>
      </c>
      <c r="BX22" s="191">
        <v>3.9</v>
      </c>
      <c r="BY22" s="191">
        <v>0</v>
      </c>
      <c r="BZ22" s="191">
        <v>8.17</v>
      </c>
      <c r="CA22" s="191">
        <v>4.93</v>
      </c>
      <c r="CB22" s="191">
        <v>2.6</v>
      </c>
      <c r="CC22" s="191">
        <v>0.74</v>
      </c>
      <c r="CD22" s="191">
        <v>2.32</v>
      </c>
      <c r="CE22" s="191">
        <v>8.36</v>
      </c>
      <c r="CF22" s="191">
        <v>0</v>
      </c>
      <c r="CG22" s="191">
        <v>2.6</v>
      </c>
      <c r="CH22" s="191">
        <v>5.57</v>
      </c>
      <c r="CI22" s="191">
        <v>5.11</v>
      </c>
      <c r="CJ22" s="191">
        <v>0</v>
      </c>
      <c r="CK22" s="191">
        <v>0</v>
      </c>
      <c r="CL22" s="191">
        <v>23.67</v>
      </c>
      <c r="CM22" s="191">
        <v>6.96</v>
      </c>
      <c r="CN22" s="191">
        <v>5.57</v>
      </c>
      <c r="CO22" s="191">
        <v>6.5</v>
      </c>
      <c r="CP22" s="191">
        <v>1.85</v>
      </c>
      <c r="CQ22" s="191">
        <v>3.72</v>
      </c>
      <c r="CR22" s="191">
        <v>0</v>
      </c>
      <c r="CS22" s="191">
        <v>2.79</v>
      </c>
      <c r="CT22" s="191">
        <v>5.38</v>
      </c>
      <c r="CU22" s="191">
        <v>4.17</v>
      </c>
      <c r="CV22" s="191">
        <v>1.02</v>
      </c>
      <c r="CW22" s="191">
        <v>-0.62</v>
      </c>
      <c r="CX22" s="191">
        <v>0</v>
      </c>
      <c r="CY22" s="191">
        <v>13.93</v>
      </c>
      <c r="CZ22" s="191">
        <v>1.39</v>
      </c>
      <c r="DA22" s="191">
        <v>0.37</v>
      </c>
      <c r="DB22" s="191">
        <v>9.29</v>
      </c>
      <c r="DC22" s="191">
        <v>9.29</v>
      </c>
      <c r="DD22" s="191">
        <v>4.64</v>
      </c>
      <c r="DE22" s="191">
        <v>1.11</v>
      </c>
      <c r="DF22" s="191">
        <v>0</v>
      </c>
      <c r="DG22" s="191">
        <v>10.4</v>
      </c>
      <c r="DH22" s="191">
        <v>12.82</v>
      </c>
      <c r="DI22" s="191">
        <v>0</v>
      </c>
      <c r="DJ22" s="191">
        <v>0</v>
      </c>
      <c r="DK22" s="191">
        <v>-5.02</v>
      </c>
      <c r="DL22" s="191">
        <v>-4.92</v>
      </c>
      <c r="DM22" s="191">
        <v>-2.36</v>
      </c>
      <c r="DN22" s="191">
        <v>1.39</v>
      </c>
      <c r="DO22" s="191">
        <v>1.58</v>
      </c>
      <c r="DP22" s="191">
        <v>13.19</v>
      </c>
      <c r="DQ22" s="191">
        <v>5.57</v>
      </c>
      <c r="DR22" s="191">
        <v>9.29</v>
      </c>
      <c r="DS22" s="191">
        <v>2.6</v>
      </c>
      <c r="DT22" s="191">
        <v>0</v>
      </c>
      <c r="DU22" s="191">
        <v>18.57</v>
      </c>
      <c r="DV22" s="191">
        <v>18.57</v>
      </c>
      <c r="DW22" s="191">
        <v>7.43</v>
      </c>
      <c r="DX22" s="191">
        <v>5.57</v>
      </c>
      <c r="DY22" s="191">
        <v>1.95</v>
      </c>
      <c r="DZ22" s="191">
        <v>13.93</v>
      </c>
      <c r="EA22" s="191">
        <v>0</v>
      </c>
      <c r="EB22" s="191">
        <v>0</v>
      </c>
      <c r="EC22" s="191">
        <v>12.07</v>
      </c>
      <c r="ED22" s="191">
        <v>13.93</v>
      </c>
      <c r="EE22" s="191">
        <v>-1.54</v>
      </c>
      <c r="EF22" s="191">
        <v>13</v>
      </c>
      <c r="EG22" s="191">
        <v>0.93</v>
      </c>
      <c r="EH22" s="191">
        <v>2.32</v>
      </c>
      <c r="EI22" s="192">
        <v>0</v>
      </c>
      <c r="EJ22" s="180"/>
      <c r="EK22" s="191" t="s">
        <v>427</v>
      </c>
      <c r="EL22" s="191">
        <v>-8.03</v>
      </c>
      <c r="EM22" s="191">
        <v>3.78</v>
      </c>
      <c r="EN22" s="191">
        <v>7.93</v>
      </c>
      <c r="EO22" s="191">
        <v>2.52</v>
      </c>
      <c r="EP22" s="191">
        <v>0.72</v>
      </c>
      <c r="EQ22" s="191">
        <v>0</v>
      </c>
      <c r="ER22" s="191">
        <v>2.53</v>
      </c>
      <c r="ES22" s="191">
        <v>6.77</v>
      </c>
      <c r="ET22" s="191">
        <v>5.42</v>
      </c>
      <c r="EU22" s="191">
        <v>1.8</v>
      </c>
      <c r="EV22" s="191">
        <v>3.62</v>
      </c>
      <c r="EW22" s="191">
        <v>0</v>
      </c>
      <c r="EX22" s="191">
        <v>2.71</v>
      </c>
      <c r="EY22" s="191">
        <v>0.99</v>
      </c>
      <c r="EZ22" s="191">
        <v>1.35</v>
      </c>
      <c r="FA22" s="191">
        <v>4.51</v>
      </c>
      <c r="FB22" s="191">
        <v>1.08</v>
      </c>
      <c r="FC22" s="191">
        <v>0</v>
      </c>
      <c r="FD22" s="191">
        <v>0</v>
      </c>
      <c r="FE22" s="191">
        <v>-5.17</v>
      </c>
      <c r="FF22" s="191">
        <v>-5.07</v>
      </c>
      <c r="FG22" s="191">
        <v>-2.43</v>
      </c>
      <c r="FH22" s="191">
        <v>1.35</v>
      </c>
      <c r="FI22" s="191">
        <v>1.53</v>
      </c>
      <c r="FJ22" s="191">
        <v>1.89</v>
      </c>
      <c r="FK22" s="191">
        <v>0</v>
      </c>
      <c r="FL22" s="192">
        <v>2.25</v>
      </c>
    </row>
    <row r="23" s="180" customFormat="1" spans="1:168">
      <c r="A23" s="190" t="s">
        <v>428</v>
      </c>
      <c r="B23" s="191">
        <v>-21.9</v>
      </c>
      <c r="C23" s="192">
        <v>1274.59</v>
      </c>
      <c r="E23" s="191" t="s">
        <v>428</v>
      </c>
      <c r="F23" s="191">
        <v>-7.6</v>
      </c>
      <c r="G23" s="191">
        <v>951.85</v>
      </c>
      <c r="H23" s="191">
        <v>4</v>
      </c>
      <c r="I23" s="191">
        <v>0</v>
      </c>
      <c r="J23" s="191">
        <v>8.38</v>
      </c>
      <c r="K23" s="191">
        <v>5.05</v>
      </c>
      <c r="L23" s="191">
        <v>2.67</v>
      </c>
      <c r="M23" s="191">
        <v>0.76</v>
      </c>
      <c r="N23" s="191">
        <v>2.38</v>
      </c>
      <c r="O23" s="191">
        <v>8.57</v>
      </c>
      <c r="P23" s="191">
        <v>0</v>
      </c>
      <c r="Q23" s="191">
        <v>2.67</v>
      </c>
      <c r="R23" s="191">
        <v>5.71</v>
      </c>
      <c r="S23" s="191">
        <v>5.24</v>
      </c>
      <c r="T23" s="191">
        <v>0</v>
      </c>
      <c r="U23" s="191">
        <v>0</v>
      </c>
      <c r="V23" s="191">
        <v>24.27</v>
      </c>
      <c r="W23" s="191">
        <v>7.14</v>
      </c>
      <c r="X23" s="191">
        <v>5.71</v>
      </c>
      <c r="Y23" s="191">
        <v>6.66</v>
      </c>
      <c r="Z23" s="191">
        <v>1.9</v>
      </c>
      <c r="AA23" s="191">
        <v>3.81</v>
      </c>
      <c r="AB23" s="191">
        <v>0</v>
      </c>
      <c r="AC23" s="191">
        <v>2.86</v>
      </c>
      <c r="AD23" s="191">
        <v>5.52</v>
      </c>
      <c r="AE23" s="191">
        <v>4.28</v>
      </c>
      <c r="AF23" s="191">
        <v>1.05</v>
      </c>
      <c r="AG23" s="191">
        <v>-0.6</v>
      </c>
      <c r="AH23" s="191">
        <v>0</v>
      </c>
      <c r="AI23" s="191">
        <v>14.28</v>
      </c>
      <c r="AJ23" s="191">
        <v>1.43</v>
      </c>
      <c r="AK23" s="191">
        <v>0.38</v>
      </c>
      <c r="AL23" s="191">
        <v>9.52</v>
      </c>
      <c r="AM23" s="191">
        <v>9.52</v>
      </c>
      <c r="AN23" s="191">
        <v>4.76</v>
      </c>
      <c r="AO23" s="191">
        <v>1.14</v>
      </c>
      <c r="AP23" s="191">
        <v>0</v>
      </c>
      <c r="AQ23" s="191">
        <v>10.66</v>
      </c>
      <c r="AR23" s="191">
        <v>13.14</v>
      </c>
      <c r="AS23" s="191">
        <v>3.81</v>
      </c>
      <c r="AT23" s="191">
        <v>0</v>
      </c>
      <c r="AU23" s="191">
        <v>-4.9</v>
      </c>
      <c r="AV23" s="191">
        <v>-4.8</v>
      </c>
      <c r="AW23" s="191">
        <v>-2.3</v>
      </c>
      <c r="AX23" s="191">
        <v>1.43</v>
      </c>
      <c r="AY23" s="191">
        <v>1.62</v>
      </c>
      <c r="AZ23" s="191">
        <v>13.52</v>
      </c>
      <c r="BA23" s="191">
        <v>5.71</v>
      </c>
      <c r="BB23" s="191">
        <v>9.52</v>
      </c>
      <c r="BC23" s="191">
        <v>2.67</v>
      </c>
      <c r="BD23" s="191">
        <v>0</v>
      </c>
      <c r="BE23" s="191">
        <v>19.04</v>
      </c>
      <c r="BF23" s="191">
        <v>19.04</v>
      </c>
      <c r="BG23" s="191">
        <v>7.62</v>
      </c>
      <c r="BH23" s="191">
        <v>5.71</v>
      </c>
      <c r="BI23" s="191">
        <v>2</v>
      </c>
      <c r="BJ23" s="191">
        <v>14.28</v>
      </c>
      <c r="BK23" s="191">
        <v>0</v>
      </c>
      <c r="BL23" s="191">
        <v>0</v>
      </c>
      <c r="BM23" s="191">
        <v>12.37</v>
      </c>
      <c r="BN23" s="191">
        <v>14.28</v>
      </c>
      <c r="BO23" s="191">
        <v>-1.7</v>
      </c>
      <c r="BP23" s="191">
        <v>13.33</v>
      </c>
      <c r="BQ23" s="191">
        <v>0.95</v>
      </c>
      <c r="BR23" s="191">
        <v>2.38</v>
      </c>
      <c r="BS23" s="192">
        <v>0</v>
      </c>
      <c r="BT23" s="180"/>
      <c r="BU23" s="191" t="s">
        <v>428</v>
      </c>
      <c r="BV23" s="191">
        <v>-7.79</v>
      </c>
      <c r="BW23" s="191">
        <v>928.43</v>
      </c>
      <c r="BX23" s="191">
        <v>3.9</v>
      </c>
      <c r="BY23" s="191">
        <v>0</v>
      </c>
      <c r="BZ23" s="191">
        <v>8.17</v>
      </c>
      <c r="CA23" s="191">
        <v>4.93</v>
      </c>
      <c r="CB23" s="191">
        <v>2.6</v>
      </c>
      <c r="CC23" s="191">
        <v>0.74</v>
      </c>
      <c r="CD23" s="191">
        <v>2.32</v>
      </c>
      <c r="CE23" s="191">
        <v>8.36</v>
      </c>
      <c r="CF23" s="191">
        <v>0</v>
      </c>
      <c r="CG23" s="191">
        <v>2.6</v>
      </c>
      <c r="CH23" s="191">
        <v>5.57</v>
      </c>
      <c r="CI23" s="191">
        <v>5.11</v>
      </c>
      <c r="CJ23" s="191">
        <v>0</v>
      </c>
      <c r="CK23" s="191">
        <v>0</v>
      </c>
      <c r="CL23" s="191">
        <v>23.67</v>
      </c>
      <c r="CM23" s="191">
        <v>6.96</v>
      </c>
      <c r="CN23" s="191">
        <v>5.57</v>
      </c>
      <c r="CO23" s="191">
        <v>6.5</v>
      </c>
      <c r="CP23" s="191">
        <v>1.85</v>
      </c>
      <c r="CQ23" s="191">
        <v>3.72</v>
      </c>
      <c r="CR23" s="191">
        <v>0</v>
      </c>
      <c r="CS23" s="191">
        <v>2.79</v>
      </c>
      <c r="CT23" s="191">
        <v>5.38</v>
      </c>
      <c r="CU23" s="191">
        <v>4.17</v>
      </c>
      <c r="CV23" s="191">
        <v>1.02</v>
      </c>
      <c r="CW23" s="191">
        <v>-0.62</v>
      </c>
      <c r="CX23" s="191">
        <v>0</v>
      </c>
      <c r="CY23" s="191">
        <v>13.93</v>
      </c>
      <c r="CZ23" s="191">
        <v>1.39</v>
      </c>
      <c r="DA23" s="191">
        <v>0.37</v>
      </c>
      <c r="DB23" s="191">
        <v>9.29</v>
      </c>
      <c r="DC23" s="191">
        <v>9.29</v>
      </c>
      <c r="DD23" s="191">
        <v>4.64</v>
      </c>
      <c r="DE23" s="191">
        <v>1.11</v>
      </c>
      <c r="DF23" s="191">
        <v>0</v>
      </c>
      <c r="DG23" s="191">
        <v>10.4</v>
      </c>
      <c r="DH23" s="191">
        <v>12.82</v>
      </c>
      <c r="DI23" s="191">
        <v>3.72</v>
      </c>
      <c r="DJ23" s="191">
        <v>0</v>
      </c>
      <c r="DK23" s="191">
        <v>-5.02</v>
      </c>
      <c r="DL23" s="191">
        <v>-4.92</v>
      </c>
      <c r="DM23" s="191">
        <v>-2.36</v>
      </c>
      <c r="DN23" s="191">
        <v>1.39</v>
      </c>
      <c r="DO23" s="191">
        <v>1.58</v>
      </c>
      <c r="DP23" s="191">
        <v>13.19</v>
      </c>
      <c r="DQ23" s="191">
        <v>5.57</v>
      </c>
      <c r="DR23" s="191">
        <v>9.29</v>
      </c>
      <c r="DS23" s="191">
        <v>2.6</v>
      </c>
      <c r="DT23" s="191">
        <v>0</v>
      </c>
      <c r="DU23" s="191">
        <v>18.57</v>
      </c>
      <c r="DV23" s="191">
        <v>18.57</v>
      </c>
      <c r="DW23" s="191">
        <v>7.43</v>
      </c>
      <c r="DX23" s="191">
        <v>5.57</v>
      </c>
      <c r="DY23" s="191">
        <v>1.95</v>
      </c>
      <c r="DZ23" s="191">
        <v>13.93</v>
      </c>
      <c r="EA23" s="191">
        <v>0</v>
      </c>
      <c r="EB23" s="191">
        <v>0</v>
      </c>
      <c r="EC23" s="191">
        <v>12.07</v>
      </c>
      <c r="ED23" s="191">
        <v>13.93</v>
      </c>
      <c r="EE23" s="191">
        <v>-1.74</v>
      </c>
      <c r="EF23" s="191">
        <v>13</v>
      </c>
      <c r="EG23" s="191">
        <v>0.93</v>
      </c>
      <c r="EH23" s="191">
        <v>2.32</v>
      </c>
      <c r="EI23" s="192">
        <v>0</v>
      </c>
      <c r="EJ23" s="180"/>
      <c r="EK23" s="191" t="s">
        <v>428</v>
      </c>
      <c r="EL23" s="191">
        <v>-8.03</v>
      </c>
      <c r="EM23" s="191">
        <v>3.78</v>
      </c>
      <c r="EN23" s="191">
        <v>7.93</v>
      </c>
      <c r="EO23" s="191">
        <v>2.52</v>
      </c>
      <c r="EP23" s="191">
        <v>0.72</v>
      </c>
      <c r="EQ23" s="191">
        <v>0</v>
      </c>
      <c r="ER23" s="191">
        <v>2.53</v>
      </c>
      <c r="ES23" s="191">
        <v>6.77</v>
      </c>
      <c r="ET23" s="191">
        <v>5.42</v>
      </c>
      <c r="EU23" s="191">
        <v>1.8</v>
      </c>
      <c r="EV23" s="191">
        <v>3.62</v>
      </c>
      <c r="EW23" s="191">
        <v>0</v>
      </c>
      <c r="EX23" s="191">
        <v>2.71</v>
      </c>
      <c r="EY23" s="191">
        <v>0.99</v>
      </c>
      <c r="EZ23" s="191">
        <v>1.35</v>
      </c>
      <c r="FA23" s="191">
        <v>4.51</v>
      </c>
      <c r="FB23" s="191">
        <v>1.08</v>
      </c>
      <c r="FC23" s="191">
        <v>0</v>
      </c>
      <c r="FD23" s="191">
        <v>3.61</v>
      </c>
      <c r="FE23" s="191">
        <v>-5.17</v>
      </c>
      <c r="FF23" s="191">
        <v>-5.07</v>
      </c>
      <c r="FG23" s="191">
        <v>-2.43</v>
      </c>
      <c r="FH23" s="191">
        <v>1.35</v>
      </c>
      <c r="FI23" s="191">
        <v>1.53</v>
      </c>
      <c r="FJ23" s="191">
        <v>1.89</v>
      </c>
      <c r="FK23" s="191">
        <v>0</v>
      </c>
      <c r="FL23" s="192">
        <v>2.25</v>
      </c>
    </row>
    <row r="24" s="180" customFormat="1" spans="1:168">
      <c r="A24" s="190" t="s">
        <v>429</v>
      </c>
      <c r="B24" s="191">
        <v>-21.4</v>
      </c>
      <c r="C24" s="192">
        <v>1366.17</v>
      </c>
      <c r="E24" s="191" t="s">
        <v>429</v>
      </c>
      <c r="F24" s="191">
        <v>-7.6</v>
      </c>
      <c r="G24" s="191">
        <v>1047.05</v>
      </c>
      <c r="H24" s="191">
        <v>4</v>
      </c>
      <c r="I24" s="191">
        <v>0</v>
      </c>
      <c r="J24" s="191">
        <v>8.38</v>
      </c>
      <c r="K24" s="191">
        <v>5.05</v>
      </c>
      <c r="L24" s="191">
        <v>2.67</v>
      </c>
      <c r="M24" s="191">
        <v>0.76</v>
      </c>
      <c r="N24" s="191">
        <v>2.38</v>
      </c>
      <c r="O24" s="191">
        <v>8.57</v>
      </c>
      <c r="P24" s="191">
        <v>0</v>
      </c>
      <c r="Q24" s="191">
        <v>2.67</v>
      </c>
      <c r="R24" s="191">
        <v>5.71</v>
      </c>
      <c r="S24" s="191">
        <v>5.24</v>
      </c>
      <c r="T24" s="191">
        <v>0</v>
      </c>
      <c r="U24" s="191">
        <v>0</v>
      </c>
      <c r="V24" s="191">
        <v>24.27</v>
      </c>
      <c r="W24" s="191">
        <v>7.14</v>
      </c>
      <c r="X24" s="191">
        <v>5.71</v>
      </c>
      <c r="Y24" s="191">
        <v>6.66</v>
      </c>
      <c r="Z24" s="191">
        <v>1.9</v>
      </c>
      <c r="AA24" s="191">
        <v>3.81</v>
      </c>
      <c r="AB24" s="191">
        <v>0</v>
      </c>
      <c r="AC24" s="191">
        <v>2.86</v>
      </c>
      <c r="AD24" s="191">
        <v>5.52</v>
      </c>
      <c r="AE24" s="191">
        <v>4.28</v>
      </c>
      <c r="AF24" s="191">
        <v>1.05</v>
      </c>
      <c r="AG24" s="191">
        <v>-0.6</v>
      </c>
      <c r="AH24" s="191">
        <v>0</v>
      </c>
      <c r="AI24" s="191">
        <v>14.28</v>
      </c>
      <c r="AJ24" s="191">
        <v>1.43</v>
      </c>
      <c r="AK24" s="191">
        <v>0.38</v>
      </c>
      <c r="AL24" s="191">
        <v>9.52</v>
      </c>
      <c r="AM24" s="191">
        <v>9.52</v>
      </c>
      <c r="AN24" s="191">
        <v>4.76</v>
      </c>
      <c r="AO24" s="191">
        <v>1.14</v>
      </c>
      <c r="AP24" s="191">
        <v>0</v>
      </c>
      <c r="AQ24" s="191">
        <v>10.66</v>
      </c>
      <c r="AR24" s="191">
        <v>13.14</v>
      </c>
      <c r="AS24" s="191">
        <v>0</v>
      </c>
      <c r="AT24" s="191">
        <v>0</v>
      </c>
      <c r="AU24" s="191">
        <v>-4.9</v>
      </c>
      <c r="AV24" s="191">
        <v>-4.8</v>
      </c>
      <c r="AW24" s="191">
        <v>-2.3</v>
      </c>
      <c r="AX24" s="191">
        <v>1.43</v>
      </c>
      <c r="AY24" s="191">
        <v>1.62</v>
      </c>
      <c r="AZ24" s="191">
        <v>13.52</v>
      </c>
      <c r="BA24" s="191">
        <v>5.71</v>
      </c>
      <c r="BB24" s="191">
        <v>9.52</v>
      </c>
      <c r="BC24" s="191">
        <v>2.67</v>
      </c>
      <c r="BD24" s="191">
        <v>0</v>
      </c>
      <c r="BE24" s="191">
        <v>19.04</v>
      </c>
      <c r="BF24" s="191">
        <v>19.04</v>
      </c>
      <c r="BG24" s="191">
        <v>7.62</v>
      </c>
      <c r="BH24" s="191">
        <v>5.71</v>
      </c>
      <c r="BI24" s="191">
        <v>2</v>
      </c>
      <c r="BJ24" s="191">
        <v>14.28</v>
      </c>
      <c r="BK24" s="191">
        <v>0</v>
      </c>
      <c r="BL24" s="191">
        <v>0</v>
      </c>
      <c r="BM24" s="191">
        <v>12.37</v>
      </c>
      <c r="BN24" s="191">
        <v>14.28</v>
      </c>
      <c r="BO24" s="191">
        <v>-1.2</v>
      </c>
      <c r="BP24" s="191">
        <v>13.33</v>
      </c>
      <c r="BQ24" s="191">
        <v>1.14</v>
      </c>
      <c r="BR24" s="191">
        <v>2.38</v>
      </c>
      <c r="BS24" s="192">
        <v>0</v>
      </c>
      <c r="BT24" s="180"/>
      <c r="BU24" s="191" t="s">
        <v>429</v>
      </c>
      <c r="BV24" s="191">
        <v>-7.79</v>
      </c>
      <c r="BW24" s="191">
        <v>1021.29</v>
      </c>
      <c r="BX24" s="191">
        <v>3.9</v>
      </c>
      <c r="BY24" s="191">
        <v>0</v>
      </c>
      <c r="BZ24" s="191">
        <v>8.17</v>
      </c>
      <c r="CA24" s="191">
        <v>4.93</v>
      </c>
      <c r="CB24" s="191">
        <v>2.6</v>
      </c>
      <c r="CC24" s="191">
        <v>0.74</v>
      </c>
      <c r="CD24" s="191">
        <v>2.32</v>
      </c>
      <c r="CE24" s="191">
        <v>8.36</v>
      </c>
      <c r="CF24" s="191">
        <v>0</v>
      </c>
      <c r="CG24" s="191">
        <v>2.6</v>
      </c>
      <c r="CH24" s="191">
        <v>5.57</v>
      </c>
      <c r="CI24" s="191">
        <v>5.11</v>
      </c>
      <c r="CJ24" s="191">
        <v>0</v>
      </c>
      <c r="CK24" s="191">
        <v>0</v>
      </c>
      <c r="CL24" s="191">
        <v>23.67</v>
      </c>
      <c r="CM24" s="191">
        <v>6.96</v>
      </c>
      <c r="CN24" s="191">
        <v>5.57</v>
      </c>
      <c r="CO24" s="191">
        <v>6.5</v>
      </c>
      <c r="CP24" s="191">
        <v>1.85</v>
      </c>
      <c r="CQ24" s="191">
        <v>3.72</v>
      </c>
      <c r="CR24" s="191">
        <v>0</v>
      </c>
      <c r="CS24" s="191">
        <v>2.79</v>
      </c>
      <c r="CT24" s="191">
        <v>5.38</v>
      </c>
      <c r="CU24" s="191">
        <v>4.17</v>
      </c>
      <c r="CV24" s="191">
        <v>1.02</v>
      </c>
      <c r="CW24" s="191">
        <v>-0.62</v>
      </c>
      <c r="CX24" s="191">
        <v>0</v>
      </c>
      <c r="CY24" s="191">
        <v>13.93</v>
      </c>
      <c r="CZ24" s="191">
        <v>1.39</v>
      </c>
      <c r="DA24" s="191">
        <v>0.37</v>
      </c>
      <c r="DB24" s="191">
        <v>9.29</v>
      </c>
      <c r="DC24" s="191">
        <v>9.29</v>
      </c>
      <c r="DD24" s="191">
        <v>4.64</v>
      </c>
      <c r="DE24" s="191">
        <v>1.11</v>
      </c>
      <c r="DF24" s="191">
        <v>0</v>
      </c>
      <c r="DG24" s="191">
        <v>10.4</v>
      </c>
      <c r="DH24" s="191">
        <v>12.82</v>
      </c>
      <c r="DI24" s="191">
        <v>0</v>
      </c>
      <c r="DJ24" s="191">
        <v>0</v>
      </c>
      <c r="DK24" s="191">
        <v>-5.02</v>
      </c>
      <c r="DL24" s="191">
        <v>-4.92</v>
      </c>
      <c r="DM24" s="191">
        <v>-2.36</v>
      </c>
      <c r="DN24" s="191">
        <v>1.39</v>
      </c>
      <c r="DO24" s="191">
        <v>1.58</v>
      </c>
      <c r="DP24" s="191">
        <v>13.19</v>
      </c>
      <c r="DQ24" s="191">
        <v>5.57</v>
      </c>
      <c r="DR24" s="191">
        <v>9.29</v>
      </c>
      <c r="DS24" s="191">
        <v>2.6</v>
      </c>
      <c r="DT24" s="191">
        <v>0</v>
      </c>
      <c r="DU24" s="191">
        <v>18.57</v>
      </c>
      <c r="DV24" s="191">
        <v>18.57</v>
      </c>
      <c r="DW24" s="191">
        <v>7.43</v>
      </c>
      <c r="DX24" s="191">
        <v>5.57</v>
      </c>
      <c r="DY24" s="191">
        <v>1.95</v>
      </c>
      <c r="DZ24" s="191">
        <v>13.93</v>
      </c>
      <c r="EA24" s="191">
        <v>0</v>
      </c>
      <c r="EB24" s="191">
        <v>0</v>
      </c>
      <c r="EC24" s="191">
        <v>12.07</v>
      </c>
      <c r="ED24" s="191">
        <v>13.93</v>
      </c>
      <c r="EE24" s="191">
        <v>-1.23</v>
      </c>
      <c r="EF24" s="191">
        <v>13</v>
      </c>
      <c r="EG24" s="191">
        <v>1.11</v>
      </c>
      <c r="EH24" s="191">
        <v>2.32</v>
      </c>
      <c r="EI24" s="192">
        <v>0</v>
      </c>
      <c r="EJ24" s="180"/>
      <c r="EK24" s="191" t="s">
        <v>429</v>
      </c>
      <c r="EL24" s="191">
        <v>-8.03</v>
      </c>
      <c r="EM24" s="191">
        <v>3.78</v>
      </c>
      <c r="EN24" s="191">
        <v>7.93</v>
      </c>
      <c r="EO24" s="191">
        <v>2.52</v>
      </c>
      <c r="EP24" s="191">
        <v>0.72</v>
      </c>
      <c r="EQ24" s="191">
        <v>0</v>
      </c>
      <c r="ER24" s="191">
        <v>2.53</v>
      </c>
      <c r="ES24" s="191">
        <v>6.77</v>
      </c>
      <c r="ET24" s="191">
        <v>5.42</v>
      </c>
      <c r="EU24" s="191">
        <v>1.8</v>
      </c>
      <c r="EV24" s="191">
        <v>3.62</v>
      </c>
      <c r="EW24" s="191">
        <v>0</v>
      </c>
      <c r="EX24" s="191">
        <v>2.71</v>
      </c>
      <c r="EY24" s="191">
        <v>0.99</v>
      </c>
      <c r="EZ24" s="191">
        <v>1.35</v>
      </c>
      <c r="FA24" s="191">
        <v>4.51</v>
      </c>
      <c r="FB24" s="191">
        <v>1.08</v>
      </c>
      <c r="FC24" s="191">
        <v>0</v>
      </c>
      <c r="FD24" s="191">
        <v>0</v>
      </c>
      <c r="FE24" s="191">
        <v>-5.17</v>
      </c>
      <c r="FF24" s="191">
        <v>-5.07</v>
      </c>
      <c r="FG24" s="191">
        <v>-2.43</v>
      </c>
      <c r="FH24" s="191">
        <v>1.35</v>
      </c>
      <c r="FI24" s="191">
        <v>1.53</v>
      </c>
      <c r="FJ24" s="191">
        <v>1.89</v>
      </c>
      <c r="FK24" s="191">
        <v>0</v>
      </c>
      <c r="FL24" s="192">
        <v>2.25</v>
      </c>
    </row>
    <row r="25" s="180" customFormat="1" spans="1:168">
      <c r="A25" s="190" t="s">
        <v>430</v>
      </c>
      <c r="B25" s="191">
        <v>-20.2</v>
      </c>
      <c r="C25" s="192">
        <v>1447.74</v>
      </c>
      <c r="E25" s="191" t="s">
        <v>430</v>
      </c>
      <c r="F25" s="191">
        <v>-7.6</v>
      </c>
      <c r="G25" s="191">
        <v>1142.24</v>
      </c>
      <c r="H25" s="191">
        <v>4</v>
      </c>
      <c r="I25" s="191">
        <v>0</v>
      </c>
      <c r="J25" s="191">
        <v>8.38</v>
      </c>
      <c r="K25" s="191">
        <v>5.05</v>
      </c>
      <c r="L25" s="191">
        <v>2.67</v>
      </c>
      <c r="M25" s="191">
        <v>0.76</v>
      </c>
      <c r="N25" s="191">
        <v>2.38</v>
      </c>
      <c r="O25" s="191">
        <v>8.57</v>
      </c>
      <c r="P25" s="191">
        <v>0</v>
      </c>
      <c r="Q25" s="191">
        <v>0</v>
      </c>
      <c r="R25" s="191">
        <v>5.71</v>
      </c>
      <c r="S25" s="191">
        <v>5.24</v>
      </c>
      <c r="T25" s="191">
        <v>0</v>
      </c>
      <c r="U25" s="191">
        <v>0</v>
      </c>
      <c r="V25" s="191">
        <v>24.27</v>
      </c>
      <c r="W25" s="191">
        <v>7.14</v>
      </c>
      <c r="X25" s="191">
        <v>5.71</v>
      </c>
      <c r="Y25" s="191">
        <v>6.66</v>
      </c>
      <c r="Z25" s="191">
        <v>1.9</v>
      </c>
      <c r="AA25" s="191">
        <v>3.81</v>
      </c>
      <c r="AB25" s="191">
        <v>0</v>
      </c>
      <c r="AC25" s="191">
        <v>2.86</v>
      </c>
      <c r="AD25" s="191">
        <v>5.52</v>
      </c>
      <c r="AE25" s="191">
        <v>4.28</v>
      </c>
      <c r="AF25" s="191">
        <v>1.05</v>
      </c>
      <c r="AG25" s="191">
        <v>-0.6</v>
      </c>
      <c r="AH25" s="191">
        <v>0</v>
      </c>
      <c r="AI25" s="191">
        <v>14.28</v>
      </c>
      <c r="AJ25" s="191">
        <v>0</v>
      </c>
      <c r="AK25" s="191">
        <v>0.38</v>
      </c>
      <c r="AL25" s="191">
        <v>0</v>
      </c>
      <c r="AM25" s="191">
        <v>9.52</v>
      </c>
      <c r="AN25" s="191">
        <v>4.76</v>
      </c>
      <c r="AO25" s="191">
        <v>1.14</v>
      </c>
      <c r="AP25" s="191">
        <v>0</v>
      </c>
      <c r="AQ25" s="191">
        <v>10.66</v>
      </c>
      <c r="AR25" s="191">
        <v>13.14</v>
      </c>
      <c r="AS25" s="191">
        <v>0</v>
      </c>
      <c r="AT25" s="191">
        <v>0</v>
      </c>
      <c r="AU25" s="191">
        <v>-4.9</v>
      </c>
      <c r="AV25" s="191">
        <v>-4.8</v>
      </c>
      <c r="AW25" s="191">
        <v>-2.3</v>
      </c>
      <c r="AX25" s="191">
        <v>1.43</v>
      </c>
      <c r="AY25" s="191">
        <v>1.62</v>
      </c>
      <c r="AZ25" s="191">
        <v>13.52</v>
      </c>
      <c r="BA25" s="191">
        <v>5.71</v>
      </c>
      <c r="BB25" s="191">
        <v>9.52</v>
      </c>
      <c r="BC25" s="191">
        <v>2.67</v>
      </c>
      <c r="BD25" s="191">
        <v>0</v>
      </c>
      <c r="BE25" s="191">
        <v>19.04</v>
      </c>
      <c r="BF25" s="191">
        <v>19.04</v>
      </c>
      <c r="BG25" s="191">
        <v>7.62</v>
      </c>
      <c r="BH25" s="191">
        <v>5.71</v>
      </c>
      <c r="BI25" s="191">
        <v>2</v>
      </c>
      <c r="BJ25" s="191">
        <v>14.28</v>
      </c>
      <c r="BK25" s="191">
        <v>0</v>
      </c>
      <c r="BL25" s="191">
        <v>0</v>
      </c>
      <c r="BM25" s="191">
        <v>12.37</v>
      </c>
      <c r="BN25" s="191">
        <v>14.28</v>
      </c>
      <c r="BO25" s="191">
        <v>0</v>
      </c>
      <c r="BP25" s="191">
        <v>13.33</v>
      </c>
      <c r="BQ25" s="191">
        <v>1.14</v>
      </c>
      <c r="BR25" s="191">
        <v>2.38</v>
      </c>
      <c r="BS25" s="192">
        <v>0</v>
      </c>
      <c r="BT25" s="180"/>
      <c r="BU25" s="191" t="s">
        <v>430</v>
      </c>
      <c r="BV25" s="191">
        <v>-7.79</v>
      </c>
      <c r="BW25" s="191">
        <v>1114.14</v>
      </c>
      <c r="BX25" s="191">
        <v>3.9</v>
      </c>
      <c r="BY25" s="191">
        <v>0</v>
      </c>
      <c r="BZ25" s="191">
        <v>8.17</v>
      </c>
      <c r="CA25" s="191">
        <v>4.93</v>
      </c>
      <c r="CB25" s="191">
        <v>2.6</v>
      </c>
      <c r="CC25" s="191">
        <v>0.74</v>
      </c>
      <c r="CD25" s="191">
        <v>2.32</v>
      </c>
      <c r="CE25" s="191">
        <v>8.36</v>
      </c>
      <c r="CF25" s="191">
        <v>0</v>
      </c>
      <c r="CG25" s="191">
        <v>0</v>
      </c>
      <c r="CH25" s="191">
        <v>5.57</v>
      </c>
      <c r="CI25" s="191">
        <v>5.11</v>
      </c>
      <c r="CJ25" s="191">
        <v>0</v>
      </c>
      <c r="CK25" s="191">
        <v>0</v>
      </c>
      <c r="CL25" s="191">
        <v>23.67</v>
      </c>
      <c r="CM25" s="191">
        <v>6.96</v>
      </c>
      <c r="CN25" s="191">
        <v>5.57</v>
      </c>
      <c r="CO25" s="191">
        <v>6.5</v>
      </c>
      <c r="CP25" s="191">
        <v>1.85</v>
      </c>
      <c r="CQ25" s="191">
        <v>3.72</v>
      </c>
      <c r="CR25" s="191">
        <v>0</v>
      </c>
      <c r="CS25" s="191">
        <v>2.79</v>
      </c>
      <c r="CT25" s="191">
        <v>5.38</v>
      </c>
      <c r="CU25" s="191">
        <v>4.17</v>
      </c>
      <c r="CV25" s="191">
        <v>1.02</v>
      </c>
      <c r="CW25" s="191">
        <v>-0.62</v>
      </c>
      <c r="CX25" s="191">
        <v>0</v>
      </c>
      <c r="CY25" s="191">
        <v>13.93</v>
      </c>
      <c r="CZ25" s="191">
        <v>0</v>
      </c>
      <c r="DA25" s="191">
        <v>0.37</v>
      </c>
      <c r="DB25" s="191">
        <v>0</v>
      </c>
      <c r="DC25" s="191">
        <v>9.29</v>
      </c>
      <c r="DD25" s="191">
        <v>4.64</v>
      </c>
      <c r="DE25" s="191">
        <v>1.11</v>
      </c>
      <c r="DF25" s="191">
        <v>0</v>
      </c>
      <c r="DG25" s="191">
        <v>10.4</v>
      </c>
      <c r="DH25" s="191">
        <v>12.82</v>
      </c>
      <c r="DI25" s="191">
        <v>0</v>
      </c>
      <c r="DJ25" s="191">
        <v>0</v>
      </c>
      <c r="DK25" s="191">
        <v>-5.02</v>
      </c>
      <c r="DL25" s="191">
        <v>-4.92</v>
      </c>
      <c r="DM25" s="191">
        <v>-2.36</v>
      </c>
      <c r="DN25" s="191">
        <v>1.39</v>
      </c>
      <c r="DO25" s="191">
        <v>1.58</v>
      </c>
      <c r="DP25" s="191">
        <v>13.19</v>
      </c>
      <c r="DQ25" s="191">
        <v>5.57</v>
      </c>
      <c r="DR25" s="191">
        <v>9.29</v>
      </c>
      <c r="DS25" s="191">
        <v>2.6</v>
      </c>
      <c r="DT25" s="191">
        <v>0</v>
      </c>
      <c r="DU25" s="191">
        <v>18.57</v>
      </c>
      <c r="DV25" s="191">
        <v>18.57</v>
      </c>
      <c r="DW25" s="191">
        <v>7.43</v>
      </c>
      <c r="DX25" s="191">
        <v>5.57</v>
      </c>
      <c r="DY25" s="191">
        <v>1.95</v>
      </c>
      <c r="DZ25" s="191">
        <v>13.93</v>
      </c>
      <c r="EA25" s="191">
        <v>0</v>
      </c>
      <c r="EB25" s="191">
        <v>0</v>
      </c>
      <c r="EC25" s="191">
        <v>12.07</v>
      </c>
      <c r="ED25" s="191">
        <v>13.93</v>
      </c>
      <c r="EE25" s="191">
        <v>0</v>
      </c>
      <c r="EF25" s="191">
        <v>13</v>
      </c>
      <c r="EG25" s="191">
        <v>1.11</v>
      </c>
      <c r="EH25" s="191">
        <v>2.32</v>
      </c>
      <c r="EI25" s="192">
        <v>0</v>
      </c>
      <c r="EJ25" s="180"/>
      <c r="EK25" s="191" t="s">
        <v>430</v>
      </c>
      <c r="EL25" s="191">
        <v>-8.03</v>
      </c>
      <c r="EM25" s="191">
        <v>3.78</v>
      </c>
      <c r="EN25" s="191">
        <v>7.93</v>
      </c>
      <c r="EO25" s="191">
        <v>2.52</v>
      </c>
      <c r="EP25" s="191">
        <v>0.72</v>
      </c>
      <c r="EQ25" s="191">
        <v>0</v>
      </c>
      <c r="ER25" s="191">
        <v>0</v>
      </c>
      <c r="ES25" s="191">
        <v>6.77</v>
      </c>
      <c r="ET25" s="191">
        <v>5.42</v>
      </c>
      <c r="EU25" s="191">
        <v>1.8</v>
      </c>
      <c r="EV25" s="191">
        <v>3.62</v>
      </c>
      <c r="EW25" s="191">
        <v>0</v>
      </c>
      <c r="EX25" s="191">
        <v>2.71</v>
      </c>
      <c r="EY25" s="191">
        <v>0.99</v>
      </c>
      <c r="EZ25" s="191">
        <v>0</v>
      </c>
      <c r="FA25" s="191">
        <v>4.51</v>
      </c>
      <c r="FB25" s="191">
        <v>1.08</v>
      </c>
      <c r="FC25" s="191">
        <v>0</v>
      </c>
      <c r="FD25" s="191">
        <v>0</v>
      </c>
      <c r="FE25" s="191">
        <v>-5.17</v>
      </c>
      <c r="FF25" s="191">
        <v>-5.07</v>
      </c>
      <c r="FG25" s="191">
        <v>-2.43</v>
      </c>
      <c r="FH25" s="191">
        <v>1.35</v>
      </c>
      <c r="FI25" s="191">
        <v>1.53</v>
      </c>
      <c r="FJ25" s="191">
        <v>1.89</v>
      </c>
      <c r="FK25" s="191">
        <v>0</v>
      </c>
      <c r="FL25" s="192">
        <v>2.25</v>
      </c>
    </row>
    <row r="26" s="180" customFormat="1" spans="1:168">
      <c r="A26" s="190" t="s">
        <v>431</v>
      </c>
      <c r="B26" s="191">
        <v>-20.2</v>
      </c>
      <c r="C26" s="192">
        <v>1347.13</v>
      </c>
      <c r="E26" s="191" t="s">
        <v>431</v>
      </c>
      <c r="F26" s="191">
        <v>-7.6</v>
      </c>
      <c r="G26" s="191">
        <v>1047.06</v>
      </c>
      <c r="H26" s="191">
        <v>0</v>
      </c>
      <c r="I26" s="191">
        <v>0</v>
      </c>
      <c r="J26" s="191">
        <v>8.38</v>
      </c>
      <c r="K26" s="191">
        <v>5.05</v>
      </c>
      <c r="L26" s="191">
        <v>2.67</v>
      </c>
      <c r="M26" s="191">
        <v>0.76</v>
      </c>
      <c r="N26" s="191">
        <v>2.38</v>
      </c>
      <c r="O26" s="191">
        <v>8.57</v>
      </c>
      <c r="P26" s="191">
        <v>0</v>
      </c>
      <c r="Q26" s="191">
        <v>0</v>
      </c>
      <c r="R26" s="191">
        <v>5.71</v>
      </c>
      <c r="S26" s="191">
        <v>5.24</v>
      </c>
      <c r="T26" s="191">
        <v>0</v>
      </c>
      <c r="U26" s="191">
        <v>0</v>
      </c>
      <c r="V26" s="191">
        <v>24.27</v>
      </c>
      <c r="W26" s="191">
        <v>7.14</v>
      </c>
      <c r="X26" s="191">
        <v>5.71</v>
      </c>
      <c r="Y26" s="191">
        <v>6.66</v>
      </c>
      <c r="Z26" s="191">
        <v>1.9</v>
      </c>
      <c r="AA26" s="191">
        <v>3.81</v>
      </c>
      <c r="AB26" s="191">
        <v>0</v>
      </c>
      <c r="AC26" s="191">
        <v>2.86</v>
      </c>
      <c r="AD26" s="191">
        <v>5.52</v>
      </c>
      <c r="AE26" s="191">
        <v>4.28</v>
      </c>
      <c r="AF26" s="191">
        <v>1.05</v>
      </c>
      <c r="AG26" s="191">
        <v>-0.6</v>
      </c>
      <c r="AH26" s="191">
        <v>0</v>
      </c>
      <c r="AI26" s="191">
        <v>14.28</v>
      </c>
      <c r="AJ26" s="191">
        <v>0</v>
      </c>
      <c r="AK26" s="191">
        <v>0.38</v>
      </c>
      <c r="AL26" s="191">
        <v>0</v>
      </c>
      <c r="AM26" s="191">
        <v>9.52</v>
      </c>
      <c r="AN26" s="191">
        <v>4.76</v>
      </c>
      <c r="AO26" s="191">
        <v>1.14</v>
      </c>
      <c r="AP26" s="191">
        <v>0</v>
      </c>
      <c r="AQ26" s="191">
        <v>10.66</v>
      </c>
      <c r="AR26" s="191">
        <v>13.14</v>
      </c>
      <c r="AS26" s="191">
        <v>0</v>
      </c>
      <c r="AT26" s="191">
        <v>0</v>
      </c>
      <c r="AU26" s="191">
        <v>-4.9</v>
      </c>
      <c r="AV26" s="191">
        <v>-4.8</v>
      </c>
      <c r="AW26" s="191">
        <v>-2.3</v>
      </c>
      <c r="AX26" s="191">
        <v>0</v>
      </c>
      <c r="AY26" s="191">
        <v>1.62</v>
      </c>
      <c r="AZ26" s="191">
        <v>13.52</v>
      </c>
      <c r="BA26" s="191">
        <v>5.71</v>
      </c>
      <c r="BB26" s="191">
        <v>9.52</v>
      </c>
      <c r="BC26" s="191">
        <v>2.67</v>
      </c>
      <c r="BD26" s="191">
        <v>0</v>
      </c>
      <c r="BE26" s="191">
        <v>19.04</v>
      </c>
      <c r="BF26" s="191">
        <v>19.04</v>
      </c>
      <c r="BG26" s="191">
        <v>7.62</v>
      </c>
      <c r="BH26" s="191">
        <v>5.71</v>
      </c>
      <c r="BI26" s="191">
        <v>2</v>
      </c>
      <c r="BJ26" s="191">
        <v>14.28</v>
      </c>
      <c r="BK26" s="191">
        <v>0</v>
      </c>
      <c r="BL26" s="191">
        <v>0</v>
      </c>
      <c r="BM26" s="191">
        <v>12.37</v>
      </c>
      <c r="BN26" s="191">
        <v>14.28</v>
      </c>
      <c r="BO26" s="191">
        <v>0</v>
      </c>
      <c r="BP26" s="191">
        <v>13.33</v>
      </c>
      <c r="BQ26" s="191">
        <v>1.14</v>
      </c>
      <c r="BR26" s="191">
        <v>2.38</v>
      </c>
      <c r="BS26" s="192">
        <v>0</v>
      </c>
      <c r="BT26" s="180"/>
      <c r="BU26" s="191" t="s">
        <v>431</v>
      </c>
      <c r="BV26" s="191">
        <v>-7.79</v>
      </c>
      <c r="BW26" s="191">
        <v>1021.3</v>
      </c>
      <c r="BX26" s="191">
        <v>0</v>
      </c>
      <c r="BY26" s="191">
        <v>0</v>
      </c>
      <c r="BZ26" s="191">
        <v>8.17</v>
      </c>
      <c r="CA26" s="191">
        <v>4.93</v>
      </c>
      <c r="CB26" s="191">
        <v>2.6</v>
      </c>
      <c r="CC26" s="191">
        <v>0.74</v>
      </c>
      <c r="CD26" s="191">
        <v>2.32</v>
      </c>
      <c r="CE26" s="191">
        <v>8.36</v>
      </c>
      <c r="CF26" s="191">
        <v>0</v>
      </c>
      <c r="CG26" s="191">
        <v>0</v>
      </c>
      <c r="CH26" s="191">
        <v>5.57</v>
      </c>
      <c r="CI26" s="191">
        <v>5.11</v>
      </c>
      <c r="CJ26" s="191">
        <v>0</v>
      </c>
      <c r="CK26" s="191">
        <v>0</v>
      </c>
      <c r="CL26" s="191">
        <v>23.67</v>
      </c>
      <c r="CM26" s="191">
        <v>6.96</v>
      </c>
      <c r="CN26" s="191">
        <v>5.57</v>
      </c>
      <c r="CO26" s="191">
        <v>6.5</v>
      </c>
      <c r="CP26" s="191">
        <v>1.85</v>
      </c>
      <c r="CQ26" s="191">
        <v>3.72</v>
      </c>
      <c r="CR26" s="191">
        <v>0</v>
      </c>
      <c r="CS26" s="191">
        <v>2.79</v>
      </c>
      <c r="CT26" s="191">
        <v>5.38</v>
      </c>
      <c r="CU26" s="191">
        <v>4.17</v>
      </c>
      <c r="CV26" s="191">
        <v>1.02</v>
      </c>
      <c r="CW26" s="191">
        <v>-0.62</v>
      </c>
      <c r="CX26" s="191">
        <v>0</v>
      </c>
      <c r="CY26" s="191">
        <v>13.93</v>
      </c>
      <c r="CZ26" s="191">
        <v>0</v>
      </c>
      <c r="DA26" s="191">
        <v>0.37</v>
      </c>
      <c r="DB26" s="191">
        <v>0</v>
      </c>
      <c r="DC26" s="191">
        <v>9.29</v>
      </c>
      <c r="DD26" s="191">
        <v>4.64</v>
      </c>
      <c r="DE26" s="191">
        <v>1.11</v>
      </c>
      <c r="DF26" s="191">
        <v>0</v>
      </c>
      <c r="DG26" s="191">
        <v>10.4</v>
      </c>
      <c r="DH26" s="191">
        <v>12.82</v>
      </c>
      <c r="DI26" s="191">
        <v>0</v>
      </c>
      <c r="DJ26" s="191">
        <v>0</v>
      </c>
      <c r="DK26" s="191">
        <v>-5.02</v>
      </c>
      <c r="DL26" s="191">
        <v>-4.92</v>
      </c>
      <c r="DM26" s="191">
        <v>-2.36</v>
      </c>
      <c r="DN26" s="191">
        <v>0</v>
      </c>
      <c r="DO26" s="191">
        <v>1.58</v>
      </c>
      <c r="DP26" s="191">
        <v>13.19</v>
      </c>
      <c r="DQ26" s="191">
        <v>5.57</v>
      </c>
      <c r="DR26" s="191">
        <v>9.29</v>
      </c>
      <c r="DS26" s="191">
        <v>2.6</v>
      </c>
      <c r="DT26" s="191">
        <v>0</v>
      </c>
      <c r="DU26" s="191">
        <v>18.57</v>
      </c>
      <c r="DV26" s="191">
        <v>18.57</v>
      </c>
      <c r="DW26" s="191">
        <v>7.43</v>
      </c>
      <c r="DX26" s="191">
        <v>5.57</v>
      </c>
      <c r="DY26" s="191">
        <v>1.95</v>
      </c>
      <c r="DZ26" s="191">
        <v>13.93</v>
      </c>
      <c r="EA26" s="191">
        <v>0</v>
      </c>
      <c r="EB26" s="191">
        <v>0</v>
      </c>
      <c r="EC26" s="191">
        <v>12.07</v>
      </c>
      <c r="ED26" s="191">
        <v>13.93</v>
      </c>
      <c r="EE26" s="191">
        <v>0</v>
      </c>
      <c r="EF26" s="191">
        <v>13</v>
      </c>
      <c r="EG26" s="191">
        <v>1.11</v>
      </c>
      <c r="EH26" s="191">
        <v>2.32</v>
      </c>
      <c r="EI26" s="192">
        <v>0</v>
      </c>
      <c r="EJ26" s="180"/>
      <c r="EK26" s="191" t="s">
        <v>431</v>
      </c>
      <c r="EL26" s="191">
        <v>-8.03</v>
      </c>
      <c r="EM26" s="191">
        <v>0</v>
      </c>
      <c r="EN26" s="191">
        <v>7.93</v>
      </c>
      <c r="EO26" s="191">
        <v>2.52</v>
      </c>
      <c r="EP26" s="191">
        <v>0.72</v>
      </c>
      <c r="EQ26" s="191">
        <v>0</v>
      </c>
      <c r="ER26" s="191">
        <v>0</v>
      </c>
      <c r="ES26" s="191">
        <v>6.77</v>
      </c>
      <c r="ET26" s="191">
        <v>5.42</v>
      </c>
      <c r="EU26" s="191">
        <v>1.8</v>
      </c>
      <c r="EV26" s="191">
        <v>3.62</v>
      </c>
      <c r="EW26" s="191">
        <v>0</v>
      </c>
      <c r="EX26" s="191">
        <v>2.71</v>
      </c>
      <c r="EY26" s="191">
        <v>0.99</v>
      </c>
      <c r="EZ26" s="191">
        <v>0</v>
      </c>
      <c r="FA26" s="191">
        <v>4.51</v>
      </c>
      <c r="FB26" s="191">
        <v>1.08</v>
      </c>
      <c r="FC26" s="191">
        <v>0</v>
      </c>
      <c r="FD26" s="191">
        <v>0</v>
      </c>
      <c r="FE26" s="191">
        <v>-5.17</v>
      </c>
      <c r="FF26" s="191">
        <v>-5.07</v>
      </c>
      <c r="FG26" s="191">
        <v>-2.43</v>
      </c>
      <c r="FH26" s="191">
        <v>0</v>
      </c>
      <c r="FI26" s="191">
        <v>1.53</v>
      </c>
      <c r="FJ26" s="191">
        <v>1.89</v>
      </c>
      <c r="FK26" s="191">
        <v>0</v>
      </c>
      <c r="FL26" s="192">
        <v>2.25</v>
      </c>
    </row>
    <row r="27" s="180" customFormat="1" spans="1:168">
      <c r="A27" s="190" t="s">
        <v>432</v>
      </c>
      <c r="B27" s="191">
        <v>-20.2</v>
      </c>
      <c r="C27" s="192">
        <v>1305.25</v>
      </c>
      <c r="E27" s="191" t="s">
        <v>432</v>
      </c>
      <c r="F27" s="191">
        <v>-7.6</v>
      </c>
      <c r="G27" s="191">
        <v>1047.06</v>
      </c>
      <c r="H27" s="191">
        <v>0</v>
      </c>
      <c r="I27" s="191">
        <v>0</v>
      </c>
      <c r="J27" s="191">
        <v>8.38</v>
      </c>
      <c r="K27" s="191">
        <v>5.05</v>
      </c>
      <c r="L27" s="191">
        <v>2.67</v>
      </c>
      <c r="M27" s="191">
        <v>0.76</v>
      </c>
      <c r="N27" s="191">
        <v>2.38</v>
      </c>
      <c r="O27" s="191">
        <v>8.57</v>
      </c>
      <c r="P27" s="191">
        <v>0</v>
      </c>
      <c r="Q27" s="191">
        <v>0</v>
      </c>
      <c r="R27" s="191">
        <v>0</v>
      </c>
      <c r="S27" s="191">
        <v>5.24</v>
      </c>
      <c r="T27" s="191">
        <v>0</v>
      </c>
      <c r="U27" s="191">
        <v>0</v>
      </c>
      <c r="V27" s="191">
        <v>24.27</v>
      </c>
      <c r="W27" s="191">
        <v>7.14</v>
      </c>
      <c r="X27" s="191">
        <v>5.71</v>
      </c>
      <c r="Y27" s="191">
        <v>6.66</v>
      </c>
      <c r="Z27" s="191">
        <v>1.9</v>
      </c>
      <c r="AA27" s="191">
        <v>0</v>
      </c>
      <c r="AB27" s="191">
        <v>0</v>
      </c>
      <c r="AC27" s="191">
        <v>2.86</v>
      </c>
      <c r="AD27" s="191">
        <v>0</v>
      </c>
      <c r="AE27" s="191">
        <v>4.28</v>
      </c>
      <c r="AF27" s="191">
        <v>1.05</v>
      </c>
      <c r="AG27" s="191">
        <v>-0.6</v>
      </c>
      <c r="AH27" s="191">
        <v>0</v>
      </c>
      <c r="AI27" s="191">
        <v>14.28</v>
      </c>
      <c r="AJ27" s="191">
        <v>0</v>
      </c>
      <c r="AK27" s="191">
        <v>0.38</v>
      </c>
      <c r="AL27" s="191">
        <v>0</v>
      </c>
      <c r="AM27" s="191">
        <v>9.52</v>
      </c>
      <c r="AN27" s="191">
        <v>4.76</v>
      </c>
      <c r="AO27" s="191">
        <v>1.14</v>
      </c>
      <c r="AP27" s="191">
        <v>0</v>
      </c>
      <c r="AQ27" s="191">
        <v>10.66</v>
      </c>
      <c r="AR27" s="191">
        <v>13.14</v>
      </c>
      <c r="AS27" s="191">
        <v>0</v>
      </c>
      <c r="AT27" s="191">
        <v>0</v>
      </c>
      <c r="AU27" s="191">
        <v>-4.9</v>
      </c>
      <c r="AV27" s="191">
        <v>-4.8</v>
      </c>
      <c r="AW27" s="191">
        <v>-2.3</v>
      </c>
      <c r="AX27" s="191">
        <v>0</v>
      </c>
      <c r="AY27" s="191">
        <v>1.62</v>
      </c>
      <c r="AZ27" s="191">
        <v>13.52</v>
      </c>
      <c r="BA27" s="191">
        <v>5.71</v>
      </c>
      <c r="BB27" s="191">
        <v>9.52</v>
      </c>
      <c r="BC27" s="191">
        <v>2.67</v>
      </c>
      <c r="BD27" s="191">
        <v>0</v>
      </c>
      <c r="BE27" s="191">
        <v>19.04</v>
      </c>
      <c r="BF27" s="191">
        <v>19.04</v>
      </c>
      <c r="BG27" s="191">
        <v>7.62</v>
      </c>
      <c r="BH27" s="191">
        <v>5.71</v>
      </c>
      <c r="BI27" s="191">
        <v>2</v>
      </c>
      <c r="BJ27" s="191">
        <v>14.28</v>
      </c>
      <c r="BK27" s="191">
        <v>0</v>
      </c>
      <c r="BL27" s="191">
        <v>0</v>
      </c>
      <c r="BM27" s="191">
        <v>0</v>
      </c>
      <c r="BN27" s="191">
        <v>14.28</v>
      </c>
      <c r="BO27" s="191">
        <v>0</v>
      </c>
      <c r="BP27" s="191">
        <v>0</v>
      </c>
      <c r="BQ27" s="191">
        <v>0</v>
      </c>
      <c r="BR27" s="191">
        <v>2.38</v>
      </c>
      <c r="BS27" s="192">
        <v>0</v>
      </c>
      <c r="BT27" s="180"/>
      <c r="BU27" s="191" t="s">
        <v>432</v>
      </c>
      <c r="BV27" s="191">
        <v>-7.79</v>
      </c>
      <c r="BW27" s="191">
        <v>1021.3</v>
      </c>
      <c r="BX27" s="191">
        <v>0</v>
      </c>
      <c r="BY27" s="191">
        <v>0</v>
      </c>
      <c r="BZ27" s="191">
        <v>8.17</v>
      </c>
      <c r="CA27" s="191">
        <v>4.93</v>
      </c>
      <c r="CB27" s="191">
        <v>2.6</v>
      </c>
      <c r="CC27" s="191">
        <v>0.74</v>
      </c>
      <c r="CD27" s="191">
        <v>2.32</v>
      </c>
      <c r="CE27" s="191">
        <v>8.36</v>
      </c>
      <c r="CF27" s="191">
        <v>0</v>
      </c>
      <c r="CG27" s="191">
        <v>0</v>
      </c>
      <c r="CH27" s="191">
        <v>0</v>
      </c>
      <c r="CI27" s="191">
        <v>5.11</v>
      </c>
      <c r="CJ27" s="191">
        <v>0</v>
      </c>
      <c r="CK27" s="191">
        <v>0</v>
      </c>
      <c r="CL27" s="191">
        <v>23.67</v>
      </c>
      <c r="CM27" s="191">
        <v>6.96</v>
      </c>
      <c r="CN27" s="191">
        <v>5.57</v>
      </c>
      <c r="CO27" s="191">
        <v>6.5</v>
      </c>
      <c r="CP27" s="191">
        <v>1.85</v>
      </c>
      <c r="CQ27" s="191">
        <v>0</v>
      </c>
      <c r="CR27" s="191">
        <v>0</v>
      </c>
      <c r="CS27" s="191">
        <v>2.79</v>
      </c>
      <c r="CT27" s="191">
        <v>0</v>
      </c>
      <c r="CU27" s="191">
        <v>4.17</v>
      </c>
      <c r="CV27" s="191">
        <v>1.02</v>
      </c>
      <c r="CW27" s="191">
        <v>-0.62</v>
      </c>
      <c r="CX27" s="191">
        <v>0</v>
      </c>
      <c r="CY27" s="191">
        <v>13.93</v>
      </c>
      <c r="CZ27" s="191">
        <v>0</v>
      </c>
      <c r="DA27" s="191">
        <v>0.37</v>
      </c>
      <c r="DB27" s="191">
        <v>0</v>
      </c>
      <c r="DC27" s="191">
        <v>9.29</v>
      </c>
      <c r="DD27" s="191">
        <v>4.64</v>
      </c>
      <c r="DE27" s="191">
        <v>1.11</v>
      </c>
      <c r="DF27" s="191">
        <v>0</v>
      </c>
      <c r="DG27" s="191">
        <v>10.4</v>
      </c>
      <c r="DH27" s="191">
        <v>12.82</v>
      </c>
      <c r="DI27" s="191">
        <v>0</v>
      </c>
      <c r="DJ27" s="191">
        <v>0</v>
      </c>
      <c r="DK27" s="191">
        <v>-5.02</v>
      </c>
      <c r="DL27" s="191">
        <v>-4.92</v>
      </c>
      <c r="DM27" s="191">
        <v>-2.36</v>
      </c>
      <c r="DN27" s="191">
        <v>0</v>
      </c>
      <c r="DO27" s="191">
        <v>1.58</v>
      </c>
      <c r="DP27" s="191">
        <v>13.19</v>
      </c>
      <c r="DQ27" s="191">
        <v>5.57</v>
      </c>
      <c r="DR27" s="191">
        <v>9.29</v>
      </c>
      <c r="DS27" s="191">
        <v>2.6</v>
      </c>
      <c r="DT27" s="191">
        <v>0</v>
      </c>
      <c r="DU27" s="191">
        <v>18.57</v>
      </c>
      <c r="DV27" s="191">
        <v>18.57</v>
      </c>
      <c r="DW27" s="191">
        <v>7.43</v>
      </c>
      <c r="DX27" s="191">
        <v>5.57</v>
      </c>
      <c r="DY27" s="191">
        <v>1.95</v>
      </c>
      <c r="DZ27" s="191">
        <v>13.93</v>
      </c>
      <c r="EA27" s="191">
        <v>0</v>
      </c>
      <c r="EB27" s="191">
        <v>0</v>
      </c>
      <c r="EC27" s="191">
        <v>0</v>
      </c>
      <c r="ED27" s="191">
        <v>13.93</v>
      </c>
      <c r="EE27" s="191">
        <v>0</v>
      </c>
      <c r="EF27" s="191">
        <v>0</v>
      </c>
      <c r="EG27" s="191">
        <v>0</v>
      </c>
      <c r="EH27" s="191">
        <v>2.32</v>
      </c>
      <c r="EI27" s="192">
        <v>0</v>
      </c>
      <c r="EJ27" s="180"/>
      <c r="EK27" s="191" t="s">
        <v>432</v>
      </c>
      <c r="EL27" s="191">
        <v>-8.03</v>
      </c>
      <c r="EM27" s="191">
        <v>0</v>
      </c>
      <c r="EN27" s="191">
        <v>7.93</v>
      </c>
      <c r="EO27" s="191">
        <v>2.52</v>
      </c>
      <c r="EP27" s="191">
        <v>0.72</v>
      </c>
      <c r="EQ27" s="191">
        <v>0</v>
      </c>
      <c r="ER27" s="191">
        <v>0</v>
      </c>
      <c r="ES27" s="191">
        <v>6.77</v>
      </c>
      <c r="ET27" s="191">
        <v>5.42</v>
      </c>
      <c r="EU27" s="191">
        <v>1.8</v>
      </c>
      <c r="EV27" s="191">
        <v>0</v>
      </c>
      <c r="EW27" s="191">
        <v>0</v>
      </c>
      <c r="EX27" s="191">
        <v>2.71</v>
      </c>
      <c r="EY27" s="191">
        <v>0.99</v>
      </c>
      <c r="EZ27" s="191">
        <v>0</v>
      </c>
      <c r="FA27" s="191">
        <v>4.51</v>
      </c>
      <c r="FB27" s="191">
        <v>1.08</v>
      </c>
      <c r="FC27" s="191">
        <v>0</v>
      </c>
      <c r="FD27" s="191">
        <v>0</v>
      </c>
      <c r="FE27" s="191">
        <v>-5.17</v>
      </c>
      <c r="FF27" s="191">
        <v>-5.07</v>
      </c>
      <c r="FG27" s="191">
        <v>-2.43</v>
      </c>
      <c r="FH27" s="191">
        <v>0</v>
      </c>
      <c r="FI27" s="191">
        <v>1.53</v>
      </c>
      <c r="FJ27" s="191">
        <v>1.89</v>
      </c>
      <c r="FK27" s="191">
        <v>0</v>
      </c>
      <c r="FL27" s="192">
        <v>2.25</v>
      </c>
    </row>
    <row r="28" s="180" customFormat="1" spans="1:168">
      <c r="A28" s="190" t="s">
        <v>433</v>
      </c>
      <c r="B28" s="191">
        <v>-20.2</v>
      </c>
      <c r="C28" s="192">
        <v>1260.98</v>
      </c>
      <c r="E28" s="191" t="s">
        <v>433</v>
      </c>
      <c r="F28" s="191">
        <v>-7.6</v>
      </c>
      <c r="G28" s="191">
        <v>1047.06</v>
      </c>
      <c r="H28" s="191">
        <v>0</v>
      </c>
      <c r="I28" s="191">
        <v>0</v>
      </c>
      <c r="J28" s="191">
        <v>8.38</v>
      </c>
      <c r="K28" s="191">
        <v>5.05</v>
      </c>
      <c r="L28" s="191">
        <v>2.67</v>
      </c>
      <c r="M28" s="191">
        <v>0.76</v>
      </c>
      <c r="N28" s="191">
        <v>0</v>
      </c>
      <c r="O28" s="191">
        <v>0</v>
      </c>
      <c r="P28" s="191">
        <v>0</v>
      </c>
      <c r="Q28" s="191">
        <v>0</v>
      </c>
      <c r="R28" s="191">
        <v>0</v>
      </c>
      <c r="S28" s="191">
        <v>5.24</v>
      </c>
      <c r="T28" s="191">
        <v>0</v>
      </c>
      <c r="U28" s="191">
        <v>0</v>
      </c>
      <c r="V28" s="191">
        <v>24.27</v>
      </c>
      <c r="W28" s="191">
        <v>7.14</v>
      </c>
      <c r="X28" s="191">
        <v>5.71</v>
      </c>
      <c r="Y28" s="191">
        <v>0</v>
      </c>
      <c r="Z28" s="191">
        <v>1.9</v>
      </c>
      <c r="AA28" s="191">
        <v>0</v>
      </c>
      <c r="AB28" s="191">
        <v>0</v>
      </c>
      <c r="AC28" s="191">
        <v>2.86</v>
      </c>
      <c r="AD28" s="191">
        <v>0</v>
      </c>
      <c r="AE28" s="191">
        <v>4.28</v>
      </c>
      <c r="AF28" s="191">
        <v>1.05</v>
      </c>
      <c r="AG28" s="191">
        <v>-0.6</v>
      </c>
      <c r="AH28" s="191">
        <v>0</v>
      </c>
      <c r="AI28" s="191">
        <v>14.28</v>
      </c>
      <c r="AJ28" s="191">
        <v>0</v>
      </c>
      <c r="AK28" s="191">
        <v>0.38</v>
      </c>
      <c r="AL28" s="191">
        <v>0</v>
      </c>
      <c r="AM28" s="191">
        <v>9.52</v>
      </c>
      <c r="AN28" s="191">
        <v>4.76</v>
      </c>
      <c r="AO28" s="191">
        <v>1.14</v>
      </c>
      <c r="AP28" s="191">
        <v>0</v>
      </c>
      <c r="AQ28" s="191">
        <v>10.66</v>
      </c>
      <c r="AR28" s="191">
        <v>13.14</v>
      </c>
      <c r="AS28" s="191">
        <v>0</v>
      </c>
      <c r="AT28" s="191">
        <v>0</v>
      </c>
      <c r="AU28" s="191">
        <v>-4.9</v>
      </c>
      <c r="AV28" s="191">
        <v>-4.8</v>
      </c>
      <c r="AW28" s="191">
        <v>-2.3</v>
      </c>
      <c r="AX28" s="191">
        <v>0</v>
      </c>
      <c r="AY28" s="191">
        <v>1.62</v>
      </c>
      <c r="AZ28" s="191">
        <v>13.52</v>
      </c>
      <c r="BA28" s="191">
        <v>5.71</v>
      </c>
      <c r="BB28" s="191">
        <v>9.52</v>
      </c>
      <c r="BC28" s="191">
        <v>2.67</v>
      </c>
      <c r="BD28" s="191">
        <v>0</v>
      </c>
      <c r="BE28" s="191">
        <v>0</v>
      </c>
      <c r="BF28" s="191">
        <v>19.04</v>
      </c>
      <c r="BG28" s="191">
        <v>0</v>
      </c>
      <c r="BH28" s="191">
        <v>5.71</v>
      </c>
      <c r="BI28" s="191">
        <v>2</v>
      </c>
      <c r="BJ28" s="191">
        <v>14.28</v>
      </c>
      <c r="BK28" s="191">
        <v>0</v>
      </c>
      <c r="BL28" s="191">
        <v>0</v>
      </c>
      <c r="BM28" s="191">
        <v>0</v>
      </c>
      <c r="BN28" s="191">
        <v>14.28</v>
      </c>
      <c r="BO28" s="191">
        <v>0</v>
      </c>
      <c r="BP28" s="191">
        <v>0</v>
      </c>
      <c r="BQ28" s="191">
        <v>0</v>
      </c>
      <c r="BR28" s="191">
        <v>2.38</v>
      </c>
      <c r="BS28" s="192">
        <v>0</v>
      </c>
      <c r="BT28" s="180"/>
      <c r="BU28" s="191" t="s">
        <v>433</v>
      </c>
      <c r="BV28" s="191">
        <v>-7.79</v>
      </c>
      <c r="BW28" s="191">
        <v>1021.3</v>
      </c>
      <c r="BX28" s="191">
        <v>0</v>
      </c>
      <c r="BY28" s="191">
        <v>0</v>
      </c>
      <c r="BZ28" s="191">
        <v>8.17</v>
      </c>
      <c r="CA28" s="191">
        <v>4.93</v>
      </c>
      <c r="CB28" s="191">
        <v>2.6</v>
      </c>
      <c r="CC28" s="191">
        <v>0.74</v>
      </c>
      <c r="CD28" s="191">
        <v>0</v>
      </c>
      <c r="CE28" s="191">
        <v>0</v>
      </c>
      <c r="CF28" s="191">
        <v>0</v>
      </c>
      <c r="CG28" s="191">
        <v>0</v>
      </c>
      <c r="CH28" s="191">
        <v>0</v>
      </c>
      <c r="CI28" s="191">
        <v>5.11</v>
      </c>
      <c r="CJ28" s="191">
        <v>0</v>
      </c>
      <c r="CK28" s="191">
        <v>0</v>
      </c>
      <c r="CL28" s="191">
        <v>23.67</v>
      </c>
      <c r="CM28" s="191">
        <v>6.96</v>
      </c>
      <c r="CN28" s="191">
        <v>5.57</v>
      </c>
      <c r="CO28" s="191">
        <v>0</v>
      </c>
      <c r="CP28" s="191">
        <v>1.85</v>
      </c>
      <c r="CQ28" s="191">
        <v>0</v>
      </c>
      <c r="CR28" s="191">
        <v>0</v>
      </c>
      <c r="CS28" s="191">
        <v>2.79</v>
      </c>
      <c r="CT28" s="191">
        <v>0</v>
      </c>
      <c r="CU28" s="191">
        <v>4.17</v>
      </c>
      <c r="CV28" s="191">
        <v>1.02</v>
      </c>
      <c r="CW28" s="191">
        <v>-0.62</v>
      </c>
      <c r="CX28" s="191">
        <v>0</v>
      </c>
      <c r="CY28" s="191">
        <v>13.93</v>
      </c>
      <c r="CZ28" s="191">
        <v>0</v>
      </c>
      <c r="DA28" s="191">
        <v>0.37</v>
      </c>
      <c r="DB28" s="191">
        <v>0</v>
      </c>
      <c r="DC28" s="191">
        <v>9.29</v>
      </c>
      <c r="DD28" s="191">
        <v>4.64</v>
      </c>
      <c r="DE28" s="191">
        <v>1.11</v>
      </c>
      <c r="DF28" s="191">
        <v>0</v>
      </c>
      <c r="DG28" s="191">
        <v>10.4</v>
      </c>
      <c r="DH28" s="191">
        <v>12.82</v>
      </c>
      <c r="DI28" s="191">
        <v>0</v>
      </c>
      <c r="DJ28" s="191">
        <v>0</v>
      </c>
      <c r="DK28" s="191">
        <v>-5.02</v>
      </c>
      <c r="DL28" s="191">
        <v>-4.92</v>
      </c>
      <c r="DM28" s="191">
        <v>-2.36</v>
      </c>
      <c r="DN28" s="191">
        <v>0</v>
      </c>
      <c r="DO28" s="191">
        <v>1.58</v>
      </c>
      <c r="DP28" s="191">
        <v>13.19</v>
      </c>
      <c r="DQ28" s="191">
        <v>5.57</v>
      </c>
      <c r="DR28" s="191">
        <v>9.29</v>
      </c>
      <c r="DS28" s="191">
        <v>2.6</v>
      </c>
      <c r="DT28" s="191">
        <v>0</v>
      </c>
      <c r="DU28" s="191">
        <v>0</v>
      </c>
      <c r="DV28" s="191">
        <v>18.57</v>
      </c>
      <c r="DW28" s="191">
        <v>0</v>
      </c>
      <c r="DX28" s="191">
        <v>5.57</v>
      </c>
      <c r="DY28" s="191">
        <v>1.95</v>
      </c>
      <c r="DZ28" s="191">
        <v>13.93</v>
      </c>
      <c r="EA28" s="191">
        <v>0</v>
      </c>
      <c r="EB28" s="191">
        <v>0</v>
      </c>
      <c r="EC28" s="191">
        <v>0</v>
      </c>
      <c r="ED28" s="191">
        <v>13.93</v>
      </c>
      <c r="EE28" s="191">
        <v>0</v>
      </c>
      <c r="EF28" s="191">
        <v>0</v>
      </c>
      <c r="EG28" s="191">
        <v>0</v>
      </c>
      <c r="EH28" s="191">
        <v>2.32</v>
      </c>
      <c r="EI28" s="192">
        <v>0</v>
      </c>
      <c r="EJ28" s="180"/>
      <c r="EK28" s="191" t="s">
        <v>433</v>
      </c>
      <c r="EL28" s="191">
        <v>-8.03</v>
      </c>
      <c r="EM28" s="191">
        <v>0</v>
      </c>
      <c r="EN28" s="191">
        <v>7.93</v>
      </c>
      <c r="EO28" s="191">
        <v>2.52</v>
      </c>
      <c r="EP28" s="191">
        <v>0.72</v>
      </c>
      <c r="EQ28" s="191">
        <v>0</v>
      </c>
      <c r="ER28" s="191">
        <v>0</v>
      </c>
      <c r="ES28" s="191">
        <v>6.77</v>
      </c>
      <c r="ET28" s="191">
        <v>5.42</v>
      </c>
      <c r="EU28" s="191">
        <v>1.8</v>
      </c>
      <c r="EV28" s="191">
        <v>0</v>
      </c>
      <c r="EW28" s="191">
        <v>0</v>
      </c>
      <c r="EX28" s="191">
        <v>2.71</v>
      </c>
      <c r="EY28" s="191">
        <v>0.99</v>
      </c>
      <c r="EZ28" s="191">
        <v>0</v>
      </c>
      <c r="FA28" s="191">
        <v>4.51</v>
      </c>
      <c r="FB28" s="191">
        <v>1.08</v>
      </c>
      <c r="FC28" s="191">
        <v>0</v>
      </c>
      <c r="FD28" s="191">
        <v>0</v>
      </c>
      <c r="FE28" s="191">
        <v>-5.17</v>
      </c>
      <c r="FF28" s="191">
        <v>-5.07</v>
      </c>
      <c r="FG28" s="191">
        <v>-2.43</v>
      </c>
      <c r="FH28" s="191">
        <v>0</v>
      </c>
      <c r="FI28" s="191">
        <v>1.53</v>
      </c>
      <c r="FJ28" s="191">
        <v>1.89</v>
      </c>
      <c r="FK28" s="191">
        <v>0</v>
      </c>
      <c r="FL28" s="192">
        <v>2.25</v>
      </c>
    </row>
    <row r="29" s="180" customFormat="1" spans="1:168">
      <c r="A29" s="190" t="s">
        <v>434</v>
      </c>
      <c r="B29" s="191">
        <v>-21.6</v>
      </c>
      <c r="C29" s="192">
        <v>1322.19</v>
      </c>
      <c r="E29" s="191" t="s">
        <v>434</v>
      </c>
      <c r="F29" s="191">
        <v>-7.6</v>
      </c>
      <c r="G29" s="191">
        <v>1142.27</v>
      </c>
      <c r="H29" s="191">
        <v>0</v>
      </c>
      <c r="I29" s="191">
        <v>0</v>
      </c>
      <c r="J29" s="191">
        <v>0</v>
      </c>
      <c r="K29" s="191">
        <v>5.05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91">
        <v>0</v>
      </c>
      <c r="S29" s="191">
        <v>8.57</v>
      </c>
      <c r="T29" s="191">
        <v>0</v>
      </c>
      <c r="U29" s="191">
        <v>0</v>
      </c>
      <c r="V29" s="191">
        <v>24.27</v>
      </c>
      <c r="W29" s="191">
        <v>7.14</v>
      </c>
      <c r="X29" s="191">
        <v>5.71</v>
      </c>
      <c r="Y29" s="191">
        <v>0</v>
      </c>
      <c r="Z29" s="191">
        <v>1.9</v>
      </c>
      <c r="AA29" s="191">
        <v>0</v>
      </c>
      <c r="AB29" s="191">
        <v>0</v>
      </c>
      <c r="AC29" s="191">
        <v>2.86</v>
      </c>
      <c r="AD29" s="191">
        <v>0</v>
      </c>
      <c r="AE29" s="191">
        <v>4.28</v>
      </c>
      <c r="AF29" s="191">
        <v>1.05</v>
      </c>
      <c r="AG29" s="191">
        <v>-0.6</v>
      </c>
      <c r="AH29" s="191">
        <v>0</v>
      </c>
      <c r="AI29" s="191">
        <v>14.28</v>
      </c>
      <c r="AJ29" s="191">
        <v>0</v>
      </c>
      <c r="AK29" s="191">
        <v>0</v>
      </c>
      <c r="AL29" s="191">
        <v>0</v>
      </c>
      <c r="AM29" s="191">
        <v>0</v>
      </c>
      <c r="AN29" s="191">
        <v>4.76</v>
      </c>
      <c r="AO29" s="191">
        <v>1.14</v>
      </c>
      <c r="AP29" s="191">
        <v>7.04</v>
      </c>
      <c r="AQ29" s="191">
        <v>10.66</v>
      </c>
      <c r="AR29" s="191">
        <v>13.14</v>
      </c>
      <c r="AS29" s="191">
        <v>0</v>
      </c>
      <c r="AT29" s="191">
        <v>0</v>
      </c>
      <c r="AU29" s="191">
        <v>-4.9</v>
      </c>
      <c r="AV29" s="191">
        <v>-4.8</v>
      </c>
      <c r="AW29" s="191">
        <v>-2.3</v>
      </c>
      <c r="AX29" s="191">
        <v>0</v>
      </c>
      <c r="AY29" s="191">
        <v>0</v>
      </c>
      <c r="AZ29" s="191">
        <v>13.52</v>
      </c>
      <c r="BA29" s="191">
        <v>5.71</v>
      </c>
      <c r="BB29" s="191">
        <v>9.52</v>
      </c>
      <c r="BC29" s="191">
        <v>2.67</v>
      </c>
      <c r="BD29" s="191">
        <v>0</v>
      </c>
      <c r="BE29" s="191">
        <v>0</v>
      </c>
      <c r="BF29" s="191">
        <v>0</v>
      </c>
      <c r="BG29" s="191">
        <v>0</v>
      </c>
      <c r="BH29" s="191">
        <v>5.71</v>
      </c>
      <c r="BI29" s="191">
        <v>0</v>
      </c>
      <c r="BJ29" s="191">
        <v>14.28</v>
      </c>
      <c r="BK29" s="191">
        <v>0</v>
      </c>
      <c r="BL29" s="191">
        <v>0</v>
      </c>
      <c r="BM29" s="191">
        <v>0</v>
      </c>
      <c r="BN29" s="191">
        <v>14.28</v>
      </c>
      <c r="BO29" s="191">
        <v>-1.4</v>
      </c>
      <c r="BP29" s="191">
        <v>0</v>
      </c>
      <c r="BQ29" s="191">
        <v>0</v>
      </c>
      <c r="BR29" s="191">
        <v>2.38</v>
      </c>
      <c r="BS29" s="192">
        <v>0</v>
      </c>
      <c r="BT29" s="180"/>
      <c r="BU29" s="191" t="s">
        <v>434</v>
      </c>
      <c r="BV29" s="191">
        <v>-7.79</v>
      </c>
      <c r="BW29" s="191">
        <v>1114.17</v>
      </c>
      <c r="BX29" s="191">
        <v>0</v>
      </c>
      <c r="BY29" s="191">
        <v>0</v>
      </c>
      <c r="BZ29" s="191">
        <v>0</v>
      </c>
      <c r="CA29" s="191">
        <v>4.93</v>
      </c>
      <c r="CB29" s="191">
        <v>0</v>
      </c>
      <c r="CC29" s="191">
        <v>0</v>
      </c>
      <c r="CD29" s="191">
        <v>0</v>
      </c>
      <c r="CE29" s="191">
        <v>0</v>
      </c>
      <c r="CF29" s="191">
        <v>0</v>
      </c>
      <c r="CG29" s="191">
        <v>0</v>
      </c>
      <c r="CH29" s="191">
        <v>0</v>
      </c>
      <c r="CI29" s="191">
        <v>8.36</v>
      </c>
      <c r="CJ29" s="191">
        <v>0</v>
      </c>
      <c r="CK29" s="191">
        <v>0</v>
      </c>
      <c r="CL29" s="191">
        <v>23.67</v>
      </c>
      <c r="CM29" s="191">
        <v>6.96</v>
      </c>
      <c r="CN29" s="191">
        <v>5.57</v>
      </c>
      <c r="CO29" s="191">
        <v>0</v>
      </c>
      <c r="CP29" s="191">
        <v>1.85</v>
      </c>
      <c r="CQ29" s="191">
        <v>0</v>
      </c>
      <c r="CR29" s="191">
        <v>0</v>
      </c>
      <c r="CS29" s="191">
        <v>2.79</v>
      </c>
      <c r="CT29" s="191">
        <v>0</v>
      </c>
      <c r="CU29" s="191">
        <v>4.17</v>
      </c>
      <c r="CV29" s="191">
        <v>1.02</v>
      </c>
      <c r="CW29" s="191">
        <v>-0.62</v>
      </c>
      <c r="CX29" s="191">
        <v>0</v>
      </c>
      <c r="CY29" s="191">
        <v>13.93</v>
      </c>
      <c r="CZ29" s="191">
        <v>0</v>
      </c>
      <c r="DA29" s="191">
        <v>0</v>
      </c>
      <c r="DB29" s="191">
        <v>0</v>
      </c>
      <c r="DC29" s="191">
        <v>0</v>
      </c>
      <c r="DD29" s="191">
        <v>4.64</v>
      </c>
      <c r="DE29" s="191">
        <v>1.11</v>
      </c>
      <c r="DF29" s="191">
        <v>6.87</v>
      </c>
      <c r="DG29" s="191">
        <v>10.4</v>
      </c>
      <c r="DH29" s="191">
        <v>12.82</v>
      </c>
      <c r="DI29" s="191">
        <v>0</v>
      </c>
      <c r="DJ29" s="191">
        <v>0</v>
      </c>
      <c r="DK29" s="191">
        <v>-5.02</v>
      </c>
      <c r="DL29" s="191">
        <v>-4.92</v>
      </c>
      <c r="DM29" s="191">
        <v>-2.36</v>
      </c>
      <c r="DN29" s="191">
        <v>0</v>
      </c>
      <c r="DO29" s="191">
        <v>0</v>
      </c>
      <c r="DP29" s="191">
        <v>13.19</v>
      </c>
      <c r="DQ29" s="191">
        <v>5.57</v>
      </c>
      <c r="DR29" s="191">
        <v>9.29</v>
      </c>
      <c r="DS29" s="191">
        <v>2.6</v>
      </c>
      <c r="DT29" s="191">
        <v>0</v>
      </c>
      <c r="DU29" s="191">
        <v>0</v>
      </c>
      <c r="DV29" s="191">
        <v>0</v>
      </c>
      <c r="DW29" s="191">
        <v>0</v>
      </c>
      <c r="DX29" s="191">
        <v>5.57</v>
      </c>
      <c r="DY29" s="191">
        <v>0</v>
      </c>
      <c r="DZ29" s="191">
        <v>13.93</v>
      </c>
      <c r="EA29" s="191">
        <v>0</v>
      </c>
      <c r="EB29" s="191">
        <v>0</v>
      </c>
      <c r="EC29" s="191">
        <v>0</v>
      </c>
      <c r="ED29" s="191">
        <v>13.93</v>
      </c>
      <c r="EE29" s="191">
        <v>-1.44</v>
      </c>
      <c r="EF29" s="191">
        <v>0</v>
      </c>
      <c r="EG29" s="191">
        <v>0</v>
      </c>
      <c r="EH29" s="191">
        <v>2.32</v>
      </c>
      <c r="EI29" s="192">
        <v>0</v>
      </c>
      <c r="EJ29" s="180"/>
      <c r="EK29" s="191" t="s">
        <v>434</v>
      </c>
      <c r="EL29" s="191">
        <v>-8.03</v>
      </c>
      <c r="EM29" s="191">
        <v>0</v>
      </c>
      <c r="EN29" s="191">
        <v>0</v>
      </c>
      <c r="EO29" s="191">
        <v>0</v>
      </c>
      <c r="EP29" s="191">
        <v>0</v>
      </c>
      <c r="EQ29" s="191">
        <v>0</v>
      </c>
      <c r="ER29" s="191">
        <v>0</v>
      </c>
      <c r="ES29" s="191">
        <v>6.77</v>
      </c>
      <c r="ET29" s="191">
        <v>5.42</v>
      </c>
      <c r="EU29" s="191">
        <v>1.8</v>
      </c>
      <c r="EV29" s="191">
        <v>0</v>
      </c>
      <c r="EW29" s="191">
        <v>0</v>
      </c>
      <c r="EX29" s="191">
        <v>2.71</v>
      </c>
      <c r="EY29" s="191">
        <v>0.99</v>
      </c>
      <c r="EZ29" s="191">
        <v>0</v>
      </c>
      <c r="FA29" s="191">
        <v>4.51</v>
      </c>
      <c r="FB29" s="191">
        <v>1.08</v>
      </c>
      <c r="FC29" s="191">
        <v>6.67</v>
      </c>
      <c r="FD29" s="191">
        <v>0</v>
      </c>
      <c r="FE29" s="191">
        <v>-5.17</v>
      </c>
      <c r="FF29" s="191">
        <v>-5.07</v>
      </c>
      <c r="FG29" s="191">
        <v>-2.43</v>
      </c>
      <c r="FH29" s="191">
        <v>0</v>
      </c>
      <c r="FI29" s="191">
        <v>0</v>
      </c>
      <c r="FJ29" s="191">
        <v>0</v>
      </c>
      <c r="FK29" s="191">
        <v>0</v>
      </c>
      <c r="FL29" s="192">
        <v>2.25</v>
      </c>
    </row>
    <row r="30" s="180" customFormat="1" spans="1:168">
      <c r="A30" s="190" t="s">
        <v>435</v>
      </c>
      <c r="B30" s="191">
        <v>-22.2</v>
      </c>
      <c r="C30" s="192">
        <v>1328.06</v>
      </c>
      <c r="E30" s="191" t="s">
        <v>435</v>
      </c>
      <c r="F30" s="191">
        <v>-7.6</v>
      </c>
      <c r="G30" s="191">
        <v>1142.28</v>
      </c>
      <c r="H30" s="191">
        <v>0</v>
      </c>
      <c r="I30" s="191">
        <v>0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0</v>
      </c>
      <c r="S30" s="191">
        <v>6.28</v>
      </c>
      <c r="T30" s="191">
        <v>0</v>
      </c>
      <c r="U30" s="191">
        <v>0</v>
      </c>
      <c r="V30" s="191">
        <v>24.27</v>
      </c>
      <c r="W30" s="191">
        <v>7.14</v>
      </c>
      <c r="X30" s="191">
        <v>5.71</v>
      </c>
      <c r="Y30" s="191">
        <v>0</v>
      </c>
      <c r="Z30" s="191">
        <v>1.4</v>
      </c>
      <c r="AA30" s="191">
        <v>0</v>
      </c>
      <c r="AB30" s="191">
        <v>0</v>
      </c>
      <c r="AC30" s="191">
        <v>2.86</v>
      </c>
      <c r="AD30" s="191">
        <v>0</v>
      </c>
      <c r="AE30" s="191">
        <v>4.28</v>
      </c>
      <c r="AF30" s="191">
        <v>1.05</v>
      </c>
      <c r="AG30" s="191">
        <v>-0.6</v>
      </c>
      <c r="AH30" s="191">
        <v>0</v>
      </c>
      <c r="AI30" s="191">
        <v>14.28</v>
      </c>
      <c r="AJ30" s="191">
        <v>0</v>
      </c>
      <c r="AK30" s="191">
        <v>0</v>
      </c>
      <c r="AL30" s="191">
        <v>0</v>
      </c>
      <c r="AM30" s="191">
        <v>0</v>
      </c>
      <c r="AN30" s="191">
        <v>4.76</v>
      </c>
      <c r="AO30" s="191">
        <v>1.14</v>
      </c>
      <c r="AP30" s="191">
        <v>7.04</v>
      </c>
      <c r="AQ30" s="191">
        <v>14.28</v>
      </c>
      <c r="AR30" s="191">
        <v>26.65</v>
      </c>
      <c r="AS30" s="191">
        <v>0</v>
      </c>
      <c r="AT30" s="191">
        <v>0</v>
      </c>
      <c r="AU30" s="191">
        <v>-4.9</v>
      </c>
      <c r="AV30" s="191">
        <v>-4.8</v>
      </c>
      <c r="AW30" s="191">
        <v>-2.3</v>
      </c>
      <c r="AX30" s="191">
        <v>0</v>
      </c>
      <c r="AY30" s="191">
        <v>0</v>
      </c>
      <c r="AZ30" s="191">
        <v>13.52</v>
      </c>
      <c r="BA30" s="191">
        <v>5.71</v>
      </c>
      <c r="BB30" s="191">
        <v>0</v>
      </c>
      <c r="BC30" s="191">
        <v>2.67</v>
      </c>
      <c r="BD30" s="191">
        <v>6.09</v>
      </c>
      <c r="BE30" s="191">
        <v>0</v>
      </c>
      <c r="BF30" s="191">
        <v>0</v>
      </c>
      <c r="BG30" s="191">
        <v>0</v>
      </c>
      <c r="BH30" s="191">
        <v>5.71</v>
      </c>
      <c r="BI30" s="191">
        <v>0</v>
      </c>
      <c r="BJ30" s="191">
        <v>14.28</v>
      </c>
      <c r="BK30" s="191">
        <v>0</v>
      </c>
      <c r="BL30" s="191">
        <v>0</v>
      </c>
      <c r="BM30" s="191">
        <v>0</v>
      </c>
      <c r="BN30" s="191">
        <v>14.28</v>
      </c>
      <c r="BO30" s="191">
        <v>-2</v>
      </c>
      <c r="BP30" s="191">
        <v>0</v>
      </c>
      <c r="BQ30" s="191">
        <v>0</v>
      </c>
      <c r="BR30" s="191">
        <v>2.38</v>
      </c>
      <c r="BS30" s="192">
        <v>0</v>
      </c>
      <c r="BT30" s="180"/>
      <c r="BU30" s="191" t="s">
        <v>435</v>
      </c>
      <c r="BV30" s="191">
        <v>-7.79</v>
      </c>
      <c r="BW30" s="191">
        <v>1114.18</v>
      </c>
      <c r="BX30" s="191">
        <v>0</v>
      </c>
      <c r="BY30" s="191">
        <v>0</v>
      </c>
      <c r="BZ30" s="191">
        <v>0</v>
      </c>
      <c r="CA30" s="191">
        <v>0</v>
      </c>
      <c r="CB30" s="191">
        <v>0</v>
      </c>
      <c r="CC30" s="191">
        <v>0</v>
      </c>
      <c r="CD30" s="191">
        <v>0</v>
      </c>
      <c r="CE30" s="191">
        <v>0</v>
      </c>
      <c r="CF30" s="191">
        <v>0</v>
      </c>
      <c r="CG30" s="191">
        <v>0</v>
      </c>
      <c r="CH30" s="191">
        <v>0</v>
      </c>
      <c r="CI30" s="191">
        <v>6.13</v>
      </c>
      <c r="CJ30" s="191">
        <v>0</v>
      </c>
      <c r="CK30" s="191">
        <v>0</v>
      </c>
      <c r="CL30" s="191">
        <v>23.67</v>
      </c>
      <c r="CM30" s="191">
        <v>6.96</v>
      </c>
      <c r="CN30" s="191">
        <v>5.57</v>
      </c>
      <c r="CO30" s="191">
        <v>0</v>
      </c>
      <c r="CP30" s="191">
        <v>1.37</v>
      </c>
      <c r="CQ30" s="191">
        <v>0</v>
      </c>
      <c r="CR30" s="191">
        <v>0</v>
      </c>
      <c r="CS30" s="191">
        <v>2.79</v>
      </c>
      <c r="CT30" s="191">
        <v>0</v>
      </c>
      <c r="CU30" s="191">
        <v>4.17</v>
      </c>
      <c r="CV30" s="191">
        <v>1.02</v>
      </c>
      <c r="CW30" s="191">
        <v>-0.62</v>
      </c>
      <c r="CX30" s="191">
        <v>0</v>
      </c>
      <c r="CY30" s="191">
        <v>13.93</v>
      </c>
      <c r="CZ30" s="191">
        <v>0</v>
      </c>
      <c r="DA30" s="191">
        <v>0</v>
      </c>
      <c r="DB30" s="191">
        <v>0</v>
      </c>
      <c r="DC30" s="191">
        <v>0</v>
      </c>
      <c r="DD30" s="191">
        <v>4.64</v>
      </c>
      <c r="DE30" s="191">
        <v>1.11</v>
      </c>
      <c r="DF30" s="191">
        <v>6.87</v>
      </c>
      <c r="DG30" s="191">
        <v>13.93</v>
      </c>
      <c r="DH30" s="191">
        <v>25.99</v>
      </c>
      <c r="DI30" s="191">
        <v>0</v>
      </c>
      <c r="DJ30" s="191">
        <v>0</v>
      </c>
      <c r="DK30" s="191">
        <v>-5.02</v>
      </c>
      <c r="DL30" s="191">
        <v>-4.92</v>
      </c>
      <c r="DM30" s="191">
        <v>-2.36</v>
      </c>
      <c r="DN30" s="191">
        <v>0</v>
      </c>
      <c r="DO30" s="191">
        <v>0</v>
      </c>
      <c r="DP30" s="191">
        <v>13.19</v>
      </c>
      <c r="DQ30" s="191">
        <v>5.57</v>
      </c>
      <c r="DR30" s="191">
        <v>0</v>
      </c>
      <c r="DS30" s="191">
        <v>2.6</v>
      </c>
      <c r="DT30" s="191">
        <v>5.94</v>
      </c>
      <c r="DU30" s="191">
        <v>0</v>
      </c>
      <c r="DV30" s="191">
        <v>0</v>
      </c>
      <c r="DW30" s="191">
        <v>0</v>
      </c>
      <c r="DX30" s="191">
        <v>5.57</v>
      </c>
      <c r="DY30" s="191">
        <v>0</v>
      </c>
      <c r="DZ30" s="191">
        <v>13.93</v>
      </c>
      <c r="EA30" s="191">
        <v>0</v>
      </c>
      <c r="EB30" s="191">
        <v>0</v>
      </c>
      <c r="EC30" s="191">
        <v>0</v>
      </c>
      <c r="ED30" s="191">
        <v>13.93</v>
      </c>
      <c r="EE30" s="191">
        <v>-2.05</v>
      </c>
      <c r="EF30" s="191">
        <v>0</v>
      </c>
      <c r="EG30" s="191">
        <v>0</v>
      </c>
      <c r="EH30" s="191">
        <v>2.32</v>
      </c>
      <c r="EI30" s="192">
        <v>0</v>
      </c>
      <c r="EJ30" s="180"/>
      <c r="EK30" s="191" t="s">
        <v>435</v>
      </c>
      <c r="EL30" s="191">
        <v>-8.03</v>
      </c>
      <c r="EM30" s="191">
        <v>0</v>
      </c>
      <c r="EN30" s="191">
        <v>0</v>
      </c>
      <c r="EO30" s="191">
        <v>0</v>
      </c>
      <c r="EP30" s="191">
        <v>0</v>
      </c>
      <c r="EQ30" s="191">
        <v>0</v>
      </c>
      <c r="ER30" s="191">
        <v>0</v>
      </c>
      <c r="ES30" s="191">
        <v>6.77</v>
      </c>
      <c r="ET30" s="191">
        <v>5.42</v>
      </c>
      <c r="EU30" s="191">
        <v>1.33</v>
      </c>
      <c r="EV30" s="191">
        <v>0</v>
      </c>
      <c r="EW30" s="191">
        <v>0</v>
      </c>
      <c r="EX30" s="191">
        <v>2.71</v>
      </c>
      <c r="EY30" s="191">
        <v>0.99</v>
      </c>
      <c r="EZ30" s="191">
        <v>0</v>
      </c>
      <c r="FA30" s="191">
        <v>4.51</v>
      </c>
      <c r="FB30" s="191">
        <v>1.08</v>
      </c>
      <c r="FC30" s="191">
        <v>6.67</v>
      </c>
      <c r="FD30" s="191">
        <v>0</v>
      </c>
      <c r="FE30" s="191">
        <v>-5.17</v>
      </c>
      <c r="FF30" s="191">
        <v>-5.07</v>
      </c>
      <c r="FG30" s="191">
        <v>-2.43</v>
      </c>
      <c r="FH30" s="191">
        <v>0</v>
      </c>
      <c r="FI30" s="191">
        <v>0</v>
      </c>
      <c r="FJ30" s="191">
        <v>0</v>
      </c>
      <c r="FK30" s="191">
        <v>0</v>
      </c>
      <c r="FL30" s="192">
        <v>2.25</v>
      </c>
    </row>
    <row r="31" s="180" customFormat="1" spans="1:168">
      <c r="A31" s="190" t="s">
        <v>436</v>
      </c>
      <c r="B31" s="191">
        <v>-20.2</v>
      </c>
      <c r="C31" s="192">
        <v>1321.43</v>
      </c>
      <c r="E31" s="191" t="s">
        <v>436</v>
      </c>
      <c r="F31" s="191">
        <v>-7.6</v>
      </c>
      <c r="G31" s="191">
        <v>1142.28</v>
      </c>
      <c r="H31" s="191">
        <v>0</v>
      </c>
      <c r="I31" s="191">
        <v>0</v>
      </c>
      <c r="J31" s="191">
        <v>0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0</v>
      </c>
      <c r="S31" s="191">
        <v>0</v>
      </c>
      <c r="T31" s="191">
        <v>0</v>
      </c>
      <c r="U31" s="191">
        <v>0</v>
      </c>
      <c r="V31" s="191">
        <v>24.27</v>
      </c>
      <c r="W31" s="191">
        <v>7.14</v>
      </c>
      <c r="X31" s="191">
        <v>5.71</v>
      </c>
      <c r="Y31" s="191">
        <v>0</v>
      </c>
      <c r="Z31" s="191">
        <v>0</v>
      </c>
      <c r="AA31" s="191">
        <v>0</v>
      </c>
      <c r="AB31" s="191">
        <v>0</v>
      </c>
      <c r="AC31" s="191">
        <v>2.86</v>
      </c>
      <c r="AD31" s="191">
        <v>0</v>
      </c>
      <c r="AE31" s="191">
        <v>4.28</v>
      </c>
      <c r="AF31" s="191">
        <v>1.05</v>
      </c>
      <c r="AG31" s="191">
        <v>-0.6</v>
      </c>
      <c r="AH31" s="191">
        <v>0</v>
      </c>
      <c r="AI31" s="191">
        <v>14.28</v>
      </c>
      <c r="AJ31" s="191">
        <v>0</v>
      </c>
      <c r="AK31" s="191">
        <v>0</v>
      </c>
      <c r="AL31" s="191">
        <v>0</v>
      </c>
      <c r="AM31" s="191">
        <v>0</v>
      </c>
      <c r="AN31" s="191">
        <v>4.76</v>
      </c>
      <c r="AO31" s="191">
        <v>1.14</v>
      </c>
      <c r="AP31" s="191">
        <v>7.04</v>
      </c>
      <c r="AQ31" s="191">
        <v>14.28</v>
      </c>
      <c r="AR31" s="191">
        <v>26.65</v>
      </c>
      <c r="AS31" s="191">
        <v>0</v>
      </c>
      <c r="AT31" s="191">
        <v>0</v>
      </c>
      <c r="AU31" s="191">
        <v>-4.9</v>
      </c>
      <c r="AV31" s="191">
        <v>-4.8</v>
      </c>
      <c r="AW31" s="191">
        <v>-2.3</v>
      </c>
      <c r="AX31" s="191">
        <v>0</v>
      </c>
      <c r="AY31" s="191">
        <v>0</v>
      </c>
      <c r="AZ31" s="191">
        <v>13.52</v>
      </c>
      <c r="BA31" s="191">
        <v>5.71</v>
      </c>
      <c r="BB31" s="191">
        <v>0</v>
      </c>
      <c r="BC31" s="191">
        <v>2.67</v>
      </c>
      <c r="BD31" s="191">
        <v>7.14</v>
      </c>
      <c r="BE31" s="191">
        <v>0</v>
      </c>
      <c r="BF31" s="191">
        <v>0</v>
      </c>
      <c r="BG31" s="191">
        <v>0</v>
      </c>
      <c r="BH31" s="191">
        <v>5.71</v>
      </c>
      <c r="BI31" s="191">
        <v>0</v>
      </c>
      <c r="BJ31" s="191">
        <v>14.28</v>
      </c>
      <c r="BK31" s="191">
        <v>0</v>
      </c>
      <c r="BL31" s="191">
        <v>0</v>
      </c>
      <c r="BM31" s="191">
        <v>0</v>
      </c>
      <c r="BN31" s="191">
        <v>14.28</v>
      </c>
      <c r="BO31" s="191">
        <v>0</v>
      </c>
      <c r="BP31" s="191">
        <v>0</v>
      </c>
      <c r="BQ31" s="191">
        <v>0</v>
      </c>
      <c r="BR31" s="191">
        <v>2.38</v>
      </c>
      <c r="BS31" s="192">
        <v>0</v>
      </c>
      <c r="BT31" s="180"/>
      <c r="BU31" s="191" t="s">
        <v>436</v>
      </c>
      <c r="BV31" s="191">
        <v>-7.79</v>
      </c>
      <c r="BW31" s="191">
        <v>1114.18</v>
      </c>
      <c r="BX31" s="191">
        <v>0</v>
      </c>
      <c r="BY31" s="191">
        <v>0</v>
      </c>
      <c r="BZ31" s="191">
        <v>0</v>
      </c>
      <c r="CA31" s="191">
        <v>0</v>
      </c>
      <c r="CB31" s="191">
        <v>0</v>
      </c>
      <c r="CC31" s="191">
        <v>0</v>
      </c>
      <c r="CD31" s="191">
        <v>0</v>
      </c>
      <c r="CE31" s="191">
        <v>0</v>
      </c>
      <c r="CF31" s="191">
        <v>0</v>
      </c>
      <c r="CG31" s="191">
        <v>0</v>
      </c>
      <c r="CH31" s="191">
        <v>0</v>
      </c>
      <c r="CI31" s="191">
        <v>0</v>
      </c>
      <c r="CJ31" s="191">
        <v>0</v>
      </c>
      <c r="CK31" s="191">
        <v>0</v>
      </c>
      <c r="CL31" s="191">
        <v>23.67</v>
      </c>
      <c r="CM31" s="191">
        <v>6.96</v>
      </c>
      <c r="CN31" s="191">
        <v>5.57</v>
      </c>
      <c r="CO31" s="191">
        <v>0</v>
      </c>
      <c r="CP31" s="191">
        <v>0</v>
      </c>
      <c r="CQ31" s="191">
        <v>0</v>
      </c>
      <c r="CR31" s="191">
        <v>0</v>
      </c>
      <c r="CS31" s="191">
        <v>2.79</v>
      </c>
      <c r="CT31" s="191">
        <v>0</v>
      </c>
      <c r="CU31" s="191">
        <v>4.17</v>
      </c>
      <c r="CV31" s="191">
        <v>1.02</v>
      </c>
      <c r="CW31" s="191">
        <v>-0.62</v>
      </c>
      <c r="CX31" s="191">
        <v>0</v>
      </c>
      <c r="CY31" s="191">
        <v>13.93</v>
      </c>
      <c r="CZ31" s="191">
        <v>0</v>
      </c>
      <c r="DA31" s="191">
        <v>0</v>
      </c>
      <c r="DB31" s="191">
        <v>0</v>
      </c>
      <c r="DC31" s="191">
        <v>0</v>
      </c>
      <c r="DD31" s="191">
        <v>4.64</v>
      </c>
      <c r="DE31" s="191">
        <v>1.11</v>
      </c>
      <c r="DF31" s="191">
        <v>6.87</v>
      </c>
      <c r="DG31" s="191">
        <v>13.93</v>
      </c>
      <c r="DH31" s="191">
        <v>25.99</v>
      </c>
      <c r="DI31" s="191">
        <v>0</v>
      </c>
      <c r="DJ31" s="191">
        <v>0</v>
      </c>
      <c r="DK31" s="191">
        <v>-5.02</v>
      </c>
      <c r="DL31" s="191">
        <v>-4.92</v>
      </c>
      <c r="DM31" s="191">
        <v>-2.36</v>
      </c>
      <c r="DN31" s="191">
        <v>0</v>
      </c>
      <c r="DO31" s="191">
        <v>0</v>
      </c>
      <c r="DP31" s="191">
        <v>13.19</v>
      </c>
      <c r="DQ31" s="191">
        <v>5.57</v>
      </c>
      <c r="DR31" s="191">
        <v>0</v>
      </c>
      <c r="DS31" s="191">
        <v>2.6</v>
      </c>
      <c r="DT31" s="191">
        <v>6.96</v>
      </c>
      <c r="DU31" s="191">
        <v>0</v>
      </c>
      <c r="DV31" s="191">
        <v>0</v>
      </c>
      <c r="DW31" s="191">
        <v>0</v>
      </c>
      <c r="DX31" s="191">
        <v>5.57</v>
      </c>
      <c r="DY31" s="191">
        <v>0</v>
      </c>
      <c r="DZ31" s="191">
        <v>13.93</v>
      </c>
      <c r="EA31" s="191">
        <v>0</v>
      </c>
      <c r="EB31" s="191">
        <v>0</v>
      </c>
      <c r="EC31" s="191">
        <v>0</v>
      </c>
      <c r="ED31" s="191">
        <v>13.93</v>
      </c>
      <c r="EE31" s="191">
        <v>0</v>
      </c>
      <c r="EF31" s="191">
        <v>0</v>
      </c>
      <c r="EG31" s="191">
        <v>0</v>
      </c>
      <c r="EH31" s="191">
        <v>2.32</v>
      </c>
      <c r="EI31" s="192">
        <v>0</v>
      </c>
      <c r="EJ31" s="180"/>
      <c r="EK31" s="191" t="s">
        <v>436</v>
      </c>
      <c r="EL31" s="191">
        <v>-8.03</v>
      </c>
      <c r="EM31" s="191">
        <v>0</v>
      </c>
      <c r="EN31" s="191">
        <v>0</v>
      </c>
      <c r="EO31" s="191">
        <v>0</v>
      </c>
      <c r="EP31" s="191">
        <v>0</v>
      </c>
      <c r="EQ31" s="191">
        <v>0</v>
      </c>
      <c r="ER31" s="191">
        <v>0</v>
      </c>
      <c r="ES31" s="191">
        <v>6.77</v>
      </c>
      <c r="ET31" s="191">
        <v>5.42</v>
      </c>
      <c r="EU31" s="191">
        <v>0</v>
      </c>
      <c r="EV31" s="191">
        <v>0</v>
      </c>
      <c r="EW31" s="191">
        <v>0</v>
      </c>
      <c r="EX31" s="191">
        <v>2.71</v>
      </c>
      <c r="EY31" s="191">
        <v>0.99</v>
      </c>
      <c r="EZ31" s="191">
        <v>0</v>
      </c>
      <c r="FA31" s="191">
        <v>4.51</v>
      </c>
      <c r="FB31" s="191">
        <v>1.08</v>
      </c>
      <c r="FC31" s="191">
        <v>6.67</v>
      </c>
      <c r="FD31" s="191">
        <v>0</v>
      </c>
      <c r="FE31" s="191">
        <v>-5.17</v>
      </c>
      <c r="FF31" s="191">
        <v>-5.07</v>
      </c>
      <c r="FG31" s="191">
        <v>-2.43</v>
      </c>
      <c r="FH31" s="191">
        <v>0</v>
      </c>
      <c r="FI31" s="191">
        <v>0</v>
      </c>
      <c r="FJ31" s="191">
        <v>0</v>
      </c>
      <c r="FK31" s="191">
        <v>0</v>
      </c>
      <c r="FL31" s="192">
        <v>2.25</v>
      </c>
    </row>
    <row r="32" s="180" customFormat="1" spans="1:168">
      <c r="A32" s="190" t="s">
        <v>437</v>
      </c>
      <c r="B32" s="191">
        <v>-24.6</v>
      </c>
      <c r="C32" s="192">
        <v>1071.17</v>
      </c>
      <c r="E32" s="191" t="s">
        <v>437</v>
      </c>
      <c r="F32" s="191">
        <v>-7.6</v>
      </c>
      <c r="G32" s="191">
        <v>970.93</v>
      </c>
      <c r="H32" s="191">
        <v>0</v>
      </c>
      <c r="I32" s="191">
        <v>0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0</v>
      </c>
      <c r="V32" s="191">
        <v>24.27</v>
      </c>
      <c r="W32" s="191">
        <v>0</v>
      </c>
      <c r="X32" s="191">
        <v>5.71</v>
      </c>
      <c r="Y32" s="191">
        <v>0</v>
      </c>
      <c r="Z32" s="191">
        <v>0</v>
      </c>
      <c r="AA32" s="191">
        <v>0</v>
      </c>
      <c r="AB32" s="191">
        <v>0</v>
      </c>
      <c r="AC32" s="191">
        <v>0</v>
      </c>
      <c r="AD32" s="191">
        <v>0</v>
      </c>
      <c r="AE32" s="191">
        <v>0</v>
      </c>
      <c r="AF32" s="191">
        <v>1.05</v>
      </c>
      <c r="AG32" s="191">
        <v>-0.6</v>
      </c>
      <c r="AH32" s="191">
        <v>0</v>
      </c>
      <c r="AI32" s="191">
        <v>14.28</v>
      </c>
      <c r="AJ32" s="191">
        <v>0</v>
      </c>
      <c r="AK32" s="191">
        <v>0</v>
      </c>
      <c r="AL32" s="191">
        <v>0</v>
      </c>
      <c r="AM32" s="191">
        <v>0</v>
      </c>
      <c r="AN32" s="191">
        <v>4.76</v>
      </c>
      <c r="AO32" s="191">
        <v>0</v>
      </c>
      <c r="AP32" s="191">
        <v>0</v>
      </c>
      <c r="AQ32" s="191">
        <v>0</v>
      </c>
      <c r="AR32" s="191">
        <v>0</v>
      </c>
      <c r="AS32" s="191">
        <v>0</v>
      </c>
      <c r="AT32" s="191">
        <v>0</v>
      </c>
      <c r="AU32" s="191">
        <v>-4.9</v>
      </c>
      <c r="AV32" s="191">
        <v>-4.8</v>
      </c>
      <c r="AW32" s="191">
        <v>-2.3</v>
      </c>
      <c r="AX32" s="191">
        <v>0</v>
      </c>
      <c r="AY32" s="191">
        <v>0</v>
      </c>
      <c r="AZ32" s="191">
        <v>13.52</v>
      </c>
      <c r="BA32" s="191">
        <v>0</v>
      </c>
      <c r="BB32" s="191">
        <v>0</v>
      </c>
      <c r="BC32" s="191">
        <v>0</v>
      </c>
      <c r="BD32" s="191">
        <v>0</v>
      </c>
      <c r="BE32" s="191">
        <v>0</v>
      </c>
      <c r="BF32" s="191">
        <v>0</v>
      </c>
      <c r="BG32" s="191">
        <v>0</v>
      </c>
      <c r="BH32" s="191">
        <v>5.71</v>
      </c>
      <c r="BI32" s="191">
        <v>0</v>
      </c>
      <c r="BJ32" s="191">
        <v>14.28</v>
      </c>
      <c r="BK32" s="191">
        <v>0</v>
      </c>
      <c r="BL32" s="191">
        <v>0</v>
      </c>
      <c r="BM32" s="191">
        <v>0</v>
      </c>
      <c r="BN32" s="191">
        <v>14.28</v>
      </c>
      <c r="BO32" s="191">
        <v>-4.4</v>
      </c>
      <c r="BP32" s="191">
        <v>0</v>
      </c>
      <c r="BQ32" s="191">
        <v>0</v>
      </c>
      <c r="BR32" s="191">
        <v>2.38</v>
      </c>
      <c r="BS32" s="192">
        <v>0</v>
      </c>
      <c r="BT32" s="180"/>
      <c r="BU32" s="191" t="s">
        <v>437</v>
      </c>
      <c r="BV32" s="191">
        <v>-7.79</v>
      </c>
      <c r="BW32" s="191">
        <v>947.05</v>
      </c>
      <c r="BX32" s="191">
        <v>0</v>
      </c>
      <c r="BY32" s="191">
        <v>0</v>
      </c>
      <c r="BZ32" s="191">
        <v>0</v>
      </c>
      <c r="CA32" s="191">
        <v>0</v>
      </c>
      <c r="CB32" s="191">
        <v>0</v>
      </c>
      <c r="CC32" s="191">
        <v>0</v>
      </c>
      <c r="CD32" s="191">
        <v>0</v>
      </c>
      <c r="CE32" s="191">
        <v>0</v>
      </c>
      <c r="CF32" s="191">
        <v>0</v>
      </c>
      <c r="CG32" s="191">
        <v>0</v>
      </c>
      <c r="CH32" s="191">
        <v>0</v>
      </c>
      <c r="CI32" s="191">
        <v>0</v>
      </c>
      <c r="CJ32" s="191">
        <v>0</v>
      </c>
      <c r="CK32" s="191">
        <v>0</v>
      </c>
      <c r="CL32" s="191">
        <v>23.67</v>
      </c>
      <c r="CM32" s="191">
        <v>0</v>
      </c>
      <c r="CN32" s="191">
        <v>5.57</v>
      </c>
      <c r="CO32" s="191">
        <v>0</v>
      </c>
      <c r="CP32" s="191">
        <v>0</v>
      </c>
      <c r="CQ32" s="191">
        <v>0</v>
      </c>
      <c r="CR32" s="191">
        <v>0</v>
      </c>
      <c r="CS32" s="191">
        <v>0</v>
      </c>
      <c r="CT32" s="191">
        <v>0</v>
      </c>
      <c r="CU32" s="191">
        <v>0</v>
      </c>
      <c r="CV32" s="191">
        <v>1.02</v>
      </c>
      <c r="CW32" s="191">
        <v>-0.62</v>
      </c>
      <c r="CX32" s="191">
        <v>0</v>
      </c>
      <c r="CY32" s="191">
        <v>13.93</v>
      </c>
      <c r="CZ32" s="191">
        <v>0</v>
      </c>
      <c r="DA32" s="191">
        <v>0</v>
      </c>
      <c r="DB32" s="191">
        <v>0</v>
      </c>
      <c r="DC32" s="191">
        <v>0</v>
      </c>
      <c r="DD32" s="191">
        <v>4.64</v>
      </c>
      <c r="DE32" s="191">
        <v>0</v>
      </c>
      <c r="DF32" s="191">
        <v>0</v>
      </c>
      <c r="DG32" s="191">
        <v>0</v>
      </c>
      <c r="DH32" s="191">
        <v>0</v>
      </c>
      <c r="DI32" s="191">
        <v>0</v>
      </c>
      <c r="DJ32" s="191">
        <v>0</v>
      </c>
      <c r="DK32" s="191">
        <v>-5.02</v>
      </c>
      <c r="DL32" s="191">
        <v>-4.92</v>
      </c>
      <c r="DM32" s="191">
        <v>-2.36</v>
      </c>
      <c r="DN32" s="191">
        <v>0</v>
      </c>
      <c r="DO32" s="191">
        <v>0</v>
      </c>
      <c r="DP32" s="191">
        <v>13.19</v>
      </c>
      <c r="DQ32" s="191">
        <v>0</v>
      </c>
      <c r="DR32" s="191">
        <v>0</v>
      </c>
      <c r="DS32" s="191">
        <v>0</v>
      </c>
      <c r="DT32" s="191">
        <v>0</v>
      </c>
      <c r="DU32" s="191">
        <v>0</v>
      </c>
      <c r="DV32" s="191">
        <v>0</v>
      </c>
      <c r="DW32" s="191">
        <v>0</v>
      </c>
      <c r="DX32" s="191">
        <v>5.57</v>
      </c>
      <c r="DY32" s="191">
        <v>0</v>
      </c>
      <c r="DZ32" s="191">
        <v>13.93</v>
      </c>
      <c r="EA32" s="191">
        <v>0</v>
      </c>
      <c r="EB32" s="191">
        <v>0</v>
      </c>
      <c r="EC32" s="191">
        <v>0</v>
      </c>
      <c r="ED32" s="191">
        <v>13.93</v>
      </c>
      <c r="EE32" s="191">
        <v>-4.51</v>
      </c>
      <c r="EF32" s="191">
        <v>0</v>
      </c>
      <c r="EG32" s="191">
        <v>0</v>
      </c>
      <c r="EH32" s="191">
        <v>2.32</v>
      </c>
      <c r="EI32" s="192">
        <v>0</v>
      </c>
      <c r="EJ32" s="180"/>
      <c r="EK32" s="191" t="s">
        <v>437</v>
      </c>
      <c r="EL32" s="191">
        <v>-8.03</v>
      </c>
      <c r="EM32" s="191">
        <v>0</v>
      </c>
      <c r="EN32" s="191">
        <v>0</v>
      </c>
      <c r="EO32" s="191">
        <v>0</v>
      </c>
      <c r="EP32" s="191">
        <v>0</v>
      </c>
      <c r="EQ32" s="191">
        <v>0</v>
      </c>
      <c r="ER32" s="191">
        <v>0</v>
      </c>
      <c r="ES32" s="191">
        <v>0</v>
      </c>
      <c r="ET32" s="191">
        <v>5.42</v>
      </c>
      <c r="EU32" s="191">
        <v>0</v>
      </c>
      <c r="EV32" s="191">
        <v>0</v>
      </c>
      <c r="EW32" s="191">
        <v>0</v>
      </c>
      <c r="EX32" s="191">
        <v>0</v>
      </c>
      <c r="EY32" s="191">
        <v>0.99</v>
      </c>
      <c r="EZ32" s="191">
        <v>0</v>
      </c>
      <c r="FA32" s="191">
        <v>4.51</v>
      </c>
      <c r="FB32" s="191">
        <v>0</v>
      </c>
      <c r="FC32" s="191">
        <v>0</v>
      </c>
      <c r="FD32" s="191">
        <v>0</v>
      </c>
      <c r="FE32" s="191">
        <v>-5.17</v>
      </c>
      <c r="FF32" s="191">
        <v>-5.07</v>
      </c>
      <c r="FG32" s="191">
        <v>-2.43</v>
      </c>
      <c r="FH32" s="191">
        <v>0</v>
      </c>
      <c r="FI32" s="191">
        <v>0</v>
      </c>
      <c r="FJ32" s="191">
        <v>0</v>
      </c>
      <c r="FK32" s="191">
        <v>0</v>
      </c>
      <c r="FL32" s="192">
        <v>2.25</v>
      </c>
    </row>
    <row r="33" s="180" customFormat="1" spans="1:168">
      <c r="A33" s="190" t="s">
        <v>438</v>
      </c>
      <c r="B33" s="191">
        <v>-23.1</v>
      </c>
      <c r="C33" s="192">
        <v>995.02</v>
      </c>
      <c r="E33" s="191" t="s">
        <v>438</v>
      </c>
      <c r="F33" s="191">
        <v>-7.6</v>
      </c>
      <c r="G33" s="191">
        <v>894.78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24.27</v>
      </c>
      <c r="W33" s="191">
        <v>0</v>
      </c>
      <c r="X33" s="191">
        <v>5.71</v>
      </c>
      <c r="Y33" s="191">
        <v>0</v>
      </c>
      <c r="Z33" s="191">
        <v>0</v>
      </c>
      <c r="AA33" s="191">
        <v>0</v>
      </c>
      <c r="AB33" s="191">
        <v>0</v>
      </c>
      <c r="AC33" s="191">
        <v>0</v>
      </c>
      <c r="AD33" s="191">
        <v>0</v>
      </c>
      <c r="AE33" s="191">
        <v>0</v>
      </c>
      <c r="AF33" s="191">
        <v>1.05</v>
      </c>
      <c r="AG33" s="191">
        <v>-0.6</v>
      </c>
      <c r="AH33" s="191">
        <v>0</v>
      </c>
      <c r="AI33" s="191">
        <v>14.28</v>
      </c>
      <c r="AJ33" s="191">
        <v>0</v>
      </c>
      <c r="AK33" s="191">
        <v>0</v>
      </c>
      <c r="AL33" s="191">
        <v>0</v>
      </c>
      <c r="AM33" s="191">
        <v>0</v>
      </c>
      <c r="AN33" s="191">
        <v>4.76</v>
      </c>
      <c r="AO33" s="191">
        <v>0</v>
      </c>
      <c r="AP33" s="191">
        <v>0</v>
      </c>
      <c r="AQ33" s="191">
        <v>0</v>
      </c>
      <c r="AR33" s="191">
        <v>0</v>
      </c>
      <c r="AS33" s="191">
        <v>0</v>
      </c>
      <c r="AT33" s="191">
        <v>0</v>
      </c>
      <c r="AU33" s="191">
        <v>-4.9</v>
      </c>
      <c r="AV33" s="191">
        <v>-4.8</v>
      </c>
      <c r="AW33" s="191">
        <v>-2.3</v>
      </c>
      <c r="AX33" s="191">
        <v>0</v>
      </c>
      <c r="AY33" s="191">
        <v>0</v>
      </c>
      <c r="AZ33" s="191">
        <v>13.52</v>
      </c>
      <c r="BA33" s="191">
        <v>0</v>
      </c>
      <c r="BB33" s="191">
        <v>0</v>
      </c>
      <c r="BC33" s="191">
        <v>0</v>
      </c>
      <c r="BD33" s="191">
        <v>0</v>
      </c>
      <c r="BE33" s="191">
        <v>0</v>
      </c>
      <c r="BF33" s="191">
        <v>0</v>
      </c>
      <c r="BG33" s="191">
        <v>0</v>
      </c>
      <c r="BH33" s="191">
        <v>5.71</v>
      </c>
      <c r="BI33" s="191">
        <v>0</v>
      </c>
      <c r="BJ33" s="191">
        <v>14.28</v>
      </c>
      <c r="BK33" s="191">
        <v>0</v>
      </c>
      <c r="BL33" s="191">
        <v>0</v>
      </c>
      <c r="BM33" s="191">
        <v>0</v>
      </c>
      <c r="BN33" s="191">
        <v>14.28</v>
      </c>
      <c r="BO33" s="191">
        <v>-2.9</v>
      </c>
      <c r="BP33" s="191">
        <v>0</v>
      </c>
      <c r="BQ33" s="191">
        <v>0</v>
      </c>
      <c r="BR33" s="191">
        <v>2.38</v>
      </c>
      <c r="BS33" s="192">
        <v>0</v>
      </c>
      <c r="BT33" s="180"/>
      <c r="BU33" s="191" t="s">
        <v>438</v>
      </c>
      <c r="BV33" s="191">
        <v>-7.79</v>
      </c>
      <c r="BW33" s="191">
        <v>872.77</v>
      </c>
      <c r="BX33" s="191">
        <v>0</v>
      </c>
      <c r="BY33" s="191">
        <v>0</v>
      </c>
      <c r="BZ33" s="191">
        <v>0</v>
      </c>
      <c r="CA33" s="191">
        <v>0</v>
      </c>
      <c r="CB33" s="191">
        <v>0</v>
      </c>
      <c r="CC33" s="191">
        <v>0</v>
      </c>
      <c r="CD33" s="191">
        <v>0</v>
      </c>
      <c r="CE33" s="191">
        <v>0</v>
      </c>
      <c r="CF33" s="191">
        <v>0</v>
      </c>
      <c r="CG33" s="191">
        <v>0</v>
      </c>
      <c r="CH33" s="191">
        <v>0</v>
      </c>
      <c r="CI33" s="191">
        <v>0</v>
      </c>
      <c r="CJ33" s="191">
        <v>0</v>
      </c>
      <c r="CK33" s="191">
        <v>0</v>
      </c>
      <c r="CL33" s="191">
        <v>23.67</v>
      </c>
      <c r="CM33" s="191">
        <v>0</v>
      </c>
      <c r="CN33" s="191">
        <v>5.57</v>
      </c>
      <c r="CO33" s="191">
        <v>0</v>
      </c>
      <c r="CP33" s="191">
        <v>0</v>
      </c>
      <c r="CQ33" s="191">
        <v>0</v>
      </c>
      <c r="CR33" s="191">
        <v>0</v>
      </c>
      <c r="CS33" s="191">
        <v>0</v>
      </c>
      <c r="CT33" s="191">
        <v>0</v>
      </c>
      <c r="CU33" s="191">
        <v>0</v>
      </c>
      <c r="CV33" s="191">
        <v>1.02</v>
      </c>
      <c r="CW33" s="191">
        <v>-0.62</v>
      </c>
      <c r="CX33" s="191">
        <v>0</v>
      </c>
      <c r="CY33" s="191">
        <v>13.93</v>
      </c>
      <c r="CZ33" s="191">
        <v>0</v>
      </c>
      <c r="DA33" s="191">
        <v>0</v>
      </c>
      <c r="DB33" s="191">
        <v>0</v>
      </c>
      <c r="DC33" s="191">
        <v>0</v>
      </c>
      <c r="DD33" s="191">
        <v>4.64</v>
      </c>
      <c r="DE33" s="191">
        <v>0</v>
      </c>
      <c r="DF33" s="191">
        <v>0</v>
      </c>
      <c r="DG33" s="191">
        <v>0</v>
      </c>
      <c r="DH33" s="191">
        <v>0</v>
      </c>
      <c r="DI33" s="191">
        <v>0</v>
      </c>
      <c r="DJ33" s="191">
        <v>0</v>
      </c>
      <c r="DK33" s="191">
        <v>-5.02</v>
      </c>
      <c r="DL33" s="191">
        <v>-4.92</v>
      </c>
      <c r="DM33" s="191">
        <v>-2.36</v>
      </c>
      <c r="DN33" s="191">
        <v>0</v>
      </c>
      <c r="DO33" s="191">
        <v>0</v>
      </c>
      <c r="DP33" s="191">
        <v>13.19</v>
      </c>
      <c r="DQ33" s="191">
        <v>0</v>
      </c>
      <c r="DR33" s="191">
        <v>0</v>
      </c>
      <c r="DS33" s="191">
        <v>0</v>
      </c>
      <c r="DT33" s="191">
        <v>0</v>
      </c>
      <c r="DU33" s="191">
        <v>0</v>
      </c>
      <c r="DV33" s="191">
        <v>0</v>
      </c>
      <c r="DW33" s="191">
        <v>0</v>
      </c>
      <c r="DX33" s="191">
        <v>5.57</v>
      </c>
      <c r="DY33" s="191">
        <v>0</v>
      </c>
      <c r="DZ33" s="191">
        <v>13.93</v>
      </c>
      <c r="EA33" s="191">
        <v>0</v>
      </c>
      <c r="EB33" s="191">
        <v>0</v>
      </c>
      <c r="EC33" s="191">
        <v>0</v>
      </c>
      <c r="ED33" s="191">
        <v>13.93</v>
      </c>
      <c r="EE33" s="191">
        <v>-2.97</v>
      </c>
      <c r="EF33" s="191">
        <v>0</v>
      </c>
      <c r="EG33" s="191">
        <v>0</v>
      </c>
      <c r="EH33" s="191">
        <v>2.32</v>
      </c>
      <c r="EI33" s="192">
        <v>0</v>
      </c>
      <c r="EJ33" s="180"/>
      <c r="EK33" s="191" t="s">
        <v>438</v>
      </c>
      <c r="EL33" s="191">
        <v>-8.03</v>
      </c>
      <c r="EM33" s="191">
        <v>0</v>
      </c>
      <c r="EN33" s="191">
        <v>0</v>
      </c>
      <c r="EO33" s="191">
        <v>0</v>
      </c>
      <c r="EP33" s="191">
        <v>0</v>
      </c>
      <c r="EQ33" s="191">
        <v>0</v>
      </c>
      <c r="ER33" s="191">
        <v>0</v>
      </c>
      <c r="ES33" s="191">
        <v>0</v>
      </c>
      <c r="ET33" s="191">
        <v>5.42</v>
      </c>
      <c r="EU33" s="191">
        <v>0</v>
      </c>
      <c r="EV33" s="191">
        <v>0</v>
      </c>
      <c r="EW33" s="191">
        <v>0</v>
      </c>
      <c r="EX33" s="191">
        <v>0</v>
      </c>
      <c r="EY33" s="191">
        <v>0.99</v>
      </c>
      <c r="EZ33" s="191">
        <v>0</v>
      </c>
      <c r="FA33" s="191">
        <v>4.51</v>
      </c>
      <c r="FB33" s="191">
        <v>0</v>
      </c>
      <c r="FC33" s="191">
        <v>0</v>
      </c>
      <c r="FD33" s="191">
        <v>0</v>
      </c>
      <c r="FE33" s="191">
        <v>-5.17</v>
      </c>
      <c r="FF33" s="191">
        <v>-5.07</v>
      </c>
      <c r="FG33" s="191">
        <v>-2.43</v>
      </c>
      <c r="FH33" s="191">
        <v>0</v>
      </c>
      <c r="FI33" s="191">
        <v>0</v>
      </c>
      <c r="FJ33" s="191">
        <v>0</v>
      </c>
      <c r="FK33" s="191">
        <v>0</v>
      </c>
      <c r="FL33" s="192">
        <v>2.25</v>
      </c>
    </row>
    <row r="34" s="180" customFormat="1" spans="1:168">
      <c r="A34" s="190" t="s">
        <v>439</v>
      </c>
      <c r="B34" s="191">
        <v>-21.9</v>
      </c>
      <c r="C34" s="192">
        <v>674.14</v>
      </c>
      <c r="E34" s="191" t="s">
        <v>439</v>
      </c>
      <c r="F34" s="191">
        <v>-7.6</v>
      </c>
      <c r="G34" s="191">
        <v>609.22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  <c r="V34" s="191">
        <v>24.27</v>
      </c>
      <c r="W34" s="191">
        <v>0</v>
      </c>
      <c r="X34" s="191">
        <v>0</v>
      </c>
      <c r="Y34" s="191">
        <v>0</v>
      </c>
      <c r="Z34" s="191">
        <v>0</v>
      </c>
      <c r="AA34" s="191">
        <v>0</v>
      </c>
      <c r="AB34" s="191">
        <v>0</v>
      </c>
      <c r="AC34" s="191">
        <v>0</v>
      </c>
      <c r="AD34" s="191">
        <v>0</v>
      </c>
      <c r="AE34" s="191">
        <v>0</v>
      </c>
      <c r="AF34" s="191">
        <v>0</v>
      </c>
      <c r="AG34" s="191">
        <v>-0.6</v>
      </c>
      <c r="AH34" s="191">
        <v>0</v>
      </c>
      <c r="AI34" s="191">
        <v>5.71</v>
      </c>
      <c r="AJ34" s="191">
        <v>0</v>
      </c>
      <c r="AK34" s="191">
        <v>0</v>
      </c>
      <c r="AL34" s="191">
        <v>0</v>
      </c>
      <c r="AM34" s="191">
        <v>0</v>
      </c>
      <c r="AN34" s="191">
        <v>4.76</v>
      </c>
      <c r="AO34" s="191">
        <v>0</v>
      </c>
      <c r="AP34" s="191">
        <v>0</v>
      </c>
      <c r="AQ34" s="191">
        <v>0</v>
      </c>
      <c r="AR34" s="191">
        <v>0</v>
      </c>
      <c r="AS34" s="191">
        <v>0</v>
      </c>
      <c r="AT34" s="191">
        <v>0</v>
      </c>
      <c r="AU34" s="191">
        <v>-4.9</v>
      </c>
      <c r="AV34" s="191">
        <v>-4.8</v>
      </c>
      <c r="AW34" s="191">
        <v>-2.3</v>
      </c>
      <c r="AX34" s="191">
        <v>0</v>
      </c>
      <c r="AY34" s="191">
        <v>0</v>
      </c>
      <c r="AZ34" s="191">
        <v>13.52</v>
      </c>
      <c r="BA34" s="191">
        <v>0</v>
      </c>
      <c r="BB34" s="191">
        <v>0</v>
      </c>
      <c r="BC34" s="191">
        <v>0</v>
      </c>
      <c r="BD34" s="191">
        <v>0</v>
      </c>
      <c r="BE34" s="191">
        <v>0</v>
      </c>
      <c r="BF34" s="191">
        <v>0</v>
      </c>
      <c r="BG34" s="191">
        <v>0</v>
      </c>
      <c r="BH34" s="191">
        <v>0</v>
      </c>
      <c r="BI34" s="191">
        <v>0</v>
      </c>
      <c r="BJ34" s="191">
        <v>14.28</v>
      </c>
      <c r="BK34" s="191">
        <v>0</v>
      </c>
      <c r="BL34" s="191">
        <v>0</v>
      </c>
      <c r="BM34" s="191">
        <v>0</v>
      </c>
      <c r="BN34" s="191">
        <v>0</v>
      </c>
      <c r="BO34" s="191">
        <v>-1.7</v>
      </c>
      <c r="BP34" s="191">
        <v>0</v>
      </c>
      <c r="BQ34" s="191">
        <v>0</v>
      </c>
      <c r="BR34" s="191">
        <v>2.38</v>
      </c>
      <c r="BS34" s="192">
        <v>0</v>
      </c>
      <c r="BT34" s="180"/>
      <c r="BU34" s="191" t="s">
        <v>439</v>
      </c>
      <c r="BV34" s="191">
        <v>-7.79</v>
      </c>
      <c r="BW34" s="191">
        <v>594.23</v>
      </c>
      <c r="BX34" s="191">
        <v>0</v>
      </c>
      <c r="BY34" s="191">
        <v>0</v>
      </c>
      <c r="BZ34" s="191">
        <v>0</v>
      </c>
      <c r="CA34" s="191">
        <v>0</v>
      </c>
      <c r="CB34" s="191">
        <v>0</v>
      </c>
      <c r="CC34" s="191">
        <v>0</v>
      </c>
      <c r="CD34" s="191">
        <v>0</v>
      </c>
      <c r="CE34" s="191">
        <v>0</v>
      </c>
      <c r="CF34" s="191">
        <v>0</v>
      </c>
      <c r="CG34" s="191">
        <v>0</v>
      </c>
      <c r="CH34" s="191">
        <v>0</v>
      </c>
      <c r="CI34" s="191">
        <v>0</v>
      </c>
      <c r="CJ34" s="191">
        <v>0</v>
      </c>
      <c r="CK34" s="191">
        <v>0</v>
      </c>
      <c r="CL34" s="191">
        <v>23.67</v>
      </c>
      <c r="CM34" s="191">
        <v>0</v>
      </c>
      <c r="CN34" s="191">
        <v>0</v>
      </c>
      <c r="CO34" s="191">
        <v>0</v>
      </c>
      <c r="CP34" s="191">
        <v>0</v>
      </c>
      <c r="CQ34" s="191">
        <v>0</v>
      </c>
      <c r="CR34" s="191">
        <v>0</v>
      </c>
      <c r="CS34" s="191">
        <v>0</v>
      </c>
      <c r="CT34" s="191">
        <v>0</v>
      </c>
      <c r="CU34" s="191">
        <v>0</v>
      </c>
      <c r="CV34" s="191">
        <v>0</v>
      </c>
      <c r="CW34" s="191">
        <v>-0.62</v>
      </c>
      <c r="CX34" s="191">
        <v>0</v>
      </c>
      <c r="CY34" s="191">
        <v>5.57</v>
      </c>
      <c r="CZ34" s="191">
        <v>0</v>
      </c>
      <c r="DA34" s="191">
        <v>0</v>
      </c>
      <c r="DB34" s="191">
        <v>0</v>
      </c>
      <c r="DC34" s="191">
        <v>0</v>
      </c>
      <c r="DD34" s="191">
        <v>4.64</v>
      </c>
      <c r="DE34" s="191">
        <v>0</v>
      </c>
      <c r="DF34" s="191">
        <v>0</v>
      </c>
      <c r="DG34" s="191">
        <v>0</v>
      </c>
      <c r="DH34" s="191">
        <v>0</v>
      </c>
      <c r="DI34" s="191">
        <v>0</v>
      </c>
      <c r="DJ34" s="191">
        <v>0</v>
      </c>
      <c r="DK34" s="191">
        <v>-5.02</v>
      </c>
      <c r="DL34" s="191">
        <v>-4.92</v>
      </c>
      <c r="DM34" s="191">
        <v>-2.36</v>
      </c>
      <c r="DN34" s="191">
        <v>0</v>
      </c>
      <c r="DO34" s="191">
        <v>0</v>
      </c>
      <c r="DP34" s="191">
        <v>13.19</v>
      </c>
      <c r="DQ34" s="191">
        <v>0</v>
      </c>
      <c r="DR34" s="191">
        <v>0</v>
      </c>
      <c r="DS34" s="191">
        <v>0</v>
      </c>
      <c r="DT34" s="191">
        <v>0</v>
      </c>
      <c r="DU34" s="191">
        <v>0</v>
      </c>
      <c r="DV34" s="191">
        <v>0</v>
      </c>
      <c r="DW34" s="191">
        <v>0</v>
      </c>
      <c r="DX34" s="191">
        <v>0</v>
      </c>
      <c r="DY34" s="191">
        <v>0</v>
      </c>
      <c r="DZ34" s="191">
        <v>13.93</v>
      </c>
      <c r="EA34" s="191">
        <v>0</v>
      </c>
      <c r="EB34" s="191">
        <v>0</v>
      </c>
      <c r="EC34" s="191">
        <v>0</v>
      </c>
      <c r="ED34" s="191">
        <v>0</v>
      </c>
      <c r="EE34" s="191">
        <v>-1.74</v>
      </c>
      <c r="EF34" s="191">
        <v>0</v>
      </c>
      <c r="EG34" s="191">
        <v>0</v>
      </c>
      <c r="EH34" s="191">
        <v>2.32</v>
      </c>
      <c r="EI34" s="192">
        <v>0</v>
      </c>
      <c r="EJ34" s="180"/>
      <c r="EK34" s="191" t="s">
        <v>439</v>
      </c>
      <c r="EL34" s="191">
        <v>-8.03</v>
      </c>
      <c r="EM34" s="191">
        <v>0</v>
      </c>
      <c r="EN34" s="191">
        <v>0</v>
      </c>
      <c r="EO34" s="191">
        <v>0</v>
      </c>
      <c r="EP34" s="191">
        <v>0</v>
      </c>
      <c r="EQ34" s="191">
        <v>0</v>
      </c>
      <c r="ER34" s="191">
        <v>0</v>
      </c>
      <c r="ES34" s="191">
        <v>0</v>
      </c>
      <c r="ET34" s="191">
        <v>0</v>
      </c>
      <c r="EU34" s="191">
        <v>0</v>
      </c>
      <c r="EV34" s="191">
        <v>0</v>
      </c>
      <c r="EW34" s="191">
        <v>0</v>
      </c>
      <c r="EX34" s="191">
        <v>0</v>
      </c>
      <c r="EY34" s="191">
        <v>0</v>
      </c>
      <c r="EZ34" s="191">
        <v>0</v>
      </c>
      <c r="FA34" s="191">
        <v>4.51</v>
      </c>
      <c r="FB34" s="191">
        <v>0</v>
      </c>
      <c r="FC34" s="191">
        <v>0</v>
      </c>
      <c r="FD34" s="191">
        <v>0</v>
      </c>
      <c r="FE34" s="191">
        <v>-5.17</v>
      </c>
      <c r="FF34" s="191">
        <v>-5.07</v>
      </c>
      <c r="FG34" s="191">
        <v>-2.43</v>
      </c>
      <c r="FH34" s="191">
        <v>0</v>
      </c>
      <c r="FI34" s="191">
        <v>0</v>
      </c>
      <c r="FJ34" s="191">
        <v>0</v>
      </c>
      <c r="FK34" s="191">
        <v>0</v>
      </c>
      <c r="FL34" s="192">
        <v>2.25</v>
      </c>
    </row>
    <row r="35" s="180" customFormat="1" spans="1:168">
      <c r="A35" s="190" t="s">
        <v>440</v>
      </c>
      <c r="B35" s="191">
        <v>-21.7</v>
      </c>
      <c r="C35" s="192">
        <v>345.11</v>
      </c>
      <c r="E35" s="191" t="s">
        <v>440</v>
      </c>
      <c r="F35" s="191">
        <v>-7.6</v>
      </c>
      <c r="G35" s="191">
        <v>281.14</v>
      </c>
      <c r="H35" s="191">
        <v>0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>
        <v>0</v>
      </c>
      <c r="O35" s="191">
        <v>0</v>
      </c>
      <c r="P35" s="191">
        <v>0</v>
      </c>
      <c r="Q35" s="191">
        <v>0</v>
      </c>
      <c r="R35" s="191">
        <v>0</v>
      </c>
      <c r="S35" s="191">
        <v>0</v>
      </c>
      <c r="T35" s="191">
        <v>0</v>
      </c>
      <c r="U35" s="191">
        <v>0</v>
      </c>
      <c r="V35" s="191">
        <v>24.27</v>
      </c>
      <c r="W35" s="191">
        <v>0</v>
      </c>
      <c r="X35" s="191">
        <v>0</v>
      </c>
      <c r="Y35" s="191">
        <v>0</v>
      </c>
      <c r="Z35" s="191">
        <v>0</v>
      </c>
      <c r="AA35" s="191">
        <v>0</v>
      </c>
      <c r="AB35" s="191">
        <v>0</v>
      </c>
      <c r="AC35" s="191">
        <v>0</v>
      </c>
      <c r="AD35" s="191">
        <v>0</v>
      </c>
      <c r="AE35" s="191">
        <v>0</v>
      </c>
      <c r="AF35" s="191">
        <v>0</v>
      </c>
      <c r="AG35" s="191">
        <v>-0.6</v>
      </c>
      <c r="AH35" s="191">
        <v>0</v>
      </c>
      <c r="AI35" s="191">
        <v>0</v>
      </c>
      <c r="AJ35" s="191">
        <v>0</v>
      </c>
      <c r="AK35" s="191">
        <v>0</v>
      </c>
      <c r="AL35" s="191">
        <v>0</v>
      </c>
      <c r="AM35" s="191">
        <v>0</v>
      </c>
      <c r="AN35" s="191">
        <v>4.76</v>
      </c>
      <c r="AO35" s="191">
        <v>0</v>
      </c>
      <c r="AP35" s="191">
        <v>0</v>
      </c>
      <c r="AQ35" s="191">
        <v>0</v>
      </c>
      <c r="AR35" s="191">
        <v>0</v>
      </c>
      <c r="AS35" s="191">
        <v>0</v>
      </c>
      <c r="AT35" s="191">
        <v>0</v>
      </c>
      <c r="AU35" s="191">
        <v>-4.9</v>
      </c>
      <c r="AV35" s="191">
        <v>-4.8</v>
      </c>
      <c r="AW35" s="191">
        <v>-2.3</v>
      </c>
      <c r="AX35" s="191">
        <v>0</v>
      </c>
      <c r="AY35" s="191">
        <v>0</v>
      </c>
      <c r="AZ35" s="191">
        <v>13.52</v>
      </c>
      <c r="BA35" s="191">
        <v>0</v>
      </c>
      <c r="BB35" s="191">
        <v>0</v>
      </c>
      <c r="BC35" s="191">
        <v>0</v>
      </c>
      <c r="BD35" s="191">
        <v>0</v>
      </c>
      <c r="BE35" s="191">
        <v>0</v>
      </c>
      <c r="BF35" s="191">
        <v>0</v>
      </c>
      <c r="BG35" s="191">
        <v>0</v>
      </c>
      <c r="BH35" s="191">
        <v>0</v>
      </c>
      <c r="BI35" s="191">
        <v>0</v>
      </c>
      <c r="BJ35" s="191">
        <v>14.28</v>
      </c>
      <c r="BK35" s="191">
        <v>0</v>
      </c>
      <c r="BL35" s="191">
        <v>0</v>
      </c>
      <c r="BM35" s="191">
        <v>0</v>
      </c>
      <c r="BN35" s="191">
        <v>4.76</v>
      </c>
      <c r="BO35" s="191">
        <v>-1.5</v>
      </c>
      <c r="BP35" s="191">
        <v>0</v>
      </c>
      <c r="BQ35" s="191">
        <v>0</v>
      </c>
      <c r="BR35" s="191">
        <v>2.38</v>
      </c>
      <c r="BS35" s="192">
        <v>0</v>
      </c>
      <c r="BT35" s="180"/>
      <c r="BU35" s="191" t="s">
        <v>440</v>
      </c>
      <c r="BV35" s="191">
        <v>-7.79</v>
      </c>
      <c r="BW35" s="191">
        <v>274.22</v>
      </c>
      <c r="BX35" s="191">
        <v>0</v>
      </c>
      <c r="BY35" s="191">
        <v>0</v>
      </c>
      <c r="BZ35" s="191">
        <v>0</v>
      </c>
      <c r="CA35" s="191">
        <v>0</v>
      </c>
      <c r="CB35" s="191">
        <v>0</v>
      </c>
      <c r="CC35" s="191">
        <v>0</v>
      </c>
      <c r="CD35" s="191">
        <v>0</v>
      </c>
      <c r="CE35" s="191">
        <v>0</v>
      </c>
      <c r="CF35" s="191">
        <v>0</v>
      </c>
      <c r="CG35" s="191">
        <v>0</v>
      </c>
      <c r="CH35" s="191">
        <v>0</v>
      </c>
      <c r="CI35" s="191">
        <v>0</v>
      </c>
      <c r="CJ35" s="191">
        <v>0</v>
      </c>
      <c r="CK35" s="191">
        <v>0</v>
      </c>
      <c r="CL35" s="191">
        <v>23.67</v>
      </c>
      <c r="CM35" s="191">
        <v>0</v>
      </c>
      <c r="CN35" s="191">
        <v>0</v>
      </c>
      <c r="CO35" s="191">
        <v>0</v>
      </c>
      <c r="CP35" s="191">
        <v>0</v>
      </c>
      <c r="CQ35" s="191">
        <v>0</v>
      </c>
      <c r="CR35" s="191">
        <v>0</v>
      </c>
      <c r="CS35" s="191">
        <v>0</v>
      </c>
      <c r="CT35" s="191">
        <v>0</v>
      </c>
      <c r="CU35" s="191">
        <v>0</v>
      </c>
      <c r="CV35" s="191">
        <v>0</v>
      </c>
      <c r="CW35" s="191">
        <v>-0.62</v>
      </c>
      <c r="CX35" s="191">
        <v>0</v>
      </c>
      <c r="CY35" s="191">
        <v>0</v>
      </c>
      <c r="CZ35" s="191">
        <v>0</v>
      </c>
      <c r="DA35" s="191">
        <v>0</v>
      </c>
      <c r="DB35" s="191">
        <v>0</v>
      </c>
      <c r="DC35" s="191">
        <v>0</v>
      </c>
      <c r="DD35" s="191">
        <v>4.64</v>
      </c>
      <c r="DE35" s="191">
        <v>0</v>
      </c>
      <c r="DF35" s="191">
        <v>0</v>
      </c>
      <c r="DG35" s="191">
        <v>0</v>
      </c>
      <c r="DH35" s="191">
        <v>0</v>
      </c>
      <c r="DI35" s="191">
        <v>0</v>
      </c>
      <c r="DJ35" s="191">
        <v>0</v>
      </c>
      <c r="DK35" s="191">
        <v>-5.02</v>
      </c>
      <c r="DL35" s="191">
        <v>-4.92</v>
      </c>
      <c r="DM35" s="191">
        <v>-2.36</v>
      </c>
      <c r="DN35" s="191">
        <v>0</v>
      </c>
      <c r="DO35" s="191">
        <v>0</v>
      </c>
      <c r="DP35" s="191">
        <v>13.19</v>
      </c>
      <c r="DQ35" s="191">
        <v>0</v>
      </c>
      <c r="DR35" s="191">
        <v>0</v>
      </c>
      <c r="DS35" s="191">
        <v>0</v>
      </c>
      <c r="DT35" s="191">
        <v>0</v>
      </c>
      <c r="DU35" s="191">
        <v>0</v>
      </c>
      <c r="DV35" s="191">
        <v>0</v>
      </c>
      <c r="DW35" s="191">
        <v>0</v>
      </c>
      <c r="DX35" s="191">
        <v>0</v>
      </c>
      <c r="DY35" s="191">
        <v>0</v>
      </c>
      <c r="DZ35" s="191">
        <v>13.93</v>
      </c>
      <c r="EA35" s="191">
        <v>0</v>
      </c>
      <c r="EB35" s="191">
        <v>0</v>
      </c>
      <c r="EC35" s="191">
        <v>0</v>
      </c>
      <c r="ED35" s="191">
        <v>4.64</v>
      </c>
      <c r="EE35" s="191">
        <v>-1.54</v>
      </c>
      <c r="EF35" s="191">
        <v>0</v>
      </c>
      <c r="EG35" s="191">
        <v>0</v>
      </c>
      <c r="EH35" s="191">
        <v>2.32</v>
      </c>
      <c r="EI35" s="192">
        <v>0</v>
      </c>
      <c r="EJ35" s="180"/>
      <c r="EK35" s="191" t="s">
        <v>440</v>
      </c>
      <c r="EL35" s="191">
        <v>-8.03</v>
      </c>
      <c r="EM35" s="191">
        <v>0</v>
      </c>
      <c r="EN35" s="191">
        <v>0</v>
      </c>
      <c r="EO35" s="191">
        <v>0</v>
      </c>
      <c r="EP35" s="191">
        <v>0</v>
      </c>
      <c r="EQ35" s="191">
        <v>0</v>
      </c>
      <c r="ER35" s="191">
        <v>0</v>
      </c>
      <c r="ES35" s="191">
        <v>0</v>
      </c>
      <c r="ET35" s="191">
        <v>0</v>
      </c>
      <c r="EU35" s="191">
        <v>0</v>
      </c>
      <c r="EV35" s="191">
        <v>0</v>
      </c>
      <c r="EW35" s="191">
        <v>0</v>
      </c>
      <c r="EX35" s="191">
        <v>0</v>
      </c>
      <c r="EY35" s="191">
        <v>0</v>
      </c>
      <c r="EZ35" s="191">
        <v>0</v>
      </c>
      <c r="FA35" s="191">
        <v>4.51</v>
      </c>
      <c r="FB35" s="191">
        <v>0</v>
      </c>
      <c r="FC35" s="191">
        <v>0</v>
      </c>
      <c r="FD35" s="191">
        <v>0</v>
      </c>
      <c r="FE35" s="191">
        <v>-5.17</v>
      </c>
      <c r="FF35" s="191">
        <v>-5.07</v>
      </c>
      <c r="FG35" s="191">
        <v>-2.43</v>
      </c>
      <c r="FH35" s="191">
        <v>0</v>
      </c>
      <c r="FI35" s="191">
        <v>0</v>
      </c>
      <c r="FJ35" s="191">
        <v>0</v>
      </c>
      <c r="FK35" s="191">
        <v>0</v>
      </c>
      <c r="FL35" s="192">
        <v>2.25</v>
      </c>
    </row>
    <row r="36" s="180" customFormat="1" spans="1:168">
      <c r="A36" s="190" t="s">
        <v>441</v>
      </c>
      <c r="B36" s="191">
        <v>-22.2</v>
      </c>
      <c r="C36" s="192">
        <v>617.4</v>
      </c>
      <c r="E36" s="191" t="s">
        <v>441</v>
      </c>
      <c r="F36" s="191">
        <v>-7.6</v>
      </c>
      <c r="G36" s="191">
        <v>380.71</v>
      </c>
      <c r="H36" s="191">
        <v>0</v>
      </c>
      <c r="I36" s="191">
        <v>0</v>
      </c>
      <c r="J36" s="191">
        <v>8.38</v>
      </c>
      <c r="K36" s="191">
        <v>5.05</v>
      </c>
      <c r="L36" s="191">
        <v>2.67</v>
      </c>
      <c r="M36" s="191">
        <v>0.76</v>
      </c>
      <c r="N36" s="191">
        <v>0</v>
      </c>
      <c r="O36" s="191">
        <v>0</v>
      </c>
      <c r="P36" s="191">
        <v>0</v>
      </c>
      <c r="Q36" s="191">
        <v>0</v>
      </c>
      <c r="R36" s="191">
        <v>0</v>
      </c>
      <c r="S36" s="191">
        <v>4.76</v>
      </c>
      <c r="T36" s="191">
        <v>0</v>
      </c>
      <c r="U36" s="191">
        <v>0</v>
      </c>
      <c r="V36" s="191">
        <v>24.27</v>
      </c>
      <c r="W36" s="191">
        <v>7.14</v>
      </c>
      <c r="X36" s="191">
        <v>5.71</v>
      </c>
      <c r="Y36" s="191">
        <v>0</v>
      </c>
      <c r="Z36" s="191">
        <v>1.9</v>
      </c>
      <c r="AA36" s="191">
        <v>3.81</v>
      </c>
      <c r="AB36" s="191">
        <v>0</v>
      </c>
      <c r="AC36" s="191">
        <v>2.86</v>
      </c>
      <c r="AD36" s="191">
        <v>0</v>
      </c>
      <c r="AE36" s="191">
        <v>4.28</v>
      </c>
      <c r="AF36" s="191">
        <v>1.05</v>
      </c>
      <c r="AG36" s="191">
        <v>-0.6</v>
      </c>
      <c r="AH36" s="191">
        <v>0</v>
      </c>
      <c r="AI36" s="191">
        <v>0</v>
      </c>
      <c r="AJ36" s="191">
        <v>0</v>
      </c>
      <c r="AK36" s="191">
        <v>0</v>
      </c>
      <c r="AL36" s="191">
        <v>0</v>
      </c>
      <c r="AM36" s="191">
        <v>9.52</v>
      </c>
      <c r="AN36" s="191">
        <v>4.76</v>
      </c>
      <c r="AO36" s="191">
        <v>0.48</v>
      </c>
      <c r="AP36" s="191">
        <v>0</v>
      </c>
      <c r="AQ36" s="191">
        <v>10.57</v>
      </c>
      <c r="AR36" s="191">
        <v>13.14</v>
      </c>
      <c r="AS36" s="191">
        <v>0</v>
      </c>
      <c r="AT36" s="191">
        <v>0</v>
      </c>
      <c r="AU36" s="191">
        <v>-4.9</v>
      </c>
      <c r="AV36" s="191">
        <v>-4.8</v>
      </c>
      <c r="AW36" s="191">
        <v>-2.3</v>
      </c>
      <c r="AX36" s="191">
        <v>0</v>
      </c>
      <c r="AY36" s="191">
        <v>0</v>
      </c>
      <c r="AZ36" s="191">
        <v>13.52</v>
      </c>
      <c r="BA36" s="191">
        <v>5.71</v>
      </c>
      <c r="BB36" s="191">
        <v>9.52</v>
      </c>
      <c r="BC36" s="191">
        <v>0</v>
      </c>
      <c r="BD36" s="191">
        <v>0</v>
      </c>
      <c r="BE36" s="191">
        <v>19.99</v>
      </c>
      <c r="BF36" s="191">
        <v>19.04</v>
      </c>
      <c r="BG36" s="191">
        <v>7.62</v>
      </c>
      <c r="BH36" s="191">
        <v>2.86</v>
      </c>
      <c r="BI36" s="191">
        <v>2</v>
      </c>
      <c r="BJ36" s="191">
        <v>14.28</v>
      </c>
      <c r="BK36" s="191">
        <v>0</v>
      </c>
      <c r="BL36" s="191">
        <v>0</v>
      </c>
      <c r="BM36" s="191">
        <v>0</v>
      </c>
      <c r="BN36" s="191">
        <v>14.28</v>
      </c>
      <c r="BO36" s="191">
        <v>-2</v>
      </c>
      <c r="BP36" s="191">
        <v>13.33</v>
      </c>
      <c r="BQ36" s="191">
        <v>1.05</v>
      </c>
      <c r="BR36" s="191">
        <v>2.38</v>
      </c>
      <c r="BS36" s="192">
        <v>0</v>
      </c>
      <c r="BT36" s="180"/>
      <c r="BU36" s="191" t="s">
        <v>441</v>
      </c>
      <c r="BV36" s="191">
        <v>-7.79</v>
      </c>
      <c r="BW36" s="191">
        <v>371.34</v>
      </c>
      <c r="BX36" s="191">
        <v>0</v>
      </c>
      <c r="BY36" s="191">
        <v>0</v>
      </c>
      <c r="BZ36" s="191">
        <v>8.17</v>
      </c>
      <c r="CA36" s="191">
        <v>4.93</v>
      </c>
      <c r="CB36" s="191">
        <v>2.6</v>
      </c>
      <c r="CC36" s="191">
        <v>0.74</v>
      </c>
      <c r="CD36" s="191">
        <v>0</v>
      </c>
      <c r="CE36" s="191">
        <v>0</v>
      </c>
      <c r="CF36" s="191">
        <v>0</v>
      </c>
      <c r="CG36" s="191">
        <v>0</v>
      </c>
      <c r="CH36" s="191">
        <v>0</v>
      </c>
      <c r="CI36" s="191">
        <v>4.64</v>
      </c>
      <c r="CJ36" s="191">
        <v>0</v>
      </c>
      <c r="CK36" s="191">
        <v>0</v>
      </c>
      <c r="CL36" s="191">
        <v>23.67</v>
      </c>
      <c r="CM36" s="191">
        <v>6.96</v>
      </c>
      <c r="CN36" s="191">
        <v>5.57</v>
      </c>
      <c r="CO36" s="191">
        <v>0</v>
      </c>
      <c r="CP36" s="191">
        <v>1.85</v>
      </c>
      <c r="CQ36" s="191">
        <v>3.72</v>
      </c>
      <c r="CR36" s="191">
        <v>0</v>
      </c>
      <c r="CS36" s="191">
        <v>2.79</v>
      </c>
      <c r="CT36" s="191">
        <v>0</v>
      </c>
      <c r="CU36" s="191">
        <v>4.17</v>
      </c>
      <c r="CV36" s="191">
        <v>1.02</v>
      </c>
      <c r="CW36" s="191">
        <v>-0.62</v>
      </c>
      <c r="CX36" s="191">
        <v>0</v>
      </c>
      <c r="CY36" s="191">
        <v>0</v>
      </c>
      <c r="CZ36" s="191">
        <v>0</v>
      </c>
      <c r="DA36" s="191">
        <v>0</v>
      </c>
      <c r="DB36" s="191">
        <v>0</v>
      </c>
      <c r="DC36" s="191">
        <v>9.29</v>
      </c>
      <c r="DD36" s="191">
        <v>4.64</v>
      </c>
      <c r="DE36" s="191">
        <v>0.47</v>
      </c>
      <c r="DF36" s="191">
        <v>0</v>
      </c>
      <c r="DG36" s="191">
        <v>10.31</v>
      </c>
      <c r="DH36" s="191">
        <v>12.82</v>
      </c>
      <c r="DI36" s="191">
        <v>0</v>
      </c>
      <c r="DJ36" s="191">
        <v>0</v>
      </c>
      <c r="DK36" s="191">
        <v>-5.02</v>
      </c>
      <c r="DL36" s="191">
        <v>-4.92</v>
      </c>
      <c r="DM36" s="191">
        <v>-2.36</v>
      </c>
      <c r="DN36" s="191">
        <v>0</v>
      </c>
      <c r="DO36" s="191">
        <v>0</v>
      </c>
      <c r="DP36" s="191">
        <v>13.19</v>
      </c>
      <c r="DQ36" s="191">
        <v>5.57</v>
      </c>
      <c r="DR36" s="191">
        <v>9.29</v>
      </c>
      <c r="DS36" s="191">
        <v>0</v>
      </c>
      <c r="DT36" s="191">
        <v>0</v>
      </c>
      <c r="DU36" s="191">
        <v>19.5</v>
      </c>
      <c r="DV36" s="191">
        <v>18.57</v>
      </c>
      <c r="DW36" s="191">
        <v>7.43</v>
      </c>
      <c r="DX36" s="191">
        <v>2.79</v>
      </c>
      <c r="DY36" s="191">
        <v>1.95</v>
      </c>
      <c r="DZ36" s="191">
        <v>13.93</v>
      </c>
      <c r="EA36" s="191">
        <v>0</v>
      </c>
      <c r="EB36" s="191">
        <v>0</v>
      </c>
      <c r="EC36" s="191">
        <v>0</v>
      </c>
      <c r="ED36" s="191">
        <v>13.93</v>
      </c>
      <c r="EE36" s="191">
        <v>-2.05</v>
      </c>
      <c r="EF36" s="191">
        <v>13</v>
      </c>
      <c r="EG36" s="191">
        <v>1.02</v>
      </c>
      <c r="EH36" s="191">
        <v>2.32</v>
      </c>
      <c r="EI36" s="192">
        <v>0</v>
      </c>
      <c r="EJ36" s="180"/>
      <c r="EK36" s="191" t="s">
        <v>441</v>
      </c>
      <c r="EL36" s="191">
        <v>-8.03</v>
      </c>
      <c r="EM36" s="191">
        <v>0</v>
      </c>
      <c r="EN36" s="191">
        <v>7.93</v>
      </c>
      <c r="EO36" s="191">
        <v>2.52</v>
      </c>
      <c r="EP36" s="191">
        <v>0.72</v>
      </c>
      <c r="EQ36" s="191">
        <v>0</v>
      </c>
      <c r="ER36" s="191">
        <v>0</v>
      </c>
      <c r="ES36" s="191">
        <v>6.77</v>
      </c>
      <c r="ET36" s="191">
        <v>5.42</v>
      </c>
      <c r="EU36" s="191">
        <v>1.8</v>
      </c>
      <c r="EV36" s="191">
        <v>3.62</v>
      </c>
      <c r="EW36" s="191">
        <v>0</v>
      </c>
      <c r="EX36" s="191">
        <v>2.71</v>
      </c>
      <c r="EY36" s="191">
        <v>0.99</v>
      </c>
      <c r="EZ36" s="191">
        <v>0</v>
      </c>
      <c r="FA36" s="191">
        <v>4.51</v>
      </c>
      <c r="FB36" s="191">
        <v>0.46</v>
      </c>
      <c r="FC36" s="191">
        <v>0</v>
      </c>
      <c r="FD36" s="191">
        <v>0</v>
      </c>
      <c r="FE36" s="191">
        <v>-5.17</v>
      </c>
      <c r="FF36" s="191">
        <v>-5.07</v>
      </c>
      <c r="FG36" s="191">
        <v>-2.43</v>
      </c>
      <c r="FH36" s="191">
        <v>0</v>
      </c>
      <c r="FI36" s="191">
        <v>0</v>
      </c>
      <c r="FJ36" s="191">
        <v>1.89</v>
      </c>
      <c r="FK36" s="191">
        <v>0</v>
      </c>
      <c r="FL36" s="192">
        <v>2.25</v>
      </c>
    </row>
    <row r="37" s="180" customFormat="1" spans="1:168">
      <c r="A37" s="190" t="s">
        <v>442</v>
      </c>
      <c r="B37" s="191">
        <v>-22.4</v>
      </c>
      <c r="C37" s="192">
        <v>342.7</v>
      </c>
      <c r="E37" s="191" t="s">
        <v>442</v>
      </c>
      <c r="F37" s="191">
        <v>-7.6</v>
      </c>
      <c r="G37" s="191">
        <v>190.37</v>
      </c>
      <c r="H37" s="191">
        <v>0</v>
      </c>
      <c r="I37" s="191">
        <v>0</v>
      </c>
      <c r="J37" s="191">
        <v>0</v>
      </c>
      <c r="K37" s="191">
        <v>5.05</v>
      </c>
      <c r="L37" s="191">
        <v>0</v>
      </c>
      <c r="M37" s="191">
        <v>0</v>
      </c>
      <c r="N37" s="191">
        <v>0</v>
      </c>
      <c r="O37" s="191">
        <v>0</v>
      </c>
      <c r="P37" s="191">
        <v>0</v>
      </c>
      <c r="Q37" s="191">
        <v>0</v>
      </c>
      <c r="R37" s="191">
        <v>0</v>
      </c>
      <c r="S37" s="191">
        <v>3.73</v>
      </c>
      <c r="T37" s="191">
        <v>0</v>
      </c>
      <c r="U37" s="191">
        <v>0</v>
      </c>
      <c r="V37" s="191">
        <v>24.27</v>
      </c>
      <c r="W37" s="191">
        <v>7.14</v>
      </c>
      <c r="X37" s="191">
        <v>5.71</v>
      </c>
      <c r="Y37" s="191">
        <v>0</v>
      </c>
      <c r="Z37" s="191">
        <v>1.9</v>
      </c>
      <c r="AA37" s="191">
        <v>0</v>
      </c>
      <c r="AB37" s="191">
        <v>0</v>
      </c>
      <c r="AC37" s="191">
        <v>2.86</v>
      </c>
      <c r="AD37" s="191">
        <v>0</v>
      </c>
      <c r="AE37" s="191">
        <v>4.28</v>
      </c>
      <c r="AF37" s="191">
        <v>1.05</v>
      </c>
      <c r="AG37" s="191">
        <v>-0.6</v>
      </c>
      <c r="AH37" s="191">
        <v>0</v>
      </c>
      <c r="AI37" s="191">
        <v>0</v>
      </c>
      <c r="AJ37" s="191">
        <v>1.43</v>
      </c>
      <c r="AK37" s="191">
        <v>0</v>
      </c>
      <c r="AL37" s="191">
        <v>0</v>
      </c>
      <c r="AM37" s="191">
        <v>9.52</v>
      </c>
      <c r="AN37" s="191">
        <v>4.76</v>
      </c>
      <c r="AO37" s="191">
        <v>0.48</v>
      </c>
      <c r="AP37" s="191">
        <v>7.04</v>
      </c>
      <c r="AQ37" s="191">
        <v>11.04</v>
      </c>
      <c r="AR37" s="191">
        <v>13.04</v>
      </c>
      <c r="AS37" s="191">
        <v>0</v>
      </c>
      <c r="AT37" s="191">
        <v>0</v>
      </c>
      <c r="AU37" s="191">
        <v>-4.9</v>
      </c>
      <c r="AV37" s="191">
        <v>-4.8</v>
      </c>
      <c r="AW37" s="191">
        <v>-2.3</v>
      </c>
      <c r="AX37" s="191">
        <v>0</v>
      </c>
      <c r="AY37" s="191">
        <v>0</v>
      </c>
      <c r="AZ37" s="191">
        <v>0</v>
      </c>
      <c r="BA37" s="191">
        <v>5.71</v>
      </c>
      <c r="BB37" s="191">
        <v>9.52</v>
      </c>
      <c r="BC37" s="191">
        <v>0</v>
      </c>
      <c r="BD37" s="191">
        <v>0</v>
      </c>
      <c r="BE37" s="191">
        <v>0</v>
      </c>
      <c r="BF37" s="191">
        <v>0</v>
      </c>
      <c r="BG37" s="191">
        <v>0</v>
      </c>
      <c r="BH37" s="191">
        <v>2.86</v>
      </c>
      <c r="BI37" s="191">
        <v>0</v>
      </c>
      <c r="BJ37" s="191">
        <v>14.28</v>
      </c>
      <c r="BK37" s="191">
        <v>0</v>
      </c>
      <c r="BL37" s="191">
        <v>0</v>
      </c>
      <c r="BM37" s="191">
        <v>0</v>
      </c>
      <c r="BN37" s="191">
        <v>14.28</v>
      </c>
      <c r="BO37" s="191">
        <v>-2.2</v>
      </c>
      <c r="BP37" s="191">
        <v>0</v>
      </c>
      <c r="BQ37" s="191">
        <v>0</v>
      </c>
      <c r="BR37" s="191">
        <v>2.38</v>
      </c>
      <c r="BS37" s="192">
        <v>0</v>
      </c>
      <c r="BT37" s="180"/>
      <c r="BU37" s="191" t="s">
        <v>442</v>
      </c>
      <c r="BV37" s="191">
        <v>-7.79</v>
      </c>
      <c r="BW37" s="191">
        <v>185.69</v>
      </c>
      <c r="BX37" s="191">
        <v>0</v>
      </c>
      <c r="BY37" s="191">
        <v>0</v>
      </c>
      <c r="BZ37" s="191">
        <v>0</v>
      </c>
      <c r="CA37" s="191">
        <v>4.93</v>
      </c>
      <c r="CB37" s="191">
        <v>0</v>
      </c>
      <c r="CC37" s="191">
        <v>0</v>
      </c>
      <c r="CD37" s="191">
        <v>0</v>
      </c>
      <c r="CE37" s="191">
        <v>0</v>
      </c>
      <c r="CF37" s="191">
        <v>0</v>
      </c>
      <c r="CG37" s="191">
        <v>0</v>
      </c>
      <c r="CH37" s="191">
        <v>0</v>
      </c>
      <c r="CI37" s="191">
        <v>3.64</v>
      </c>
      <c r="CJ37" s="191">
        <v>0</v>
      </c>
      <c r="CK37" s="191">
        <v>0</v>
      </c>
      <c r="CL37" s="191">
        <v>23.67</v>
      </c>
      <c r="CM37" s="191">
        <v>6.96</v>
      </c>
      <c r="CN37" s="191">
        <v>5.57</v>
      </c>
      <c r="CO37" s="191">
        <v>0</v>
      </c>
      <c r="CP37" s="191">
        <v>1.85</v>
      </c>
      <c r="CQ37" s="191">
        <v>0</v>
      </c>
      <c r="CR37" s="191">
        <v>0</v>
      </c>
      <c r="CS37" s="191">
        <v>2.79</v>
      </c>
      <c r="CT37" s="191">
        <v>0</v>
      </c>
      <c r="CU37" s="191">
        <v>4.17</v>
      </c>
      <c r="CV37" s="191">
        <v>1.02</v>
      </c>
      <c r="CW37" s="191">
        <v>-0.62</v>
      </c>
      <c r="CX37" s="191">
        <v>0</v>
      </c>
      <c r="CY37" s="191">
        <v>0</v>
      </c>
      <c r="CZ37" s="191">
        <v>1.39</v>
      </c>
      <c r="DA37" s="191">
        <v>0</v>
      </c>
      <c r="DB37" s="191">
        <v>0</v>
      </c>
      <c r="DC37" s="191">
        <v>9.29</v>
      </c>
      <c r="DD37" s="191">
        <v>4.64</v>
      </c>
      <c r="DE37" s="191">
        <v>0.47</v>
      </c>
      <c r="DF37" s="191">
        <v>6.87</v>
      </c>
      <c r="DG37" s="191">
        <v>10.77</v>
      </c>
      <c r="DH37" s="191">
        <v>12.72</v>
      </c>
      <c r="DI37" s="191">
        <v>0</v>
      </c>
      <c r="DJ37" s="191">
        <v>0</v>
      </c>
      <c r="DK37" s="191">
        <v>-5.02</v>
      </c>
      <c r="DL37" s="191">
        <v>-4.92</v>
      </c>
      <c r="DM37" s="191">
        <v>-2.36</v>
      </c>
      <c r="DN37" s="191">
        <v>0</v>
      </c>
      <c r="DO37" s="191">
        <v>0</v>
      </c>
      <c r="DP37" s="191">
        <v>0</v>
      </c>
      <c r="DQ37" s="191">
        <v>5.57</v>
      </c>
      <c r="DR37" s="191">
        <v>9.29</v>
      </c>
      <c r="DS37" s="191">
        <v>0</v>
      </c>
      <c r="DT37" s="191">
        <v>0</v>
      </c>
      <c r="DU37" s="191">
        <v>0</v>
      </c>
      <c r="DV37" s="191">
        <v>0</v>
      </c>
      <c r="DW37" s="191">
        <v>0</v>
      </c>
      <c r="DX37" s="191">
        <v>2.79</v>
      </c>
      <c r="DY37" s="191">
        <v>0</v>
      </c>
      <c r="DZ37" s="191">
        <v>13.93</v>
      </c>
      <c r="EA37" s="191">
        <v>0</v>
      </c>
      <c r="EB37" s="191">
        <v>0</v>
      </c>
      <c r="EC37" s="191">
        <v>0</v>
      </c>
      <c r="ED37" s="191">
        <v>13.93</v>
      </c>
      <c r="EE37" s="191">
        <v>-2.26</v>
      </c>
      <c r="EF37" s="191">
        <v>0</v>
      </c>
      <c r="EG37" s="191">
        <v>0</v>
      </c>
      <c r="EH37" s="191">
        <v>2.32</v>
      </c>
      <c r="EI37" s="192">
        <v>0</v>
      </c>
      <c r="EJ37" s="180"/>
      <c r="EK37" s="191" t="s">
        <v>442</v>
      </c>
      <c r="EL37" s="191">
        <v>-8.03</v>
      </c>
      <c r="EM37" s="191">
        <v>0</v>
      </c>
      <c r="EN37" s="191">
        <v>0</v>
      </c>
      <c r="EO37" s="191">
        <v>0</v>
      </c>
      <c r="EP37" s="191">
        <v>0</v>
      </c>
      <c r="EQ37" s="191">
        <v>0</v>
      </c>
      <c r="ER37" s="191">
        <v>0</v>
      </c>
      <c r="ES37" s="191">
        <v>6.77</v>
      </c>
      <c r="ET37" s="191">
        <v>5.42</v>
      </c>
      <c r="EU37" s="191">
        <v>1.8</v>
      </c>
      <c r="EV37" s="191">
        <v>0</v>
      </c>
      <c r="EW37" s="191">
        <v>0</v>
      </c>
      <c r="EX37" s="191">
        <v>2.71</v>
      </c>
      <c r="EY37" s="191">
        <v>0.99</v>
      </c>
      <c r="EZ37" s="191">
        <v>1.35</v>
      </c>
      <c r="FA37" s="191">
        <v>4.51</v>
      </c>
      <c r="FB37" s="191">
        <v>0.46</v>
      </c>
      <c r="FC37" s="191">
        <v>6.67</v>
      </c>
      <c r="FD37" s="191">
        <v>0</v>
      </c>
      <c r="FE37" s="191">
        <v>-5.17</v>
      </c>
      <c r="FF37" s="191">
        <v>-5.07</v>
      </c>
      <c r="FG37" s="191">
        <v>-2.43</v>
      </c>
      <c r="FH37" s="191">
        <v>0</v>
      </c>
      <c r="FI37" s="191">
        <v>0</v>
      </c>
      <c r="FJ37" s="191">
        <v>0</v>
      </c>
      <c r="FK37" s="191">
        <v>0</v>
      </c>
      <c r="FL37" s="192">
        <v>2.25</v>
      </c>
    </row>
    <row r="38" s="180" customFormat="1" spans="1:168">
      <c r="A38" s="190" t="s">
        <v>443</v>
      </c>
      <c r="B38" s="191">
        <v>-23.5</v>
      </c>
      <c r="C38" s="192">
        <v>314.37</v>
      </c>
      <c r="E38" s="191" t="s">
        <v>443</v>
      </c>
      <c r="F38" s="191">
        <v>-7.6</v>
      </c>
      <c r="G38" s="191">
        <v>277.46</v>
      </c>
      <c r="H38" s="191">
        <v>0</v>
      </c>
      <c r="I38" s="191">
        <v>0</v>
      </c>
      <c r="J38" s="191">
        <v>0</v>
      </c>
      <c r="K38" s="191">
        <v>0</v>
      </c>
      <c r="L38" s="191">
        <v>0</v>
      </c>
      <c r="M38" s="191">
        <v>0</v>
      </c>
      <c r="N38" s="191">
        <v>0</v>
      </c>
      <c r="O38" s="191">
        <v>0</v>
      </c>
      <c r="P38" s="191">
        <v>0</v>
      </c>
      <c r="Q38" s="191">
        <v>0</v>
      </c>
      <c r="R38" s="191">
        <v>0</v>
      </c>
      <c r="S38" s="191">
        <v>0</v>
      </c>
      <c r="T38" s="191">
        <v>0</v>
      </c>
      <c r="U38" s="191">
        <v>0</v>
      </c>
      <c r="V38" s="191">
        <v>24.27</v>
      </c>
      <c r="W38" s="191">
        <v>0</v>
      </c>
      <c r="X38" s="191">
        <v>0</v>
      </c>
      <c r="Y38" s="191">
        <v>0</v>
      </c>
      <c r="Z38" s="191">
        <v>0</v>
      </c>
      <c r="AA38" s="191">
        <v>0</v>
      </c>
      <c r="AB38" s="191">
        <v>0</v>
      </c>
      <c r="AC38" s="191">
        <v>0</v>
      </c>
      <c r="AD38" s="191">
        <v>0</v>
      </c>
      <c r="AE38" s="191">
        <v>0</v>
      </c>
      <c r="AF38" s="191">
        <v>0</v>
      </c>
      <c r="AG38" s="191">
        <v>-0.8</v>
      </c>
      <c r="AH38" s="191">
        <v>0</v>
      </c>
      <c r="AI38" s="191">
        <v>0</v>
      </c>
      <c r="AJ38" s="191">
        <v>0</v>
      </c>
      <c r="AK38" s="191">
        <v>0</v>
      </c>
      <c r="AL38" s="191">
        <v>0</v>
      </c>
      <c r="AM38" s="191">
        <v>0</v>
      </c>
      <c r="AN38" s="191">
        <v>4.76</v>
      </c>
      <c r="AO38" s="191">
        <v>0</v>
      </c>
      <c r="AP38" s="191">
        <v>0</v>
      </c>
      <c r="AQ38" s="191">
        <v>0</v>
      </c>
      <c r="AR38" s="191">
        <v>0</v>
      </c>
      <c r="AS38" s="191">
        <v>0</v>
      </c>
      <c r="AT38" s="191">
        <v>0</v>
      </c>
      <c r="AU38" s="191">
        <v>-4.9</v>
      </c>
      <c r="AV38" s="191">
        <v>-4.8</v>
      </c>
      <c r="AW38" s="191">
        <v>-2.3</v>
      </c>
      <c r="AX38" s="191">
        <v>0</v>
      </c>
      <c r="AY38" s="191">
        <v>0</v>
      </c>
      <c r="AZ38" s="191">
        <v>0</v>
      </c>
      <c r="BA38" s="191">
        <v>0</v>
      </c>
      <c r="BB38" s="191">
        <v>0</v>
      </c>
      <c r="BC38" s="191">
        <v>0</v>
      </c>
      <c r="BD38" s="191">
        <v>0</v>
      </c>
      <c r="BE38" s="191">
        <v>0</v>
      </c>
      <c r="BF38" s="191">
        <v>0</v>
      </c>
      <c r="BG38" s="191">
        <v>0</v>
      </c>
      <c r="BH38" s="191">
        <v>2.86</v>
      </c>
      <c r="BI38" s="191">
        <v>0</v>
      </c>
      <c r="BJ38" s="191">
        <v>0</v>
      </c>
      <c r="BK38" s="191">
        <v>0</v>
      </c>
      <c r="BL38" s="191">
        <v>0</v>
      </c>
      <c r="BM38" s="191">
        <v>0</v>
      </c>
      <c r="BN38" s="191">
        <v>2.64</v>
      </c>
      <c r="BO38" s="191">
        <v>-3.1</v>
      </c>
      <c r="BP38" s="191">
        <v>0</v>
      </c>
      <c r="BQ38" s="191">
        <v>0</v>
      </c>
      <c r="BR38" s="191">
        <v>2.38</v>
      </c>
      <c r="BS38" s="192">
        <v>0</v>
      </c>
      <c r="BT38" s="180"/>
      <c r="BU38" s="191" t="s">
        <v>443</v>
      </c>
      <c r="BV38" s="191">
        <v>-7.79</v>
      </c>
      <c r="BW38" s="191">
        <v>270.63</v>
      </c>
      <c r="BX38" s="191">
        <v>0</v>
      </c>
      <c r="BY38" s="191">
        <v>0</v>
      </c>
      <c r="BZ38" s="191">
        <v>0</v>
      </c>
      <c r="CA38" s="191">
        <v>0</v>
      </c>
      <c r="CB38" s="191">
        <v>0</v>
      </c>
      <c r="CC38" s="191">
        <v>0</v>
      </c>
      <c r="CD38" s="191">
        <v>0</v>
      </c>
      <c r="CE38" s="191">
        <v>0</v>
      </c>
      <c r="CF38" s="191">
        <v>0</v>
      </c>
      <c r="CG38" s="191">
        <v>0</v>
      </c>
      <c r="CH38" s="191">
        <v>0</v>
      </c>
      <c r="CI38" s="191">
        <v>0</v>
      </c>
      <c r="CJ38" s="191">
        <v>0</v>
      </c>
      <c r="CK38" s="191">
        <v>0</v>
      </c>
      <c r="CL38" s="191">
        <v>23.67</v>
      </c>
      <c r="CM38" s="191">
        <v>0</v>
      </c>
      <c r="CN38" s="191">
        <v>0</v>
      </c>
      <c r="CO38" s="191">
        <v>0</v>
      </c>
      <c r="CP38" s="191">
        <v>0</v>
      </c>
      <c r="CQ38" s="191">
        <v>0</v>
      </c>
      <c r="CR38" s="191">
        <v>0</v>
      </c>
      <c r="CS38" s="191">
        <v>0</v>
      </c>
      <c r="CT38" s="191">
        <v>0</v>
      </c>
      <c r="CU38" s="191">
        <v>0</v>
      </c>
      <c r="CV38" s="191">
        <v>0</v>
      </c>
      <c r="CW38" s="191">
        <v>-0.82</v>
      </c>
      <c r="CX38" s="191">
        <v>0</v>
      </c>
      <c r="CY38" s="191">
        <v>0</v>
      </c>
      <c r="CZ38" s="191">
        <v>0</v>
      </c>
      <c r="DA38" s="191">
        <v>0</v>
      </c>
      <c r="DB38" s="191">
        <v>0</v>
      </c>
      <c r="DC38" s="191">
        <v>0</v>
      </c>
      <c r="DD38" s="191">
        <v>4.64</v>
      </c>
      <c r="DE38" s="191">
        <v>0</v>
      </c>
      <c r="DF38" s="191">
        <v>0</v>
      </c>
      <c r="DG38" s="191">
        <v>0</v>
      </c>
      <c r="DH38" s="191">
        <v>0</v>
      </c>
      <c r="DI38" s="191">
        <v>0</v>
      </c>
      <c r="DJ38" s="191">
        <v>0</v>
      </c>
      <c r="DK38" s="191">
        <v>-5.02</v>
      </c>
      <c r="DL38" s="191">
        <v>-4.92</v>
      </c>
      <c r="DM38" s="191">
        <v>-2.36</v>
      </c>
      <c r="DN38" s="191">
        <v>0</v>
      </c>
      <c r="DO38" s="191">
        <v>0</v>
      </c>
      <c r="DP38" s="191">
        <v>0</v>
      </c>
      <c r="DQ38" s="191">
        <v>0</v>
      </c>
      <c r="DR38" s="191">
        <v>0</v>
      </c>
      <c r="DS38" s="191">
        <v>0</v>
      </c>
      <c r="DT38" s="191">
        <v>0</v>
      </c>
      <c r="DU38" s="191">
        <v>0</v>
      </c>
      <c r="DV38" s="191">
        <v>0</v>
      </c>
      <c r="DW38" s="191">
        <v>0</v>
      </c>
      <c r="DX38" s="191">
        <v>2.79</v>
      </c>
      <c r="DY38" s="191">
        <v>0</v>
      </c>
      <c r="DZ38" s="191">
        <v>0</v>
      </c>
      <c r="EA38" s="191">
        <v>0</v>
      </c>
      <c r="EB38" s="191">
        <v>0</v>
      </c>
      <c r="EC38" s="191">
        <v>0</v>
      </c>
      <c r="ED38" s="191">
        <v>2.58</v>
      </c>
      <c r="EE38" s="191">
        <v>-3.18</v>
      </c>
      <c r="EF38" s="191">
        <v>0</v>
      </c>
      <c r="EG38" s="191">
        <v>0</v>
      </c>
      <c r="EH38" s="191">
        <v>2.32</v>
      </c>
      <c r="EI38" s="192">
        <v>0</v>
      </c>
      <c r="EJ38" s="180"/>
      <c r="EK38" s="191" t="s">
        <v>443</v>
      </c>
      <c r="EL38" s="191">
        <v>-8.03</v>
      </c>
      <c r="EM38" s="191">
        <v>0</v>
      </c>
      <c r="EN38" s="191">
        <v>0</v>
      </c>
      <c r="EO38" s="191">
        <v>0</v>
      </c>
      <c r="EP38" s="191">
        <v>0</v>
      </c>
      <c r="EQ38" s="191">
        <v>0</v>
      </c>
      <c r="ER38" s="191">
        <v>0</v>
      </c>
      <c r="ES38" s="191">
        <v>0</v>
      </c>
      <c r="ET38" s="191">
        <v>0</v>
      </c>
      <c r="EU38" s="191">
        <v>0</v>
      </c>
      <c r="EV38" s="191">
        <v>0</v>
      </c>
      <c r="EW38" s="191">
        <v>0</v>
      </c>
      <c r="EX38" s="191">
        <v>0</v>
      </c>
      <c r="EY38" s="191">
        <v>0</v>
      </c>
      <c r="EZ38" s="191">
        <v>0</v>
      </c>
      <c r="FA38" s="191">
        <v>4.51</v>
      </c>
      <c r="FB38" s="191">
        <v>0</v>
      </c>
      <c r="FC38" s="191">
        <v>0</v>
      </c>
      <c r="FD38" s="191">
        <v>0</v>
      </c>
      <c r="FE38" s="191">
        <v>-5.17</v>
      </c>
      <c r="FF38" s="191">
        <v>-5.07</v>
      </c>
      <c r="FG38" s="191">
        <v>-2.43</v>
      </c>
      <c r="FH38" s="191">
        <v>0</v>
      </c>
      <c r="FI38" s="191">
        <v>0</v>
      </c>
      <c r="FJ38" s="191">
        <v>0</v>
      </c>
      <c r="FK38" s="191">
        <v>0</v>
      </c>
      <c r="FL38" s="192">
        <v>2.25</v>
      </c>
    </row>
    <row r="39" s="180" customFormat="1" spans="1:168">
      <c r="A39" s="190" t="s">
        <v>444</v>
      </c>
      <c r="B39" s="191">
        <v>-31.1</v>
      </c>
      <c r="C39" s="192">
        <v>498.21</v>
      </c>
      <c r="E39" s="191" t="s">
        <v>444</v>
      </c>
      <c r="F39" s="191">
        <v>-7.6</v>
      </c>
      <c r="G39" s="191">
        <v>463.94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24.27</v>
      </c>
      <c r="W39" s="191">
        <v>0</v>
      </c>
      <c r="X39" s="191">
        <v>0</v>
      </c>
      <c r="Y39" s="191">
        <v>0</v>
      </c>
      <c r="Z39" s="191">
        <v>0</v>
      </c>
      <c r="AA39" s="191">
        <v>0</v>
      </c>
      <c r="AB39" s="191">
        <v>0</v>
      </c>
      <c r="AC39" s="191">
        <v>0</v>
      </c>
      <c r="AD39" s="191">
        <v>0</v>
      </c>
      <c r="AE39" s="191">
        <v>0</v>
      </c>
      <c r="AF39" s="191">
        <v>0</v>
      </c>
      <c r="AG39" s="191">
        <v>-0.8</v>
      </c>
      <c r="AH39" s="191">
        <v>-7.8</v>
      </c>
      <c r="AI39" s="191">
        <v>0</v>
      </c>
      <c r="AJ39" s="191">
        <v>0</v>
      </c>
      <c r="AK39" s="191">
        <v>0</v>
      </c>
      <c r="AL39" s="191">
        <v>0</v>
      </c>
      <c r="AM39" s="191">
        <v>0</v>
      </c>
      <c r="AN39" s="191">
        <v>4.76</v>
      </c>
      <c r="AO39" s="191">
        <v>0</v>
      </c>
      <c r="AP39" s="191">
        <v>0</v>
      </c>
      <c r="AQ39" s="191">
        <v>0</v>
      </c>
      <c r="AR39" s="191">
        <v>0</v>
      </c>
      <c r="AS39" s="191">
        <v>0</v>
      </c>
      <c r="AT39" s="191">
        <v>0</v>
      </c>
      <c r="AU39" s="191">
        <v>-4.9</v>
      </c>
      <c r="AV39" s="191">
        <v>-4.8</v>
      </c>
      <c r="AW39" s="191">
        <v>-2.3</v>
      </c>
      <c r="AX39" s="191">
        <v>0</v>
      </c>
      <c r="AY39" s="191">
        <v>0</v>
      </c>
      <c r="AZ39" s="191">
        <v>0</v>
      </c>
      <c r="BA39" s="191">
        <v>0</v>
      </c>
      <c r="BB39" s="191">
        <v>0</v>
      </c>
      <c r="BC39" s="191">
        <v>0</v>
      </c>
      <c r="BD39" s="191">
        <v>0</v>
      </c>
      <c r="BE39" s="191">
        <v>0</v>
      </c>
      <c r="BF39" s="191">
        <v>0</v>
      </c>
      <c r="BG39" s="191">
        <v>0</v>
      </c>
      <c r="BH39" s="191">
        <v>2.86</v>
      </c>
      <c r="BI39" s="191">
        <v>0</v>
      </c>
      <c r="BJ39" s="191">
        <v>0</v>
      </c>
      <c r="BK39" s="191">
        <v>0</v>
      </c>
      <c r="BL39" s="191">
        <v>0</v>
      </c>
      <c r="BM39" s="191">
        <v>0</v>
      </c>
      <c r="BN39" s="191">
        <v>0</v>
      </c>
      <c r="BO39" s="191">
        <v>-2.9</v>
      </c>
      <c r="BP39" s="191">
        <v>0</v>
      </c>
      <c r="BQ39" s="191">
        <v>0</v>
      </c>
      <c r="BR39" s="191">
        <v>2.38</v>
      </c>
      <c r="BS39" s="192">
        <v>0</v>
      </c>
      <c r="BT39" s="180"/>
      <c r="BU39" s="191" t="s">
        <v>444</v>
      </c>
      <c r="BV39" s="191">
        <v>-7.79</v>
      </c>
      <c r="BW39" s="191">
        <v>452.53</v>
      </c>
      <c r="BX39" s="191">
        <v>0</v>
      </c>
      <c r="BY39" s="191">
        <v>0</v>
      </c>
      <c r="BZ39" s="191">
        <v>0</v>
      </c>
      <c r="CA39" s="191">
        <v>0</v>
      </c>
      <c r="CB39" s="191">
        <v>0</v>
      </c>
      <c r="CC39" s="191">
        <v>0</v>
      </c>
      <c r="CD39" s="191">
        <v>0</v>
      </c>
      <c r="CE39" s="191">
        <v>0</v>
      </c>
      <c r="CF39" s="191">
        <v>0</v>
      </c>
      <c r="CG39" s="191">
        <v>0</v>
      </c>
      <c r="CH39" s="191">
        <v>0</v>
      </c>
      <c r="CI39" s="191">
        <v>0</v>
      </c>
      <c r="CJ39" s="191">
        <v>0</v>
      </c>
      <c r="CK39" s="191">
        <v>0</v>
      </c>
      <c r="CL39" s="191">
        <v>23.67</v>
      </c>
      <c r="CM39" s="191">
        <v>0</v>
      </c>
      <c r="CN39" s="191">
        <v>0</v>
      </c>
      <c r="CO39" s="191">
        <v>0</v>
      </c>
      <c r="CP39" s="191">
        <v>0</v>
      </c>
      <c r="CQ39" s="191">
        <v>0</v>
      </c>
      <c r="CR39" s="191">
        <v>0</v>
      </c>
      <c r="CS39" s="191">
        <v>0</v>
      </c>
      <c r="CT39" s="191">
        <v>0</v>
      </c>
      <c r="CU39" s="191">
        <v>0</v>
      </c>
      <c r="CV39" s="191">
        <v>0</v>
      </c>
      <c r="CW39" s="191">
        <v>-0.82</v>
      </c>
      <c r="CX39" s="191">
        <v>-8</v>
      </c>
      <c r="CY39" s="191">
        <v>0</v>
      </c>
      <c r="CZ39" s="191">
        <v>0</v>
      </c>
      <c r="DA39" s="191">
        <v>0</v>
      </c>
      <c r="DB39" s="191">
        <v>0</v>
      </c>
      <c r="DC39" s="191">
        <v>0</v>
      </c>
      <c r="DD39" s="191">
        <v>4.64</v>
      </c>
      <c r="DE39" s="191">
        <v>0</v>
      </c>
      <c r="DF39" s="191">
        <v>0</v>
      </c>
      <c r="DG39" s="191">
        <v>0</v>
      </c>
      <c r="DH39" s="191">
        <v>0</v>
      </c>
      <c r="DI39" s="191">
        <v>0</v>
      </c>
      <c r="DJ39" s="191">
        <v>0</v>
      </c>
      <c r="DK39" s="191">
        <v>-5.02</v>
      </c>
      <c r="DL39" s="191">
        <v>-4.92</v>
      </c>
      <c r="DM39" s="191">
        <v>-2.36</v>
      </c>
      <c r="DN39" s="191">
        <v>0</v>
      </c>
      <c r="DO39" s="191">
        <v>0</v>
      </c>
      <c r="DP39" s="191">
        <v>0</v>
      </c>
      <c r="DQ39" s="191">
        <v>0</v>
      </c>
      <c r="DR39" s="191">
        <v>0</v>
      </c>
      <c r="DS39" s="191">
        <v>0</v>
      </c>
      <c r="DT39" s="191">
        <v>0</v>
      </c>
      <c r="DU39" s="191">
        <v>0</v>
      </c>
      <c r="DV39" s="191">
        <v>0</v>
      </c>
      <c r="DW39" s="191">
        <v>0</v>
      </c>
      <c r="DX39" s="191">
        <v>2.79</v>
      </c>
      <c r="DY39" s="191">
        <v>0</v>
      </c>
      <c r="DZ39" s="191">
        <v>0</v>
      </c>
      <c r="EA39" s="191">
        <v>0</v>
      </c>
      <c r="EB39" s="191">
        <v>0</v>
      </c>
      <c r="EC39" s="191">
        <v>0</v>
      </c>
      <c r="ED39" s="191">
        <v>0</v>
      </c>
      <c r="EE39" s="191">
        <v>-2.97</v>
      </c>
      <c r="EF39" s="191">
        <v>0</v>
      </c>
      <c r="EG39" s="191">
        <v>0</v>
      </c>
      <c r="EH39" s="191">
        <v>2.32</v>
      </c>
      <c r="EI39" s="192">
        <v>0</v>
      </c>
      <c r="EJ39" s="180"/>
      <c r="EK39" s="191" t="s">
        <v>444</v>
      </c>
      <c r="EL39" s="191">
        <v>-8.03</v>
      </c>
      <c r="EM39" s="191">
        <v>0</v>
      </c>
      <c r="EN39" s="191">
        <v>0</v>
      </c>
      <c r="EO39" s="191">
        <v>0</v>
      </c>
      <c r="EP39" s="191">
        <v>0</v>
      </c>
      <c r="EQ39" s="191">
        <v>0</v>
      </c>
      <c r="ER39" s="191">
        <v>0</v>
      </c>
      <c r="ES39" s="191">
        <v>0</v>
      </c>
      <c r="ET39" s="191">
        <v>0</v>
      </c>
      <c r="EU39" s="191">
        <v>0</v>
      </c>
      <c r="EV39" s="191">
        <v>0</v>
      </c>
      <c r="EW39" s="191">
        <v>0</v>
      </c>
      <c r="EX39" s="191">
        <v>0</v>
      </c>
      <c r="EY39" s="191">
        <v>0</v>
      </c>
      <c r="EZ39" s="191">
        <v>0</v>
      </c>
      <c r="FA39" s="191">
        <v>4.51</v>
      </c>
      <c r="FB39" s="191">
        <v>0</v>
      </c>
      <c r="FC39" s="191">
        <v>0</v>
      </c>
      <c r="FD39" s="191">
        <v>0</v>
      </c>
      <c r="FE39" s="191">
        <v>-5.17</v>
      </c>
      <c r="FF39" s="191">
        <v>-5.07</v>
      </c>
      <c r="FG39" s="191">
        <v>-2.43</v>
      </c>
      <c r="FH39" s="191">
        <v>0</v>
      </c>
      <c r="FI39" s="191">
        <v>0</v>
      </c>
      <c r="FJ39" s="191">
        <v>0</v>
      </c>
      <c r="FK39" s="191">
        <v>0</v>
      </c>
      <c r="FL39" s="192">
        <v>2.25</v>
      </c>
    </row>
    <row r="40" s="180" customFormat="1" spans="1:168">
      <c r="A40" s="190" t="s">
        <v>445</v>
      </c>
      <c r="B40" s="191">
        <v>-23</v>
      </c>
      <c r="C40" s="192">
        <v>281.65</v>
      </c>
      <c r="E40" s="191" t="s">
        <v>445</v>
      </c>
      <c r="F40" s="191">
        <v>-7.6</v>
      </c>
      <c r="G40" s="191">
        <v>281.65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0</v>
      </c>
      <c r="X40" s="191">
        <v>0</v>
      </c>
      <c r="Y40" s="191">
        <v>0</v>
      </c>
      <c r="Z40" s="191">
        <v>0</v>
      </c>
      <c r="AA40" s="191">
        <v>0</v>
      </c>
      <c r="AB40" s="191">
        <v>0</v>
      </c>
      <c r="AC40" s="191">
        <v>0</v>
      </c>
      <c r="AD40" s="191">
        <v>0</v>
      </c>
      <c r="AE40" s="191">
        <v>0</v>
      </c>
      <c r="AF40" s="191">
        <v>0</v>
      </c>
      <c r="AG40" s="191">
        <v>-0.8</v>
      </c>
      <c r="AH40" s="191">
        <v>0</v>
      </c>
      <c r="AI40" s="191">
        <v>0</v>
      </c>
      <c r="AJ40" s="191">
        <v>0</v>
      </c>
      <c r="AK40" s="191">
        <v>0</v>
      </c>
      <c r="AL40" s="191">
        <v>0</v>
      </c>
      <c r="AM40" s="191">
        <v>0</v>
      </c>
      <c r="AN40" s="191">
        <v>0</v>
      </c>
      <c r="AO40" s="191">
        <v>0</v>
      </c>
      <c r="AP40" s="191">
        <v>0</v>
      </c>
      <c r="AQ40" s="191">
        <v>0</v>
      </c>
      <c r="AR40" s="191">
        <v>0</v>
      </c>
      <c r="AS40" s="191">
        <v>0</v>
      </c>
      <c r="AT40" s="191">
        <v>0</v>
      </c>
      <c r="AU40" s="191">
        <v>-4.9</v>
      </c>
      <c r="AV40" s="191">
        <v>-4.8</v>
      </c>
      <c r="AW40" s="191">
        <v>-2.3</v>
      </c>
      <c r="AX40" s="191">
        <v>0</v>
      </c>
      <c r="AY40" s="191">
        <v>0</v>
      </c>
      <c r="AZ40" s="191">
        <v>0</v>
      </c>
      <c r="BA40" s="191">
        <v>0</v>
      </c>
      <c r="BB40" s="191">
        <v>0</v>
      </c>
      <c r="BC40" s="191">
        <v>0</v>
      </c>
      <c r="BD40" s="191">
        <v>0</v>
      </c>
      <c r="BE40" s="191">
        <v>0</v>
      </c>
      <c r="BF40" s="191">
        <v>0</v>
      </c>
      <c r="BG40" s="191">
        <v>0</v>
      </c>
      <c r="BH40" s="191">
        <v>0</v>
      </c>
      <c r="BI40" s="191">
        <v>0</v>
      </c>
      <c r="BJ40" s="191">
        <v>0</v>
      </c>
      <c r="BK40" s="191">
        <v>0</v>
      </c>
      <c r="BL40" s="191">
        <v>0</v>
      </c>
      <c r="BM40" s="191">
        <v>0</v>
      </c>
      <c r="BN40" s="191">
        <v>0</v>
      </c>
      <c r="BO40" s="191">
        <v>-2.6</v>
      </c>
      <c r="BP40" s="191">
        <v>0</v>
      </c>
      <c r="BQ40" s="191">
        <v>0</v>
      </c>
      <c r="BR40" s="191">
        <v>0</v>
      </c>
      <c r="BS40" s="192">
        <v>0</v>
      </c>
      <c r="BT40" s="180"/>
      <c r="BU40" s="191" t="s">
        <v>445</v>
      </c>
      <c r="BV40" s="191">
        <v>-7.79</v>
      </c>
      <c r="BW40" s="191">
        <v>274.72</v>
      </c>
      <c r="BX40" s="191">
        <v>0</v>
      </c>
      <c r="BY40" s="191">
        <v>0</v>
      </c>
      <c r="BZ40" s="191">
        <v>0</v>
      </c>
      <c r="CA40" s="191">
        <v>0</v>
      </c>
      <c r="CB40" s="191">
        <v>0</v>
      </c>
      <c r="CC40" s="191">
        <v>0</v>
      </c>
      <c r="CD40" s="191">
        <v>0</v>
      </c>
      <c r="CE40" s="191">
        <v>0</v>
      </c>
      <c r="CF40" s="191">
        <v>0</v>
      </c>
      <c r="CG40" s="191">
        <v>0</v>
      </c>
      <c r="CH40" s="191">
        <v>0</v>
      </c>
      <c r="CI40" s="191">
        <v>0</v>
      </c>
      <c r="CJ40" s="191">
        <v>0</v>
      </c>
      <c r="CK40" s="191">
        <v>0</v>
      </c>
      <c r="CL40" s="191">
        <v>0</v>
      </c>
      <c r="CM40" s="191">
        <v>0</v>
      </c>
      <c r="CN40" s="191">
        <v>0</v>
      </c>
      <c r="CO40" s="191">
        <v>0</v>
      </c>
      <c r="CP40" s="191">
        <v>0</v>
      </c>
      <c r="CQ40" s="191">
        <v>0</v>
      </c>
      <c r="CR40" s="191">
        <v>0</v>
      </c>
      <c r="CS40" s="191">
        <v>0</v>
      </c>
      <c r="CT40" s="191">
        <v>0</v>
      </c>
      <c r="CU40" s="191">
        <v>0</v>
      </c>
      <c r="CV40" s="191">
        <v>0</v>
      </c>
      <c r="CW40" s="191">
        <v>-0.82</v>
      </c>
      <c r="CX40" s="191">
        <v>0</v>
      </c>
      <c r="CY40" s="191">
        <v>0</v>
      </c>
      <c r="CZ40" s="191">
        <v>0</v>
      </c>
      <c r="DA40" s="191">
        <v>0</v>
      </c>
      <c r="DB40" s="191">
        <v>0</v>
      </c>
      <c r="DC40" s="191">
        <v>0</v>
      </c>
      <c r="DD40" s="191">
        <v>0</v>
      </c>
      <c r="DE40" s="191">
        <v>0</v>
      </c>
      <c r="DF40" s="191">
        <v>0</v>
      </c>
      <c r="DG40" s="191">
        <v>0</v>
      </c>
      <c r="DH40" s="191">
        <v>0</v>
      </c>
      <c r="DI40" s="191">
        <v>0</v>
      </c>
      <c r="DJ40" s="191">
        <v>0</v>
      </c>
      <c r="DK40" s="191">
        <v>-5.02</v>
      </c>
      <c r="DL40" s="191">
        <v>-4.92</v>
      </c>
      <c r="DM40" s="191">
        <v>-2.36</v>
      </c>
      <c r="DN40" s="191">
        <v>0</v>
      </c>
      <c r="DO40" s="191">
        <v>0</v>
      </c>
      <c r="DP40" s="191">
        <v>0</v>
      </c>
      <c r="DQ40" s="191">
        <v>0</v>
      </c>
      <c r="DR40" s="191">
        <v>0</v>
      </c>
      <c r="DS40" s="191">
        <v>0</v>
      </c>
      <c r="DT40" s="191">
        <v>0</v>
      </c>
      <c r="DU40" s="191">
        <v>0</v>
      </c>
      <c r="DV40" s="191">
        <v>0</v>
      </c>
      <c r="DW40" s="191">
        <v>0</v>
      </c>
      <c r="DX40" s="191">
        <v>0</v>
      </c>
      <c r="DY40" s="191">
        <v>0</v>
      </c>
      <c r="DZ40" s="191">
        <v>0</v>
      </c>
      <c r="EA40" s="191">
        <v>0</v>
      </c>
      <c r="EB40" s="191">
        <v>0</v>
      </c>
      <c r="EC40" s="191">
        <v>0</v>
      </c>
      <c r="ED40" s="191">
        <v>0</v>
      </c>
      <c r="EE40" s="191">
        <v>-2.67</v>
      </c>
      <c r="EF40" s="191">
        <v>0</v>
      </c>
      <c r="EG40" s="191">
        <v>0</v>
      </c>
      <c r="EH40" s="191">
        <v>0</v>
      </c>
      <c r="EI40" s="192">
        <v>0</v>
      </c>
      <c r="EJ40" s="180"/>
      <c r="EK40" s="191" t="s">
        <v>445</v>
      </c>
      <c r="EL40" s="191">
        <v>-8.03</v>
      </c>
      <c r="EM40" s="191">
        <v>0</v>
      </c>
      <c r="EN40" s="191">
        <v>0</v>
      </c>
      <c r="EO40" s="191">
        <v>0</v>
      </c>
      <c r="EP40" s="191">
        <v>0</v>
      </c>
      <c r="EQ40" s="191">
        <v>0</v>
      </c>
      <c r="ER40" s="191">
        <v>0</v>
      </c>
      <c r="ES40" s="191">
        <v>0</v>
      </c>
      <c r="ET40" s="191">
        <v>0</v>
      </c>
      <c r="EU40" s="191">
        <v>0</v>
      </c>
      <c r="EV40" s="191">
        <v>0</v>
      </c>
      <c r="EW40" s="191">
        <v>0</v>
      </c>
      <c r="EX40" s="191">
        <v>0</v>
      </c>
      <c r="EY40" s="191">
        <v>0</v>
      </c>
      <c r="EZ40" s="191">
        <v>0</v>
      </c>
      <c r="FA40" s="191">
        <v>0</v>
      </c>
      <c r="FB40" s="191">
        <v>0</v>
      </c>
      <c r="FC40" s="191">
        <v>0</v>
      </c>
      <c r="FD40" s="191">
        <v>0</v>
      </c>
      <c r="FE40" s="191">
        <v>-5.17</v>
      </c>
      <c r="FF40" s="191">
        <v>-5.07</v>
      </c>
      <c r="FG40" s="191">
        <v>-2.43</v>
      </c>
      <c r="FH40" s="191">
        <v>0</v>
      </c>
      <c r="FI40" s="191">
        <v>0</v>
      </c>
      <c r="FJ40" s="191">
        <v>0</v>
      </c>
      <c r="FK40" s="191">
        <v>0</v>
      </c>
      <c r="FL40" s="192">
        <v>0</v>
      </c>
    </row>
    <row r="41" s="180" customFormat="1" spans="1:168">
      <c r="A41" s="190" t="s">
        <v>446</v>
      </c>
      <c r="B41" s="191">
        <v>-21.8</v>
      </c>
      <c r="C41" s="192">
        <v>373.62</v>
      </c>
      <c r="E41" s="191" t="s">
        <v>446</v>
      </c>
      <c r="F41" s="191">
        <v>-7.6</v>
      </c>
      <c r="G41" s="191">
        <v>373.62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0</v>
      </c>
      <c r="V41" s="191">
        <v>0</v>
      </c>
      <c r="W41" s="191">
        <v>0</v>
      </c>
      <c r="X41" s="191">
        <v>0</v>
      </c>
      <c r="Y41" s="191">
        <v>0</v>
      </c>
      <c r="Z41" s="191">
        <v>0</v>
      </c>
      <c r="AA41" s="191">
        <v>0</v>
      </c>
      <c r="AB41" s="191">
        <v>0</v>
      </c>
      <c r="AC41" s="191">
        <v>0</v>
      </c>
      <c r="AD41" s="191">
        <v>0</v>
      </c>
      <c r="AE41" s="191">
        <v>0</v>
      </c>
      <c r="AF41" s="191">
        <v>0</v>
      </c>
      <c r="AG41" s="191">
        <v>-0.8</v>
      </c>
      <c r="AH41" s="191">
        <v>0</v>
      </c>
      <c r="AI41" s="191">
        <v>0</v>
      </c>
      <c r="AJ41" s="191">
        <v>0</v>
      </c>
      <c r="AK41" s="191">
        <v>0</v>
      </c>
      <c r="AL41" s="191">
        <v>0</v>
      </c>
      <c r="AM41" s="191">
        <v>0</v>
      </c>
      <c r="AN41" s="191">
        <v>0</v>
      </c>
      <c r="AO41" s="191">
        <v>0</v>
      </c>
      <c r="AP41" s="191">
        <v>0</v>
      </c>
      <c r="AQ41" s="191">
        <v>0</v>
      </c>
      <c r="AR41" s="191">
        <v>0</v>
      </c>
      <c r="AS41" s="191">
        <v>0</v>
      </c>
      <c r="AT41" s="191">
        <v>0</v>
      </c>
      <c r="AU41" s="191">
        <v>-4.9</v>
      </c>
      <c r="AV41" s="191">
        <v>-4.8</v>
      </c>
      <c r="AW41" s="191">
        <v>-2.3</v>
      </c>
      <c r="AX41" s="191">
        <v>0</v>
      </c>
      <c r="AY41" s="191">
        <v>0</v>
      </c>
      <c r="AZ41" s="191">
        <v>0</v>
      </c>
      <c r="BA41" s="191">
        <v>0</v>
      </c>
      <c r="BB41" s="191">
        <v>0</v>
      </c>
      <c r="BC41" s="191">
        <v>0</v>
      </c>
      <c r="BD41" s="191">
        <v>0</v>
      </c>
      <c r="BE41" s="191">
        <v>0</v>
      </c>
      <c r="BF41" s="191">
        <v>0</v>
      </c>
      <c r="BG41" s="191">
        <v>0</v>
      </c>
      <c r="BH41" s="191">
        <v>0</v>
      </c>
      <c r="BI41" s="191">
        <v>0</v>
      </c>
      <c r="BJ41" s="191">
        <v>0</v>
      </c>
      <c r="BK41" s="191">
        <v>0</v>
      </c>
      <c r="BL41" s="191">
        <v>0</v>
      </c>
      <c r="BM41" s="191">
        <v>0</v>
      </c>
      <c r="BN41" s="191">
        <v>0</v>
      </c>
      <c r="BO41" s="191">
        <v>-1.4</v>
      </c>
      <c r="BP41" s="191">
        <v>0</v>
      </c>
      <c r="BQ41" s="191">
        <v>0</v>
      </c>
      <c r="BR41" s="191">
        <v>0</v>
      </c>
      <c r="BS41" s="192">
        <v>0</v>
      </c>
      <c r="BT41" s="180"/>
      <c r="BU41" s="191" t="s">
        <v>446</v>
      </c>
      <c r="BV41" s="191">
        <v>-7.79</v>
      </c>
      <c r="BW41" s="191">
        <v>364.43</v>
      </c>
      <c r="BX41" s="191">
        <v>0</v>
      </c>
      <c r="BY41" s="191">
        <v>0</v>
      </c>
      <c r="BZ41" s="191">
        <v>0</v>
      </c>
      <c r="CA41" s="191">
        <v>0</v>
      </c>
      <c r="CB41" s="191">
        <v>0</v>
      </c>
      <c r="CC41" s="191">
        <v>0</v>
      </c>
      <c r="CD41" s="191">
        <v>0</v>
      </c>
      <c r="CE41" s="191">
        <v>0</v>
      </c>
      <c r="CF41" s="191">
        <v>0</v>
      </c>
      <c r="CG41" s="191">
        <v>0</v>
      </c>
      <c r="CH41" s="191">
        <v>0</v>
      </c>
      <c r="CI41" s="191">
        <v>0</v>
      </c>
      <c r="CJ41" s="191">
        <v>0</v>
      </c>
      <c r="CK41" s="191">
        <v>0</v>
      </c>
      <c r="CL41" s="191">
        <v>0</v>
      </c>
      <c r="CM41" s="191">
        <v>0</v>
      </c>
      <c r="CN41" s="191">
        <v>0</v>
      </c>
      <c r="CO41" s="191">
        <v>0</v>
      </c>
      <c r="CP41" s="191">
        <v>0</v>
      </c>
      <c r="CQ41" s="191">
        <v>0</v>
      </c>
      <c r="CR41" s="191">
        <v>0</v>
      </c>
      <c r="CS41" s="191">
        <v>0</v>
      </c>
      <c r="CT41" s="191">
        <v>0</v>
      </c>
      <c r="CU41" s="191">
        <v>0</v>
      </c>
      <c r="CV41" s="191">
        <v>0</v>
      </c>
      <c r="CW41" s="191">
        <v>-0.82</v>
      </c>
      <c r="CX41" s="191">
        <v>0</v>
      </c>
      <c r="CY41" s="191">
        <v>0</v>
      </c>
      <c r="CZ41" s="191">
        <v>0</v>
      </c>
      <c r="DA41" s="191">
        <v>0</v>
      </c>
      <c r="DB41" s="191">
        <v>0</v>
      </c>
      <c r="DC41" s="191">
        <v>0</v>
      </c>
      <c r="DD41" s="191">
        <v>0</v>
      </c>
      <c r="DE41" s="191">
        <v>0</v>
      </c>
      <c r="DF41" s="191">
        <v>0</v>
      </c>
      <c r="DG41" s="191">
        <v>0</v>
      </c>
      <c r="DH41" s="191">
        <v>0</v>
      </c>
      <c r="DI41" s="191">
        <v>0</v>
      </c>
      <c r="DJ41" s="191">
        <v>0</v>
      </c>
      <c r="DK41" s="191">
        <v>-5.02</v>
      </c>
      <c r="DL41" s="191">
        <v>-4.92</v>
      </c>
      <c r="DM41" s="191">
        <v>-2.36</v>
      </c>
      <c r="DN41" s="191">
        <v>0</v>
      </c>
      <c r="DO41" s="191">
        <v>0</v>
      </c>
      <c r="DP41" s="191">
        <v>0</v>
      </c>
      <c r="DQ41" s="191">
        <v>0</v>
      </c>
      <c r="DR41" s="191">
        <v>0</v>
      </c>
      <c r="DS41" s="191">
        <v>0</v>
      </c>
      <c r="DT41" s="191">
        <v>0</v>
      </c>
      <c r="DU41" s="191">
        <v>0</v>
      </c>
      <c r="DV41" s="191">
        <v>0</v>
      </c>
      <c r="DW41" s="191">
        <v>0</v>
      </c>
      <c r="DX41" s="191">
        <v>0</v>
      </c>
      <c r="DY41" s="191">
        <v>0</v>
      </c>
      <c r="DZ41" s="191">
        <v>0</v>
      </c>
      <c r="EA41" s="191">
        <v>0</v>
      </c>
      <c r="EB41" s="191">
        <v>0</v>
      </c>
      <c r="EC41" s="191">
        <v>0</v>
      </c>
      <c r="ED41" s="191">
        <v>0</v>
      </c>
      <c r="EE41" s="191">
        <v>-1.44</v>
      </c>
      <c r="EF41" s="191">
        <v>0</v>
      </c>
      <c r="EG41" s="191">
        <v>0</v>
      </c>
      <c r="EH41" s="191">
        <v>0</v>
      </c>
      <c r="EI41" s="192">
        <v>0</v>
      </c>
      <c r="EJ41" s="180"/>
      <c r="EK41" s="191" t="s">
        <v>446</v>
      </c>
      <c r="EL41" s="191">
        <v>-8.03</v>
      </c>
      <c r="EM41" s="191">
        <v>0</v>
      </c>
      <c r="EN41" s="191">
        <v>0</v>
      </c>
      <c r="EO41" s="191">
        <v>0</v>
      </c>
      <c r="EP41" s="191">
        <v>0</v>
      </c>
      <c r="EQ41" s="191">
        <v>0</v>
      </c>
      <c r="ER41" s="191">
        <v>0</v>
      </c>
      <c r="ES41" s="191">
        <v>0</v>
      </c>
      <c r="ET41" s="191">
        <v>0</v>
      </c>
      <c r="EU41" s="191">
        <v>0</v>
      </c>
      <c r="EV41" s="191">
        <v>0</v>
      </c>
      <c r="EW41" s="191">
        <v>0</v>
      </c>
      <c r="EX41" s="191">
        <v>0</v>
      </c>
      <c r="EY41" s="191">
        <v>0</v>
      </c>
      <c r="EZ41" s="191">
        <v>0</v>
      </c>
      <c r="FA41" s="191">
        <v>0</v>
      </c>
      <c r="FB41" s="191">
        <v>0</v>
      </c>
      <c r="FC41" s="191">
        <v>0</v>
      </c>
      <c r="FD41" s="191">
        <v>0</v>
      </c>
      <c r="FE41" s="191">
        <v>-5.17</v>
      </c>
      <c r="FF41" s="191">
        <v>-5.07</v>
      </c>
      <c r="FG41" s="191">
        <v>-2.43</v>
      </c>
      <c r="FH41" s="191">
        <v>0</v>
      </c>
      <c r="FI41" s="191">
        <v>0</v>
      </c>
      <c r="FJ41" s="191">
        <v>0</v>
      </c>
      <c r="FK41" s="191">
        <v>0</v>
      </c>
      <c r="FL41" s="192">
        <v>0</v>
      </c>
    </row>
    <row r="42" s="180" customFormat="1" spans="1:168">
      <c r="A42" s="190" t="s">
        <v>447</v>
      </c>
      <c r="B42" s="191">
        <v>-21</v>
      </c>
      <c r="C42" s="192">
        <v>257.93</v>
      </c>
      <c r="E42" s="191" t="s">
        <v>447</v>
      </c>
      <c r="F42" s="191">
        <v>-7.6</v>
      </c>
      <c r="G42" s="191">
        <v>257.93</v>
      </c>
      <c r="H42" s="191">
        <v>0</v>
      </c>
      <c r="I42" s="191">
        <v>-0.6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0</v>
      </c>
      <c r="X42" s="191">
        <v>0</v>
      </c>
      <c r="Y42" s="191">
        <v>0</v>
      </c>
      <c r="Z42" s="191">
        <v>0</v>
      </c>
      <c r="AA42" s="191">
        <v>0</v>
      </c>
      <c r="AB42" s="191">
        <v>0</v>
      </c>
      <c r="AC42" s="191">
        <v>0</v>
      </c>
      <c r="AD42" s="191">
        <v>0</v>
      </c>
      <c r="AE42" s="191">
        <v>0</v>
      </c>
      <c r="AF42" s="191">
        <v>0</v>
      </c>
      <c r="AG42" s="191">
        <v>-0.8</v>
      </c>
      <c r="AH42" s="191">
        <v>0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0</v>
      </c>
      <c r="AO42" s="191">
        <v>0</v>
      </c>
      <c r="AP42" s="191">
        <v>0</v>
      </c>
      <c r="AQ42" s="191">
        <v>0</v>
      </c>
      <c r="AR42" s="191">
        <v>0</v>
      </c>
      <c r="AS42" s="191">
        <v>0</v>
      </c>
      <c r="AT42" s="191">
        <v>0</v>
      </c>
      <c r="AU42" s="191">
        <v>-4.9</v>
      </c>
      <c r="AV42" s="191">
        <v>-4.8</v>
      </c>
      <c r="AW42" s="191">
        <v>-2.3</v>
      </c>
      <c r="AX42" s="191">
        <v>0</v>
      </c>
      <c r="AY42" s="191">
        <v>0</v>
      </c>
      <c r="AZ42" s="191">
        <v>0</v>
      </c>
      <c r="BA42" s="191">
        <v>0</v>
      </c>
      <c r="BB42" s="191">
        <v>0</v>
      </c>
      <c r="BC42" s="191">
        <v>0</v>
      </c>
      <c r="BD42" s="191">
        <v>0</v>
      </c>
      <c r="BE42" s="191">
        <v>0</v>
      </c>
      <c r="BF42" s="191">
        <v>0</v>
      </c>
      <c r="BG42" s="191">
        <v>0</v>
      </c>
      <c r="BH42" s="191">
        <v>0</v>
      </c>
      <c r="BI42" s="191">
        <v>0</v>
      </c>
      <c r="BJ42" s="191">
        <v>0</v>
      </c>
      <c r="BK42" s="191">
        <v>0</v>
      </c>
      <c r="BL42" s="191">
        <v>0</v>
      </c>
      <c r="BM42" s="191">
        <v>0</v>
      </c>
      <c r="BN42" s="191">
        <v>0</v>
      </c>
      <c r="BO42" s="191">
        <v>0</v>
      </c>
      <c r="BP42" s="191">
        <v>0</v>
      </c>
      <c r="BQ42" s="191">
        <v>0</v>
      </c>
      <c r="BR42" s="191">
        <v>0</v>
      </c>
      <c r="BS42" s="192">
        <v>0</v>
      </c>
      <c r="BT42" s="180"/>
      <c r="BU42" s="191" t="s">
        <v>447</v>
      </c>
      <c r="BV42" s="191">
        <v>-7.79</v>
      </c>
      <c r="BW42" s="191">
        <v>251.58</v>
      </c>
      <c r="BX42" s="191">
        <v>0</v>
      </c>
      <c r="BY42" s="191">
        <v>-0.62</v>
      </c>
      <c r="BZ42" s="191">
        <v>0</v>
      </c>
      <c r="CA42" s="191">
        <v>0</v>
      </c>
      <c r="CB42" s="191">
        <v>0</v>
      </c>
      <c r="CC42" s="191">
        <v>0</v>
      </c>
      <c r="CD42" s="191">
        <v>0</v>
      </c>
      <c r="CE42" s="191">
        <v>0</v>
      </c>
      <c r="CF42" s="191">
        <v>0</v>
      </c>
      <c r="CG42" s="191">
        <v>0</v>
      </c>
      <c r="CH42" s="191">
        <v>0</v>
      </c>
      <c r="CI42" s="191">
        <v>0</v>
      </c>
      <c r="CJ42" s="191">
        <v>0</v>
      </c>
      <c r="CK42" s="191">
        <v>0</v>
      </c>
      <c r="CL42" s="191">
        <v>0</v>
      </c>
      <c r="CM42" s="191">
        <v>0</v>
      </c>
      <c r="CN42" s="191">
        <v>0</v>
      </c>
      <c r="CO42" s="191">
        <v>0</v>
      </c>
      <c r="CP42" s="191">
        <v>0</v>
      </c>
      <c r="CQ42" s="191">
        <v>0</v>
      </c>
      <c r="CR42" s="191">
        <v>0</v>
      </c>
      <c r="CS42" s="191">
        <v>0</v>
      </c>
      <c r="CT42" s="191">
        <v>0</v>
      </c>
      <c r="CU42" s="191">
        <v>0</v>
      </c>
      <c r="CV42" s="191">
        <v>0</v>
      </c>
      <c r="CW42" s="191">
        <v>-0.82</v>
      </c>
      <c r="CX42" s="191">
        <v>0</v>
      </c>
      <c r="CY42" s="191">
        <v>0</v>
      </c>
      <c r="CZ42" s="191">
        <v>0</v>
      </c>
      <c r="DA42" s="191">
        <v>0</v>
      </c>
      <c r="DB42" s="191">
        <v>0</v>
      </c>
      <c r="DC42" s="191">
        <v>0</v>
      </c>
      <c r="DD42" s="191">
        <v>0</v>
      </c>
      <c r="DE42" s="191">
        <v>0</v>
      </c>
      <c r="DF42" s="191">
        <v>0</v>
      </c>
      <c r="DG42" s="191">
        <v>0</v>
      </c>
      <c r="DH42" s="191">
        <v>0</v>
      </c>
      <c r="DI42" s="191">
        <v>0</v>
      </c>
      <c r="DJ42" s="191">
        <v>0</v>
      </c>
      <c r="DK42" s="191">
        <v>-5.02</v>
      </c>
      <c r="DL42" s="191">
        <v>-4.92</v>
      </c>
      <c r="DM42" s="191">
        <v>-2.36</v>
      </c>
      <c r="DN42" s="191">
        <v>0</v>
      </c>
      <c r="DO42" s="191">
        <v>0</v>
      </c>
      <c r="DP42" s="191">
        <v>0</v>
      </c>
      <c r="DQ42" s="191">
        <v>0</v>
      </c>
      <c r="DR42" s="191">
        <v>0</v>
      </c>
      <c r="DS42" s="191">
        <v>0</v>
      </c>
      <c r="DT42" s="191">
        <v>0</v>
      </c>
      <c r="DU42" s="191">
        <v>0</v>
      </c>
      <c r="DV42" s="191">
        <v>0</v>
      </c>
      <c r="DW42" s="191">
        <v>0</v>
      </c>
      <c r="DX42" s="191">
        <v>0</v>
      </c>
      <c r="DY42" s="191">
        <v>0</v>
      </c>
      <c r="DZ42" s="191">
        <v>0</v>
      </c>
      <c r="EA42" s="191">
        <v>0</v>
      </c>
      <c r="EB42" s="191">
        <v>0</v>
      </c>
      <c r="EC42" s="191">
        <v>0</v>
      </c>
      <c r="ED42" s="191">
        <v>0</v>
      </c>
      <c r="EE42" s="191">
        <v>0</v>
      </c>
      <c r="EF42" s="191">
        <v>0</v>
      </c>
      <c r="EG42" s="191">
        <v>0</v>
      </c>
      <c r="EH42" s="191">
        <v>0</v>
      </c>
      <c r="EI42" s="192">
        <v>0</v>
      </c>
      <c r="EJ42" s="180"/>
      <c r="EK42" s="191" t="s">
        <v>447</v>
      </c>
      <c r="EL42" s="191">
        <v>-8.03</v>
      </c>
      <c r="EM42" s="191">
        <v>0</v>
      </c>
      <c r="EN42" s="191">
        <v>0</v>
      </c>
      <c r="EO42" s="191">
        <v>0</v>
      </c>
      <c r="EP42" s="191">
        <v>0</v>
      </c>
      <c r="EQ42" s="191">
        <v>0</v>
      </c>
      <c r="ER42" s="191">
        <v>0</v>
      </c>
      <c r="ES42" s="191">
        <v>0</v>
      </c>
      <c r="ET42" s="191">
        <v>0</v>
      </c>
      <c r="EU42" s="191">
        <v>0</v>
      </c>
      <c r="EV42" s="191">
        <v>0</v>
      </c>
      <c r="EW42" s="191">
        <v>0</v>
      </c>
      <c r="EX42" s="191">
        <v>0</v>
      </c>
      <c r="EY42" s="191">
        <v>0</v>
      </c>
      <c r="EZ42" s="191">
        <v>0</v>
      </c>
      <c r="FA42" s="191">
        <v>0</v>
      </c>
      <c r="FB42" s="191">
        <v>0</v>
      </c>
      <c r="FC42" s="191">
        <v>0</v>
      </c>
      <c r="FD42" s="191">
        <v>0</v>
      </c>
      <c r="FE42" s="191">
        <v>-5.17</v>
      </c>
      <c r="FF42" s="191">
        <v>-5.07</v>
      </c>
      <c r="FG42" s="191">
        <v>-2.43</v>
      </c>
      <c r="FH42" s="191">
        <v>0</v>
      </c>
      <c r="FI42" s="191">
        <v>0</v>
      </c>
      <c r="FJ42" s="191">
        <v>0</v>
      </c>
      <c r="FK42" s="191">
        <v>0</v>
      </c>
      <c r="FL42" s="192">
        <v>0</v>
      </c>
    </row>
    <row r="43" s="180" customFormat="1" spans="1:168">
      <c r="A43" s="190" t="s">
        <v>448</v>
      </c>
      <c r="B43" s="191">
        <v>-22.9</v>
      </c>
      <c r="C43" s="192">
        <v>156.74</v>
      </c>
      <c r="E43" s="191" t="s">
        <v>448</v>
      </c>
      <c r="F43" s="191">
        <v>-7.6</v>
      </c>
      <c r="G43" s="191">
        <v>156.74</v>
      </c>
      <c r="H43" s="191">
        <v>0</v>
      </c>
      <c r="I43" s="191">
        <v>-1.5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0</v>
      </c>
      <c r="Y43" s="191">
        <v>0</v>
      </c>
      <c r="Z43" s="191">
        <v>0</v>
      </c>
      <c r="AA43" s="191">
        <v>0</v>
      </c>
      <c r="AB43" s="191">
        <v>0</v>
      </c>
      <c r="AC43" s="191">
        <v>0</v>
      </c>
      <c r="AD43" s="191">
        <v>0</v>
      </c>
      <c r="AE43" s="191">
        <v>0</v>
      </c>
      <c r="AF43" s="191">
        <v>0</v>
      </c>
      <c r="AG43" s="191">
        <v>-0.8</v>
      </c>
      <c r="AH43" s="191">
        <v>0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0</v>
      </c>
      <c r="AO43" s="191">
        <v>0</v>
      </c>
      <c r="AP43" s="191">
        <v>0</v>
      </c>
      <c r="AQ43" s="191">
        <v>0</v>
      </c>
      <c r="AR43" s="191">
        <v>0</v>
      </c>
      <c r="AS43" s="191">
        <v>0</v>
      </c>
      <c r="AT43" s="191">
        <v>0</v>
      </c>
      <c r="AU43" s="191">
        <v>-4.9</v>
      </c>
      <c r="AV43" s="191">
        <v>-4.8</v>
      </c>
      <c r="AW43" s="191">
        <v>-2.3</v>
      </c>
      <c r="AX43" s="191">
        <v>0</v>
      </c>
      <c r="AY43" s="191">
        <v>0</v>
      </c>
      <c r="AZ43" s="191">
        <v>0</v>
      </c>
      <c r="BA43" s="191">
        <v>0</v>
      </c>
      <c r="BB43" s="191">
        <v>0</v>
      </c>
      <c r="BC43" s="191">
        <v>0</v>
      </c>
      <c r="BD43" s="191">
        <v>0</v>
      </c>
      <c r="BE43" s="191">
        <v>0</v>
      </c>
      <c r="BF43" s="191">
        <v>0</v>
      </c>
      <c r="BG43" s="191">
        <v>0</v>
      </c>
      <c r="BH43" s="191">
        <v>0</v>
      </c>
      <c r="BI43" s="191">
        <v>0</v>
      </c>
      <c r="BJ43" s="191">
        <v>0</v>
      </c>
      <c r="BK43" s="191">
        <v>0</v>
      </c>
      <c r="BL43" s="191">
        <v>0</v>
      </c>
      <c r="BM43" s="191">
        <v>0</v>
      </c>
      <c r="BN43" s="191">
        <v>0</v>
      </c>
      <c r="BO43" s="191">
        <v>-1</v>
      </c>
      <c r="BP43" s="191">
        <v>0</v>
      </c>
      <c r="BQ43" s="191">
        <v>0</v>
      </c>
      <c r="BR43" s="191">
        <v>0</v>
      </c>
      <c r="BS43" s="192">
        <v>0</v>
      </c>
      <c r="BT43" s="180"/>
      <c r="BU43" s="191" t="s">
        <v>448</v>
      </c>
      <c r="BV43" s="191">
        <v>-7.79</v>
      </c>
      <c r="BW43" s="191">
        <v>152.88</v>
      </c>
      <c r="BX43" s="191">
        <v>0</v>
      </c>
      <c r="BY43" s="191">
        <v>-1.54</v>
      </c>
      <c r="BZ43" s="191">
        <v>0</v>
      </c>
      <c r="CA43" s="191">
        <v>0</v>
      </c>
      <c r="CB43" s="191">
        <v>0</v>
      </c>
      <c r="CC43" s="191">
        <v>0</v>
      </c>
      <c r="CD43" s="191">
        <v>0</v>
      </c>
      <c r="CE43" s="191">
        <v>0</v>
      </c>
      <c r="CF43" s="191">
        <v>0</v>
      </c>
      <c r="CG43" s="191">
        <v>0</v>
      </c>
      <c r="CH43" s="191">
        <v>0</v>
      </c>
      <c r="CI43" s="191">
        <v>0</v>
      </c>
      <c r="CJ43" s="191">
        <v>0</v>
      </c>
      <c r="CK43" s="191">
        <v>0</v>
      </c>
      <c r="CL43" s="191">
        <v>0</v>
      </c>
      <c r="CM43" s="191">
        <v>0</v>
      </c>
      <c r="CN43" s="191">
        <v>0</v>
      </c>
      <c r="CO43" s="191">
        <v>0</v>
      </c>
      <c r="CP43" s="191">
        <v>0</v>
      </c>
      <c r="CQ43" s="191">
        <v>0</v>
      </c>
      <c r="CR43" s="191">
        <v>0</v>
      </c>
      <c r="CS43" s="191">
        <v>0</v>
      </c>
      <c r="CT43" s="191">
        <v>0</v>
      </c>
      <c r="CU43" s="191">
        <v>0</v>
      </c>
      <c r="CV43" s="191">
        <v>0</v>
      </c>
      <c r="CW43" s="191">
        <v>-0.82</v>
      </c>
      <c r="CX43" s="191">
        <v>0</v>
      </c>
      <c r="CY43" s="191">
        <v>0</v>
      </c>
      <c r="CZ43" s="191">
        <v>0</v>
      </c>
      <c r="DA43" s="191">
        <v>0</v>
      </c>
      <c r="DB43" s="191">
        <v>0</v>
      </c>
      <c r="DC43" s="191">
        <v>0</v>
      </c>
      <c r="DD43" s="191">
        <v>0</v>
      </c>
      <c r="DE43" s="191">
        <v>0</v>
      </c>
      <c r="DF43" s="191">
        <v>0</v>
      </c>
      <c r="DG43" s="191">
        <v>0</v>
      </c>
      <c r="DH43" s="191">
        <v>0</v>
      </c>
      <c r="DI43" s="191">
        <v>0</v>
      </c>
      <c r="DJ43" s="191">
        <v>0</v>
      </c>
      <c r="DK43" s="191">
        <v>-5.02</v>
      </c>
      <c r="DL43" s="191">
        <v>-4.92</v>
      </c>
      <c r="DM43" s="191">
        <v>-2.36</v>
      </c>
      <c r="DN43" s="191">
        <v>0</v>
      </c>
      <c r="DO43" s="191">
        <v>0</v>
      </c>
      <c r="DP43" s="191">
        <v>0</v>
      </c>
      <c r="DQ43" s="191">
        <v>0</v>
      </c>
      <c r="DR43" s="191">
        <v>0</v>
      </c>
      <c r="DS43" s="191">
        <v>0</v>
      </c>
      <c r="DT43" s="191">
        <v>0</v>
      </c>
      <c r="DU43" s="191">
        <v>0</v>
      </c>
      <c r="DV43" s="191">
        <v>0</v>
      </c>
      <c r="DW43" s="191">
        <v>0</v>
      </c>
      <c r="DX43" s="191">
        <v>0</v>
      </c>
      <c r="DY43" s="191">
        <v>0</v>
      </c>
      <c r="DZ43" s="191">
        <v>0</v>
      </c>
      <c r="EA43" s="191">
        <v>0</v>
      </c>
      <c r="EB43" s="191">
        <v>0</v>
      </c>
      <c r="EC43" s="191">
        <v>0</v>
      </c>
      <c r="ED43" s="191">
        <v>0</v>
      </c>
      <c r="EE43" s="191">
        <v>-1.03</v>
      </c>
      <c r="EF43" s="191">
        <v>0</v>
      </c>
      <c r="EG43" s="191">
        <v>0</v>
      </c>
      <c r="EH43" s="191">
        <v>0</v>
      </c>
      <c r="EI43" s="192">
        <v>0</v>
      </c>
      <c r="EJ43" s="180"/>
      <c r="EK43" s="191" t="s">
        <v>448</v>
      </c>
      <c r="EL43" s="191">
        <v>-8.03</v>
      </c>
      <c r="EM43" s="191">
        <v>0</v>
      </c>
      <c r="EN43" s="191">
        <v>0</v>
      </c>
      <c r="EO43" s="191">
        <v>0</v>
      </c>
      <c r="EP43" s="191">
        <v>0</v>
      </c>
      <c r="EQ43" s="191">
        <v>0</v>
      </c>
      <c r="ER43" s="191">
        <v>0</v>
      </c>
      <c r="ES43" s="191">
        <v>0</v>
      </c>
      <c r="ET43" s="191">
        <v>0</v>
      </c>
      <c r="EU43" s="191">
        <v>0</v>
      </c>
      <c r="EV43" s="191">
        <v>0</v>
      </c>
      <c r="EW43" s="191">
        <v>0</v>
      </c>
      <c r="EX43" s="191">
        <v>0</v>
      </c>
      <c r="EY43" s="191">
        <v>0</v>
      </c>
      <c r="EZ43" s="191">
        <v>0</v>
      </c>
      <c r="FA43" s="191">
        <v>0</v>
      </c>
      <c r="FB43" s="191">
        <v>0</v>
      </c>
      <c r="FC43" s="191">
        <v>0</v>
      </c>
      <c r="FD43" s="191">
        <v>0</v>
      </c>
      <c r="FE43" s="191">
        <v>-5.17</v>
      </c>
      <c r="FF43" s="191">
        <v>-5.07</v>
      </c>
      <c r="FG43" s="191">
        <v>-2.43</v>
      </c>
      <c r="FH43" s="191">
        <v>0</v>
      </c>
      <c r="FI43" s="191">
        <v>0</v>
      </c>
      <c r="FJ43" s="191">
        <v>0</v>
      </c>
      <c r="FK43" s="191">
        <v>0</v>
      </c>
      <c r="FL43" s="192">
        <v>0</v>
      </c>
    </row>
    <row r="44" s="180" customFormat="1" spans="1:168">
      <c r="A44" s="190" t="s">
        <v>449</v>
      </c>
      <c r="B44" s="191">
        <v>-25</v>
      </c>
      <c r="C44" s="192">
        <v>0</v>
      </c>
      <c r="E44" s="191" t="s">
        <v>449</v>
      </c>
      <c r="F44" s="191">
        <v>-7.6</v>
      </c>
      <c r="G44" s="191">
        <v>0</v>
      </c>
      <c r="H44" s="191">
        <v>0</v>
      </c>
      <c r="I44" s="191">
        <v>-1.9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0</v>
      </c>
      <c r="Z44" s="191">
        <v>0</v>
      </c>
      <c r="AA44" s="191">
        <v>0</v>
      </c>
      <c r="AB44" s="191">
        <v>0</v>
      </c>
      <c r="AC44" s="191">
        <v>0</v>
      </c>
      <c r="AD44" s="191">
        <v>0</v>
      </c>
      <c r="AE44" s="191">
        <v>0</v>
      </c>
      <c r="AF44" s="191">
        <v>0</v>
      </c>
      <c r="AG44" s="191">
        <v>-0.8</v>
      </c>
      <c r="AH44" s="191">
        <v>0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0</v>
      </c>
      <c r="AO44" s="191">
        <v>0</v>
      </c>
      <c r="AP44" s="191">
        <v>0</v>
      </c>
      <c r="AQ44" s="191">
        <v>0</v>
      </c>
      <c r="AR44" s="191">
        <v>0</v>
      </c>
      <c r="AS44" s="191">
        <v>0</v>
      </c>
      <c r="AT44" s="191">
        <v>0</v>
      </c>
      <c r="AU44" s="191">
        <v>-4.9</v>
      </c>
      <c r="AV44" s="191">
        <v>-4.8</v>
      </c>
      <c r="AW44" s="191">
        <v>-2.3</v>
      </c>
      <c r="AX44" s="191">
        <v>0</v>
      </c>
      <c r="AY44" s="191">
        <v>0</v>
      </c>
      <c r="AZ44" s="191">
        <v>0</v>
      </c>
      <c r="BA44" s="191">
        <v>0</v>
      </c>
      <c r="BB44" s="191">
        <v>0</v>
      </c>
      <c r="BC44" s="191">
        <v>0</v>
      </c>
      <c r="BD44" s="191">
        <v>0</v>
      </c>
      <c r="BE44" s="191">
        <v>0</v>
      </c>
      <c r="BF44" s="191">
        <v>0</v>
      </c>
      <c r="BG44" s="191">
        <v>0</v>
      </c>
      <c r="BH44" s="191">
        <v>0</v>
      </c>
      <c r="BI44" s="191">
        <v>0</v>
      </c>
      <c r="BJ44" s="191">
        <v>0</v>
      </c>
      <c r="BK44" s="191">
        <v>0</v>
      </c>
      <c r="BL44" s="191">
        <v>0</v>
      </c>
      <c r="BM44" s="191">
        <v>0</v>
      </c>
      <c r="BN44" s="191">
        <v>0</v>
      </c>
      <c r="BO44" s="191">
        <v>-2.7</v>
      </c>
      <c r="BP44" s="191">
        <v>0</v>
      </c>
      <c r="BQ44" s="191">
        <v>0</v>
      </c>
      <c r="BR44" s="191">
        <v>0</v>
      </c>
      <c r="BS44" s="192">
        <v>0</v>
      </c>
      <c r="BT44" s="180"/>
      <c r="BU44" s="191" t="s">
        <v>449</v>
      </c>
      <c r="BV44" s="191">
        <v>-7.79</v>
      </c>
      <c r="BW44" s="191">
        <v>0</v>
      </c>
      <c r="BX44" s="191">
        <v>0</v>
      </c>
      <c r="BY44" s="191">
        <v>-1.95</v>
      </c>
      <c r="BZ44" s="191">
        <v>0</v>
      </c>
      <c r="CA44" s="191">
        <v>0</v>
      </c>
      <c r="CB44" s="191">
        <v>0</v>
      </c>
      <c r="CC44" s="191">
        <v>0</v>
      </c>
      <c r="CD44" s="191">
        <v>0</v>
      </c>
      <c r="CE44" s="191">
        <v>0</v>
      </c>
      <c r="CF44" s="191">
        <v>0</v>
      </c>
      <c r="CG44" s="191">
        <v>0</v>
      </c>
      <c r="CH44" s="191">
        <v>0</v>
      </c>
      <c r="CI44" s="191">
        <v>0</v>
      </c>
      <c r="CJ44" s="191">
        <v>0</v>
      </c>
      <c r="CK44" s="191">
        <v>0</v>
      </c>
      <c r="CL44" s="191">
        <v>0</v>
      </c>
      <c r="CM44" s="191">
        <v>0</v>
      </c>
      <c r="CN44" s="191">
        <v>0</v>
      </c>
      <c r="CO44" s="191">
        <v>0</v>
      </c>
      <c r="CP44" s="191">
        <v>0</v>
      </c>
      <c r="CQ44" s="191">
        <v>0</v>
      </c>
      <c r="CR44" s="191">
        <v>0</v>
      </c>
      <c r="CS44" s="191">
        <v>0</v>
      </c>
      <c r="CT44" s="191">
        <v>0</v>
      </c>
      <c r="CU44" s="191">
        <v>0</v>
      </c>
      <c r="CV44" s="191">
        <v>0</v>
      </c>
      <c r="CW44" s="191">
        <v>-0.82</v>
      </c>
      <c r="CX44" s="191">
        <v>0</v>
      </c>
      <c r="CY44" s="191">
        <v>0</v>
      </c>
      <c r="CZ44" s="191">
        <v>0</v>
      </c>
      <c r="DA44" s="191">
        <v>0</v>
      </c>
      <c r="DB44" s="191">
        <v>0</v>
      </c>
      <c r="DC44" s="191">
        <v>0</v>
      </c>
      <c r="DD44" s="191">
        <v>0</v>
      </c>
      <c r="DE44" s="191">
        <v>0</v>
      </c>
      <c r="DF44" s="191">
        <v>0</v>
      </c>
      <c r="DG44" s="191">
        <v>0</v>
      </c>
      <c r="DH44" s="191">
        <v>0</v>
      </c>
      <c r="DI44" s="191">
        <v>0</v>
      </c>
      <c r="DJ44" s="191">
        <v>0</v>
      </c>
      <c r="DK44" s="191">
        <v>-5.02</v>
      </c>
      <c r="DL44" s="191">
        <v>-4.92</v>
      </c>
      <c r="DM44" s="191">
        <v>-2.36</v>
      </c>
      <c r="DN44" s="191">
        <v>0</v>
      </c>
      <c r="DO44" s="191">
        <v>0</v>
      </c>
      <c r="DP44" s="191">
        <v>0</v>
      </c>
      <c r="DQ44" s="191">
        <v>0</v>
      </c>
      <c r="DR44" s="191">
        <v>0</v>
      </c>
      <c r="DS44" s="191">
        <v>0</v>
      </c>
      <c r="DT44" s="191">
        <v>0</v>
      </c>
      <c r="DU44" s="191">
        <v>0</v>
      </c>
      <c r="DV44" s="191">
        <v>0</v>
      </c>
      <c r="DW44" s="191">
        <v>0</v>
      </c>
      <c r="DX44" s="191">
        <v>0</v>
      </c>
      <c r="DY44" s="191">
        <v>0</v>
      </c>
      <c r="DZ44" s="191">
        <v>0</v>
      </c>
      <c r="EA44" s="191">
        <v>0</v>
      </c>
      <c r="EB44" s="191">
        <v>0</v>
      </c>
      <c r="EC44" s="191">
        <v>0</v>
      </c>
      <c r="ED44" s="191">
        <v>0</v>
      </c>
      <c r="EE44" s="191">
        <v>-2.77</v>
      </c>
      <c r="EF44" s="191">
        <v>0</v>
      </c>
      <c r="EG44" s="191">
        <v>0</v>
      </c>
      <c r="EH44" s="191">
        <v>0</v>
      </c>
      <c r="EI44" s="192">
        <v>0</v>
      </c>
      <c r="EJ44" s="180"/>
      <c r="EK44" s="191" t="s">
        <v>449</v>
      </c>
      <c r="EL44" s="191">
        <v>-8.03</v>
      </c>
      <c r="EM44" s="191">
        <v>0</v>
      </c>
      <c r="EN44" s="191">
        <v>0</v>
      </c>
      <c r="EO44" s="191">
        <v>0</v>
      </c>
      <c r="EP44" s="191">
        <v>0</v>
      </c>
      <c r="EQ44" s="191">
        <v>0</v>
      </c>
      <c r="ER44" s="191">
        <v>0</v>
      </c>
      <c r="ES44" s="191">
        <v>0</v>
      </c>
      <c r="ET44" s="191">
        <v>0</v>
      </c>
      <c r="EU44" s="191">
        <v>0</v>
      </c>
      <c r="EV44" s="191">
        <v>0</v>
      </c>
      <c r="EW44" s="191">
        <v>0</v>
      </c>
      <c r="EX44" s="191">
        <v>0</v>
      </c>
      <c r="EY44" s="191">
        <v>0</v>
      </c>
      <c r="EZ44" s="191">
        <v>0</v>
      </c>
      <c r="FA44" s="191">
        <v>0</v>
      </c>
      <c r="FB44" s="191">
        <v>0</v>
      </c>
      <c r="FC44" s="191">
        <v>0</v>
      </c>
      <c r="FD44" s="191">
        <v>0</v>
      </c>
      <c r="FE44" s="191">
        <v>-5.17</v>
      </c>
      <c r="FF44" s="191">
        <v>-5.07</v>
      </c>
      <c r="FG44" s="191">
        <v>-2.43</v>
      </c>
      <c r="FH44" s="191">
        <v>0</v>
      </c>
      <c r="FI44" s="191">
        <v>0</v>
      </c>
      <c r="FJ44" s="191">
        <v>0</v>
      </c>
      <c r="FK44" s="191">
        <v>0</v>
      </c>
      <c r="FL44" s="192">
        <v>0</v>
      </c>
    </row>
    <row r="45" s="180" customFormat="1" spans="1:168">
      <c r="A45" s="190" t="s">
        <v>450</v>
      </c>
      <c r="B45" s="191">
        <v>-27</v>
      </c>
      <c r="C45" s="192">
        <v>0</v>
      </c>
      <c r="E45" s="191" t="s">
        <v>450</v>
      </c>
      <c r="F45" s="191">
        <v>-7.6</v>
      </c>
      <c r="G45" s="191">
        <v>0</v>
      </c>
      <c r="H45" s="191">
        <v>0</v>
      </c>
      <c r="I45" s="191">
        <v>-2.7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0</v>
      </c>
      <c r="X45" s="191">
        <v>0</v>
      </c>
      <c r="Y45" s="191">
        <v>0</v>
      </c>
      <c r="Z45" s="191">
        <v>0</v>
      </c>
      <c r="AA45" s="191">
        <v>0</v>
      </c>
      <c r="AB45" s="191">
        <v>0</v>
      </c>
      <c r="AC45" s="191">
        <v>0</v>
      </c>
      <c r="AD45" s="191">
        <v>0</v>
      </c>
      <c r="AE45" s="191">
        <v>0</v>
      </c>
      <c r="AF45" s="191">
        <v>0</v>
      </c>
      <c r="AG45" s="191">
        <v>-0.8</v>
      </c>
      <c r="AH45" s="191">
        <v>0</v>
      </c>
      <c r="AI45" s="191">
        <v>0</v>
      </c>
      <c r="AJ45" s="191">
        <v>0</v>
      </c>
      <c r="AK45" s="191">
        <v>0</v>
      </c>
      <c r="AL45" s="191">
        <v>0</v>
      </c>
      <c r="AM45" s="191">
        <v>0</v>
      </c>
      <c r="AN45" s="191">
        <v>0</v>
      </c>
      <c r="AO45" s="191">
        <v>0</v>
      </c>
      <c r="AP45" s="191">
        <v>0</v>
      </c>
      <c r="AQ45" s="191">
        <v>0</v>
      </c>
      <c r="AR45" s="191">
        <v>0</v>
      </c>
      <c r="AS45" s="191">
        <v>0</v>
      </c>
      <c r="AT45" s="191">
        <v>0</v>
      </c>
      <c r="AU45" s="191">
        <v>-4.9</v>
      </c>
      <c r="AV45" s="191">
        <v>-4.8</v>
      </c>
      <c r="AW45" s="191">
        <v>-2.3</v>
      </c>
      <c r="AX45" s="191">
        <v>0</v>
      </c>
      <c r="AY45" s="191">
        <v>0</v>
      </c>
      <c r="AZ45" s="191">
        <v>0</v>
      </c>
      <c r="BA45" s="191">
        <v>0</v>
      </c>
      <c r="BB45" s="191">
        <v>0</v>
      </c>
      <c r="BC45" s="191">
        <v>0</v>
      </c>
      <c r="BD45" s="191">
        <v>0</v>
      </c>
      <c r="BE45" s="191">
        <v>0</v>
      </c>
      <c r="BF45" s="191">
        <v>0</v>
      </c>
      <c r="BG45" s="191">
        <v>0</v>
      </c>
      <c r="BH45" s="191">
        <v>0</v>
      </c>
      <c r="BI45" s="191">
        <v>0</v>
      </c>
      <c r="BJ45" s="191">
        <v>0</v>
      </c>
      <c r="BK45" s="191">
        <v>0</v>
      </c>
      <c r="BL45" s="191">
        <v>0</v>
      </c>
      <c r="BM45" s="191">
        <v>0</v>
      </c>
      <c r="BN45" s="191">
        <v>0</v>
      </c>
      <c r="BO45" s="191">
        <v>-3.9</v>
      </c>
      <c r="BP45" s="191">
        <v>0</v>
      </c>
      <c r="BQ45" s="191">
        <v>0</v>
      </c>
      <c r="BR45" s="191">
        <v>0</v>
      </c>
      <c r="BS45" s="192">
        <v>0</v>
      </c>
      <c r="BT45" s="180"/>
      <c r="BU45" s="191" t="s">
        <v>450</v>
      </c>
      <c r="BV45" s="191">
        <v>-7.79</v>
      </c>
      <c r="BW45" s="191">
        <v>0</v>
      </c>
      <c r="BX45" s="191">
        <v>0</v>
      </c>
      <c r="BY45" s="191">
        <v>-2.77</v>
      </c>
      <c r="BZ45" s="191">
        <v>0</v>
      </c>
      <c r="CA45" s="191">
        <v>0</v>
      </c>
      <c r="CB45" s="191">
        <v>0</v>
      </c>
      <c r="CC45" s="191">
        <v>0</v>
      </c>
      <c r="CD45" s="191">
        <v>0</v>
      </c>
      <c r="CE45" s="191">
        <v>0</v>
      </c>
      <c r="CF45" s="191">
        <v>0</v>
      </c>
      <c r="CG45" s="191">
        <v>0</v>
      </c>
      <c r="CH45" s="191">
        <v>0</v>
      </c>
      <c r="CI45" s="191">
        <v>0</v>
      </c>
      <c r="CJ45" s="191">
        <v>0</v>
      </c>
      <c r="CK45" s="191">
        <v>0</v>
      </c>
      <c r="CL45" s="191">
        <v>0</v>
      </c>
      <c r="CM45" s="191">
        <v>0</v>
      </c>
      <c r="CN45" s="191">
        <v>0</v>
      </c>
      <c r="CO45" s="191">
        <v>0</v>
      </c>
      <c r="CP45" s="191">
        <v>0</v>
      </c>
      <c r="CQ45" s="191">
        <v>0</v>
      </c>
      <c r="CR45" s="191">
        <v>0</v>
      </c>
      <c r="CS45" s="191">
        <v>0</v>
      </c>
      <c r="CT45" s="191">
        <v>0</v>
      </c>
      <c r="CU45" s="191">
        <v>0</v>
      </c>
      <c r="CV45" s="191">
        <v>0</v>
      </c>
      <c r="CW45" s="191">
        <v>-0.82</v>
      </c>
      <c r="CX45" s="191">
        <v>0</v>
      </c>
      <c r="CY45" s="191">
        <v>0</v>
      </c>
      <c r="CZ45" s="191">
        <v>0</v>
      </c>
      <c r="DA45" s="191">
        <v>0</v>
      </c>
      <c r="DB45" s="191">
        <v>0</v>
      </c>
      <c r="DC45" s="191">
        <v>0</v>
      </c>
      <c r="DD45" s="191">
        <v>0</v>
      </c>
      <c r="DE45" s="191">
        <v>0</v>
      </c>
      <c r="DF45" s="191">
        <v>0</v>
      </c>
      <c r="DG45" s="191">
        <v>0</v>
      </c>
      <c r="DH45" s="191">
        <v>0</v>
      </c>
      <c r="DI45" s="191">
        <v>0</v>
      </c>
      <c r="DJ45" s="191">
        <v>0</v>
      </c>
      <c r="DK45" s="191">
        <v>-5.02</v>
      </c>
      <c r="DL45" s="191">
        <v>-4.92</v>
      </c>
      <c r="DM45" s="191">
        <v>-2.36</v>
      </c>
      <c r="DN45" s="191">
        <v>0</v>
      </c>
      <c r="DO45" s="191">
        <v>0</v>
      </c>
      <c r="DP45" s="191">
        <v>0</v>
      </c>
      <c r="DQ45" s="191">
        <v>0</v>
      </c>
      <c r="DR45" s="191">
        <v>0</v>
      </c>
      <c r="DS45" s="191">
        <v>0</v>
      </c>
      <c r="DT45" s="191">
        <v>0</v>
      </c>
      <c r="DU45" s="191">
        <v>0</v>
      </c>
      <c r="DV45" s="191">
        <v>0</v>
      </c>
      <c r="DW45" s="191">
        <v>0</v>
      </c>
      <c r="DX45" s="191">
        <v>0</v>
      </c>
      <c r="DY45" s="191">
        <v>0</v>
      </c>
      <c r="DZ45" s="191">
        <v>0</v>
      </c>
      <c r="EA45" s="191">
        <v>0</v>
      </c>
      <c r="EB45" s="191">
        <v>0</v>
      </c>
      <c r="EC45" s="191">
        <v>0</v>
      </c>
      <c r="ED45" s="191">
        <v>0</v>
      </c>
      <c r="EE45" s="191">
        <v>-4</v>
      </c>
      <c r="EF45" s="191">
        <v>0</v>
      </c>
      <c r="EG45" s="191">
        <v>0</v>
      </c>
      <c r="EH45" s="191">
        <v>0</v>
      </c>
      <c r="EI45" s="192">
        <v>0</v>
      </c>
      <c r="EJ45" s="180"/>
      <c r="EK45" s="191" t="s">
        <v>450</v>
      </c>
      <c r="EL45" s="191">
        <v>-8.03</v>
      </c>
      <c r="EM45" s="191">
        <v>0</v>
      </c>
      <c r="EN45" s="191">
        <v>0</v>
      </c>
      <c r="EO45" s="191">
        <v>0</v>
      </c>
      <c r="EP45" s="191">
        <v>0</v>
      </c>
      <c r="EQ45" s="191">
        <v>0</v>
      </c>
      <c r="ER45" s="191">
        <v>0</v>
      </c>
      <c r="ES45" s="191">
        <v>0</v>
      </c>
      <c r="ET45" s="191">
        <v>0</v>
      </c>
      <c r="EU45" s="191">
        <v>0</v>
      </c>
      <c r="EV45" s="191">
        <v>0</v>
      </c>
      <c r="EW45" s="191">
        <v>0</v>
      </c>
      <c r="EX45" s="191">
        <v>0</v>
      </c>
      <c r="EY45" s="191">
        <v>0</v>
      </c>
      <c r="EZ45" s="191">
        <v>0</v>
      </c>
      <c r="FA45" s="191">
        <v>0</v>
      </c>
      <c r="FB45" s="191">
        <v>0</v>
      </c>
      <c r="FC45" s="191">
        <v>0</v>
      </c>
      <c r="FD45" s="191">
        <v>0</v>
      </c>
      <c r="FE45" s="191">
        <v>-5.17</v>
      </c>
      <c r="FF45" s="191">
        <v>-5.07</v>
      </c>
      <c r="FG45" s="191">
        <v>-2.43</v>
      </c>
      <c r="FH45" s="191">
        <v>0</v>
      </c>
      <c r="FI45" s="191">
        <v>0</v>
      </c>
      <c r="FJ45" s="191">
        <v>0</v>
      </c>
      <c r="FK45" s="191">
        <v>0</v>
      </c>
      <c r="FL45" s="192">
        <v>0</v>
      </c>
    </row>
    <row r="46" s="180" customFormat="1" spans="1:168">
      <c r="A46" s="190" t="s">
        <v>451</v>
      </c>
      <c r="B46" s="191">
        <v>-28</v>
      </c>
      <c r="C46" s="192">
        <v>0</v>
      </c>
      <c r="E46" s="191" t="s">
        <v>451</v>
      </c>
      <c r="F46" s="191">
        <v>-7.6</v>
      </c>
      <c r="G46" s="191">
        <v>0</v>
      </c>
      <c r="H46" s="191">
        <v>0</v>
      </c>
      <c r="I46" s="191">
        <v>-3.6</v>
      </c>
      <c r="J46" s="191">
        <v>0</v>
      </c>
      <c r="K46" s="191">
        <v>0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0</v>
      </c>
      <c r="V46" s="191">
        <v>0</v>
      </c>
      <c r="W46" s="191">
        <v>0</v>
      </c>
      <c r="X46" s="191">
        <v>0</v>
      </c>
      <c r="Y46" s="191">
        <v>0</v>
      </c>
      <c r="Z46" s="191">
        <v>0</v>
      </c>
      <c r="AA46" s="191">
        <v>0</v>
      </c>
      <c r="AB46" s="191">
        <v>0</v>
      </c>
      <c r="AC46" s="191">
        <v>0</v>
      </c>
      <c r="AD46" s="191">
        <v>0</v>
      </c>
      <c r="AE46" s="191">
        <v>0</v>
      </c>
      <c r="AF46" s="191">
        <v>0</v>
      </c>
      <c r="AG46" s="191">
        <v>-0.8</v>
      </c>
      <c r="AH46" s="191">
        <v>0</v>
      </c>
      <c r="AI46" s="191">
        <v>0</v>
      </c>
      <c r="AJ46" s="191">
        <v>0</v>
      </c>
      <c r="AK46" s="191">
        <v>0</v>
      </c>
      <c r="AL46" s="191">
        <v>0</v>
      </c>
      <c r="AM46" s="191">
        <v>0</v>
      </c>
      <c r="AN46" s="191">
        <v>0</v>
      </c>
      <c r="AO46" s="191">
        <v>0</v>
      </c>
      <c r="AP46" s="191">
        <v>0</v>
      </c>
      <c r="AQ46" s="191">
        <v>0</v>
      </c>
      <c r="AR46" s="191">
        <v>0</v>
      </c>
      <c r="AS46" s="191">
        <v>0</v>
      </c>
      <c r="AT46" s="191">
        <v>0</v>
      </c>
      <c r="AU46" s="191">
        <v>-4.9</v>
      </c>
      <c r="AV46" s="191">
        <v>-4.8</v>
      </c>
      <c r="AW46" s="191">
        <v>-2.3</v>
      </c>
      <c r="AX46" s="191">
        <v>0</v>
      </c>
      <c r="AY46" s="191">
        <v>0</v>
      </c>
      <c r="AZ46" s="191">
        <v>0</v>
      </c>
      <c r="BA46" s="191">
        <v>0</v>
      </c>
      <c r="BB46" s="191">
        <v>0</v>
      </c>
      <c r="BC46" s="191">
        <v>0</v>
      </c>
      <c r="BD46" s="191">
        <v>0</v>
      </c>
      <c r="BE46" s="191">
        <v>0</v>
      </c>
      <c r="BF46" s="191">
        <v>0</v>
      </c>
      <c r="BG46" s="191">
        <v>0</v>
      </c>
      <c r="BH46" s="191">
        <v>0</v>
      </c>
      <c r="BI46" s="191">
        <v>0</v>
      </c>
      <c r="BJ46" s="191">
        <v>0</v>
      </c>
      <c r="BK46" s="191">
        <v>0</v>
      </c>
      <c r="BL46" s="191">
        <v>0</v>
      </c>
      <c r="BM46" s="191">
        <v>0</v>
      </c>
      <c r="BN46" s="191">
        <v>0</v>
      </c>
      <c r="BO46" s="191">
        <v>-4</v>
      </c>
      <c r="BP46" s="191">
        <v>0</v>
      </c>
      <c r="BQ46" s="191">
        <v>0</v>
      </c>
      <c r="BR46" s="191">
        <v>0</v>
      </c>
      <c r="BS46" s="192">
        <v>0</v>
      </c>
      <c r="BT46" s="180"/>
      <c r="BU46" s="191" t="s">
        <v>451</v>
      </c>
      <c r="BV46" s="191">
        <v>-7.79</v>
      </c>
      <c r="BW46" s="191">
        <v>0</v>
      </c>
      <c r="BX46" s="191">
        <v>0</v>
      </c>
      <c r="BY46" s="191">
        <v>-3.69</v>
      </c>
      <c r="BZ46" s="191">
        <v>0</v>
      </c>
      <c r="CA46" s="191">
        <v>0</v>
      </c>
      <c r="CB46" s="191">
        <v>0</v>
      </c>
      <c r="CC46" s="191">
        <v>0</v>
      </c>
      <c r="CD46" s="191">
        <v>0</v>
      </c>
      <c r="CE46" s="191">
        <v>0</v>
      </c>
      <c r="CF46" s="191">
        <v>0</v>
      </c>
      <c r="CG46" s="191">
        <v>0</v>
      </c>
      <c r="CH46" s="191">
        <v>0</v>
      </c>
      <c r="CI46" s="191">
        <v>0</v>
      </c>
      <c r="CJ46" s="191">
        <v>0</v>
      </c>
      <c r="CK46" s="191">
        <v>0</v>
      </c>
      <c r="CL46" s="191">
        <v>0</v>
      </c>
      <c r="CM46" s="191">
        <v>0</v>
      </c>
      <c r="CN46" s="191">
        <v>0</v>
      </c>
      <c r="CO46" s="191">
        <v>0</v>
      </c>
      <c r="CP46" s="191">
        <v>0</v>
      </c>
      <c r="CQ46" s="191">
        <v>0</v>
      </c>
      <c r="CR46" s="191">
        <v>0</v>
      </c>
      <c r="CS46" s="191">
        <v>0</v>
      </c>
      <c r="CT46" s="191">
        <v>0</v>
      </c>
      <c r="CU46" s="191">
        <v>0</v>
      </c>
      <c r="CV46" s="191">
        <v>0</v>
      </c>
      <c r="CW46" s="191">
        <v>-0.82</v>
      </c>
      <c r="CX46" s="191">
        <v>0</v>
      </c>
      <c r="CY46" s="191">
        <v>0</v>
      </c>
      <c r="CZ46" s="191">
        <v>0</v>
      </c>
      <c r="DA46" s="191">
        <v>0</v>
      </c>
      <c r="DB46" s="191">
        <v>0</v>
      </c>
      <c r="DC46" s="191">
        <v>0</v>
      </c>
      <c r="DD46" s="191">
        <v>0</v>
      </c>
      <c r="DE46" s="191">
        <v>0</v>
      </c>
      <c r="DF46" s="191">
        <v>0</v>
      </c>
      <c r="DG46" s="191">
        <v>0</v>
      </c>
      <c r="DH46" s="191">
        <v>0</v>
      </c>
      <c r="DI46" s="191">
        <v>0</v>
      </c>
      <c r="DJ46" s="191">
        <v>0</v>
      </c>
      <c r="DK46" s="191">
        <v>-5.02</v>
      </c>
      <c r="DL46" s="191">
        <v>-4.92</v>
      </c>
      <c r="DM46" s="191">
        <v>-2.36</v>
      </c>
      <c r="DN46" s="191">
        <v>0</v>
      </c>
      <c r="DO46" s="191">
        <v>0</v>
      </c>
      <c r="DP46" s="191">
        <v>0</v>
      </c>
      <c r="DQ46" s="191">
        <v>0</v>
      </c>
      <c r="DR46" s="191">
        <v>0</v>
      </c>
      <c r="DS46" s="191">
        <v>0</v>
      </c>
      <c r="DT46" s="191">
        <v>0</v>
      </c>
      <c r="DU46" s="191">
        <v>0</v>
      </c>
      <c r="DV46" s="191">
        <v>0</v>
      </c>
      <c r="DW46" s="191">
        <v>0</v>
      </c>
      <c r="DX46" s="191">
        <v>0</v>
      </c>
      <c r="DY46" s="191">
        <v>0</v>
      </c>
      <c r="DZ46" s="191">
        <v>0</v>
      </c>
      <c r="EA46" s="191">
        <v>0</v>
      </c>
      <c r="EB46" s="191">
        <v>0</v>
      </c>
      <c r="EC46" s="191">
        <v>0</v>
      </c>
      <c r="ED46" s="191">
        <v>0</v>
      </c>
      <c r="EE46" s="191">
        <v>-4.1</v>
      </c>
      <c r="EF46" s="191">
        <v>0</v>
      </c>
      <c r="EG46" s="191">
        <v>0</v>
      </c>
      <c r="EH46" s="191">
        <v>0</v>
      </c>
      <c r="EI46" s="192">
        <v>0</v>
      </c>
      <c r="EJ46" s="180"/>
      <c r="EK46" s="191" t="s">
        <v>451</v>
      </c>
      <c r="EL46" s="191">
        <v>-8.03</v>
      </c>
      <c r="EM46" s="191">
        <v>0</v>
      </c>
      <c r="EN46" s="191">
        <v>0</v>
      </c>
      <c r="EO46" s="191">
        <v>0</v>
      </c>
      <c r="EP46" s="191">
        <v>0</v>
      </c>
      <c r="EQ46" s="191">
        <v>0</v>
      </c>
      <c r="ER46" s="191">
        <v>0</v>
      </c>
      <c r="ES46" s="191">
        <v>0</v>
      </c>
      <c r="ET46" s="191">
        <v>0</v>
      </c>
      <c r="EU46" s="191">
        <v>0</v>
      </c>
      <c r="EV46" s="191">
        <v>0</v>
      </c>
      <c r="EW46" s="191">
        <v>0</v>
      </c>
      <c r="EX46" s="191">
        <v>0</v>
      </c>
      <c r="EY46" s="191">
        <v>0</v>
      </c>
      <c r="EZ46" s="191">
        <v>0</v>
      </c>
      <c r="FA46" s="191">
        <v>0</v>
      </c>
      <c r="FB46" s="191">
        <v>0</v>
      </c>
      <c r="FC46" s="191">
        <v>0</v>
      </c>
      <c r="FD46" s="191">
        <v>0</v>
      </c>
      <c r="FE46" s="191">
        <v>-5.17</v>
      </c>
      <c r="FF46" s="191">
        <v>-5.07</v>
      </c>
      <c r="FG46" s="191">
        <v>-2.43</v>
      </c>
      <c r="FH46" s="191">
        <v>0</v>
      </c>
      <c r="FI46" s="191">
        <v>0</v>
      </c>
      <c r="FJ46" s="191">
        <v>0</v>
      </c>
      <c r="FK46" s="191">
        <v>0</v>
      </c>
      <c r="FL46" s="192">
        <v>0</v>
      </c>
    </row>
    <row r="47" s="180" customFormat="1" spans="1:168">
      <c r="A47" s="190" t="s">
        <v>452</v>
      </c>
      <c r="B47" s="191">
        <v>-27.4</v>
      </c>
      <c r="C47" s="192">
        <v>0</v>
      </c>
      <c r="E47" s="191" t="s">
        <v>452</v>
      </c>
      <c r="F47" s="191">
        <v>-7.6</v>
      </c>
      <c r="G47" s="191">
        <v>0</v>
      </c>
      <c r="H47" s="191">
        <v>0</v>
      </c>
      <c r="I47" s="191">
        <v>-3.4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0</v>
      </c>
      <c r="V47" s="191">
        <v>0</v>
      </c>
      <c r="W47" s="191">
        <v>0</v>
      </c>
      <c r="X47" s="191">
        <v>0</v>
      </c>
      <c r="Y47" s="191">
        <v>0</v>
      </c>
      <c r="Z47" s="191">
        <v>0</v>
      </c>
      <c r="AA47" s="191">
        <v>0</v>
      </c>
      <c r="AB47" s="191">
        <v>0</v>
      </c>
      <c r="AC47" s="191">
        <v>0</v>
      </c>
      <c r="AD47" s="191">
        <v>0</v>
      </c>
      <c r="AE47" s="191">
        <v>0</v>
      </c>
      <c r="AF47" s="191">
        <v>0</v>
      </c>
      <c r="AG47" s="191">
        <v>-0.8</v>
      </c>
      <c r="AH47" s="191">
        <v>0</v>
      </c>
      <c r="AI47" s="191">
        <v>0</v>
      </c>
      <c r="AJ47" s="191">
        <v>0</v>
      </c>
      <c r="AK47" s="191">
        <v>0</v>
      </c>
      <c r="AL47" s="191">
        <v>0</v>
      </c>
      <c r="AM47" s="191">
        <v>0</v>
      </c>
      <c r="AN47" s="191">
        <v>0</v>
      </c>
      <c r="AO47" s="191">
        <v>0</v>
      </c>
      <c r="AP47" s="191">
        <v>0</v>
      </c>
      <c r="AQ47" s="191">
        <v>0</v>
      </c>
      <c r="AR47" s="191">
        <v>0</v>
      </c>
      <c r="AS47" s="191">
        <v>0</v>
      </c>
      <c r="AT47" s="191">
        <v>0</v>
      </c>
      <c r="AU47" s="191">
        <v>-4.9</v>
      </c>
      <c r="AV47" s="191">
        <v>-4.8</v>
      </c>
      <c r="AW47" s="191">
        <v>-2.3</v>
      </c>
      <c r="AX47" s="191">
        <v>0</v>
      </c>
      <c r="AY47" s="191">
        <v>0</v>
      </c>
      <c r="AZ47" s="191">
        <v>0</v>
      </c>
      <c r="BA47" s="191">
        <v>0</v>
      </c>
      <c r="BB47" s="191">
        <v>0</v>
      </c>
      <c r="BC47" s="191">
        <v>0</v>
      </c>
      <c r="BD47" s="191">
        <v>0</v>
      </c>
      <c r="BE47" s="191">
        <v>0</v>
      </c>
      <c r="BF47" s="191">
        <v>0</v>
      </c>
      <c r="BG47" s="191">
        <v>0</v>
      </c>
      <c r="BH47" s="191">
        <v>0</v>
      </c>
      <c r="BI47" s="191">
        <v>0</v>
      </c>
      <c r="BJ47" s="191">
        <v>0</v>
      </c>
      <c r="BK47" s="191">
        <v>0</v>
      </c>
      <c r="BL47" s="191">
        <v>0</v>
      </c>
      <c r="BM47" s="191">
        <v>0</v>
      </c>
      <c r="BN47" s="191">
        <v>0</v>
      </c>
      <c r="BO47" s="191">
        <v>-3.6</v>
      </c>
      <c r="BP47" s="191">
        <v>0</v>
      </c>
      <c r="BQ47" s="191">
        <v>0</v>
      </c>
      <c r="BR47" s="191">
        <v>0</v>
      </c>
      <c r="BS47" s="192">
        <v>0</v>
      </c>
      <c r="BT47" s="180"/>
      <c r="BU47" s="191" t="s">
        <v>452</v>
      </c>
      <c r="BV47" s="191">
        <v>-7.79</v>
      </c>
      <c r="BW47" s="191">
        <v>0</v>
      </c>
      <c r="BX47" s="191">
        <v>0</v>
      </c>
      <c r="BY47" s="191">
        <v>-3.49</v>
      </c>
      <c r="BZ47" s="191">
        <v>0</v>
      </c>
      <c r="CA47" s="191">
        <v>0</v>
      </c>
      <c r="CB47" s="191">
        <v>0</v>
      </c>
      <c r="CC47" s="191">
        <v>0</v>
      </c>
      <c r="CD47" s="191">
        <v>0</v>
      </c>
      <c r="CE47" s="191">
        <v>0</v>
      </c>
      <c r="CF47" s="191">
        <v>0</v>
      </c>
      <c r="CG47" s="191">
        <v>0</v>
      </c>
      <c r="CH47" s="191">
        <v>0</v>
      </c>
      <c r="CI47" s="191">
        <v>0</v>
      </c>
      <c r="CJ47" s="191">
        <v>0</v>
      </c>
      <c r="CK47" s="191">
        <v>0</v>
      </c>
      <c r="CL47" s="191">
        <v>0</v>
      </c>
      <c r="CM47" s="191">
        <v>0</v>
      </c>
      <c r="CN47" s="191">
        <v>0</v>
      </c>
      <c r="CO47" s="191">
        <v>0</v>
      </c>
      <c r="CP47" s="191">
        <v>0</v>
      </c>
      <c r="CQ47" s="191">
        <v>0</v>
      </c>
      <c r="CR47" s="191">
        <v>0</v>
      </c>
      <c r="CS47" s="191">
        <v>0</v>
      </c>
      <c r="CT47" s="191">
        <v>0</v>
      </c>
      <c r="CU47" s="191">
        <v>0</v>
      </c>
      <c r="CV47" s="191">
        <v>0</v>
      </c>
      <c r="CW47" s="191">
        <v>-0.82</v>
      </c>
      <c r="CX47" s="191">
        <v>0</v>
      </c>
      <c r="CY47" s="191">
        <v>0</v>
      </c>
      <c r="CZ47" s="191">
        <v>0</v>
      </c>
      <c r="DA47" s="191">
        <v>0</v>
      </c>
      <c r="DB47" s="191">
        <v>0</v>
      </c>
      <c r="DC47" s="191">
        <v>0</v>
      </c>
      <c r="DD47" s="191">
        <v>0</v>
      </c>
      <c r="DE47" s="191">
        <v>0</v>
      </c>
      <c r="DF47" s="191">
        <v>0</v>
      </c>
      <c r="DG47" s="191">
        <v>0</v>
      </c>
      <c r="DH47" s="191">
        <v>0</v>
      </c>
      <c r="DI47" s="191">
        <v>0</v>
      </c>
      <c r="DJ47" s="191">
        <v>0</v>
      </c>
      <c r="DK47" s="191">
        <v>-5.02</v>
      </c>
      <c r="DL47" s="191">
        <v>-4.92</v>
      </c>
      <c r="DM47" s="191">
        <v>-2.36</v>
      </c>
      <c r="DN47" s="191">
        <v>0</v>
      </c>
      <c r="DO47" s="191">
        <v>0</v>
      </c>
      <c r="DP47" s="191">
        <v>0</v>
      </c>
      <c r="DQ47" s="191">
        <v>0</v>
      </c>
      <c r="DR47" s="191">
        <v>0</v>
      </c>
      <c r="DS47" s="191">
        <v>0</v>
      </c>
      <c r="DT47" s="191">
        <v>0</v>
      </c>
      <c r="DU47" s="191">
        <v>0</v>
      </c>
      <c r="DV47" s="191">
        <v>0</v>
      </c>
      <c r="DW47" s="191">
        <v>0</v>
      </c>
      <c r="DX47" s="191">
        <v>0</v>
      </c>
      <c r="DY47" s="191">
        <v>0</v>
      </c>
      <c r="DZ47" s="191">
        <v>0</v>
      </c>
      <c r="EA47" s="191">
        <v>0</v>
      </c>
      <c r="EB47" s="191">
        <v>0</v>
      </c>
      <c r="EC47" s="191">
        <v>0</v>
      </c>
      <c r="ED47" s="191">
        <v>0</v>
      </c>
      <c r="EE47" s="191">
        <v>-3.69</v>
      </c>
      <c r="EF47" s="191">
        <v>0</v>
      </c>
      <c r="EG47" s="191">
        <v>0</v>
      </c>
      <c r="EH47" s="191">
        <v>0</v>
      </c>
      <c r="EI47" s="192">
        <v>0</v>
      </c>
      <c r="EJ47" s="180"/>
      <c r="EK47" s="191" t="s">
        <v>452</v>
      </c>
      <c r="EL47" s="191">
        <v>-8.03</v>
      </c>
      <c r="EM47" s="191">
        <v>0</v>
      </c>
      <c r="EN47" s="191">
        <v>0</v>
      </c>
      <c r="EO47" s="191">
        <v>0</v>
      </c>
      <c r="EP47" s="191">
        <v>0</v>
      </c>
      <c r="EQ47" s="191">
        <v>0</v>
      </c>
      <c r="ER47" s="191">
        <v>0</v>
      </c>
      <c r="ES47" s="191">
        <v>0</v>
      </c>
      <c r="ET47" s="191">
        <v>0</v>
      </c>
      <c r="EU47" s="191">
        <v>0</v>
      </c>
      <c r="EV47" s="191">
        <v>0</v>
      </c>
      <c r="EW47" s="191">
        <v>0</v>
      </c>
      <c r="EX47" s="191">
        <v>0</v>
      </c>
      <c r="EY47" s="191">
        <v>0</v>
      </c>
      <c r="EZ47" s="191">
        <v>0</v>
      </c>
      <c r="FA47" s="191">
        <v>0</v>
      </c>
      <c r="FB47" s="191">
        <v>0</v>
      </c>
      <c r="FC47" s="191">
        <v>0</v>
      </c>
      <c r="FD47" s="191">
        <v>0</v>
      </c>
      <c r="FE47" s="191">
        <v>-5.17</v>
      </c>
      <c r="FF47" s="191">
        <v>-5.07</v>
      </c>
      <c r="FG47" s="191">
        <v>-2.43</v>
      </c>
      <c r="FH47" s="191">
        <v>0</v>
      </c>
      <c r="FI47" s="191">
        <v>0</v>
      </c>
      <c r="FJ47" s="191">
        <v>0</v>
      </c>
      <c r="FK47" s="191">
        <v>0</v>
      </c>
      <c r="FL47" s="192">
        <v>0</v>
      </c>
    </row>
    <row r="48" s="180" customFormat="1" spans="1:168">
      <c r="A48" s="190" t="s">
        <v>453</v>
      </c>
      <c r="B48" s="191">
        <v>-31.4</v>
      </c>
      <c r="C48" s="192">
        <v>95.19</v>
      </c>
      <c r="E48" s="191" t="s">
        <v>453</v>
      </c>
      <c r="F48" s="191">
        <v>-7.6</v>
      </c>
      <c r="G48" s="191">
        <v>95.19</v>
      </c>
      <c r="H48" s="191">
        <v>0</v>
      </c>
      <c r="I48" s="191">
        <v>0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  <c r="V48" s="191">
        <v>0</v>
      </c>
      <c r="W48" s="191">
        <v>0</v>
      </c>
      <c r="X48" s="191">
        <v>0</v>
      </c>
      <c r="Y48" s="191">
        <v>0</v>
      </c>
      <c r="Z48" s="191">
        <v>0</v>
      </c>
      <c r="AA48" s="191">
        <v>0</v>
      </c>
      <c r="AB48" s="191">
        <v>0</v>
      </c>
      <c r="AC48" s="191">
        <v>0</v>
      </c>
      <c r="AD48" s="191">
        <v>0</v>
      </c>
      <c r="AE48" s="191">
        <v>0</v>
      </c>
      <c r="AF48" s="191">
        <v>0</v>
      </c>
      <c r="AG48" s="191">
        <v>-0.8</v>
      </c>
      <c r="AH48" s="191">
        <v>-7.8</v>
      </c>
      <c r="AI48" s="191">
        <v>0</v>
      </c>
      <c r="AJ48" s="191">
        <v>0</v>
      </c>
      <c r="AK48" s="191">
        <v>0</v>
      </c>
      <c r="AL48" s="191">
        <v>0</v>
      </c>
      <c r="AM48" s="191">
        <v>0</v>
      </c>
      <c r="AN48" s="191">
        <v>0</v>
      </c>
      <c r="AO48" s="191">
        <v>0</v>
      </c>
      <c r="AP48" s="191">
        <v>0</v>
      </c>
      <c r="AQ48" s="191">
        <v>0</v>
      </c>
      <c r="AR48" s="191">
        <v>0</v>
      </c>
      <c r="AS48" s="191">
        <v>0</v>
      </c>
      <c r="AT48" s="191">
        <v>0</v>
      </c>
      <c r="AU48" s="191">
        <v>-4.9</v>
      </c>
      <c r="AV48" s="191">
        <v>-4.8</v>
      </c>
      <c r="AW48" s="191">
        <v>-2.3</v>
      </c>
      <c r="AX48" s="191">
        <v>0</v>
      </c>
      <c r="AY48" s="191">
        <v>0</v>
      </c>
      <c r="AZ48" s="191">
        <v>0</v>
      </c>
      <c r="BA48" s="191">
        <v>0</v>
      </c>
      <c r="BB48" s="191">
        <v>0</v>
      </c>
      <c r="BC48" s="191">
        <v>0</v>
      </c>
      <c r="BD48" s="191">
        <v>0</v>
      </c>
      <c r="BE48" s="191">
        <v>0</v>
      </c>
      <c r="BF48" s="191">
        <v>0</v>
      </c>
      <c r="BG48" s="191">
        <v>0</v>
      </c>
      <c r="BH48" s="191">
        <v>0</v>
      </c>
      <c r="BI48" s="191">
        <v>0</v>
      </c>
      <c r="BJ48" s="191">
        <v>0</v>
      </c>
      <c r="BK48" s="191">
        <v>0</v>
      </c>
      <c r="BL48" s="191">
        <v>0</v>
      </c>
      <c r="BM48" s="191">
        <v>0</v>
      </c>
      <c r="BN48" s="191">
        <v>0</v>
      </c>
      <c r="BO48" s="191">
        <v>-3.2</v>
      </c>
      <c r="BP48" s="191">
        <v>0</v>
      </c>
      <c r="BQ48" s="191">
        <v>0</v>
      </c>
      <c r="BR48" s="191">
        <v>0</v>
      </c>
      <c r="BS48" s="192">
        <v>0</v>
      </c>
      <c r="BT48" s="180"/>
      <c r="BU48" s="191" t="s">
        <v>453</v>
      </c>
      <c r="BV48" s="191">
        <v>-7.79</v>
      </c>
      <c r="BW48" s="191">
        <v>92.85</v>
      </c>
      <c r="BX48" s="191">
        <v>0</v>
      </c>
      <c r="BY48" s="191">
        <v>0</v>
      </c>
      <c r="BZ48" s="191">
        <v>0</v>
      </c>
      <c r="CA48" s="191">
        <v>0</v>
      </c>
      <c r="CB48" s="191">
        <v>0</v>
      </c>
      <c r="CC48" s="191">
        <v>0</v>
      </c>
      <c r="CD48" s="191">
        <v>0</v>
      </c>
      <c r="CE48" s="191">
        <v>0</v>
      </c>
      <c r="CF48" s="191">
        <v>0</v>
      </c>
      <c r="CG48" s="191">
        <v>0</v>
      </c>
      <c r="CH48" s="191">
        <v>0</v>
      </c>
      <c r="CI48" s="191">
        <v>0</v>
      </c>
      <c r="CJ48" s="191">
        <v>0</v>
      </c>
      <c r="CK48" s="191">
        <v>0</v>
      </c>
      <c r="CL48" s="191">
        <v>0</v>
      </c>
      <c r="CM48" s="191">
        <v>0</v>
      </c>
      <c r="CN48" s="191">
        <v>0</v>
      </c>
      <c r="CO48" s="191">
        <v>0</v>
      </c>
      <c r="CP48" s="191">
        <v>0</v>
      </c>
      <c r="CQ48" s="191">
        <v>0</v>
      </c>
      <c r="CR48" s="191">
        <v>0</v>
      </c>
      <c r="CS48" s="191">
        <v>0</v>
      </c>
      <c r="CT48" s="191">
        <v>0</v>
      </c>
      <c r="CU48" s="191">
        <v>0</v>
      </c>
      <c r="CV48" s="191">
        <v>0</v>
      </c>
      <c r="CW48" s="191">
        <v>-0.82</v>
      </c>
      <c r="CX48" s="191">
        <v>-8</v>
      </c>
      <c r="CY48" s="191">
        <v>0</v>
      </c>
      <c r="CZ48" s="191">
        <v>0</v>
      </c>
      <c r="DA48" s="191">
        <v>0</v>
      </c>
      <c r="DB48" s="191">
        <v>0</v>
      </c>
      <c r="DC48" s="191">
        <v>0</v>
      </c>
      <c r="DD48" s="191">
        <v>0</v>
      </c>
      <c r="DE48" s="191">
        <v>0</v>
      </c>
      <c r="DF48" s="191">
        <v>0</v>
      </c>
      <c r="DG48" s="191">
        <v>0</v>
      </c>
      <c r="DH48" s="191">
        <v>0</v>
      </c>
      <c r="DI48" s="191">
        <v>0</v>
      </c>
      <c r="DJ48" s="191">
        <v>0</v>
      </c>
      <c r="DK48" s="191">
        <v>-5.02</v>
      </c>
      <c r="DL48" s="191">
        <v>-4.92</v>
      </c>
      <c r="DM48" s="191">
        <v>-2.36</v>
      </c>
      <c r="DN48" s="191">
        <v>0</v>
      </c>
      <c r="DO48" s="191">
        <v>0</v>
      </c>
      <c r="DP48" s="191">
        <v>0</v>
      </c>
      <c r="DQ48" s="191">
        <v>0</v>
      </c>
      <c r="DR48" s="191">
        <v>0</v>
      </c>
      <c r="DS48" s="191">
        <v>0</v>
      </c>
      <c r="DT48" s="191">
        <v>0</v>
      </c>
      <c r="DU48" s="191">
        <v>0</v>
      </c>
      <c r="DV48" s="191">
        <v>0</v>
      </c>
      <c r="DW48" s="191">
        <v>0</v>
      </c>
      <c r="DX48" s="191">
        <v>0</v>
      </c>
      <c r="DY48" s="191">
        <v>0</v>
      </c>
      <c r="DZ48" s="191">
        <v>0</v>
      </c>
      <c r="EA48" s="191">
        <v>0</v>
      </c>
      <c r="EB48" s="191">
        <v>0</v>
      </c>
      <c r="EC48" s="191">
        <v>0</v>
      </c>
      <c r="ED48" s="191">
        <v>0</v>
      </c>
      <c r="EE48" s="191">
        <v>-3.28</v>
      </c>
      <c r="EF48" s="191">
        <v>0</v>
      </c>
      <c r="EG48" s="191">
        <v>0</v>
      </c>
      <c r="EH48" s="191">
        <v>0</v>
      </c>
      <c r="EI48" s="192">
        <v>0</v>
      </c>
      <c r="EJ48" s="180"/>
      <c r="EK48" s="191" t="s">
        <v>453</v>
      </c>
      <c r="EL48" s="191">
        <v>-8.03</v>
      </c>
      <c r="EM48" s="191">
        <v>0</v>
      </c>
      <c r="EN48" s="191">
        <v>0</v>
      </c>
      <c r="EO48" s="191">
        <v>0</v>
      </c>
      <c r="EP48" s="191">
        <v>0</v>
      </c>
      <c r="EQ48" s="191">
        <v>0</v>
      </c>
      <c r="ER48" s="191">
        <v>0</v>
      </c>
      <c r="ES48" s="191">
        <v>0</v>
      </c>
      <c r="ET48" s="191">
        <v>0</v>
      </c>
      <c r="EU48" s="191">
        <v>0</v>
      </c>
      <c r="EV48" s="191">
        <v>0</v>
      </c>
      <c r="EW48" s="191">
        <v>0</v>
      </c>
      <c r="EX48" s="191">
        <v>0</v>
      </c>
      <c r="EY48" s="191">
        <v>0</v>
      </c>
      <c r="EZ48" s="191">
        <v>0</v>
      </c>
      <c r="FA48" s="191">
        <v>0</v>
      </c>
      <c r="FB48" s="191">
        <v>0</v>
      </c>
      <c r="FC48" s="191">
        <v>0</v>
      </c>
      <c r="FD48" s="191">
        <v>0</v>
      </c>
      <c r="FE48" s="191">
        <v>-5.17</v>
      </c>
      <c r="FF48" s="191">
        <v>-5.07</v>
      </c>
      <c r="FG48" s="191">
        <v>-2.43</v>
      </c>
      <c r="FH48" s="191">
        <v>0</v>
      </c>
      <c r="FI48" s="191">
        <v>0</v>
      </c>
      <c r="FJ48" s="191">
        <v>0</v>
      </c>
      <c r="FK48" s="191">
        <v>0</v>
      </c>
      <c r="FL48" s="192">
        <v>0</v>
      </c>
    </row>
    <row r="49" s="180" customFormat="1" spans="1:168">
      <c r="A49" s="190" t="s">
        <v>454</v>
      </c>
      <c r="B49" s="191">
        <v>-30.1</v>
      </c>
      <c r="C49" s="192">
        <v>91.79</v>
      </c>
      <c r="E49" s="191" t="s">
        <v>454</v>
      </c>
      <c r="F49" s="191">
        <v>-7.6</v>
      </c>
      <c r="G49" s="191">
        <v>91.79</v>
      </c>
      <c r="H49" s="191">
        <v>0</v>
      </c>
      <c r="I49" s="191">
        <v>0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0</v>
      </c>
      <c r="V49" s="191">
        <v>0</v>
      </c>
      <c r="W49" s="191">
        <v>0</v>
      </c>
      <c r="X49" s="191">
        <v>0</v>
      </c>
      <c r="Y49" s="191">
        <v>0</v>
      </c>
      <c r="Z49" s="191">
        <v>0</v>
      </c>
      <c r="AA49" s="191">
        <v>0</v>
      </c>
      <c r="AB49" s="191">
        <v>0</v>
      </c>
      <c r="AC49" s="191">
        <v>0</v>
      </c>
      <c r="AD49" s="191">
        <v>0</v>
      </c>
      <c r="AE49" s="191">
        <v>0</v>
      </c>
      <c r="AF49" s="191">
        <v>0</v>
      </c>
      <c r="AG49" s="191">
        <v>-0.8</v>
      </c>
      <c r="AH49" s="191">
        <v>-7.8</v>
      </c>
      <c r="AI49" s="191">
        <v>0</v>
      </c>
      <c r="AJ49" s="191">
        <v>0</v>
      </c>
      <c r="AK49" s="191">
        <v>0</v>
      </c>
      <c r="AL49" s="191">
        <v>0</v>
      </c>
      <c r="AM49" s="191">
        <v>0</v>
      </c>
      <c r="AN49" s="191">
        <v>0</v>
      </c>
      <c r="AO49" s="191">
        <v>0</v>
      </c>
      <c r="AP49" s="191">
        <v>0</v>
      </c>
      <c r="AQ49" s="191">
        <v>0</v>
      </c>
      <c r="AR49" s="191">
        <v>0</v>
      </c>
      <c r="AS49" s="191">
        <v>0</v>
      </c>
      <c r="AT49" s="191">
        <v>0</v>
      </c>
      <c r="AU49" s="191">
        <v>-4.9</v>
      </c>
      <c r="AV49" s="191">
        <v>-4.8</v>
      </c>
      <c r="AW49" s="191">
        <v>-2.3</v>
      </c>
      <c r="AX49" s="191">
        <v>0</v>
      </c>
      <c r="AY49" s="191">
        <v>0</v>
      </c>
      <c r="AZ49" s="191">
        <v>0</v>
      </c>
      <c r="BA49" s="191">
        <v>0</v>
      </c>
      <c r="BB49" s="191">
        <v>0</v>
      </c>
      <c r="BC49" s="191">
        <v>0</v>
      </c>
      <c r="BD49" s="191">
        <v>0</v>
      </c>
      <c r="BE49" s="191">
        <v>0</v>
      </c>
      <c r="BF49" s="191">
        <v>0</v>
      </c>
      <c r="BG49" s="191">
        <v>0</v>
      </c>
      <c r="BH49" s="191">
        <v>0</v>
      </c>
      <c r="BI49" s="191">
        <v>0</v>
      </c>
      <c r="BJ49" s="191">
        <v>0</v>
      </c>
      <c r="BK49" s="191">
        <v>0</v>
      </c>
      <c r="BL49" s="191">
        <v>0</v>
      </c>
      <c r="BM49" s="191">
        <v>0</v>
      </c>
      <c r="BN49" s="191">
        <v>0</v>
      </c>
      <c r="BO49" s="191">
        <v>-1.9</v>
      </c>
      <c r="BP49" s="191">
        <v>0</v>
      </c>
      <c r="BQ49" s="191">
        <v>0</v>
      </c>
      <c r="BR49" s="191">
        <v>0</v>
      </c>
      <c r="BS49" s="192">
        <v>0</v>
      </c>
      <c r="BT49" s="180"/>
      <c r="BU49" s="191" t="s">
        <v>454</v>
      </c>
      <c r="BV49" s="191">
        <v>-7.79</v>
      </c>
      <c r="BW49" s="191">
        <v>89.53</v>
      </c>
      <c r="BX49" s="191">
        <v>0</v>
      </c>
      <c r="BY49" s="191">
        <v>0</v>
      </c>
      <c r="BZ49" s="191">
        <v>0</v>
      </c>
      <c r="CA49" s="191">
        <v>0</v>
      </c>
      <c r="CB49" s="191">
        <v>0</v>
      </c>
      <c r="CC49" s="191">
        <v>0</v>
      </c>
      <c r="CD49" s="191">
        <v>0</v>
      </c>
      <c r="CE49" s="191">
        <v>0</v>
      </c>
      <c r="CF49" s="191">
        <v>0</v>
      </c>
      <c r="CG49" s="191">
        <v>0</v>
      </c>
      <c r="CH49" s="191">
        <v>0</v>
      </c>
      <c r="CI49" s="191">
        <v>0</v>
      </c>
      <c r="CJ49" s="191">
        <v>0</v>
      </c>
      <c r="CK49" s="191">
        <v>0</v>
      </c>
      <c r="CL49" s="191">
        <v>0</v>
      </c>
      <c r="CM49" s="191">
        <v>0</v>
      </c>
      <c r="CN49" s="191">
        <v>0</v>
      </c>
      <c r="CO49" s="191">
        <v>0</v>
      </c>
      <c r="CP49" s="191">
        <v>0</v>
      </c>
      <c r="CQ49" s="191">
        <v>0</v>
      </c>
      <c r="CR49" s="191">
        <v>0</v>
      </c>
      <c r="CS49" s="191">
        <v>0</v>
      </c>
      <c r="CT49" s="191">
        <v>0</v>
      </c>
      <c r="CU49" s="191">
        <v>0</v>
      </c>
      <c r="CV49" s="191">
        <v>0</v>
      </c>
      <c r="CW49" s="191">
        <v>-0.82</v>
      </c>
      <c r="CX49" s="191">
        <v>-8</v>
      </c>
      <c r="CY49" s="191">
        <v>0</v>
      </c>
      <c r="CZ49" s="191">
        <v>0</v>
      </c>
      <c r="DA49" s="191">
        <v>0</v>
      </c>
      <c r="DB49" s="191">
        <v>0</v>
      </c>
      <c r="DC49" s="191">
        <v>0</v>
      </c>
      <c r="DD49" s="191">
        <v>0</v>
      </c>
      <c r="DE49" s="191">
        <v>0</v>
      </c>
      <c r="DF49" s="191">
        <v>0</v>
      </c>
      <c r="DG49" s="191">
        <v>0</v>
      </c>
      <c r="DH49" s="191">
        <v>0</v>
      </c>
      <c r="DI49" s="191">
        <v>0</v>
      </c>
      <c r="DJ49" s="191">
        <v>0</v>
      </c>
      <c r="DK49" s="191">
        <v>-5.02</v>
      </c>
      <c r="DL49" s="191">
        <v>-4.92</v>
      </c>
      <c r="DM49" s="191">
        <v>-2.36</v>
      </c>
      <c r="DN49" s="191">
        <v>0</v>
      </c>
      <c r="DO49" s="191">
        <v>0</v>
      </c>
      <c r="DP49" s="191">
        <v>0</v>
      </c>
      <c r="DQ49" s="191">
        <v>0</v>
      </c>
      <c r="DR49" s="191">
        <v>0</v>
      </c>
      <c r="DS49" s="191">
        <v>0</v>
      </c>
      <c r="DT49" s="191">
        <v>0</v>
      </c>
      <c r="DU49" s="191">
        <v>0</v>
      </c>
      <c r="DV49" s="191">
        <v>0</v>
      </c>
      <c r="DW49" s="191">
        <v>0</v>
      </c>
      <c r="DX49" s="191">
        <v>0</v>
      </c>
      <c r="DY49" s="191">
        <v>0</v>
      </c>
      <c r="DZ49" s="191">
        <v>0</v>
      </c>
      <c r="EA49" s="191">
        <v>0</v>
      </c>
      <c r="EB49" s="191">
        <v>0</v>
      </c>
      <c r="EC49" s="191">
        <v>0</v>
      </c>
      <c r="ED49" s="191">
        <v>0</v>
      </c>
      <c r="EE49" s="191">
        <v>-1.95</v>
      </c>
      <c r="EF49" s="191">
        <v>0</v>
      </c>
      <c r="EG49" s="191">
        <v>0</v>
      </c>
      <c r="EH49" s="191">
        <v>0</v>
      </c>
      <c r="EI49" s="192">
        <v>0</v>
      </c>
      <c r="EJ49" s="180"/>
      <c r="EK49" s="191" t="s">
        <v>454</v>
      </c>
      <c r="EL49" s="191">
        <v>-8.03</v>
      </c>
      <c r="EM49" s="191">
        <v>0</v>
      </c>
      <c r="EN49" s="191">
        <v>0</v>
      </c>
      <c r="EO49" s="191">
        <v>0</v>
      </c>
      <c r="EP49" s="191">
        <v>0</v>
      </c>
      <c r="EQ49" s="191">
        <v>0</v>
      </c>
      <c r="ER49" s="191">
        <v>0</v>
      </c>
      <c r="ES49" s="191">
        <v>0</v>
      </c>
      <c r="ET49" s="191">
        <v>0</v>
      </c>
      <c r="EU49" s="191">
        <v>0</v>
      </c>
      <c r="EV49" s="191">
        <v>0</v>
      </c>
      <c r="EW49" s="191">
        <v>0</v>
      </c>
      <c r="EX49" s="191">
        <v>0</v>
      </c>
      <c r="EY49" s="191">
        <v>0</v>
      </c>
      <c r="EZ49" s="191">
        <v>0</v>
      </c>
      <c r="FA49" s="191">
        <v>0</v>
      </c>
      <c r="FB49" s="191">
        <v>0</v>
      </c>
      <c r="FC49" s="191">
        <v>0</v>
      </c>
      <c r="FD49" s="191">
        <v>0</v>
      </c>
      <c r="FE49" s="191">
        <v>-5.17</v>
      </c>
      <c r="FF49" s="191">
        <v>-5.07</v>
      </c>
      <c r="FG49" s="191">
        <v>-2.43</v>
      </c>
      <c r="FH49" s="191">
        <v>0</v>
      </c>
      <c r="FI49" s="191">
        <v>0</v>
      </c>
      <c r="FJ49" s="191">
        <v>0</v>
      </c>
      <c r="FK49" s="191">
        <v>0</v>
      </c>
      <c r="FL49" s="192">
        <v>0</v>
      </c>
    </row>
    <row r="50" s="180" customFormat="1" spans="1:168">
      <c r="A50" s="190" t="s">
        <v>455</v>
      </c>
      <c r="B50" s="191">
        <v>-20.4</v>
      </c>
      <c r="C50" s="192">
        <v>190.38</v>
      </c>
      <c r="E50" s="191" t="s">
        <v>455</v>
      </c>
      <c r="F50" s="191">
        <v>-7.6</v>
      </c>
      <c r="G50" s="191">
        <v>190.38</v>
      </c>
      <c r="H50" s="191">
        <v>0</v>
      </c>
      <c r="I50" s="191">
        <v>0</v>
      </c>
      <c r="J50" s="191">
        <v>0</v>
      </c>
      <c r="K50" s="191">
        <v>0</v>
      </c>
      <c r="L50" s="191">
        <v>0</v>
      </c>
      <c r="M50" s="191">
        <v>0</v>
      </c>
      <c r="N50" s="191">
        <v>0</v>
      </c>
      <c r="O50" s="191">
        <v>0</v>
      </c>
      <c r="P50" s="191">
        <v>0</v>
      </c>
      <c r="Q50" s="191">
        <v>0</v>
      </c>
      <c r="R50" s="191">
        <v>0</v>
      </c>
      <c r="S50" s="191">
        <v>0</v>
      </c>
      <c r="T50" s="191">
        <v>0</v>
      </c>
      <c r="U50" s="191">
        <v>0</v>
      </c>
      <c r="V50" s="191">
        <v>0</v>
      </c>
      <c r="W50" s="191">
        <v>0</v>
      </c>
      <c r="X50" s="191">
        <v>0</v>
      </c>
      <c r="Y50" s="191">
        <v>0</v>
      </c>
      <c r="Z50" s="191">
        <v>0</v>
      </c>
      <c r="AA50" s="191">
        <v>0</v>
      </c>
      <c r="AB50" s="191">
        <v>0</v>
      </c>
      <c r="AC50" s="191">
        <v>0</v>
      </c>
      <c r="AD50" s="191">
        <v>0</v>
      </c>
      <c r="AE50" s="191">
        <v>0</v>
      </c>
      <c r="AF50" s="191">
        <v>0</v>
      </c>
      <c r="AG50" s="191">
        <v>-0.8</v>
      </c>
      <c r="AH50" s="191">
        <v>0</v>
      </c>
      <c r="AI50" s="191">
        <v>0</v>
      </c>
      <c r="AJ50" s="191">
        <v>0</v>
      </c>
      <c r="AK50" s="191">
        <v>0</v>
      </c>
      <c r="AL50" s="191">
        <v>0</v>
      </c>
      <c r="AM50" s="191">
        <v>0</v>
      </c>
      <c r="AN50" s="191">
        <v>0</v>
      </c>
      <c r="AO50" s="191">
        <v>0</v>
      </c>
      <c r="AP50" s="191">
        <v>0</v>
      </c>
      <c r="AQ50" s="191">
        <v>0</v>
      </c>
      <c r="AR50" s="191">
        <v>0</v>
      </c>
      <c r="AS50" s="191">
        <v>0</v>
      </c>
      <c r="AT50" s="191">
        <v>0</v>
      </c>
      <c r="AU50" s="191">
        <v>-4.9</v>
      </c>
      <c r="AV50" s="191">
        <v>-4.8</v>
      </c>
      <c r="AW50" s="191">
        <v>-2.3</v>
      </c>
      <c r="AX50" s="191">
        <v>0</v>
      </c>
      <c r="AY50" s="191">
        <v>0</v>
      </c>
      <c r="AZ50" s="191">
        <v>0</v>
      </c>
      <c r="BA50" s="191">
        <v>0</v>
      </c>
      <c r="BB50" s="191">
        <v>0</v>
      </c>
      <c r="BC50" s="191">
        <v>0</v>
      </c>
      <c r="BD50" s="191">
        <v>0</v>
      </c>
      <c r="BE50" s="191">
        <v>0</v>
      </c>
      <c r="BF50" s="191">
        <v>0</v>
      </c>
      <c r="BG50" s="191">
        <v>0</v>
      </c>
      <c r="BH50" s="191">
        <v>0</v>
      </c>
      <c r="BI50" s="191">
        <v>0</v>
      </c>
      <c r="BJ50" s="191">
        <v>0</v>
      </c>
      <c r="BK50" s="191">
        <v>0</v>
      </c>
      <c r="BL50" s="191">
        <v>0</v>
      </c>
      <c r="BM50" s="191">
        <v>0</v>
      </c>
      <c r="BN50" s="191">
        <v>0</v>
      </c>
      <c r="BO50" s="191">
        <v>0</v>
      </c>
      <c r="BP50" s="191">
        <v>0</v>
      </c>
      <c r="BQ50" s="191">
        <v>0</v>
      </c>
      <c r="BR50" s="191">
        <v>0</v>
      </c>
      <c r="BS50" s="192">
        <v>0</v>
      </c>
      <c r="BT50" s="180"/>
      <c r="BU50" s="191" t="s">
        <v>455</v>
      </c>
      <c r="BV50" s="191">
        <v>-7.79</v>
      </c>
      <c r="BW50" s="191">
        <v>185.7</v>
      </c>
      <c r="BX50" s="191">
        <v>0</v>
      </c>
      <c r="BY50" s="191">
        <v>0</v>
      </c>
      <c r="BZ50" s="191">
        <v>0</v>
      </c>
      <c r="CA50" s="191">
        <v>0</v>
      </c>
      <c r="CB50" s="191">
        <v>0</v>
      </c>
      <c r="CC50" s="191">
        <v>0</v>
      </c>
      <c r="CD50" s="191">
        <v>0</v>
      </c>
      <c r="CE50" s="191">
        <v>0</v>
      </c>
      <c r="CF50" s="191">
        <v>0</v>
      </c>
      <c r="CG50" s="191">
        <v>0</v>
      </c>
      <c r="CH50" s="191">
        <v>0</v>
      </c>
      <c r="CI50" s="191">
        <v>0</v>
      </c>
      <c r="CJ50" s="191">
        <v>0</v>
      </c>
      <c r="CK50" s="191">
        <v>0</v>
      </c>
      <c r="CL50" s="191">
        <v>0</v>
      </c>
      <c r="CM50" s="191">
        <v>0</v>
      </c>
      <c r="CN50" s="191">
        <v>0</v>
      </c>
      <c r="CO50" s="191">
        <v>0</v>
      </c>
      <c r="CP50" s="191">
        <v>0</v>
      </c>
      <c r="CQ50" s="191">
        <v>0</v>
      </c>
      <c r="CR50" s="191">
        <v>0</v>
      </c>
      <c r="CS50" s="191">
        <v>0</v>
      </c>
      <c r="CT50" s="191">
        <v>0</v>
      </c>
      <c r="CU50" s="191">
        <v>0</v>
      </c>
      <c r="CV50" s="191">
        <v>0</v>
      </c>
      <c r="CW50" s="191">
        <v>-0.82</v>
      </c>
      <c r="CX50" s="191">
        <v>0</v>
      </c>
      <c r="CY50" s="191">
        <v>0</v>
      </c>
      <c r="CZ50" s="191">
        <v>0</v>
      </c>
      <c r="DA50" s="191">
        <v>0</v>
      </c>
      <c r="DB50" s="191">
        <v>0</v>
      </c>
      <c r="DC50" s="191">
        <v>0</v>
      </c>
      <c r="DD50" s="191">
        <v>0</v>
      </c>
      <c r="DE50" s="191">
        <v>0</v>
      </c>
      <c r="DF50" s="191">
        <v>0</v>
      </c>
      <c r="DG50" s="191">
        <v>0</v>
      </c>
      <c r="DH50" s="191">
        <v>0</v>
      </c>
      <c r="DI50" s="191">
        <v>0</v>
      </c>
      <c r="DJ50" s="191">
        <v>0</v>
      </c>
      <c r="DK50" s="191">
        <v>-5.02</v>
      </c>
      <c r="DL50" s="191">
        <v>-4.92</v>
      </c>
      <c r="DM50" s="191">
        <v>-2.36</v>
      </c>
      <c r="DN50" s="191">
        <v>0</v>
      </c>
      <c r="DO50" s="191">
        <v>0</v>
      </c>
      <c r="DP50" s="191">
        <v>0</v>
      </c>
      <c r="DQ50" s="191">
        <v>0</v>
      </c>
      <c r="DR50" s="191">
        <v>0</v>
      </c>
      <c r="DS50" s="191">
        <v>0</v>
      </c>
      <c r="DT50" s="191">
        <v>0</v>
      </c>
      <c r="DU50" s="191">
        <v>0</v>
      </c>
      <c r="DV50" s="191">
        <v>0</v>
      </c>
      <c r="DW50" s="191">
        <v>0</v>
      </c>
      <c r="DX50" s="191">
        <v>0</v>
      </c>
      <c r="DY50" s="191">
        <v>0</v>
      </c>
      <c r="DZ50" s="191">
        <v>0</v>
      </c>
      <c r="EA50" s="191">
        <v>0</v>
      </c>
      <c r="EB50" s="191">
        <v>0</v>
      </c>
      <c r="EC50" s="191">
        <v>0</v>
      </c>
      <c r="ED50" s="191">
        <v>0</v>
      </c>
      <c r="EE50" s="191">
        <v>0</v>
      </c>
      <c r="EF50" s="191">
        <v>0</v>
      </c>
      <c r="EG50" s="191">
        <v>0</v>
      </c>
      <c r="EH50" s="191">
        <v>0</v>
      </c>
      <c r="EI50" s="192">
        <v>0</v>
      </c>
      <c r="EJ50" s="180"/>
      <c r="EK50" s="191" t="s">
        <v>455</v>
      </c>
      <c r="EL50" s="191">
        <v>-8.03</v>
      </c>
      <c r="EM50" s="191">
        <v>0</v>
      </c>
      <c r="EN50" s="191">
        <v>0</v>
      </c>
      <c r="EO50" s="191">
        <v>0</v>
      </c>
      <c r="EP50" s="191">
        <v>0</v>
      </c>
      <c r="EQ50" s="191">
        <v>0</v>
      </c>
      <c r="ER50" s="191">
        <v>0</v>
      </c>
      <c r="ES50" s="191">
        <v>0</v>
      </c>
      <c r="ET50" s="191">
        <v>0</v>
      </c>
      <c r="EU50" s="191">
        <v>0</v>
      </c>
      <c r="EV50" s="191">
        <v>0</v>
      </c>
      <c r="EW50" s="191">
        <v>0</v>
      </c>
      <c r="EX50" s="191">
        <v>0</v>
      </c>
      <c r="EY50" s="191">
        <v>0</v>
      </c>
      <c r="EZ50" s="191">
        <v>0</v>
      </c>
      <c r="FA50" s="191">
        <v>0</v>
      </c>
      <c r="FB50" s="191">
        <v>0</v>
      </c>
      <c r="FC50" s="191">
        <v>0</v>
      </c>
      <c r="FD50" s="191">
        <v>0</v>
      </c>
      <c r="FE50" s="191">
        <v>-5.17</v>
      </c>
      <c r="FF50" s="191">
        <v>-5.07</v>
      </c>
      <c r="FG50" s="191">
        <v>-2.43</v>
      </c>
      <c r="FH50" s="191">
        <v>0</v>
      </c>
      <c r="FI50" s="191">
        <v>0</v>
      </c>
      <c r="FJ50" s="191">
        <v>0</v>
      </c>
      <c r="FK50" s="191">
        <v>0</v>
      </c>
      <c r="FL50" s="192">
        <v>0</v>
      </c>
    </row>
    <row r="51" s="180" customFormat="1" spans="1:168">
      <c r="A51" s="190" t="s">
        <v>456</v>
      </c>
      <c r="B51" s="191">
        <v>-21.8</v>
      </c>
      <c r="C51" s="192">
        <v>129.46</v>
      </c>
      <c r="E51" s="191" t="s">
        <v>456</v>
      </c>
      <c r="F51" s="191">
        <v>-7.6</v>
      </c>
      <c r="G51" s="191">
        <v>95.18</v>
      </c>
      <c r="H51" s="191">
        <v>0</v>
      </c>
      <c r="I51" s="191">
        <v>-1.4</v>
      </c>
      <c r="J51" s="191">
        <v>0</v>
      </c>
      <c r="K51" s="191">
        <v>0</v>
      </c>
      <c r="L51" s="191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  <c r="V51" s="191">
        <v>20.47</v>
      </c>
      <c r="W51" s="191">
        <v>0</v>
      </c>
      <c r="X51" s="191">
        <v>0</v>
      </c>
      <c r="Y51" s="191">
        <v>0</v>
      </c>
      <c r="Z51" s="191">
        <v>0</v>
      </c>
      <c r="AA51" s="191">
        <v>0</v>
      </c>
      <c r="AB51" s="191">
        <v>0</v>
      </c>
      <c r="AC51" s="191">
        <v>0</v>
      </c>
      <c r="AD51" s="191">
        <v>0</v>
      </c>
      <c r="AE51" s="191">
        <v>0</v>
      </c>
      <c r="AF51" s="191">
        <v>0</v>
      </c>
      <c r="AG51" s="191">
        <v>-0.8</v>
      </c>
      <c r="AH51" s="191">
        <v>0</v>
      </c>
      <c r="AI51" s="191">
        <v>0</v>
      </c>
      <c r="AJ51" s="191">
        <v>0</v>
      </c>
      <c r="AK51" s="191">
        <v>0</v>
      </c>
      <c r="AL51" s="191">
        <v>0</v>
      </c>
      <c r="AM51" s="191">
        <v>0</v>
      </c>
      <c r="AN51" s="191">
        <v>4.76</v>
      </c>
      <c r="AO51" s="191">
        <v>0</v>
      </c>
      <c r="AP51" s="191">
        <v>0</v>
      </c>
      <c r="AQ51" s="191">
        <v>0</v>
      </c>
      <c r="AR51" s="191">
        <v>0</v>
      </c>
      <c r="AS51" s="191">
        <v>0</v>
      </c>
      <c r="AT51" s="191">
        <v>0</v>
      </c>
      <c r="AU51" s="191">
        <v>-4.9</v>
      </c>
      <c r="AV51" s="191">
        <v>-4.8</v>
      </c>
      <c r="AW51" s="191">
        <v>-2.3</v>
      </c>
      <c r="AX51" s="191">
        <v>0</v>
      </c>
      <c r="AY51" s="191">
        <v>0</v>
      </c>
      <c r="AZ51" s="191">
        <v>0</v>
      </c>
      <c r="BA51" s="191">
        <v>0</v>
      </c>
      <c r="BB51" s="191">
        <v>0</v>
      </c>
      <c r="BC51" s="191">
        <v>6.19</v>
      </c>
      <c r="BD51" s="191">
        <v>0</v>
      </c>
      <c r="BE51" s="191">
        <v>0</v>
      </c>
      <c r="BF51" s="191">
        <v>0</v>
      </c>
      <c r="BG51" s="191">
        <v>0</v>
      </c>
      <c r="BH51" s="191">
        <v>2.86</v>
      </c>
      <c r="BI51" s="191">
        <v>0</v>
      </c>
      <c r="BJ51" s="191">
        <v>0</v>
      </c>
      <c r="BK51" s="191">
        <v>0</v>
      </c>
      <c r="BL51" s="191">
        <v>0</v>
      </c>
      <c r="BM51" s="191">
        <v>0</v>
      </c>
      <c r="BN51" s="191">
        <v>0</v>
      </c>
      <c r="BO51" s="191">
        <v>0</v>
      </c>
      <c r="BP51" s="191">
        <v>0</v>
      </c>
      <c r="BQ51" s="191">
        <v>0</v>
      </c>
      <c r="BR51" s="191">
        <v>0</v>
      </c>
      <c r="BS51" s="192">
        <v>0</v>
      </c>
      <c r="BT51" s="180"/>
      <c r="BU51" s="191" t="s">
        <v>456</v>
      </c>
      <c r="BV51" s="191">
        <v>-7.79</v>
      </c>
      <c r="BW51" s="191">
        <v>92.84</v>
      </c>
      <c r="BX51" s="191">
        <v>0</v>
      </c>
      <c r="BY51" s="191">
        <v>-1.44</v>
      </c>
      <c r="BZ51" s="191">
        <v>0</v>
      </c>
      <c r="CA51" s="191">
        <v>0</v>
      </c>
      <c r="CB51" s="191">
        <v>0</v>
      </c>
      <c r="CC51" s="191">
        <v>0</v>
      </c>
      <c r="CD51" s="191">
        <v>0</v>
      </c>
      <c r="CE51" s="191">
        <v>0</v>
      </c>
      <c r="CF51" s="191">
        <v>0</v>
      </c>
      <c r="CG51" s="191">
        <v>0</v>
      </c>
      <c r="CH51" s="191">
        <v>0</v>
      </c>
      <c r="CI51" s="191">
        <v>0</v>
      </c>
      <c r="CJ51" s="191">
        <v>0</v>
      </c>
      <c r="CK51" s="191">
        <v>0</v>
      </c>
      <c r="CL51" s="191">
        <v>19.97</v>
      </c>
      <c r="CM51" s="191">
        <v>0</v>
      </c>
      <c r="CN51" s="191">
        <v>0</v>
      </c>
      <c r="CO51" s="191">
        <v>0</v>
      </c>
      <c r="CP51" s="191">
        <v>0</v>
      </c>
      <c r="CQ51" s="191">
        <v>0</v>
      </c>
      <c r="CR51" s="191">
        <v>0</v>
      </c>
      <c r="CS51" s="191">
        <v>0</v>
      </c>
      <c r="CT51" s="191">
        <v>0</v>
      </c>
      <c r="CU51" s="191">
        <v>0</v>
      </c>
      <c r="CV51" s="191">
        <v>0</v>
      </c>
      <c r="CW51" s="191">
        <v>-0.82</v>
      </c>
      <c r="CX51" s="191">
        <v>0</v>
      </c>
      <c r="CY51" s="191">
        <v>0</v>
      </c>
      <c r="CZ51" s="191">
        <v>0</v>
      </c>
      <c r="DA51" s="191">
        <v>0</v>
      </c>
      <c r="DB51" s="191">
        <v>0</v>
      </c>
      <c r="DC51" s="191">
        <v>0</v>
      </c>
      <c r="DD51" s="191">
        <v>4.64</v>
      </c>
      <c r="DE51" s="191">
        <v>0</v>
      </c>
      <c r="DF51" s="191">
        <v>0</v>
      </c>
      <c r="DG51" s="191">
        <v>0</v>
      </c>
      <c r="DH51" s="191">
        <v>0</v>
      </c>
      <c r="DI51" s="191">
        <v>0</v>
      </c>
      <c r="DJ51" s="191">
        <v>0</v>
      </c>
      <c r="DK51" s="191">
        <v>-5.02</v>
      </c>
      <c r="DL51" s="191">
        <v>-4.92</v>
      </c>
      <c r="DM51" s="191">
        <v>-2.36</v>
      </c>
      <c r="DN51" s="191">
        <v>0</v>
      </c>
      <c r="DO51" s="191">
        <v>0</v>
      </c>
      <c r="DP51" s="191">
        <v>0</v>
      </c>
      <c r="DQ51" s="191">
        <v>0</v>
      </c>
      <c r="DR51" s="191">
        <v>0</v>
      </c>
      <c r="DS51" s="191">
        <v>6.04</v>
      </c>
      <c r="DT51" s="191">
        <v>0</v>
      </c>
      <c r="DU51" s="191">
        <v>0</v>
      </c>
      <c r="DV51" s="191">
        <v>0</v>
      </c>
      <c r="DW51" s="191">
        <v>0</v>
      </c>
      <c r="DX51" s="191">
        <v>2.79</v>
      </c>
      <c r="DY51" s="191">
        <v>0</v>
      </c>
      <c r="DZ51" s="191">
        <v>0</v>
      </c>
      <c r="EA51" s="191">
        <v>0</v>
      </c>
      <c r="EB51" s="191">
        <v>0</v>
      </c>
      <c r="EC51" s="191">
        <v>0</v>
      </c>
      <c r="ED51" s="191">
        <v>0</v>
      </c>
      <c r="EE51" s="191">
        <v>0</v>
      </c>
      <c r="EF51" s="191">
        <v>0</v>
      </c>
      <c r="EG51" s="191">
        <v>0</v>
      </c>
      <c r="EH51" s="191">
        <v>0</v>
      </c>
      <c r="EI51" s="192">
        <v>0</v>
      </c>
      <c r="EJ51" s="180"/>
      <c r="EK51" s="191" t="s">
        <v>456</v>
      </c>
      <c r="EL51" s="191">
        <v>-8.03</v>
      </c>
      <c r="EM51" s="191">
        <v>0</v>
      </c>
      <c r="EN51" s="191">
        <v>0</v>
      </c>
      <c r="EO51" s="191">
        <v>0</v>
      </c>
      <c r="EP51" s="191">
        <v>0</v>
      </c>
      <c r="EQ51" s="191">
        <v>0</v>
      </c>
      <c r="ER51" s="191">
        <v>0</v>
      </c>
      <c r="ES51" s="191">
        <v>0</v>
      </c>
      <c r="ET51" s="191">
        <v>0</v>
      </c>
      <c r="EU51" s="191">
        <v>0</v>
      </c>
      <c r="EV51" s="191">
        <v>0</v>
      </c>
      <c r="EW51" s="191">
        <v>0</v>
      </c>
      <c r="EX51" s="191">
        <v>0</v>
      </c>
      <c r="EY51" s="191">
        <v>0</v>
      </c>
      <c r="EZ51" s="191">
        <v>0</v>
      </c>
      <c r="FA51" s="191">
        <v>4.51</v>
      </c>
      <c r="FB51" s="191">
        <v>0</v>
      </c>
      <c r="FC51" s="191">
        <v>0</v>
      </c>
      <c r="FD51" s="191">
        <v>0</v>
      </c>
      <c r="FE51" s="191">
        <v>-5.17</v>
      </c>
      <c r="FF51" s="191">
        <v>-5.07</v>
      </c>
      <c r="FG51" s="191">
        <v>-2.43</v>
      </c>
      <c r="FH51" s="191">
        <v>0</v>
      </c>
      <c r="FI51" s="191">
        <v>0</v>
      </c>
      <c r="FJ51" s="191">
        <v>0</v>
      </c>
      <c r="FK51" s="191">
        <v>0</v>
      </c>
      <c r="FL51" s="192">
        <v>0</v>
      </c>
    </row>
    <row r="52" s="180" customFormat="1" spans="1:168">
      <c r="A52" s="190" t="s">
        <v>457</v>
      </c>
      <c r="B52" s="191">
        <v>-24.6</v>
      </c>
      <c r="C52" s="192">
        <v>18.56</v>
      </c>
      <c r="E52" s="191" t="s">
        <v>457</v>
      </c>
      <c r="F52" s="191">
        <v>-7.6</v>
      </c>
      <c r="G52" s="191">
        <v>0</v>
      </c>
      <c r="H52" s="191">
        <v>0</v>
      </c>
      <c r="I52" s="191">
        <v>-1.7</v>
      </c>
      <c r="J52" s="191">
        <v>0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0</v>
      </c>
      <c r="V52" s="191">
        <v>18.56</v>
      </c>
      <c r="W52" s="191">
        <v>0</v>
      </c>
      <c r="X52" s="191">
        <v>0</v>
      </c>
      <c r="Y52" s="191">
        <v>0</v>
      </c>
      <c r="Z52" s="191">
        <v>0</v>
      </c>
      <c r="AA52" s="191">
        <v>0</v>
      </c>
      <c r="AB52" s="191">
        <v>0</v>
      </c>
      <c r="AC52" s="191">
        <v>0</v>
      </c>
      <c r="AD52" s="191">
        <v>0</v>
      </c>
      <c r="AE52" s="191">
        <v>0</v>
      </c>
      <c r="AF52" s="191">
        <v>0</v>
      </c>
      <c r="AG52" s="191">
        <v>-0.8</v>
      </c>
      <c r="AH52" s="191">
        <v>0</v>
      </c>
      <c r="AI52" s="191">
        <v>0</v>
      </c>
      <c r="AJ52" s="191">
        <v>0</v>
      </c>
      <c r="AK52" s="191">
        <v>0</v>
      </c>
      <c r="AL52" s="191">
        <v>0</v>
      </c>
      <c r="AM52" s="191">
        <v>0</v>
      </c>
      <c r="AN52" s="191">
        <v>0</v>
      </c>
      <c r="AO52" s="191">
        <v>0</v>
      </c>
      <c r="AP52" s="191">
        <v>0</v>
      </c>
      <c r="AQ52" s="191">
        <v>0</v>
      </c>
      <c r="AR52" s="191">
        <v>0</v>
      </c>
      <c r="AS52" s="191">
        <v>0</v>
      </c>
      <c r="AT52" s="191">
        <v>0</v>
      </c>
      <c r="AU52" s="191">
        <v>-4.9</v>
      </c>
      <c r="AV52" s="191">
        <v>-4.8</v>
      </c>
      <c r="AW52" s="191">
        <v>-2.3</v>
      </c>
      <c r="AX52" s="191">
        <v>0</v>
      </c>
      <c r="AY52" s="191">
        <v>0</v>
      </c>
      <c r="AZ52" s="191">
        <v>0</v>
      </c>
      <c r="BA52" s="191">
        <v>0</v>
      </c>
      <c r="BB52" s="191">
        <v>0</v>
      </c>
      <c r="BC52" s="191">
        <v>0</v>
      </c>
      <c r="BD52" s="191">
        <v>0</v>
      </c>
      <c r="BE52" s="191">
        <v>0</v>
      </c>
      <c r="BF52" s="191">
        <v>0</v>
      </c>
      <c r="BG52" s="191">
        <v>0</v>
      </c>
      <c r="BH52" s="191">
        <v>0</v>
      </c>
      <c r="BI52" s="191">
        <v>0</v>
      </c>
      <c r="BJ52" s="191">
        <v>0</v>
      </c>
      <c r="BK52" s="191">
        <v>0</v>
      </c>
      <c r="BL52" s="191">
        <v>-2.5</v>
      </c>
      <c r="BM52" s="191">
        <v>0</v>
      </c>
      <c r="BN52" s="191">
        <v>0</v>
      </c>
      <c r="BO52" s="191">
        <v>0</v>
      </c>
      <c r="BP52" s="191">
        <v>0</v>
      </c>
      <c r="BQ52" s="191">
        <v>0</v>
      </c>
      <c r="BR52" s="191">
        <v>0</v>
      </c>
      <c r="BS52" s="192">
        <v>0</v>
      </c>
      <c r="BT52" s="180"/>
      <c r="BU52" s="191" t="s">
        <v>457</v>
      </c>
      <c r="BV52" s="191">
        <v>-7.79</v>
      </c>
      <c r="BW52" s="191">
        <v>0</v>
      </c>
      <c r="BX52" s="191">
        <v>0</v>
      </c>
      <c r="BY52" s="191">
        <v>-1.74</v>
      </c>
      <c r="BZ52" s="191">
        <v>0</v>
      </c>
      <c r="CA52" s="191">
        <v>0</v>
      </c>
      <c r="CB52" s="191">
        <v>0</v>
      </c>
      <c r="CC52" s="191">
        <v>0</v>
      </c>
      <c r="CD52" s="191">
        <v>0</v>
      </c>
      <c r="CE52" s="191">
        <v>0</v>
      </c>
      <c r="CF52" s="191">
        <v>0</v>
      </c>
      <c r="CG52" s="191">
        <v>0</v>
      </c>
      <c r="CH52" s="191">
        <v>0</v>
      </c>
      <c r="CI52" s="191">
        <v>0</v>
      </c>
      <c r="CJ52" s="191">
        <v>0</v>
      </c>
      <c r="CK52" s="191">
        <v>0</v>
      </c>
      <c r="CL52" s="191">
        <v>18.1</v>
      </c>
      <c r="CM52" s="191">
        <v>0</v>
      </c>
      <c r="CN52" s="191">
        <v>0</v>
      </c>
      <c r="CO52" s="191">
        <v>0</v>
      </c>
      <c r="CP52" s="191">
        <v>0</v>
      </c>
      <c r="CQ52" s="191">
        <v>0</v>
      </c>
      <c r="CR52" s="191">
        <v>0</v>
      </c>
      <c r="CS52" s="191">
        <v>0</v>
      </c>
      <c r="CT52" s="191">
        <v>0</v>
      </c>
      <c r="CU52" s="191">
        <v>0</v>
      </c>
      <c r="CV52" s="191">
        <v>0</v>
      </c>
      <c r="CW52" s="191">
        <v>-0.82</v>
      </c>
      <c r="CX52" s="191">
        <v>0</v>
      </c>
      <c r="CY52" s="191">
        <v>0</v>
      </c>
      <c r="CZ52" s="191">
        <v>0</v>
      </c>
      <c r="DA52" s="191">
        <v>0</v>
      </c>
      <c r="DB52" s="191">
        <v>0</v>
      </c>
      <c r="DC52" s="191">
        <v>0</v>
      </c>
      <c r="DD52" s="191">
        <v>0</v>
      </c>
      <c r="DE52" s="191">
        <v>0</v>
      </c>
      <c r="DF52" s="191">
        <v>0</v>
      </c>
      <c r="DG52" s="191">
        <v>0</v>
      </c>
      <c r="DH52" s="191">
        <v>0</v>
      </c>
      <c r="DI52" s="191">
        <v>0</v>
      </c>
      <c r="DJ52" s="191">
        <v>0</v>
      </c>
      <c r="DK52" s="191">
        <v>-5.02</v>
      </c>
      <c r="DL52" s="191">
        <v>-4.92</v>
      </c>
      <c r="DM52" s="191">
        <v>-2.36</v>
      </c>
      <c r="DN52" s="191">
        <v>0</v>
      </c>
      <c r="DO52" s="191">
        <v>0</v>
      </c>
      <c r="DP52" s="191">
        <v>0</v>
      </c>
      <c r="DQ52" s="191">
        <v>0</v>
      </c>
      <c r="DR52" s="191">
        <v>0</v>
      </c>
      <c r="DS52" s="191">
        <v>0</v>
      </c>
      <c r="DT52" s="191">
        <v>0</v>
      </c>
      <c r="DU52" s="191">
        <v>0</v>
      </c>
      <c r="DV52" s="191">
        <v>0</v>
      </c>
      <c r="DW52" s="191">
        <v>0</v>
      </c>
      <c r="DX52" s="191">
        <v>0</v>
      </c>
      <c r="DY52" s="191">
        <v>0</v>
      </c>
      <c r="DZ52" s="191">
        <v>0</v>
      </c>
      <c r="EA52" s="191">
        <v>0</v>
      </c>
      <c r="EB52" s="191">
        <v>-2.56</v>
      </c>
      <c r="EC52" s="191">
        <v>0</v>
      </c>
      <c r="ED52" s="191">
        <v>0</v>
      </c>
      <c r="EE52" s="191">
        <v>0</v>
      </c>
      <c r="EF52" s="191">
        <v>0</v>
      </c>
      <c r="EG52" s="191">
        <v>0</v>
      </c>
      <c r="EH52" s="191">
        <v>0</v>
      </c>
      <c r="EI52" s="192">
        <v>0</v>
      </c>
      <c r="EJ52" s="180"/>
      <c r="EK52" s="191" t="s">
        <v>457</v>
      </c>
      <c r="EL52" s="191">
        <v>-8.03</v>
      </c>
      <c r="EM52" s="191">
        <v>0</v>
      </c>
      <c r="EN52" s="191">
        <v>0</v>
      </c>
      <c r="EO52" s="191">
        <v>0</v>
      </c>
      <c r="EP52" s="191">
        <v>0</v>
      </c>
      <c r="EQ52" s="191">
        <v>0</v>
      </c>
      <c r="ER52" s="191">
        <v>0</v>
      </c>
      <c r="ES52" s="191">
        <v>0</v>
      </c>
      <c r="ET52" s="191">
        <v>0</v>
      </c>
      <c r="EU52" s="191">
        <v>0</v>
      </c>
      <c r="EV52" s="191">
        <v>0</v>
      </c>
      <c r="EW52" s="191">
        <v>0</v>
      </c>
      <c r="EX52" s="191">
        <v>0</v>
      </c>
      <c r="EY52" s="191">
        <v>0</v>
      </c>
      <c r="EZ52" s="191">
        <v>0</v>
      </c>
      <c r="FA52" s="191">
        <v>0</v>
      </c>
      <c r="FB52" s="191">
        <v>0</v>
      </c>
      <c r="FC52" s="191">
        <v>0</v>
      </c>
      <c r="FD52" s="191">
        <v>0</v>
      </c>
      <c r="FE52" s="191">
        <v>-5.17</v>
      </c>
      <c r="FF52" s="191">
        <v>-5.07</v>
      </c>
      <c r="FG52" s="191">
        <v>-2.43</v>
      </c>
      <c r="FH52" s="191">
        <v>0</v>
      </c>
      <c r="FI52" s="191">
        <v>0</v>
      </c>
      <c r="FJ52" s="191">
        <v>0</v>
      </c>
      <c r="FK52" s="191">
        <v>0</v>
      </c>
      <c r="FL52" s="192">
        <v>0</v>
      </c>
    </row>
    <row r="53" s="180" customFormat="1" spans="1:168">
      <c r="A53" s="190" t="s">
        <v>458</v>
      </c>
      <c r="B53" s="191">
        <v>-24.8</v>
      </c>
      <c r="C53" s="192">
        <v>13.8</v>
      </c>
      <c r="E53" s="191" t="s">
        <v>458</v>
      </c>
      <c r="F53" s="191">
        <v>-7.6</v>
      </c>
      <c r="G53" s="191">
        <v>0</v>
      </c>
      <c r="H53" s="191">
        <v>0</v>
      </c>
      <c r="I53" s="191">
        <v>-1.9</v>
      </c>
      <c r="J53" s="191">
        <v>0</v>
      </c>
      <c r="K53" s="191">
        <v>0</v>
      </c>
      <c r="L53" s="191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0</v>
      </c>
      <c r="T53" s="191">
        <v>0</v>
      </c>
      <c r="U53" s="191">
        <v>0</v>
      </c>
      <c r="V53" s="191">
        <v>13.8</v>
      </c>
      <c r="W53" s="191">
        <v>0</v>
      </c>
      <c r="X53" s="191">
        <v>0</v>
      </c>
      <c r="Y53" s="191">
        <v>0</v>
      </c>
      <c r="Z53" s="191">
        <v>0</v>
      </c>
      <c r="AA53" s="191">
        <v>0</v>
      </c>
      <c r="AB53" s="191">
        <v>0</v>
      </c>
      <c r="AC53" s="191">
        <v>0</v>
      </c>
      <c r="AD53" s="191">
        <v>0</v>
      </c>
      <c r="AE53" s="191">
        <v>0</v>
      </c>
      <c r="AF53" s="191">
        <v>0</v>
      </c>
      <c r="AG53" s="191">
        <v>-0.8</v>
      </c>
      <c r="AH53" s="191">
        <v>0</v>
      </c>
      <c r="AI53" s="191">
        <v>0</v>
      </c>
      <c r="AJ53" s="191">
        <v>0</v>
      </c>
      <c r="AK53" s="191">
        <v>0</v>
      </c>
      <c r="AL53" s="191">
        <v>0</v>
      </c>
      <c r="AM53" s="191">
        <v>0</v>
      </c>
      <c r="AN53" s="191">
        <v>0</v>
      </c>
      <c r="AO53" s="191">
        <v>0</v>
      </c>
      <c r="AP53" s="191">
        <v>0</v>
      </c>
      <c r="AQ53" s="191">
        <v>0</v>
      </c>
      <c r="AR53" s="191">
        <v>0</v>
      </c>
      <c r="AS53" s="191">
        <v>0</v>
      </c>
      <c r="AT53" s="191">
        <v>0</v>
      </c>
      <c r="AU53" s="191">
        <v>-4.9</v>
      </c>
      <c r="AV53" s="191">
        <v>-4.8</v>
      </c>
      <c r="AW53" s="191">
        <v>-2.3</v>
      </c>
      <c r="AX53" s="191">
        <v>0</v>
      </c>
      <c r="AY53" s="191">
        <v>0</v>
      </c>
      <c r="AZ53" s="191">
        <v>0</v>
      </c>
      <c r="BA53" s="191">
        <v>0</v>
      </c>
      <c r="BB53" s="191">
        <v>0</v>
      </c>
      <c r="BC53" s="191">
        <v>0</v>
      </c>
      <c r="BD53" s="191">
        <v>0</v>
      </c>
      <c r="BE53" s="191">
        <v>0</v>
      </c>
      <c r="BF53" s="191">
        <v>0</v>
      </c>
      <c r="BG53" s="191">
        <v>0</v>
      </c>
      <c r="BH53" s="191">
        <v>0</v>
      </c>
      <c r="BI53" s="191">
        <v>0</v>
      </c>
      <c r="BJ53" s="191">
        <v>0</v>
      </c>
      <c r="BK53" s="191">
        <v>0</v>
      </c>
      <c r="BL53" s="191">
        <v>-2.5</v>
      </c>
      <c r="BM53" s="191">
        <v>0</v>
      </c>
      <c r="BN53" s="191">
        <v>0</v>
      </c>
      <c r="BO53" s="191">
        <v>0</v>
      </c>
      <c r="BP53" s="191">
        <v>0</v>
      </c>
      <c r="BQ53" s="191">
        <v>0</v>
      </c>
      <c r="BR53" s="191">
        <v>0</v>
      </c>
      <c r="BS53" s="192">
        <v>0</v>
      </c>
      <c r="BT53" s="180"/>
      <c r="BU53" s="191" t="s">
        <v>458</v>
      </c>
      <c r="BV53" s="191">
        <v>-7.79</v>
      </c>
      <c r="BW53" s="191">
        <v>0</v>
      </c>
      <c r="BX53" s="191">
        <v>0</v>
      </c>
      <c r="BY53" s="191">
        <v>-1.95</v>
      </c>
      <c r="BZ53" s="191">
        <v>0</v>
      </c>
      <c r="CA53" s="191">
        <v>0</v>
      </c>
      <c r="CB53" s="191">
        <v>0</v>
      </c>
      <c r="CC53" s="191">
        <v>0</v>
      </c>
      <c r="CD53" s="191">
        <v>0</v>
      </c>
      <c r="CE53" s="191">
        <v>0</v>
      </c>
      <c r="CF53" s="191">
        <v>0</v>
      </c>
      <c r="CG53" s="191">
        <v>0</v>
      </c>
      <c r="CH53" s="191">
        <v>0</v>
      </c>
      <c r="CI53" s="191">
        <v>0</v>
      </c>
      <c r="CJ53" s="191">
        <v>0</v>
      </c>
      <c r="CK53" s="191">
        <v>0</v>
      </c>
      <c r="CL53" s="191">
        <v>13.46</v>
      </c>
      <c r="CM53" s="191">
        <v>0</v>
      </c>
      <c r="CN53" s="191">
        <v>0</v>
      </c>
      <c r="CO53" s="191">
        <v>0</v>
      </c>
      <c r="CP53" s="191">
        <v>0</v>
      </c>
      <c r="CQ53" s="191">
        <v>0</v>
      </c>
      <c r="CR53" s="191">
        <v>0</v>
      </c>
      <c r="CS53" s="191">
        <v>0</v>
      </c>
      <c r="CT53" s="191">
        <v>0</v>
      </c>
      <c r="CU53" s="191">
        <v>0</v>
      </c>
      <c r="CV53" s="191">
        <v>0</v>
      </c>
      <c r="CW53" s="191">
        <v>-0.82</v>
      </c>
      <c r="CX53" s="191">
        <v>0</v>
      </c>
      <c r="CY53" s="191">
        <v>0</v>
      </c>
      <c r="CZ53" s="191">
        <v>0</v>
      </c>
      <c r="DA53" s="191">
        <v>0</v>
      </c>
      <c r="DB53" s="191">
        <v>0</v>
      </c>
      <c r="DC53" s="191">
        <v>0</v>
      </c>
      <c r="DD53" s="191">
        <v>0</v>
      </c>
      <c r="DE53" s="191">
        <v>0</v>
      </c>
      <c r="DF53" s="191">
        <v>0</v>
      </c>
      <c r="DG53" s="191">
        <v>0</v>
      </c>
      <c r="DH53" s="191">
        <v>0</v>
      </c>
      <c r="DI53" s="191">
        <v>0</v>
      </c>
      <c r="DJ53" s="191">
        <v>0</v>
      </c>
      <c r="DK53" s="191">
        <v>-5.02</v>
      </c>
      <c r="DL53" s="191">
        <v>-4.92</v>
      </c>
      <c r="DM53" s="191">
        <v>-2.36</v>
      </c>
      <c r="DN53" s="191">
        <v>0</v>
      </c>
      <c r="DO53" s="191">
        <v>0</v>
      </c>
      <c r="DP53" s="191">
        <v>0</v>
      </c>
      <c r="DQ53" s="191">
        <v>0</v>
      </c>
      <c r="DR53" s="191">
        <v>0</v>
      </c>
      <c r="DS53" s="191">
        <v>0</v>
      </c>
      <c r="DT53" s="191">
        <v>0</v>
      </c>
      <c r="DU53" s="191">
        <v>0</v>
      </c>
      <c r="DV53" s="191">
        <v>0</v>
      </c>
      <c r="DW53" s="191">
        <v>0</v>
      </c>
      <c r="DX53" s="191">
        <v>0</v>
      </c>
      <c r="DY53" s="191">
        <v>0</v>
      </c>
      <c r="DZ53" s="191">
        <v>0</v>
      </c>
      <c r="EA53" s="191">
        <v>0</v>
      </c>
      <c r="EB53" s="191">
        <v>-2.56</v>
      </c>
      <c r="EC53" s="191">
        <v>0</v>
      </c>
      <c r="ED53" s="191">
        <v>0</v>
      </c>
      <c r="EE53" s="191">
        <v>0</v>
      </c>
      <c r="EF53" s="191">
        <v>0</v>
      </c>
      <c r="EG53" s="191">
        <v>0</v>
      </c>
      <c r="EH53" s="191">
        <v>0</v>
      </c>
      <c r="EI53" s="192">
        <v>0</v>
      </c>
      <c r="EJ53" s="180"/>
      <c r="EK53" s="191" t="s">
        <v>458</v>
      </c>
      <c r="EL53" s="191">
        <v>-8.03</v>
      </c>
      <c r="EM53" s="191">
        <v>0</v>
      </c>
      <c r="EN53" s="191">
        <v>0</v>
      </c>
      <c r="EO53" s="191">
        <v>0</v>
      </c>
      <c r="EP53" s="191">
        <v>0</v>
      </c>
      <c r="EQ53" s="191">
        <v>0</v>
      </c>
      <c r="ER53" s="191">
        <v>0</v>
      </c>
      <c r="ES53" s="191">
        <v>0</v>
      </c>
      <c r="ET53" s="191">
        <v>0</v>
      </c>
      <c r="EU53" s="191">
        <v>0</v>
      </c>
      <c r="EV53" s="191">
        <v>0</v>
      </c>
      <c r="EW53" s="191">
        <v>0</v>
      </c>
      <c r="EX53" s="191">
        <v>0</v>
      </c>
      <c r="EY53" s="191">
        <v>0</v>
      </c>
      <c r="EZ53" s="191">
        <v>0</v>
      </c>
      <c r="FA53" s="191">
        <v>0</v>
      </c>
      <c r="FB53" s="191">
        <v>0</v>
      </c>
      <c r="FC53" s="191">
        <v>0</v>
      </c>
      <c r="FD53" s="191">
        <v>0</v>
      </c>
      <c r="FE53" s="191">
        <v>-5.17</v>
      </c>
      <c r="FF53" s="191">
        <v>-5.07</v>
      </c>
      <c r="FG53" s="191">
        <v>-2.43</v>
      </c>
      <c r="FH53" s="191">
        <v>0</v>
      </c>
      <c r="FI53" s="191">
        <v>0</v>
      </c>
      <c r="FJ53" s="191">
        <v>0</v>
      </c>
      <c r="FK53" s="191">
        <v>0</v>
      </c>
      <c r="FL53" s="192">
        <v>0</v>
      </c>
    </row>
    <row r="54" s="180" customFormat="1" spans="1:168">
      <c r="A54" s="190" t="s">
        <v>459</v>
      </c>
      <c r="B54" s="191">
        <v>-24.9</v>
      </c>
      <c r="C54" s="192">
        <v>15.71</v>
      </c>
      <c r="E54" s="191" t="s">
        <v>459</v>
      </c>
      <c r="F54" s="191">
        <v>-7.6</v>
      </c>
      <c r="G54" s="191">
        <v>0</v>
      </c>
      <c r="H54" s="191">
        <v>0</v>
      </c>
      <c r="I54" s="191">
        <v>-2</v>
      </c>
      <c r="J54" s="191">
        <v>0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0</v>
      </c>
      <c r="V54" s="191">
        <v>15.71</v>
      </c>
      <c r="W54" s="191">
        <v>0</v>
      </c>
      <c r="X54" s="191">
        <v>0</v>
      </c>
      <c r="Y54" s="191">
        <v>0</v>
      </c>
      <c r="Z54" s="191">
        <v>0</v>
      </c>
      <c r="AA54" s="191">
        <v>0</v>
      </c>
      <c r="AB54" s="191">
        <v>0</v>
      </c>
      <c r="AC54" s="191">
        <v>0</v>
      </c>
      <c r="AD54" s="191">
        <v>0</v>
      </c>
      <c r="AE54" s="191">
        <v>0</v>
      </c>
      <c r="AF54" s="191">
        <v>0</v>
      </c>
      <c r="AG54" s="191">
        <v>-0.8</v>
      </c>
      <c r="AH54" s="191">
        <v>0</v>
      </c>
      <c r="AI54" s="191">
        <v>0</v>
      </c>
      <c r="AJ54" s="191">
        <v>0</v>
      </c>
      <c r="AK54" s="191">
        <v>0</v>
      </c>
      <c r="AL54" s="191">
        <v>0</v>
      </c>
      <c r="AM54" s="191">
        <v>0</v>
      </c>
      <c r="AN54" s="191">
        <v>0</v>
      </c>
      <c r="AO54" s="191">
        <v>0</v>
      </c>
      <c r="AP54" s="191">
        <v>0</v>
      </c>
      <c r="AQ54" s="191">
        <v>0</v>
      </c>
      <c r="AR54" s="191">
        <v>0</v>
      </c>
      <c r="AS54" s="191">
        <v>0</v>
      </c>
      <c r="AT54" s="191">
        <v>0</v>
      </c>
      <c r="AU54" s="191">
        <v>-4.9</v>
      </c>
      <c r="AV54" s="191">
        <v>-4.8</v>
      </c>
      <c r="AW54" s="191">
        <v>-2.3</v>
      </c>
      <c r="AX54" s="191">
        <v>0</v>
      </c>
      <c r="AY54" s="191">
        <v>0</v>
      </c>
      <c r="AZ54" s="191">
        <v>0</v>
      </c>
      <c r="BA54" s="191">
        <v>0</v>
      </c>
      <c r="BB54" s="191">
        <v>0</v>
      </c>
      <c r="BC54" s="191">
        <v>0</v>
      </c>
      <c r="BD54" s="191">
        <v>0</v>
      </c>
      <c r="BE54" s="191">
        <v>0</v>
      </c>
      <c r="BF54" s="191">
        <v>0</v>
      </c>
      <c r="BG54" s="191">
        <v>0</v>
      </c>
      <c r="BH54" s="191">
        <v>0</v>
      </c>
      <c r="BI54" s="191">
        <v>0</v>
      </c>
      <c r="BJ54" s="191">
        <v>0</v>
      </c>
      <c r="BK54" s="191">
        <v>0</v>
      </c>
      <c r="BL54" s="191">
        <v>-2.5</v>
      </c>
      <c r="BM54" s="191">
        <v>0</v>
      </c>
      <c r="BN54" s="191">
        <v>0</v>
      </c>
      <c r="BO54" s="191">
        <v>0</v>
      </c>
      <c r="BP54" s="191">
        <v>0</v>
      </c>
      <c r="BQ54" s="191">
        <v>0</v>
      </c>
      <c r="BR54" s="191">
        <v>0</v>
      </c>
      <c r="BS54" s="192">
        <v>0</v>
      </c>
      <c r="BT54" s="180"/>
      <c r="BU54" s="191" t="s">
        <v>459</v>
      </c>
      <c r="BV54" s="191">
        <v>-7.79</v>
      </c>
      <c r="BW54" s="191">
        <v>0</v>
      </c>
      <c r="BX54" s="191">
        <v>0</v>
      </c>
      <c r="BY54" s="191">
        <v>-2.05</v>
      </c>
      <c r="BZ54" s="191">
        <v>0</v>
      </c>
      <c r="CA54" s="191">
        <v>0</v>
      </c>
      <c r="CB54" s="191">
        <v>0</v>
      </c>
      <c r="CC54" s="191">
        <v>0</v>
      </c>
      <c r="CD54" s="191">
        <v>0</v>
      </c>
      <c r="CE54" s="191">
        <v>0</v>
      </c>
      <c r="CF54" s="191">
        <v>0</v>
      </c>
      <c r="CG54" s="191">
        <v>0</v>
      </c>
      <c r="CH54" s="191">
        <v>0</v>
      </c>
      <c r="CI54" s="191">
        <v>0</v>
      </c>
      <c r="CJ54" s="191">
        <v>0</v>
      </c>
      <c r="CK54" s="191">
        <v>0</v>
      </c>
      <c r="CL54" s="191">
        <v>15.32</v>
      </c>
      <c r="CM54" s="191">
        <v>0</v>
      </c>
      <c r="CN54" s="191">
        <v>0</v>
      </c>
      <c r="CO54" s="191">
        <v>0</v>
      </c>
      <c r="CP54" s="191">
        <v>0</v>
      </c>
      <c r="CQ54" s="191">
        <v>0</v>
      </c>
      <c r="CR54" s="191">
        <v>0</v>
      </c>
      <c r="CS54" s="191">
        <v>0</v>
      </c>
      <c r="CT54" s="191">
        <v>0</v>
      </c>
      <c r="CU54" s="191">
        <v>0</v>
      </c>
      <c r="CV54" s="191">
        <v>0</v>
      </c>
      <c r="CW54" s="191">
        <v>-0.82</v>
      </c>
      <c r="CX54" s="191">
        <v>0</v>
      </c>
      <c r="CY54" s="191">
        <v>0</v>
      </c>
      <c r="CZ54" s="191">
        <v>0</v>
      </c>
      <c r="DA54" s="191">
        <v>0</v>
      </c>
      <c r="DB54" s="191">
        <v>0</v>
      </c>
      <c r="DC54" s="191">
        <v>0</v>
      </c>
      <c r="DD54" s="191">
        <v>0</v>
      </c>
      <c r="DE54" s="191">
        <v>0</v>
      </c>
      <c r="DF54" s="191">
        <v>0</v>
      </c>
      <c r="DG54" s="191">
        <v>0</v>
      </c>
      <c r="DH54" s="191">
        <v>0</v>
      </c>
      <c r="DI54" s="191">
        <v>0</v>
      </c>
      <c r="DJ54" s="191">
        <v>0</v>
      </c>
      <c r="DK54" s="191">
        <v>-5.02</v>
      </c>
      <c r="DL54" s="191">
        <v>-4.92</v>
      </c>
      <c r="DM54" s="191">
        <v>-2.36</v>
      </c>
      <c r="DN54" s="191">
        <v>0</v>
      </c>
      <c r="DO54" s="191">
        <v>0</v>
      </c>
      <c r="DP54" s="191">
        <v>0</v>
      </c>
      <c r="DQ54" s="191">
        <v>0</v>
      </c>
      <c r="DR54" s="191">
        <v>0</v>
      </c>
      <c r="DS54" s="191">
        <v>0</v>
      </c>
      <c r="DT54" s="191">
        <v>0</v>
      </c>
      <c r="DU54" s="191">
        <v>0</v>
      </c>
      <c r="DV54" s="191">
        <v>0</v>
      </c>
      <c r="DW54" s="191">
        <v>0</v>
      </c>
      <c r="DX54" s="191">
        <v>0</v>
      </c>
      <c r="DY54" s="191">
        <v>0</v>
      </c>
      <c r="DZ54" s="191">
        <v>0</v>
      </c>
      <c r="EA54" s="191">
        <v>0</v>
      </c>
      <c r="EB54" s="191">
        <v>-2.56</v>
      </c>
      <c r="EC54" s="191">
        <v>0</v>
      </c>
      <c r="ED54" s="191">
        <v>0</v>
      </c>
      <c r="EE54" s="191">
        <v>0</v>
      </c>
      <c r="EF54" s="191">
        <v>0</v>
      </c>
      <c r="EG54" s="191">
        <v>0</v>
      </c>
      <c r="EH54" s="191">
        <v>0</v>
      </c>
      <c r="EI54" s="192">
        <v>0</v>
      </c>
      <c r="EJ54" s="180"/>
      <c r="EK54" s="191" t="s">
        <v>459</v>
      </c>
      <c r="EL54" s="191">
        <v>-8.03</v>
      </c>
      <c r="EM54" s="191">
        <v>0</v>
      </c>
      <c r="EN54" s="191">
        <v>0</v>
      </c>
      <c r="EO54" s="191">
        <v>0</v>
      </c>
      <c r="EP54" s="191">
        <v>0</v>
      </c>
      <c r="EQ54" s="191">
        <v>0</v>
      </c>
      <c r="ER54" s="191">
        <v>0</v>
      </c>
      <c r="ES54" s="191">
        <v>0</v>
      </c>
      <c r="ET54" s="191">
        <v>0</v>
      </c>
      <c r="EU54" s="191">
        <v>0</v>
      </c>
      <c r="EV54" s="191">
        <v>0</v>
      </c>
      <c r="EW54" s="191">
        <v>0</v>
      </c>
      <c r="EX54" s="191">
        <v>0</v>
      </c>
      <c r="EY54" s="191">
        <v>0</v>
      </c>
      <c r="EZ54" s="191">
        <v>0</v>
      </c>
      <c r="FA54" s="191">
        <v>0</v>
      </c>
      <c r="FB54" s="191">
        <v>0</v>
      </c>
      <c r="FC54" s="191">
        <v>0</v>
      </c>
      <c r="FD54" s="191">
        <v>0</v>
      </c>
      <c r="FE54" s="191">
        <v>-5.17</v>
      </c>
      <c r="FF54" s="191">
        <v>-5.07</v>
      </c>
      <c r="FG54" s="191">
        <v>-2.43</v>
      </c>
      <c r="FH54" s="191">
        <v>0</v>
      </c>
      <c r="FI54" s="191">
        <v>0</v>
      </c>
      <c r="FJ54" s="191">
        <v>0</v>
      </c>
      <c r="FK54" s="191">
        <v>0</v>
      </c>
      <c r="FL54" s="192">
        <v>0</v>
      </c>
    </row>
    <row r="55" s="180" customFormat="1" spans="1:168">
      <c r="A55" s="190" t="s">
        <v>460</v>
      </c>
      <c r="B55" s="191">
        <v>-24.9</v>
      </c>
      <c r="C55" s="192">
        <v>39.22</v>
      </c>
      <c r="E55" s="191" t="s">
        <v>460</v>
      </c>
      <c r="F55" s="191">
        <v>-7.6</v>
      </c>
      <c r="G55" s="191">
        <v>0</v>
      </c>
      <c r="H55" s="191">
        <v>0</v>
      </c>
      <c r="I55" s="191">
        <v>-2</v>
      </c>
      <c r="J55" s="191">
        <v>0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14.75</v>
      </c>
      <c r="W55" s="191">
        <v>0</v>
      </c>
      <c r="X55" s="191">
        <v>0</v>
      </c>
      <c r="Y55" s="191">
        <v>0</v>
      </c>
      <c r="Z55" s="191">
        <v>0</v>
      </c>
      <c r="AA55" s="191">
        <v>0</v>
      </c>
      <c r="AB55" s="191">
        <v>0</v>
      </c>
      <c r="AC55" s="191">
        <v>0</v>
      </c>
      <c r="AD55" s="191">
        <v>0</v>
      </c>
      <c r="AE55" s="191">
        <v>0</v>
      </c>
      <c r="AF55" s="191">
        <v>0</v>
      </c>
      <c r="AG55" s="191">
        <v>-0.8</v>
      </c>
      <c r="AH55" s="191">
        <v>0</v>
      </c>
      <c r="AI55" s="191">
        <v>0</v>
      </c>
      <c r="AJ55" s="191">
        <v>0</v>
      </c>
      <c r="AK55" s="191">
        <v>0</v>
      </c>
      <c r="AL55" s="191">
        <v>0</v>
      </c>
      <c r="AM55" s="191">
        <v>0</v>
      </c>
      <c r="AN55" s="191">
        <v>4.76</v>
      </c>
      <c r="AO55" s="191">
        <v>0</v>
      </c>
      <c r="AP55" s="191">
        <v>0</v>
      </c>
      <c r="AQ55" s="191">
        <v>0</v>
      </c>
      <c r="AR55" s="191">
        <v>0</v>
      </c>
      <c r="AS55" s="191">
        <v>0</v>
      </c>
      <c r="AT55" s="191">
        <v>0</v>
      </c>
      <c r="AU55" s="191">
        <v>-4.9</v>
      </c>
      <c r="AV55" s="191">
        <v>-4.8</v>
      </c>
      <c r="AW55" s="191">
        <v>-2.3</v>
      </c>
      <c r="AX55" s="191">
        <v>0</v>
      </c>
      <c r="AY55" s="191">
        <v>0</v>
      </c>
      <c r="AZ55" s="191">
        <v>13.52</v>
      </c>
      <c r="BA55" s="191">
        <v>0</v>
      </c>
      <c r="BB55" s="191">
        <v>0</v>
      </c>
      <c r="BC55" s="191">
        <v>6.19</v>
      </c>
      <c r="BD55" s="191">
        <v>0</v>
      </c>
      <c r="BE55" s="191">
        <v>0</v>
      </c>
      <c r="BF55" s="191">
        <v>0</v>
      </c>
      <c r="BG55" s="191">
        <v>0</v>
      </c>
      <c r="BH55" s="191">
        <v>0</v>
      </c>
      <c r="BI55" s="191">
        <v>0</v>
      </c>
      <c r="BJ55" s="191">
        <v>0</v>
      </c>
      <c r="BK55" s="191">
        <v>0</v>
      </c>
      <c r="BL55" s="191">
        <v>-2.5</v>
      </c>
      <c r="BM55" s="191">
        <v>0</v>
      </c>
      <c r="BN55" s="191">
        <v>0</v>
      </c>
      <c r="BO55" s="191">
        <v>0</v>
      </c>
      <c r="BP55" s="191">
        <v>0</v>
      </c>
      <c r="BQ55" s="191">
        <v>0</v>
      </c>
      <c r="BR55" s="191">
        <v>0</v>
      </c>
      <c r="BS55" s="192">
        <v>0</v>
      </c>
      <c r="BT55" s="180"/>
      <c r="BU55" s="191" t="s">
        <v>460</v>
      </c>
      <c r="BV55" s="191">
        <v>-7.79</v>
      </c>
      <c r="BW55" s="191">
        <v>0</v>
      </c>
      <c r="BX55" s="191">
        <v>0</v>
      </c>
      <c r="BY55" s="191">
        <v>-2.05</v>
      </c>
      <c r="BZ55" s="191">
        <v>0</v>
      </c>
      <c r="CA55" s="191">
        <v>0</v>
      </c>
      <c r="CB55" s="191">
        <v>0</v>
      </c>
      <c r="CC55" s="191">
        <v>0</v>
      </c>
      <c r="CD55" s="191">
        <v>0</v>
      </c>
      <c r="CE55" s="191">
        <v>0</v>
      </c>
      <c r="CF55" s="191">
        <v>0</v>
      </c>
      <c r="CG55" s="191">
        <v>0</v>
      </c>
      <c r="CH55" s="191">
        <v>0</v>
      </c>
      <c r="CI55" s="191">
        <v>0</v>
      </c>
      <c r="CJ55" s="191">
        <v>0</v>
      </c>
      <c r="CK55" s="191">
        <v>0</v>
      </c>
      <c r="CL55" s="191">
        <v>14.39</v>
      </c>
      <c r="CM55" s="191">
        <v>0</v>
      </c>
      <c r="CN55" s="191">
        <v>0</v>
      </c>
      <c r="CO55" s="191">
        <v>0</v>
      </c>
      <c r="CP55" s="191">
        <v>0</v>
      </c>
      <c r="CQ55" s="191">
        <v>0</v>
      </c>
      <c r="CR55" s="191">
        <v>0</v>
      </c>
      <c r="CS55" s="191">
        <v>0</v>
      </c>
      <c r="CT55" s="191">
        <v>0</v>
      </c>
      <c r="CU55" s="191">
        <v>0</v>
      </c>
      <c r="CV55" s="191">
        <v>0</v>
      </c>
      <c r="CW55" s="191">
        <v>-0.82</v>
      </c>
      <c r="CX55" s="191">
        <v>0</v>
      </c>
      <c r="CY55" s="191">
        <v>0</v>
      </c>
      <c r="CZ55" s="191">
        <v>0</v>
      </c>
      <c r="DA55" s="191">
        <v>0</v>
      </c>
      <c r="DB55" s="191">
        <v>0</v>
      </c>
      <c r="DC55" s="191">
        <v>0</v>
      </c>
      <c r="DD55" s="191">
        <v>4.64</v>
      </c>
      <c r="DE55" s="191">
        <v>0</v>
      </c>
      <c r="DF55" s="191">
        <v>0</v>
      </c>
      <c r="DG55" s="191">
        <v>0</v>
      </c>
      <c r="DH55" s="191">
        <v>0</v>
      </c>
      <c r="DI55" s="191">
        <v>0</v>
      </c>
      <c r="DJ55" s="191">
        <v>0</v>
      </c>
      <c r="DK55" s="191">
        <v>-5.02</v>
      </c>
      <c r="DL55" s="191">
        <v>-4.92</v>
      </c>
      <c r="DM55" s="191">
        <v>-2.36</v>
      </c>
      <c r="DN55" s="191">
        <v>0</v>
      </c>
      <c r="DO55" s="191">
        <v>0</v>
      </c>
      <c r="DP55" s="191">
        <v>13.19</v>
      </c>
      <c r="DQ55" s="191">
        <v>0</v>
      </c>
      <c r="DR55" s="191">
        <v>0</v>
      </c>
      <c r="DS55" s="191">
        <v>6.04</v>
      </c>
      <c r="DT55" s="191">
        <v>0</v>
      </c>
      <c r="DU55" s="191">
        <v>0</v>
      </c>
      <c r="DV55" s="191">
        <v>0</v>
      </c>
      <c r="DW55" s="191">
        <v>0</v>
      </c>
      <c r="DX55" s="191">
        <v>0</v>
      </c>
      <c r="DY55" s="191">
        <v>0</v>
      </c>
      <c r="DZ55" s="191">
        <v>0</v>
      </c>
      <c r="EA55" s="191">
        <v>0</v>
      </c>
      <c r="EB55" s="191">
        <v>-2.56</v>
      </c>
      <c r="EC55" s="191">
        <v>0</v>
      </c>
      <c r="ED55" s="191">
        <v>0</v>
      </c>
      <c r="EE55" s="191">
        <v>0</v>
      </c>
      <c r="EF55" s="191">
        <v>0</v>
      </c>
      <c r="EG55" s="191">
        <v>0</v>
      </c>
      <c r="EH55" s="191">
        <v>0</v>
      </c>
      <c r="EI55" s="192">
        <v>0</v>
      </c>
      <c r="EJ55" s="180"/>
      <c r="EK55" s="191" t="s">
        <v>460</v>
      </c>
      <c r="EL55" s="191">
        <v>-8.03</v>
      </c>
      <c r="EM55" s="191">
        <v>0</v>
      </c>
      <c r="EN55" s="191">
        <v>0</v>
      </c>
      <c r="EO55" s="191">
        <v>0</v>
      </c>
      <c r="EP55" s="191">
        <v>0</v>
      </c>
      <c r="EQ55" s="191">
        <v>0</v>
      </c>
      <c r="ER55" s="191">
        <v>0</v>
      </c>
      <c r="ES55" s="191">
        <v>0</v>
      </c>
      <c r="ET55" s="191">
        <v>0</v>
      </c>
      <c r="EU55" s="191">
        <v>0</v>
      </c>
      <c r="EV55" s="191">
        <v>0</v>
      </c>
      <c r="EW55" s="191">
        <v>0</v>
      </c>
      <c r="EX55" s="191">
        <v>0</v>
      </c>
      <c r="EY55" s="191">
        <v>0</v>
      </c>
      <c r="EZ55" s="191">
        <v>0</v>
      </c>
      <c r="FA55" s="191">
        <v>4.51</v>
      </c>
      <c r="FB55" s="191">
        <v>0</v>
      </c>
      <c r="FC55" s="191">
        <v>0</v>
      </c>
      <c r="FD55" s="191">
        <v>0</v>
      </c>
      <c r="FE55" s="191">
        <v>-5.17</v>
      </c>
      <c r="FF55" s="191">
        <v>-5.07</v>
      </c>
      <c r="FG55" s="191">
        <v>-2.43</v>
      </c>
      <c r="FH55" s="191">
        <v>0</v>
      </c>
      <c r="FI55" s="191">
        <v>0</v>
      </c>
      <c r="FJ55" s="191">
        <v>0</v>
      </c>
      <c r="FK55" s="191">
        <v>0</v>
      </c>
      <c r="FL55" s="192">
        <v>0</v>
      </c>
    </row>
    <row r="56" s="180" customFormat="1" spans="1:168">
      <c r="A56" s="190" t="s">
        <v>461</v>
      </c>
      <c r="B56" s="191">
        <v>-24.9</v>
      </c>
      <c r="C56" s="192">
        <v>59.21</v>
      </c>
      <c r="E56" s="191" t="s">
        <v>461</v>
      </c>
      <c r="F56" s="191">
        <v>-7.6</v>
      </c>
      <c r="G56" s="191">
        <v>0</v>
      </c>
      <c r="H56" s="191">
        <v>0</v>
      </c>
      <c r="I56" s="191">
        <v>-2</v>
      </c>
      <c r="J56" s="191">
        <v>0</v>
      </c>
      <c r="K56" s="191">
        <v>0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0</v>
      </c>
      <c r="V56" s="191">
        <v>7.14</v>
      </c>
      <c r="W56" s="191">
        <v>0</v>
      </c>
      <c r="X56" s="191">
        <v>0</v>
      </c>
      <c r="Y56" s="191">
        <v>0</v>
      </c>
      <c r="Z56" s="191">
        <v>0</v>
      </c>
      <c r="AA56" s="191">
        <v>0</v>
      </c>
      <c r="AB56" s="191">
        <v>0</v>
      </c>
      <c r="AC56" s="191">
        <v>0</v>
      </c>
      <c r="AD56" s="191">
        <v>0</v>
      </c>
      <c r="AE56" s="191">
        <v>0</v>
      </c>
      <c r="AF56" s="191">
        <v>0</v>
      </c>
      <c r="AG56" s="191">
        <v>-0.8</v>
      </c>
      <c r="AH56" s="191">
        <v>0</v>
      </c>
      <c r="AI56" s="191">
        <v>27.6</v>
      </c>
      <c r="AJ56" s="191">
        <v>0</v>
      </c>
      <c r="AK56" s="191">
        <v>0</v>
      </c>
      <c r="AL56" s="191">
        <v>0</v>
      </c>
      <c r="AM56" s="191">
        <v>0</v>
      </c>
      <c r="AN56" s="191">
        <v>4.76</v>
      </c>
      <c r="AO56" s="191">
        <v>0</v>
      </c>
      <c r="AP56" s="191">
        <v>0</v>
      </c>
      <c r="AQ56" s="191">
        <v>0</v>
      </c>
      <c r="AR56" s="191">
        <v>0</v>
      </c>
      <c r="AS56" s="191">
        <v>0</v>
      </c>
      <c r="AT56" s="191">
        <v>0</v>
      </c>
      <c r="AU56" s="191">
        <v>-4.9</v>
      </c>
      <c r="AV56" s="191">
        <v>-4.8</v>
      </c>
      <c r="AW56" s="191">
        <v>-2.3</v>
      </c>
      <c r="AX56" s="191">
        <v>0</v>
      </c>
      <c r="AY56" s="191">
        <v>0</v>
      </c>
      <c r="AZ56" s="191">
        <v>13.52</v>
      </c>
      <c r="BA56" s="191">
        <v>0</v>
      </c>
      <c r="BB56" s="191">
        <v>0</v>
      </c>
      <c r="BC56" s="191">
        <v>6.19</v>
      </c>
      <c r="BD56" s="191">
        <v>0</v>
      </c>
      <c r="BE56" s="191">
        <v>0</v>
      </c>
      <c r="BF56" s="191">
        <v>0</v>
      </c>
      <c r="BG56" s="191">
        <v>0</v>
      </c>
      <c r="BH56" s="191">
        <v>0</v>
      </c>
      <c r="BI56" s="191">
        <v>0</v>
      </c>
      <c r="BJ56" s="191">
        <v>0</v>
      </c>
      <c r="BK56" s="191">
        <v>0</v>
      </c>
      <c r="BL56" s="191">
        <v>-2.5</v>
      </c>
      <c r="BM56" s="191">
        <v>0</v>
      </c>
      <c r="BN56" s="191">
        <v>0</v>
      </c>
      <c r="BO56" s="191">
        <v>0</v>
      </c>
      <c r="BP56" s="191">
        <v>0</v>
      </c>
      <c r="BQ56" s="191">
        <v>0</v>
      </c>
      <c r="BR56" s="191">
        <v>0</v>
      </c>
      <c r="BS56" s="192">
        <v>0</v>
      </c>
      <c r="BT56" s="180"/>
      <c r="BU56" s="191" t="s">
        <v>461</v>
      </c>
      <c r="BV56" s="191">
        <v>-7.79</v>
      </c>
      <c r="BW56" s="191">
        <v>0</v>
      </c>
      <c r="BX56" s="191">
        <v>0</v>
      </c>
      <c r="BY56" s="191">
        <v>-2.05</v>
      </c>
      <c r="BZ56" s="191">
        <v>0</v>
      </c>
      <c r="CA56" s="191">
        <v>0</v>
      </c>
      <c r="CB56" s="191">
        <v>0</v>
      </c>
      <c r="CC56" s="191">
        <v>0</v>
      </c>
      <c r="CD56" s="191">
        <v>0</v>
      </c>
      <c r="CE56" s="191">
        <v>0</v>
      </c>
      <c r="CF56" s="191">
        <v>0</v>
      </c>
      <c r="CG56" s="191">
        <v>0</v>
      </c>
      <c r="CH56" s="191">
        <v>0</v>
      </c>
      <c r="CI56" s="191">
        <v>0</v>
      </c>
      <c r="CJ56" s="191">
        <v>0</v>
      </c>
      <c r="CK56" s="191">
        <v>0</v>
      </c>
      <c r="CL56" s="191">
        <v>6.96</v>
      </c>
      <c r="CM56" s="191">
        <v>0</v>
      </c>
      <c r="CN56" s="191">
        <v>0</v>
      </c>
      <c r="CO56" s="191">
        <v>0</v>
      </c>
      <c r="CP56" s="191">
        <v>0</v>
      </c>
      <c r="CQ56" s="191">
        <v>0</v>
      </c>
      <c r="CR56" s="191">
        <v>0</v>
      </c>
      <c r="CS56" s="191">
        <v>0</v>
      </c>
      <c r="CT56" s="191">
        <v>0</v>
      </c>
      <c r="CU56" s="191">
        <v>0</v>
      </c>
      <c r="CV56" s="191">
        <v>0</v>
      </c>
      <c r="CW56" s="191">
        <v>-0.82</v>
      </c>
      <c r="CX56" s="191">
        <v>0</v>
      </c>
      <c r="CY56" s="191">
        <v>26.92</v>
      </c>
      <c r="CZ56" s="191">
        <v>0</v>
      </c>
      <c r="DA56" s="191">
        <v>0</v>
      </c>
      <c r="DB56" s="191">
        <v>0</v>
      </c>
      <c r="DC56" s="191">
        <v>0</v>
      </c>
      <c r="DD56" s="191">
        <v>4.64</v>
      </c>
      <c r="DE56" s="191">
        <v>0</v>
      </c>
      <c r="DF56" s="191">
        <v>0</v>
      </c>
      <c r="DG56" s="191">
        <v>0</v>
      </c>
      <c r="DH56" s="191">
        <v>0</v>
      </c>
      <c r="DI56" s="191">
        <v>0</v>
      </c>
      <c r="DJ56" s="191">
        <v>0</v>
      </c>
      <c r="DK56" s="191">
        <v>-5.02</v>
      </c>
      <c r="DL56" s="191">
        <v>-4.92</v>
      </c>
      <c r="DM56" s="191">
        <v>-2.36</v>
      </c>
      <c r="DN56" s="191">
        <v>0</v>
      </c>
      <c r="DO56" s="191">
        <v>0</v>
      </c>
      <c r="DP56" s="191">
        <v>13.19</v>
      </c>
      <c r="DQ56" s="191">
        <v>0</v>
      </c>
      <c r="DR56" s="191">
        <v>0</v>
      </c>
      <c r="DS56" s="191">
        <v>6.04</v>
      </c>
      <c r="DT56" s="191">
        <v>0</v>
      </c>
      <c r="DU56" s="191">
        <v>0</v>
      </c>
      <c r="DV56" s="191">
        <v>0</v>
      </c>
      <c r="DW56" s="191">
        <v>0</v>
      </c>
      <c r="DX56" s="191">
        <v>0</v>
      </c>
      <c r="DY56" s="191">
        <v>0</v>
      </c>
      <c r="DZ56" s="191">
        <v>0</v>
      </c>
      <c r="EA56" s="191">
        <v>0</v>
      </c>
      <c r="EB56" s="191">
        <v>-2.56</v>
      </c>
      <c r="EC56" s="191">
        <v>0</v>
      </c>
      <c r="ED56" s="191">
        <v>0</v>
      </c>
      <c r="EE56" s="191">
        <v>0</v>
      </c>
      <c r="EF56" s="191">
        <v>0</v>
      </c>
      <c r="EG56" s="191">
        <v>0</v>
      </c>
      <c r="EH56" s="191">
        <v>0</v>
      </c>
      <c r="EI56" s="192">
        <v>0</v>
      </c>
      <c r="EJ56" s="180"/>
      <c r="EK56" s="191" t="s">
        <v>461</v>
      </c>
      <c r="EL56" s="191">
        <v>-8.03</v>
      </c>
      <c r="EM56" s="191">
        <v>0</v>
      </c>
      <c r="EN56" s="191">
        <v>0</v>
      </c>
      <c r="EO56" s="191">
        <v>0</v>
      </c>
      <c r="EP56" s="191">
        <v>0</v>
      </c>
      <c r="EQ56" s="191">
        <v>0</v>
      </c>
      <c r="ER56" s="191">
        <v>0</v>
      </c>
      <c r="ES56" s="191">
        <v>0</v>
      </c>
      <c r="ET56" s="191">
        <v>0</v>
      </c>
      <c r="EU56" s="191">
        <v>0</v>
      </c>
      <c r="EV56" s="191">
        <v>0</v>
      </c>
      <c r="EW56" s="191">
        <v>0</v>
      </c>
      <c r="EX56" s="191">
        <v>0</v>
      </c>
      <c r="EY56" s="191">
        <v>0</v>
      </c>
      <c r="EZ56" s="191">
        <v>0</v>
      </c>
      <c r="FA56" s="191">
        <v>4.51</v>
      </c>
      <c r="FB56" s="191">
        <v>0</v>
      </c>
      <c r="FC56" s="191">
        <v>0</v>
      </c>
      <c r="FD56" s="191">
        <v>0</v>
      </c>
      <c r="FE56" s="191">
        <v>-5.17</v>
      </c>
      <c r="FF56" s="191">
        <v>-5.07</v>
      </c>
      <c r="FG56" s="191">
        <v>-2.43</v>
      </c>
      <c r="FH56" s="191">
        <v>0</v>
      </c>
      <c r="FI56" s="191">
        <v>0</v>
      </c>
      <c r="FJ56" s="191">
        <v>0</v>
      </c>
      <c r="FK56" s="191">
        <v>0</v>
      </c>
      <c r="FL56" s="192">
        <v>0</v>
      </c>
    </row>
    <row r="57" s="180" customFormat="1" spans="1:168">
      <c r="A57" s="190" t="s">
        <v>462</v>
      </c>
      <c r="B57" s="191">
        <v>-24.9</v>
      </c>
      <c r="C57" s="192">
        <v>38.55</v>
      </c>
      <c r="E57" s="191" t="s">
        <v>462</v>
      </c>
      <c r="F57" s="191">
        <v>-7.6</v>
      </c>
      <c r="G57" s="191">
        <v>0</v>
      </c>
      <c r="H57" s="191">
        <v>0</v>
      </c>
      <c r="I57" s="191">
        <v>-2</v>
      </c>
      <c r="J57" s="191">
        <v>0</v>
      </c>
      <c r="K57" s="191">
        <v>0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0</v>
      </c>
      <c r="V57" s="191">
        <v>6.19</v>
      </c>
      <c r="W57" s="191">
        <v>0</v>
      </c>
      <c r="X57" s="191">
        <v>0</v>
      </c>
      <c r="Y57" s="191">
        <v>0</v>
      </c>
      <c r="Z57" s="191">
        <v>0</v>
      </c>
      <c r="AA57" s="191">
        <v>0</v>
      </c>
      <c r="AB57" s="191">
        <v>0</v>
      </c>
      <c r="AC57" s="191">
        <v>0</v>
      </c>
      <c r="AD57" s="191">
        <v>0</v>
      </c>
      <c r="AE57" s="191">
        <v>0</v>
      </c>
      <c r="AF57" s="191">
        <v>0</v>
      </c>
      <c r="AG57" s="191">
        <v>-0.8</v>
      </c>
      <c r="AH57" s="191">
        <v>0</v>
      </c>
      <c r="AI57" s="191">
        <v>27.6</v>
      </c>
      <c r="AJ57" s="191">
        <v>0</v>
      </c>
      <c r="AK57" s="191">
        <v>0</v>
      </c>
      <c r="AL57" s="191">
        <v>0</v>
      </c>
      <c r="AM57" s="191">
        <v>0</v>
      </c>
      <c r="AN57" s="191">
        <v>4.76</v>
      </c>
      <c r="AO57" s="191">
        <v>0</v>
      </c>
      <c r="AP57" s="191">
        <v>0</v>
      </c>
      <c r="AQ57" s="191">
        <v>0</v>
      </c>
      <c r="AR57" s="191">
        <v>0</v>
      </c>
      <c r="AS57" s="191">
        <v>0</v>
      </c>
      <c r="AT57" s="191">
        <v>0</v>
      </c>
      <c r="AU57" s="191">
        <v>-4.9</v>
      </c>
      <c r="AV57" s="191">
        <v>-4.8</v>
      </c>
      <c r="AW57" s="191">
        <v>-2.3</v>
      </c>
      <c r="AX57" s="191">
        <v>0</v>
      </c>
      <c r="AY57" s="191">
        <v>0</v>
      </c>
      <c r="AZ57" s="191">
        <v>0</v>
      </c>
      <c r="BA57" s="191">
        <v>0</v>
      </c>
      <c r="BB57" s="191">
        <v>0</v>
      </c>
      <c r="BC57" s="191">
        <v>0</v>
      </c>
      <c r="BD57" s="191">
        <v>0</v>
      </c>
      <c r="BE57" s="191">
        <v>0</v>
      </c>
      <c r="BF57" s="191">
        <v>0</v>
      </c>
      <c r="BG57" s="191">
        <v>0</v>
      </c>
      <c r="BH57" s="191">
        <v>0</v>
      </c>
      <c r="BI57" s="191">
        <v>0</v>
      </c>
      <c r="BJ57" s="191">
        <v>0</v>
      </c>
      <c r="BK57" s="191">
        <v>0</v>
      </c>
      <c r="BL57" s="191">
        <v>-2.5</v>
      </c>
      <c r="BM57" s="191">
        <v>0</v>
      </c>
      <c r="BN57" s="191">
        <v>0</v>
      </c>
      <c r="BO57" s="191">
        <v>0</v>
      </c>
      <c r="BP57" s="191">
        <v>0</v>
      </c>
      <c r="BQ57" s="191">
        <v>0</v>
      </c>
      <c r="BR57" s="191">
        <v>0</v>
      </c>
      <c r="BS57" s="192">
        <v>0</v>
      </c>
      <c r="BT57" s="180"/>
      <c r="BU57" s="191" t="s">
        <v>462</v>
      </c>
      <c r="BV57" s="191">
        <v>-7.79</v>
      </c>
      <c r="BW57" s="191">
        <v>0</v>
      </c>
      <c r="BX57" s="191">
        <v>0</v>
      </c>
      <c r="BY57" s="191">
        <v>-2.05</v>
      </c>
      <c r="BZ57" s="191">
        <v>0</v>
      </c>
      <c r="CA57" s="191">
        <v>0</v>
      </c>
      <c r="CB57" s="191">
        <v>0</v>
      </c>
      <c r="CC57" s="191">
        <v>0</v>
      </c>
      <c r="CD57" s="191">
        <v>0</v>
      </c>
      <c r="CE57" s="191">
        <v>0</v>
      </c>
      <c r="CF57" s="191">
        <v>0</v>
      </c>
      <c r="CG57" s="191">
        <v>0</v>
      </c>
      <c r="CH57" s="191">
        <v>0</v>
      </c>
      <c r="CI57" s="191">
        <v>0</v>
      </c>
      <c r="CJ57" s="191">
        <v>0</v>
      </c>
      <c r="CK57" s="191">
        <v>0</v>
      </c>
      <c r="CL57" s="191">
        <v>6.04</v>
      </c>
      <c r="CM57" s="191">
        <v>0</v>
      </c>
      <c r="CN57" s="191">
        <v>0</v>
      </c>
      <c r="CO57" s="191">
        <v>0</v>
      </c>
      <c r="CP57" s="191">
        <v>0</v>
      </c>
      <c r="CQ57" s="191">
        <v>0</v>
      </c>
      <c r="CR57" s="191">
        <v>0</v>
      </c>
      <c r="CS57" s="191">
        <v>0</v>
      </c>
      <c r="CT57" s="191">
        <v>0</v>
      </c>
      <c r="CU57" s="191">
        <v>0</v>
      </c>
      <c r="CV57" s="191">
        <v>0</v>
      </c>
      <c r="CW57" s="191">
        <v>-0.82</v>
      </c>
      <c r="CX57" s="191">
        <v>0</v>
      </c>
      <c r="CY57" s="191">
        <v>26.92</v>
      </c>
      <c r="CZ57" s="191">
        <v>0</v>
      </c>
      <c r="DA57" s="191">
        <v>0</v>
      </c>
      <c r="DB57" s="191">
        <v>0</v>
      </c>
      <c r="DC57" s="191">
        <v>0</v>
      </c>
      <c r="DD57" s="191">
        <v>4.64</v>
      </c>
      <c r="DE57" s="191">
        <v>0</v>
      </c>
      <c r="DF57" s="191">
        <v>0</v>
      </c>
      <c r="DG57" s="191">
        <v>0</v>
      </c>
      <c r="DH57" s="191">
        <v>0</v>
      </c>
      <c r="DI57" s="191">
        <v>0</v>
      </c>
      <c r="DJ57" s="191">
        <v>0</v>
      </c>
      <c r="DK57" s="191">
        <v>-5.02</v>
      </c>
      <c r="DL57" s="191">
        <v>-4.92</v>
      </c>
      <c r="DM57" s="191">
        <v>-2.36</v>
      </c>
      <c r="DN57" s="191">
        <v>0</v>
      </c>
      <c r="DO57" s="191">
        <v>0</v>
      </c>
      <c r="DP57" s="191">
        <v>0</v>
      </c>
      <c r="DQ57" s="191">
        <v>0</v>
      </c>
      <c r="DR57" s="191">
        <v>0</v>
      </c>
      <c r="DS57" s="191">
        <v>0</v>
      </c>
      <c r="DT57" s="191">
        <v>0</v>
      </c>
      <c r="DU57" s="191">
        <v>0</v>
      </c>
      <c r="DV57" s="191">
        <v>0</v>
      </c>
      <c r="DW57" s="191">
        <v>0</v>
      </c>
      <c r="DX57" s="191">
        <v>0</v>
      </c>
      <c r="DY57" s="191">
        <v>0</v>
      </c>
      <c r="DZ57" s="191">
        <v>0</v>
      </c>
      <c r="EA57" s="191">
        <v>0</v>
      </c>
      <c r="EB57" s="191">
        <v>-2.56</v>
      </c>
      <c r="EC57" s="191">
        <v>0</v>
      </c>
      <c r="ED57" s="191">
        <v>0</v>
      </c>
      <c r="EE57" s="191">
        <v>0</v>
      </c>
      <c r="EF57" s="191">
        <v>0</v>
      </c>
      <c r="EG57" s="191">
        <v>0</v>
      </c>
      <c r="EH57" s="191">
        <v>0</v>
      </c>
      <c r="EI57" s="192">
        <v>0</v>
      </c>
      <c r="EJ57" s="180"/>
      <c r="EK57" s="191" t="s">
        <v>462</v>
      </c>
      <c r="EL57" s="191">
        <v>-8.03</v>
      </c>
      <c r="EM57" s="191">
        <v>0</v>
      </c>
      <c r="EN57" s="191">
        <v>0</v>
      </c>
      <c r="EO57" s="191">
        <v>0</v>
      </c>
      <c r="EP57" s="191">
        <v>0</v>
      </c>
      <c r="EQ57" s="191">
        <v>0</v>
      </c>
      <c r="ER57" s="191">
        <v>0</v>
      </c>
      <c r="ES57" s="191">
        <v>0</v>
      </c>
      <c r="ET57" s="191">
        <v>0</v>
      </c>
      <c r="EU57" s="191">
        <v>0</v>
      </c>
      <c r="EV57" s="191">
        <v>0</v>
      </c>
      <c r="EW57" s="191">
        <v>0</v>
      </c>
      <c r="EX57" s="191">
        <v>0</v>
      </c>
      <c r="EY57" s="191">
        <v>0</v>
      </c>
      <c r="EZ57" s="191">
        <v>0</v>
      </c>
      <c r="FA57" s="191">
        <v>4.51</v>
      </c>
      <c r="FB57" s="191">
        <v>0</v>
      </c>
      <c r="FC57" s="191">
        <v>0</v>
      </c>
      <c r="FD57" s="191">
        <v>0</v>
      </c>
      <c r="FE57" s="191">
        <v>-5.17</v>
      </c>
      <c r="FF57" s="191">
        <v>-5.07</v>
      </c>
      <c r="FG57" s="191">
        <v>-2.43</v>
      </c>
      <c r="FH57" s="191">
        <v>0</v>
      </c>
      <c r="FI57" s="191">
        <v>0</v>
      </c>
      <c r="FJ57" s="191">
        <v>0</v>
      </c>
      <c r="FK57" s="191">
        <v>0</v>
      </c>
      <c r="FL57" s="192">
        <v>0</v>
      </c>
    </row>
    <row r="58" s="180" customFormat="1" spans="1:168">
      <c r="A58" s="190" t="s">
        <v>463</v>
      </c>
      <c r="B58" s="191">
        <v>-27.1</v>
      </c>
      <c r="C58" s="192">
        <v>9.69</v>
      </c>
      <c r="E58" s="191" t="s">
        <v>463</v>
      </c>
      <c r="F58" s="191">
        <v>-7.6</v>
      </c>
      <c r="G58" s="191">
        <v>0</v>
      </c>
      <c r="H58" s="191">
        <v>0</v>
      </c>
      <c r="I58" s="191">
        <v>-2</v>
      </c>
      <c r="J58" s="191">
        <v>0</v>
      </c>
      <c r="K58" s="191">
        <v>0</v>
      </c>
      <c r="L58" s="191">
        <v>0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0</v>
      </c>
      <c r="S58" s="191">
        <v>0</v>
      </c>
      <c r="T58" s="191">
        <v>0</v>
      </c>
      <c r="U58" s="191">
        <v>0</v>
      </c>
      <c r="V58" s="191">
        <v>0</v>
      </c>
      <c r="W58" s="191">
        <v>0</v>
      </c>
      <c r="X58" s="191">
        <v>0</v>
      </c>
      <c r="Y58" s="191">
        <v>0</v>
      </c>
      <c r="Z58" s="191">
        <v>0</v>
      </c>
      <c r="AA58" s="191">
        <v>0</v>
      </c>
      <c r="AB58" s="191">
        <v>-2.2</v>
      </c>
      <c r="AC58" s="191">
        <v>0</v>
      </c>
      <c r="AD58" s="191">
        <v>0</v>
      </c>
      <c r="AE58" s="191">
        <v>0</v>
      </c>
      <c r="AF58" s="191">
        <v>0</v>
      </c>
      <c r="AG58" s="191">
        <v>-0.8</v>
      </c>
      <c r="AH58" s="191">
        <v>0</v>
      </c>
      <c r="AI58" s="191">
        <v>3.81</v>
      </c>
      <c r="AJ58" s="191">
        <v>0</v>
      </c>
      <c r="AK58" s="191">
        <v>0</v>
      </c>
      <c r="AL58" s="191">
        <v>0</v>
      </c>
      <c r="AM58" s="191">
        <v>0</v>
      </c>
      <c r="AN58" s="191">
        <v>4.76</v>
      </c>
      <c r="AO58" s="191">
        <v>0</v>
      </c>
      <c r="AP58" s="191">
        <v>0</v>
      </c>
      <c r="AQ58" s="191">
        <v>0</v>
      </c>
      <c r="AR58" s="191">
        <v>0</v>
      </c>
      <c r="AS58" s="191">
        <v>0</v>
      </c>
      <c r="AT58" s="191">
        <v>0</v>
      </c>
      <c r="AU58" s="191">
        <v>-4.9</v>
      </c>
      <c r="AV58" s="191">
        <v>-4.8</v>
      </c>
      <c r="AW58" s="191">
        <v>-2.3</v>
      </c>
      <c r="AX58" s="191">
        <v>0</v>
      </c>
      <c r="AY58" s="191">
        <v>0</v>
      </c>
      <c r="AZ58" s="191">
        <v>0</v>
      </c>
      <c r="BA58" s="191">
        <v>0</v>
      </c>
      <c r="BB58" s="191">
        <v>0</v>
      </c>
      <c r="BC58" s="191">
        <v>0</v>
      </c>
      <c r="BD58" s="191">
        <v>0</v>
      </c>
      <c r="BE58" s="191">
        <v>0</v>
      </c>
      <c r="BF58" s="191">
        <v>0</v>
      </c>
      <c r="BG58" s="191">
        <v>0</v>
      </c>
      <c r="BH58" s="191">
        <v>1.12</v>
      </c>
      <c r="BI58" s="191">
        <v>0</v>
      </c>
      <c r="BJ58" s="191">
        <v>0</v>
      </c>
      <c r="BK58" s="191">
        <v>0</v>
      </c>
      <c r="BL58" s="191">
        <v>-2.5</v>
      </c>
      <c r="BM58" s="191">
        <v>0</v>
      </c>
      <c r="BN58" s="191">
        <v>0</v>
      </c>
      <c r="BO58" s="191">
        <v>0</v>
      </c>
      <c r="BP58" s="191">
        <v>0</v>
      </c>
      <c r="BQ58" s="191">
        <v>0</v>
      </c>
      <c r="BR58" s="191">
        <v>0</v>
      </c>
      <c r="BS58" s="192">
        <v>0</v>
      </c>
      <c r="BT58" s="180"/>
      <c r="BU58" s="191" t="s">
        <v>463</v>
      </c>
      <c r="BV58" s="191">
        <v>-7.79</v>
      </c>
      <c r="BW58" s="191">
        <v>0</v>
      </c>
      <c r="BX58" s="191">
        <v>0</v>
      </c>
      <c r="BY58" s="191">
        <v>-2.05</v>
      </c>
      <c r="BZ58" s="191">
        <v>0</v>
      </c>
      <c r="CA58" s="191">
        <v>0</v>
      </c>
      <c r="CB58" s="191">
        <v>0</v>
      </c>
      <c r="CC58" s="191">
        <v>0</v>
      </c>
      <c r="CD58" s="191">
        <v>0</v>
      </c>
      <c r="CE58" s="191">
        <v>0</v>
      </c>
      <c r="CF58" s="191">
        <v>0</v>
      </c>
      <c r="CG58" s="191">
        <v>0</v>
      </c>
      <c r="CH58" s="191">
        <v>0</v>
      </c>
      <c r="CI58" s="191">
        <v>0</v>
      </c>
      <c r="CJ58" s="191">
        <v>0</v>
      </c>
      <c r="CK58" s="191">
        <v>0</v>
      </c>
      <c r="CL58" s="191">
        <v>0</v>
      </c>
      <c r="CM58" s="191">
        <v>0</v>
      </c>
      <c r="CN58" s="191">
        <v>0</v>
      </c>
      <c r="CO58" s="191">
        <v>0</v>
      </c>
      <c r="CP58" s="191">
        <v>0</v>
      </c>
      <c r="CQ58" s="191">
        <v>0</v>
      </c>
      <c r="CR58" s="191">
        <v>-2.26</v>
      </c>
      <c r="CS58" s="191">
        <v>0</v>
      </c>
      <c r="CT58" s="191">
        <v>0</v>
      </c>
      <c r="CU58" s="191">
        <v>0</v>
      </c>
      <c r="CV58" s="191">
        <v>0</v>
      </c>
      <c r="CW58" s="191">
        <v>-0.82</v>
      </c>
      <c r="CX58" s="191">
        <v>0</v>
      </c>
      <c r="CY58" s="191">
        <v>3.72</v>
      </c>
      <c r="CZ58" s="191">
        <v>0</v>
      </c>
      <c r="DA58" s="191">
        <v>0</v>
      </c>
      <c r="DB58" s="191">
        <v>0</v>
      </c>
      <c r="DC58" s="191">
        <v>0</v>
      </c>
      <c r="DD58" s="191">
        <v>4.64</v>
      </c>
      <c r="DE58" s="191">
        <v>0</v>
      </c>
      <c r="DF58" s="191">
        <v>0</v>
      </c>
      <c r="DG58" s="191">
        <v>0</v>
      </c>
      <c r="DH58" s="191">
        <v>0</v>
      </c>
      <c r="DI58" s="191">
        <v>0</v>
      </c>
      <c r="DJ58" s="191">
        <v>0</v>
      </c>
      <c r="DK58" s="191">
        <v>-5.02</v>
      </c>
      <c r="DL58" s="191">
        <v>-4.92</v>
      </c>
      <c r="DM58" s="191">
        <v>-2.36</v>
      </c>
      <c r="DN58" s="191">
        <v>0</v>
      </c>
      <c r="DO58" s="191">
        <v>0</v>
      </c>
      <c r="DP58" s="191">
        <v>0</v>
      </c>
      <c r="DQ58" s="191">
        <v>0</v>
      </c>
      <c r="DR58" s="191">
        <v>0</v>
      </c>
      <c r="DS58" s="191">
        <v>0</v>
      </c>
      <c r="DT58" s="191">
        <v>0</v>
      </c>
      <c r="DU58" s="191">
        <v>0</v>
      </c>
      <c r="DV58" s="191">
        <v>0</v>
      </c>
      <c r="DW58" s="191">
        <v>0</v>
      </c>
      <c r="DX58" s="191">
        <v>1.09</v>
      </c>
      <c r="DY58" s="191">
        <v>0</v>
      </c>
      <c r="DZ58" s="191">
        <v>0</v>
      </c>
      <c r="EA58" s="191">
        <v>0</v>
      </c>
      <c r="EB58" s="191">
        <v>-2.56</v>
      </c>
      <c r="EC58" s="191">
        <v>0</v>
      </c>
      <c r="ED58" s="191">
        <v>0</v>
      </c>
      <c r="EE58" s="191">
        <v>0</v>
      </c>
      <c r="EF58" s="191">
        <v>0</v>
      </c>
      <c r="EG58" s="191">
        <v>0</v>
      </c>
      <c r="EH58" s="191">
        <v>0</v>
      </c>
      <c r="EI58" s="192">
        <v>0</v>
      </c>
      <c r="EJ58" s="180"/>
      <c r="EK58" s="191" t="s">
        <v>463</v>
      </c>
      <c r="EL58" s="191">
        <v>-8.03</v>
      </c>
      <c r="EM58" s="191">
        <v>0</v>
      </c>
      <c r="EN58" s="191">
        <v>0</v>
      </c>
      <c r="EO58" s="191">
        <v>0</v>
      </c>
      <c r="EP58" s="191">
        <v>0</v>
      </c>
      <c r="EQ58" s="191">
        <v>0</v>
      </c>
      <c r="ER58" s="191">
        <v>0</v>
      </c>
      <c r="ES58" s="191">
        <v>0</v>
      </c>
      <c r="ET58" s="191">
        <v>0</v>
      </c>
      <c r="EU58" s="191">
        <v>0</v>
      </c>
      <c r="EV58" s="191">
        <v>0</v>
      </c>
      <c r="EW58" s="191">
        <v>-2.32</v>
      </c>
      <c r="EX58" s="191">
        <v>0</v>
      </c>
      <c r="EY58" s="191">
        <v>0</v>
      </c>
      <c r="EZ58" s="191">
        <v>0</v>
      </c>
      <c r="FA58" s="191">
        <v>4.51</v>
      </c>
      <c r="FB58" s="191">
        <v>0</v>
      </c>
      <c r="FC58" s="191">
        <v>0</v>
      </c>
      <c r="FD58" s="191">
        <v>0</v>
      </c>
      <c r="FE58" s="191">
        <v>-5.17</v>
      </c>
      <c r="FF58" s="191">
        <v>-5.07</v>
      </c>
      <c r="FG58" s="191">
        <v>-2.43</v>
      </c>
      <c r="FH58" s="191">
        <v>0</v>
      </c>
      <c r="FI58" s="191">
        <v>0</v>
      </c>
      <c r="FJ58" s="191">
        <v>0</v>
      </c>
      <c r="FK58" s="191">
        <v>0</v>
      </c>
      <c r="FL58" s="192">
        <v>0</v>
      </c>
    </row>
    <row r="59" s="180" customFormat="1" spans="1:168">
      <c r="A59" s="190" t="s">
        <v>464</v>
      </c>
      <c r="B59" s="191">
        <v>-27.1</v>
      </c>
      <c r="C59" s="192">
        <v>11.42</v>
      </c>
      <c r="E59" s="191" t="s">
        <v>464</v>
      </c>
      <c r="F59" s="191">
        <v>-7.6</v>
      </c>
      <c r="G59" s="191">
        <v>0</v>
      </c>
      <c r="H59" s="191">
        <v>0</v>
      </c>
      <c r="I59" s="191">
        <v>-2</v>
      </c>
      <c r="J59" s="191">
        <v>0</v>
      </c>
      <c r="K59" s="191">
        <v>0</v>
      </c>
      <c r="L59" s="191">
        <v>0</v>
      </c>
      <c r="M59" s="191">
        <v>0</v>
      </c>
      <c r="N59" s="191">
        <v>0</v>
      </c>
      <c r="O59" s="191">
        <v>0</v>
      </c>
      <c r="P59" s="191">
        <v>0</v>
      </c>
      <c r="Q59" s="191">
        <v>0</v>
      </c>
      <c r="R59" s="191">
        <v>0</v>
      </c>
      <c r="S59" s="191">
        <v>0</v>
      </c>
      <c r="T59" s="191">
        <v>0</v>
      </c>
      <c r="U59" s="191">
        <v>0</v>
      </c>
      <c r="V59" s="191">
        <v>0</v>
      </c>
      <c r="W59" s="191">
        <v>0</v>
      </c>
      <c r="X59" s="191">
        <v>0</v>
      </c>
      <c r="Y59" s="191">
        <v>0</v>
      </c>
      <c r="Z59" s="191">
        <v>0</v>
      </c>
      <c r="AA59" s="191">
        <v>0</v>
      </c>
      <c r="AB59" s="191">
        <v>-2.2</v>
      </c>
      <c r="AC59" s="191">
        <v>0</v>
      </c>
      <c r="AD59" s="191">
        <v>0</v>
      </c>
      <c r="AE59" s="191">
        <v>0</v>
      </c>
      <c r="AF59" s="191">
        <v>0</v>
      </c>
      <c r="AG59" s="191">
        <v>-0.8</v>
      </c>
      <c r="AH59" s="191">
        <v>0</v>
      </c>
      <c r="AI59" s="191">
        <v>3.81</v>
      </c>
      <c r="AJ59" s="191">
        <v>0</v>
      </c>
      <c r="AK59" s="191">
        <v>0</v>
      </c>
      <c r="AL59" s="191">
        <v>0</v>
      </c>
      <c r="AM59" s="191">
        <v>0</v>
      </c>
      <c r="AN59" s="191">
        <v>4.75</v>
      </c>
      <c r="AO59" s="191">
        <v>0</v>
      </c>
      <c r="AP59" s="191">
        <v>0</v>
      </c>
      <c r="AQ59" s="191">
        <v>0</v>
      </c>
      <c r="AR59" s="191">
        <v>0</v>
      </c>
      <c r="AS59" s="191">
        <v>0</v>
      </c>
      <c r="AT59" s="191">
        <v>0</v>
      </c>
      <c r="AU59" s="191">
        <v>-4.9</v>
      </c>
      <c r="AV59" s="191">
        <v>-4.8</v>
      </c>
      <c r="AW59" s="191">
        <v>-2.3</v>
      </c>
      <c r="AX59" s="191">
        <v>0</v>
      </c>
      <c r="AY59" s="191">
        <v>0</v>
      </c>
      <c r="AZ59" s="191">
        <v>0</v>
      </c>
      <c r="BA59" s="191">
        <v>0</v>
      </c>
      <c r="BB59" s="191">
        <v>0</v>
      </c>
      <c r="BC59" s="191">
        <v>0</v>
      </c>
      <c r="BD59" s="191">
        <v>0</v>
      </c>
      <c r="BE59" s="191">
        <v>0</v>
      </c>
      <c r="BF59" s="191">
        <v>0</v>
      </c>
      <c r="BG59" s="191">
        <v>0</v>
      </c>
      <c r="BH59" s="191">
        <v>2.86</v>
      </c>
      <c r="BI59" s="191">
        <v>0</v>
      </c>
      <c r="BJ59" s="191">
        <v>0</v>
      </c>
      <c r="BK59" s="191">
        <v>0</v>
      </c>
      <c r="BL59" s="191">
        <v>-2.5</v>
      </c>
      <c r="BM59" s="191">
        <v>0</v>
      </c>
      <c r="BN59" s="191">
        <v>0</v>
      </c>
      <c r="BO59" s="191">
        <v>0</v>
      </c>
      <c r="BP59" s="191">
        <v>0</v>
      </c>
      <c r="BQ59" s="191">
        <v>0</v>
      </c>
      <c r="BR59" s="191">
        <v>0</v>
      </c>
      <c r="BS59" s="192">
        <v>0</v>
      </c>
      <c r="BT59" s="180"/>
      <c r="BU59" s="191" t="s">
        <v>464</v>
      </c>
      <c r="BV59" s="191">
        <v>-7.79</v>
      </c>
      <c r="BW59" s="191">
        <v>0</v>
      </c>
      <c r="BX59" s="191">
        <v>0</v>
      </c>
      <c r="BY59" s="191">
        <v>-2.05</v>
      </c>
      <c r="BZ59" s="191">
        <v>0</v>
      </c>
      <c r="CA59" s="191">
        <v>0</v>
      </c>
      <c r="CB59" s="191">
        <v>0</v>
      </c>
      <c r="CC59" s="191">
        <v>0</v>
      </c>
      <c r="CD59" s="191">
        <v>0</v>
      </c>
      <c r="CE59" s="191">
        <v>0</v>
      </c>
      <c r="CF59" s="191">
        <v>0</v>
      </c>
      <c r="CG59" s="191">
        <v>0</v>
      </c>
      <c r="CH59" s="191">
        <v>0</v>
      </c>
      <c r="CI59" s="191">
        <v>0</v>
      </c>
      <c r="CJ59" s="191">
        <v>0</v>
      </c>
      <c r="CK59" s="191">
        <v>0</v>
      </c>
      <c r="CL59" s="191">
        <v>0</v>
      </c>
      <c r="CM59" s="191">
        <v>0</v>
      </c>
      <c r="CN59" s="191">
        <v>0</v>
      </c>
      <c r="CO59" s="191">
        <v>0</v>
      </c>
      <c r="CP59" s="191">
        <v>0</v>
      </c>
      <c r="CQ59" s="191">
        <v>0</v>
      </c>
      <c r="CR59" s="191">
        <v>-2.26</v>
      </c>
      <c r="CS59" s="191">
        <v>0</v>
      </c>
      <c r="CT59" s="191">
        <v>0</v>
      </c>
      <c r="CU59" s="191">
        <v>0</v>
      </c>
      <c r="CV59" s="191">
        <v>0</v>
      </c>
      <c r="CW59" s="191">
        <v>-0.82</v>
      </c>
      <c r="CX59" s="191">
        <v>0</v>
      </c>
      <c r="CY59" s="191">
        <v>3.72</v>
      </c>
      <c r="CZ59" s="191">
        <v>0</v>
      </c>
      <c r="DA59" s="191">
        <v>0</v>
      </c>
      <c r="DB59" s="191">
        <v>0</v>
      </c>
      <c r="DC59" s="191">
        <v>0</v>
      </c>
      <c r="DD59" s="191">
        <v>4.63</v>
      </c>
      <c r="DE59" s="191">
        <v>0</v>
      </c>
      <c r="DF59" s="191">
        <v>0</v>
      </c>
      <c r="DG59" s="191">
        <v>0</v>
      </c>
      <c r="DH59" s="191">
        <v>0</v>
      </c>
      <c r="DI59" s="191">
        <v>0</v>
      </c>
      <c r="DJ59" s="191">
        <v>0</v>
      </c>
      <c r="DK59" s="191">
        <v>-5.02</v>
      </c>
      <c r="DL59" s="191">
        <v>-4.92</v>
      </c>
      <c r="DM59" s="191">
        <v>-2.36</v>
      </c>
      <c r="DN59" s="191">
        <v>0</v>
      </c>
      <c r="DO59" s="191">
        <v>0</v>
      </c>
      <c r="DP59" s="191">
        <v>0</v>
      </c>
      <c r="DQ59" s="191">
        <v>0</v>
      </c>
      <c r="DR59" s="191">
        <v>0</v>
      </c>
      <c r="DS59" s="191">
        <v>0</v>
      </c>
      <c r="DT59" s="191">
        <v>0</v>
      </c>
      <c r="DU59" s="191">
        <v>0</v>
      </c>
      <c r="DV59" s="191">
        <v>0</v>
      </c>
      <c r="DW59" s="191">
        <v>0</v>
      </c>
      <c r="DX59" s="191">
        <v>2.79</v>
      </c>
      <c r="DY59" s="191">
        <v>0</v>
      </c>
      <c r="DZ59" s="191">
        <v>0</v>
      </c>
      <c r="EA59" s="191">
        <v>0</v>
      </c>
      <c r="EB59" s="191">
        <v>-2.56</v>
      </c>
      <c r="EC59" s="191">
        <v>0</v>
      </c>
      <c r="ED59" s="191">
        <v>0</v>
      </c>
      <c r="EE59" s="191">
        <v>0</v>
      </c>
      <c r="EF59" s="191">
        <v>0</v>
      </c>
      <c r="EG59" s="191">
        <v>0</v>
      </c>
      <c r="EH59" s="191">
        <v>0</v>
      </c>
      <c r="EI59" s="192">
        <v>0</v>
      </c>
      <c r="EJ59" s="180"/>
      <c r="EK59" s="191" t="s">
        <v>464</v>
      </c>
      <c r="EL59" s="191">
        <v>-8.03</v>
      </c>
      <c r="EM59" s="191">
        <v>0</v>
      </c>
      <c r="EN59" s="191">
        <v>0</v>
      </c>
      <c r="EO59" s="191">
        <v>0</v>
      </c>
      <c r="EP59" s="191">
        <v>0</v>
      </c>
      <c r="EQ59" s="191">
        <v>0</v>
      </c>
      <c r="ER59" s="191">
        <v>0</v>
      </c>
      <c r="ES59" s="191">
        <v>0</v>
      </c>
      <c r="ET59" s="191">
        <v>0</v>
      </c>
      <c r="EU59" s="191">
        <v>0</v>
      </c>
      <c r="EV59" s="191">
        <v>0</v>
      </c>
      <c r="EW59" s="191">
        <v>-2.32</v>
      </c>
      <c r="EX59" s="191">
        <v>0</v>
      </c>
      <c r="EY59" s="191">
        <v>0</v>
      </c>
      <c r="EZ59" s="191">
        <v>0</v>
      </c>
      <c r="FA59" s="191">
        <v>4.5</v>
      </c>
      <c r="FB59" s="191">
        <v>0</v>
      </c>
      <c r="FC59" s="191">
        <v>0</v>
      </c>
      <c r="FD59" s="191">
        <v>0</v>
      </c>
      <c r="FE59" s="191">
        <v>-5.17</v>
      </c>
      <c r="FF59" s="191">
        <v>-5.07</v>
      </c>
      <c r="FG59" s="191">
        <v>-2.43</v>
      </c>
      <c r="FH59" s="191">
        <v>0</v>
      </c>
      <c r="FI59" s="191">
        <v>0</v>
      </c>
      <c r="FJ59" s="191">
        <v>0</v>
      </c>
      <c r="FK59" s="191">
        <v>0</v>
      </c>
      <c r="FL59" s="192">
        <v>0</v>
      </c>
    </row>
    <row r="60" s="180" customFormat="1" spans="1:168">
      <c r="A60" s="190" t="s">
        <v>465</v>
      </c>
      <c r="B60" s="191">
        <v>-26.2</v>
      </c>
      <c r="C60" s="192">
        <v>44.93</v>
      </c>
      <c r="E60" s="191" t="s">
        <v>465</v>
      </c>
      <c r="F60" s="191">
        <v>-7.6</v>
      </c>
      <c r="G60" s="191">
        <v>0</v>
      </c>
      <c r="H60" s="191">
        <v>0</v>
      </c>
      <c r="I60" s="191">
        <v>-2</v>
      </c>
      <c r="J60" s="191">
        <v>0</v>
      </c>
      <c r="K60" s="191">
        <v>0</v>
      </c>
      <c r="L60" s="191">
        <v>0</v>
      </c>
      <c r="M60" s="191">
        <v>0</v>
      </c>
      <c r="N60" s="191">
        <v>0</v>
      </c>
      <c r="O60" s="191">
        <v>0</v>
      </c>
      <c r="P60" s="191">
        <v>0</v>
      </c>
      <c r="Q60" s="191">
        <v>0</v>
      </c>
      <c r="R60" s="191">
        <v>0</v>
      </c>
      <c r="S60" s="191">
        <v>0</v>
      </c>
      <c r="T60" s="191">
        <v>0</v>
      </c>
      <c r="U60" s="191">
        <v>0</v>
      </c>
      <c r="V60" s="191">
        <v>0</v>
      </c>
      <c r="W60" s="191">
        <v>0</v>
      </c>
      <c r="X60" s="191">
        <v>5.71</v>
      </c>
      <c r="Y60" s="191">
        <v>0</v>
      </c>
      <c r="Z60" s="191">
        <v>0</v>
      </c>
      <c r="AA60" s="191">
        <v>0</v>
      </c>
      <c r="AB60" s="191">
        <v>-2.1</v>
      </c>
      <c r="AC60" s="191">
        <v>3.43</v>
      </c>
      <c r="AD60" s="191">
        <v>0</v>
      </c>
      <c r="AE60" s="191">
        <v>4.28</v>
      </c>
      <c r="AF60" s="191">
        <v>1.05</v>
      </c>
      <c r="AG60" s="191">
        <v>0</v>
      </c>
      <c r="AH60" s="191">
        <v>0</v>
      </c>
      <c r="AI60" s="191">
        <v>3.81</v>
      </c>
      <c r="AJ60" s="191">
        <v>0</v>
      </c>
      <c r="AK60" s="191">
        <v>0</v>
      </c>
      <c r="AL60" s="191">
        <v>0</v>
      </c>
      <c r="AM60" s="191">
        <v>0</v>
      </c>
      <c r="AN60" s="191">
        <v>4.76</v>
      </c>
      <c r="AO60" s="191">
        <v>0</v>
      </c>
      <c r="AP60" s="191">
        <v>0</v>
      </c>
      <c r="AQ60" s="191">
        <v>0</v>
      </c>
      <c r="AR60" s="191">
        <v>0</v>
      </c>
      <c r="AS60" s="191">
        <v>0</v>
      </c>
      <c r="AT60" s="191">
        <v>0</v>
      </c>
      <c r="AU60" s="191">
        <v>-4.9</v>
      </c>
      <c r="AV60" s="191">
        <v>-4.8</v>
      </c>
      <c r="AW60" s="191">
        <v>-2.3</v>
      </c>
      <c r="AX60" s="191">
        <v>0</v>
      </c>
      <c r="AY60" s="191">
        <v>0</v>
      </c>
      <c r="AZ60" s="191">
        <v>0</v>
      </c>
      <c r="BA60" s="191">
        <v>0</v>
      </c>
      <c r="BB60" s="191">
        <v>0</v>
      </c>
      <c r="BC60" s="191">
        <v>0</v>
      </c>
      <c r="BD60" s="191">
        <v>0</v>
      </c>
      <c r="BE60" s="191">
        <v>0</v>
      </c>
      <c r="BF60" s="191">
        <v>0</v>
      </c>
      <c r="BG60" s="191">
        <v>0</v>
      </c>
      <c r="BH60" s="191">
        <v>2.86</v>
      </c>
      <c r="BI60" s="191">
        <v>0</v>
      </c>
      <c r="BJ60" s="191">
        <v>0</v>
      </c>
      <c r="BK60" s="191">
        <v>0</v>
      </c>
      <c r="BL60" s="191">
        <v>-2.5</v>
      </c>
      <c r="BM60" s="191">
        <v>0</v>
      </c>
      <c r="BN60" s="191">
        <v>19.03</v>
      </c>
      <c r="BO60" s="191">
        <v>0</v>
      </c>
      <c r="BP60" s="191">
        <v>0</v>
      </c>
      <c r="BQ60" s="191">
        <v>0</v>
      </c>
      <c r="BR60" s="191">
        <v>0</v>
      </c>
      <c r="BS60" s="192">
        <v>0</v>
      </c>
      <c r="BT60" s="180"/>
      <c r="BU60" s="191" t="s">
        <v>465</v>
      </c>
      <c r="BV60" s="191">
        <v>-7.79</v>
      </c>
      <c r="BW60" s="191">
        <v>0</v>
      </c>
      <c r="BX60" s="191">
        <v>0</v>
      </c>
      <c r="BY60" s="191">
        <v>-2.05</v>
      </c>
      <c r="BZ60" s="191">
        <v>0</v>
      </c>
      <c r="CA60" s="191">
        <v>0</v>
      </c>
      <c r="CB60" s="191">
        <v>0</v>
      </c>
      <c r="CC60" s="191">
        <v>0</v>
      </c>
      <c r="CD60" s="191">
        <v>0</v>
      </c>
      <c r="CE60" s="191">
        <v>0</v>
      </c>
      <c r="CF60" s="191">
        <v>0</v>
      </c>
      <c r="CG60" s="191">
        <v>0</v>
      </c>
      <c r="CH60" s="191">
        <v>0</v>
      </c>
      <c r="CI60" s="191">
        <v>0</v>
      </c>
      <c r="CJ60" s="191">
        <v>0</v>
      </c>
      <c r="CK60" s="191">
        <v>0</v>
      </c>
      <c r="CL60" s="191">
        <v>0</v>
      </c>
      <c r="CM60" s="191">
        <v>0</v>
      </c>
      <c r="CN60" s="191">
        <v>5.57</v>
      </c>
      <c r="CO60" s="191">
        <v>0</v>
      </c>
      <c r="CP60" s="191">
        <v>0</v>
      </c>
      <c r="CQ60" s="191">
        <v>0</v>
      </c>
      <c r="CR60" s="191">
        <v>-2.15</v>
      </c>
      <c r="CS60" s="191">
        <v>3.35</v>
      </c>
      <c r="CT60" s="191">
        <v>0</v>
      </c>
      <c r="CU60" s="191">
        <v>4.17</v>
      </c>
      <c r="CV60" s="191">
        <v>1.02</v>
      </c>
      <c r="CW60" s="191">
        <v>0</v>
      </c>
      <c r="CX60" s="191">
        <v>0</v>
      </c>
      <c r="CY60" s="191">
        <v>3.72</v>
      </c>
      <c r="CZ60" s="191">
        <v>0</v>
      </c>
      <c r="DA60" s="191">
        <v>0</v>
      </c>
      <c r="DB60" s="191">
        <v>0</v>
      </c>
      <c r="DC60" s="191">
        <v>0</v>
      </c>
      <c r="DD60" s="191">
        <v>4.64</v>
      </c>
      <c r="DE60" s="191">
        <v>0</v>
      </c>
      <c r="DF60" s="191">
        <v>0</v>
      </c>
      <c r="DG60" s="191">
        <v>0</v>
      </c>
      <c r="DH60" s="191">
        <v>0</v>
      </c>
      <c r="DI60" s="191">
        <v>0</v>
      </c>
      <c r="DJ60" s="191">
        <v>0</v>
      </c>
      <c r="DK60" s="191">
        <v>-5.02</v>
      </c>
      <c r="DL60" s="191">
        <v>-4.92</v>
      </c>
      <c r="DM60" s="191">
        <v>-2.36</v>
      </c>
      <c r="DN60" s="191">
        <v>0</v>
      </c>
      <c r="DO60" s="191">
        <v>0</v>
      </c>
      <c r="DP60" s="191">
        <v>0</v>
      </c>
      <c r="DQ60" s="191">
        <v>0</v>
      </c>
      <c r="DR60" s="191">
        <v>0</v>
      </c>
      <c r="DS60" s="191">
        <v>0</v>
      </c>
      <c r="DT60" s="191">
        <v>0</v>
      </c>
      <c r="DU60" s="191">
        <v>0</v>
      </c>
      <c r="DV60" s="191">
        <v>0</v>
      </c>
      <c r="DW60" s="191">
        <v>0</v>
      </c>
      <c r="DX60" s="191">
        <v>2.79</v>
      </c>
      <c r="DY60" s="191">
        <v>0</v>
      </c>
      <c r="DZ60" s="191">
        <v>0</v>
      </c>
      <c r="EA60" s="191">
        <v>0</v>
      </c>
      <c r="EB60" s="191">
        <v>-2.56</v>
      </c>
      <c r="EC60" s="191">
        <v>0</v>
      </c>
      <c r="ED60" s="191">
        <v>18.56</v>
      </c>
      <c r="EE60" s="191">
        <v>0</v>
      </c>
      <c r="EF60" s="191">
        <v>0</v>
      </c>
      <c r="EG60" s="191">
        <v>0</v>
      </c>
      <c r="EH60" s="191">
        <v>0</v>
      </c>
      <c r="EI60" s="192">
        <v>0</v>
      </c>
      <c r="EJ60" s="180"/>
      <c r="EK60" s="191" t="s">
        <v>465</v>
      </c>
      <c r="EL60" s="191">
        <v>-8.03</v>
      </c>
      <c r="EM60" s="191">
        <v>0</v>
      </c>
      <c r="EN60" s="191">
        <v>0</v>
      </c>
      <c r="EO60" s="191">
        <v>0</v>
      </c>
      <c r="EP60" s="191">
        <v>0</v>
      </c>
      <c r="EQ60" s="191">
        <v>0</v>
      </c>
      <c r="ER60" s="191">
        <v>0</v>
      </c>
      <c r="ES60" s="191">
        <v>0</v>
      </c>
      <c r="ET60" s="191">
        <v>5.42</v>
      </c>
      <c r="EU60" s="191">
        <v>0</v>
      </c>
      <c r="EV60" s="191">
        <v>0</v>
      </c>
      <c r="EW60" s="191">
        <v>-2.21</v>
      </c>
      <c r="EX60" s="191">
        <v>3.26</v>
      </c>
      <c r="EY60" s="191">
        <v>0.99</v>
      </c>
      <c r="EZ60" s="191">
        <v>0</v>
      </c>
      <c r="FA60" s="191">
        <v>4.51</v>
      </c>
      <c r="FB60" s="191">
        <v>0</v>
      </c>
      <c r="FC60" s="191">
        <v>0</v>
      </c>
      <c r="FD60" s="191">
        <v>0</v>
      </c>
      <c r="FE60" s="191">
        <v>-5.17</v>
      </c>
      <c r="FF60" s="191">
        <v>-5.07</v>
      </c>
      <c r="FG60" s="191">
        <v>-2.43</v>
      </c>
      <c r="FH60" s="191">
        <v>0</v>
      </c>
      <c r="FI60" s="191">
        <v>0</v>
      </c>
      <c r="FJ60" s="191">
        <v>0</v>
      </c>
      <c r="FK60" s="191">
        <v>0</v>
      </c>
      <c r="FL60" s="192">
        <v>0</v>
      </c>
    </row>
    <row r="61" s="180" customFormat="1" spans="1:168">
      <c r="A61" s="190" t="s">
        <v>466</v>
      </c>
      <c r="B61" s="191">
        <v>-26.3</v>
      </c>
      <c r="C61" s="192">
        <v>44.93</v>
      </c>
      <c r="E61" s="191" t="s">
        <v>466</v>
      </c>
      <c r="F61" s="191">
        <v>-7.6</v>
      </c>
      <c r="G61" s="191">
        <v>0</v>
      </c>
      <c r="H61" s="191">
        <v>0</v>
      </c>
      <c r="I61" s="191">
        <v>-2.1</v>
      </c>
      <c r="J61" s="191">
        <v>0</v>
      </c>
      <c r="K61" s="191">
        <v>0</v>
      </c>
      <c r="L61" s="191">
        <v>0</v>
      </c>
      <c r="M61" s="191">
        <v>0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0</v>
      </c>
      <c r="V61" s="191">
        <v>0</v>
      </c>
      <c r="W61" s="191">
        <v>0</v>
      </c>
      <c r="X61" s="191">
        <v>5.71</v>
      </c>
      <c r="Y61" s="191">
        <v>0</v>
      </c>
      <c r="Z61" s="191">
        <v>0</v>
      </c>
      <c r="AA61" s="191">
        <v>0</v>
      </c>
      <c r="AB61" s="191">
        <v>-2.1</v>
      </c>
      <c r="AC61" s="191">
        <v>3.43</v>
      </c>
      <c r="AD61" s="191">
        <v>0</v>
      </c>
      <c r="AE61" s="191">
        <v>4.28</v>
      </c>
      <c r="AF61" s="191">
        <v>1.05</v>
      </c>
      <c r="AG61" s="191">
        <v>0</v>
      </c>
      <c r="AH61" s="191">
        <v>0</v>
      </c>
      <c r="AI61" s="191">
        <v>3.81</v>
      </c>
      <c r="AJ61" s="191">
        <v>0</v>
      </c>
      <c r="AK61" s="191">
        <v>0</v>
      </c>
      <c r="AL61" s="191">
        <v>0</v>
      </c>
      <c r="AM61" s="191">
        <v>0</v>
      </c>
      <c r="AN61" s="191">
        <v>4.76</v>
      </c>
      <c r="AO61" s="191">
        <v>0</v>
      </c>
      <c r="AP61" s="191">
        <v>0</v>
      </c>
      <c r="AQ61" s="191">
        <v>0</v>
      </c>
      <c r="AR61" s="191">
        <v>0</v>
      </c>
      <c r="AS61" s="191">
        <v>0</v>
      </c>
      <c r="AT61" s="191">
        <v>0</v>
      </c>
      <c r="AU61" s="191">
        <v>-4.9</v>
      </c>
      <c r="AV61" s="191">
        <v>-4.8</v>
      </c>
      <c r="AW61" s="191">
        <v>-2.3</v>
      </c>
      <c r="AX61" s="191">
        <v>0</v>
      </c>
      <c r="AY61" s="191">
        <v>0</v>
      </c>
      <c r="AZ61" s="191">
        <v>0</v>
      </c>
      <c r="BA61" s="191">
        <v>0</v>
      </c>
      <c r="BB61" s="191">
        <v>0</v>
      </c>
      <c r="BC61" s="191">
        <v>0</v>
      </c>
      <c r="BD61" s="191">
        <v>0</v>
      </c>
      <c r="BE61" s="191">
        <v>0</v>
      </c>
      <c r="BF61" s="191">
        <v>0</v>
      </c>
      <c r="BG61" s="191">
        <v>0</v>
      </c>
      <c r="BH61" s="191">
        <v>2.86</v>
      </c>
      <c r="BI61" s="191">
        <v>0</v>
      </c>
      <c r="BJ61" s="191">
        <v>0</v>
      </c>
      <c r="BK61" s="191">
        <v>0</v>
      </c>
      <c r="BL61" s="191">
        <v>-2.5</v>
      </c>
      <c r="BM61" s="191">
        <v>0</v>
      </c>
      <c r="BN61" s="191">
        <v>19.03</v>
      </c>
      <c r="BO61" s="191">
        <v>0</v>
      </c>
      <c r="BP61" s="191">
        <v>0</v>
      </c>
      <c r="BQ61" s="191">
        <v>0</v>
      </c>
      <c r="BR61" s="191">
        <v>0</v>
      </c>
      <c r="BS61" s="192">
        <v>0</v>
      </c>
      <c r="BT61" s="180"/>
      <c r="BU61" s="191" t="s">
        <v>466</v>
      </c>
      <c r="BV61" s="191">
        <v>-7.79</v>
      </c>
      <c r="BW61" s="191">
        <v>0</v>
      </c>
      <c r="BX61" s="191">
        <v>0</v>
      </c>
      <c r="BY61" s="191">
        <v>-2.15</v>
      </c>
      <c r="BZ61" s="191">
        <v>0</v>
      </c>
      <c r="CA61" s="191">
        <v>0</v>
      </c>
      <c r="CB61" s="191">
        <v>0</v>
      </c>
      <c r="CC61" s="191">
        <v>0</v>
      </c>
      <c r="CD61" s="191">
        <v>0</v>
      </c>
      <c r="CE61" s="191">
        <v>0</v>
      </c>
      <c r="CF61" s="191">
        <v>0</v>
      </c>
      <c r="CG61" s="191">
        <v>0</v>
      </c>
      <c r="CH61" s="191">
        <v>0</v>
      </c>
      <c r="CI61" s="191">
        <v>0</v>
      </c>
      <c r="CJ61" s="191">
        <v>0</v>
      </c>
      <c r="CK61" s="191">
        <v>0</v>
      </c>
      <c r="CL61" s="191">
        <v>0</v>
      </c>
      <c r="CM61" s="191">
        <v>0</v>
      </c>
      <c r="CN61" s="191">
        <v>5.57</v>
      </c>
      <c r="CO61" s="191">
        <v>0</v>
      </c>
      <c r="CP61" s="191">
        <v>0</v>
      </c>
      <c r="CQ61" s="191">
        <v>0</v>
      </c>
      <c r="CR61" s="191">
        <v>-2.15</v>
      </c>
      <c r="CS61" s="191">
        <v>3.35</v>
      </c>
      <c r="CT61" s="191">
        <v>0</v>
      </c>
      <c r="CU61" s="191">
        <v>4.17</v>
      </c>
      <c r="CV61" s="191">
        <v>1.02</v>
      </c>
      <c r="CW61" s="191">
        <v>0</v>
      </c>
      <c r="CX61" s="191">
        <v>0</v>
      </c>
      <c r="CY61" s="191">
        <v>3.72</v>
      </c>
      <c r="CZ61" s="191">
        <v>0</v>
      </c>
      <c r="DA61" s="191">
        <v>0</v>
      </c>
      <c r="DB61" s="191">
        <v>0</v>
      </c>
      <c r="DC61" s="191">
        <v>0</v>
      </c>
      <c r="DD61" s="191">
        <v>4.64</v>
      </c>
      <c r="DE61" s="191">
        <v>0</v>
      </c>
      <c r="DF61" s="191">
        <v>0</v>
      </c>
      <c r="DG61" s="191">
        <v>0</v>
      </c>
      <c r="DH61" s="191">
        <v>0</v>
      </c>
      <c r="DI61" s="191">
        <v>0</v>
      </c>
      <c r="DJ61" s="191">
        <v>0</v>
      </c>
      <c r="DK61" s="191">
        <v>-5.02</v>
      </c>
      <c r="DL61" s="191">
        <v>-4.92</v>
      </c>
      <c r="DM61" s="191">
        <v>-2.36</v>
      </c>
      <c r="DN61" s="191">
        <v>0</v>
      </c>
      <c r="DO61" s="191">
        <v>0</v>
      </c>
      <c r="DP61" s="191">
        <v>0</v>
      </c>
      <c r="DQ61" s="191">
        <v>0</v>
      </c>
      <c r="DR61" s="191">
        <v>0</v>
      </c>
      <c r="DS61" s="191">
        <v>0</v>
      </c>
      <c r="DT61" s="191">
        <v>0</v>
      </c>
      <c r="DU61" s="191">
        <v>0</v>
      </c>
      <c r="DV61" s="191">
        <v>0</v>
      </c>
      <c r="DW61" s="191">
        <v>0</v>
      </c>
      <c r="DX61" s="191">
        <v>2.79</v>
      </c>
      <c r="DY61" s="191">
        <v>0</v>
      </c>
      <c r="DZ61" s="191">
        <v>0</v>
      </c>
      <c r="EA61" s="191">
        <v>0</v>
      </c>
      <c r="EB61" s="191">
        <v>-2.56</v>
      </c>
      <c r="EC61" s="191">
        <v>0</v>
      </c>
      <c r="ED61" s="191">
        <v>18.56</v>
      </c>
      <c r="EE61" s="191">
        <v>0</v>
      </c>
      <c r="EF61" s="191">
        <v>0</v>
      </c>
      <c r="EG61" s="191">
        <v>0</v>
      </c>
      <c r="EH61" s="191">
        <v>0</v>
      </c>
      <c r="EI61" s="192">
        <v>0</v>
      </c>
      <c r="EJ61" s="180"/>
      <c r="EK61" s="191" t="s">
        <v>466</v>
      </c>
      <c r="EL61" s="191">
        <v>-8.03</v>
      </c>
      <c r="EM61" s="191">
        <v>0</v>
      </c>
      <c r="EN61" s="191">
        <v>0</v>
      </c>
      <c r="EO61" s="191">
        <v>0</v>
      </c>
      <c r="EP61" s="191">
        <v>0</v>
      </c>
      <c r="EQ61" s="191">
        <v>0</v>
      </c>
      <c r="ER61" s="191">
        <v>0</v>
      </c>
      <c r="ES61" s="191">
        <v>0</v>
      </c>
      <c r="ET61" s="191">
        <v>5.42</v>
      </c>
      <c r="EU61" s="191">
        <v>0</v>
      </c>
      <c r="EV61" s="191">
        <v>0</v>
      </c>
      <c r="EW61" s="191">
        <v>-2.21</v>
      </c>
      <c r="EX61" s="191">
        <v>3.26</v>
      </c>
      <c r="EY61" s="191">
        <v>0.99</v>
      </c>
      <c r="EZ61" s="191">
        <v>0</v>
      </c>
      <c r="FA61" s="191">
        <v>4.51</v>
      </c>
      <c r="FB61" s="191">
        <v>0</v>
      </c>
      <c r="FC61" s="191">
        <v>0</v>
      </c>
      <c r="FD61" s="191">
        <v>0</v>
      </c>
      <c r="FE61" s="191">
        <v>-5.17</v>
      </c>
      <c r="FF61" s="191">
        <v>-5.07</v>
      </c>
      <c r="FG61" s="191">
        <v>-2.43</v>
      </c>
      <c r="FH61" s="191">
        <v>0</v>
      </c>
      <c r="FI61" s="191">
        <v>0</v>
      </c>
      <c r="FJ61" s="191">
        <v>0</v>
      </c>
      <c r="FK61" s="191">
        <v>0</v>
      </c>
      <c r="FL61" s="192">
        <v>0</v>
      </c>
    </row>
    <row r="62" s="180" customFormat="1" spans="1:168">
      <c r="A62" s="190" t="s">
        <v>467</v>
      </c>
      <c r="B62" s="191">
        <v>-28.9</v>
      </c>
      <c r="C62" s="192">
        <v>322.13</v>
      </c>
      <c r="E62" s="191" t="s">
        <v>467</v>
      </c>
      <c r="F62" s="191">
        <v>-7.6</v>
      </c>
      <c r="G62" s="191">
        <v>285.56</v>
      </c>
      <c r="H62" s="191">
        <v>0</v>
      </c>
      <c r="I62" s="191">
        <v>-3</v>
      </c>
      <c r="J62" s="191">
        <v>0</v>
      </c>
      <c r="K62" s="191">
        <v>0</v>
      </c>
      <c r="L62" s="191">
        <v>0</v>
      </c>
      <c r="M62" s="191">
        <v>0</v>
      </c>
      <c r="N62" s="191">
        <v>0</v>
      </c>
      <c r="O62" s="191">
        <v>0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0</v>
      </c>
      <c r="V62" s="191">
        <v>0</v>
      </c>
      <c r="W62" s="191">
        <v>0</v>
      </c>
      <c r="X62" s="191">
        <v>5.16</v>
      </c>
      <c r="Y62" s="191">
        <v>0</v>
      </c>
      <c r="Z62" s="191">
        <v>0</v>
      </c>
      <c r="AA62" s="191">
        <v>0</v>
      </c>
      <c r="AB62" s="191">
        <v>-2</v>
      </c>
      <c r="AC62" s="191">
        <v>0</v>
      </c>
      <c r="AD62" s="191">
        <v>0</v>
      </c>
      <c r="AE62" s="191">
        <v>0</v>
      </c>
      <c r="AF62" s="191">
        <v>0.94</v>
      </c>
      <c r="AG62" s="191">
        <v>-0.8</v>
      </c>
      <c r="AH62" s="191">
        <v>0</v>
      </c>
      <c r="AI62" s="191">
        <v>3.81</v>
      </c>
      <c r="AJ62" s="191">
        <v>0</v>
      </c>
      <c r="AK62" s="191">
        <v>0</v>
      </c>
      <c r="AL62" s="191">
        <v>0</v>
      </c>
      <c r="AM62" s="191">
        <v>0</v>
      </c>
      <c r="AN62" s="191">
        <v>4.76</v>
      </c>
      <c r="AO62" s="191">
        <v>0</v>
      </c>
      <c r="AP62" s="191">
        <v>0</v>
      </c>
      <c r="AQ62" s="191">
        <v>0</v>
      </c>
      <c r="AR62" s="191">
        <v>0</v>
      </c>
      <c r="AS62" s="191">
        <v>0</v>
      </c>
      <c r="AT62" s="191">
        <v>0</v>
      </c>
      <c r="AU62" s="191">
        <v>-4.9</v>
      </c>
      <c r="AV62" s="191">
        <v>-4.8</v>
      </c>
      <c r="AW62" s="191">
        <v>-2.3</v>
      </c>
      <c r="AX62" s="191">
        <v>0</v>
      </c>
      <c r="AY62" s="191">
        <v>0</v>
      </c>
      <c r="AZ62" s="191">
        <v>0</v>
      </c>
      <c r="BA62" s="191">
        <v>0</v>
      </c>
      <c r="BB62" s="191">
        <v>0</v>
      </c>
      <c r="BC62" s="191">
        <v>0</v>
      </c>
      <c r="BD62" s="191">
        <v>0</v>
      </c>
      <c r="BE62" s="191">
        <v>0</v>
      </c>
      <c r="BF62" s="191">
        <v>0</v>
      </c>
      <c r="BG62" s="191">
        <v>0</v>
      </c>
      <c r="BH62" s="191">
        <v>2.86</v>
      </c>
      <c r="BI62" s="191">
        <v>0</v>
      </c>
      <c r="BJ62" s="191">
        <v>0</v>
      </c>
      <c r="BK62" s="191">
        <v>0</v>
      </c>
      <c r="BL62" s="191">
        <v>-2.5</v>
      </c>
      <c r="BM62" s="191">
        <v>0</v>
      </c>
      <c r="BN62" s="191">
        <v>19.04</v>
      </c>
      <c r="BO62" s="191">
        <v>-1</v>
      </c>
      <c r="BP62" s="191">
        <v>0</v>
      </c>
      <c r="BQ62" s="191">
        <v>0</v>
      </c>
      <c r="BR62" s="191">
        <v>0</v>
      </c>
      <c r="BS62" s="192">
        <v>0</v>
      </c>
      <c r="BT62" s="180"/>
      <c r="BU62" s="191" t="s">
        <v>467</v>
      </c>
      <c r="BV62" s="191">
        <v>-7.79</v>
      </c>
      <c r="BW62" s="191">
        <v>278.54</v>
      </c>
      <c r="BX62" s="191">
        <v>0</v>
      </c>
      <c r="BY62" s="191">
        <v>-3.08</v>
      </c>
      <c r="BZ62" s="191">
        <v>0</v>
      </c>
      <c r="CA62" s="191">
        <v>0</v>
      </c>
      <c r="CB62" s="191">
        <v>0</v>
      </c>
      <c r="CC62" s="191">
        <v>0</v>
      </c>
      <c r="CD62" s="191">
        <v>0</v>
      </c>
      <c r="CE62" s="191">
        <v>0</v>
      </c>
      <c r="CF62" s="191">
        <v>0</v>
      </c>
      <c r="CG62" s="191">
        <v>0</v>
      </c>
      <c r="CH62" s="191">
        <v>0</v>
      </c>
      <c r="CI62" s="191">
        <v>0</v>
      </c>
      <c r="CJ62" s="191">
        <v>0</v>
      </c>
      <c r="CK62" s="191">
        <v>0</v>
      </c>
      <c r="CL62" s="191">
        <v>0</v>
      </c>
      <c r="CM62" s="191">
        <v>0</v>
      </c>
      <c r="CN62" s="191">
        <v>5.03</v>
      </c>
      <c r="CO62" s="191">
        <v>0</v>
      </c>
      <c r="CP62" s="191">
        <v>0</v>
      </c>
      <c r="CQ62" s="191">
        <v>0</v>
      </c>
      <c r="CR62" s="191">
        <v>-2.05</v>
      </c>
      <c r="CS62" s="191">
        <v>0</v>
      </c>
      <c r="CT62" s="191">
        <v>0</v>
      </c>
      <c r="CU62" s="191">
        <v>0</v>
      </c>
      <c r="CV62" s="191">
        <v>0.92</v>
      </c>
      <c r="CW62" s="191">
        <v>-0.82</v>
      </c>
      <c r="CX62" s="191">
        <v>0</v>
      </c>
      <c r="CY62" s="191">
        <v>3.72</v>
      </c>
      <c r="CZ62" s="191">
        <v>0</v>
      </c>
      <c r="DA62" s="191">
        <v>0</v>
      </c>
      <c r="DB62" s="191">
        <v>0</v>
      </c>
      <c r="DC62" s="191">
        <v>0</v>
      </c>
      <c r="DD62" s="191">
        <v>4.64</v>
      </c>
      <c r="DE62" s="191">
        <v>0</v>
      </c>
      <c r="DF62" s="191">
        <v>0</v>
      </c>
      <c r="DG62" s="191">
        <v>0</v>
      </c>
      <c r="DH62" s="191">
        <v>0</v>
      </c>
      <c r="DI62" s="191">
        <v>0</v>
      </c>
      <c r="DJ62" s="191">
        <v>0</v>
      </c>
      <c r="DK62" s="191">
        <v>-5.02</v>
      </c>
      <c r="DL62" s="191">
        <v>-4.92</v>
      </c>
      <c r="DM62" s="191">
        <v>-2.36</v>
      </c>
      <c r="DN62" s="191">
        <v>0</v>
      </c>
      <c r="DO62" s="191">
        <v>0</v>
      </c>
      <c r="DP62" s="191">
        <v>0</v>
      </c>
      <c r="DQ62" s="191">
        <v>0</v>
      </c>
      <c r="DR62" s="191">
        <v>0</v>
      </c>
      <c r="DS62" s="191">
        <v>0</v>
      </c>
      <c r="DT62" s="191">
        <v>0</v>
      </c>
      <c r="DU62" s="191">
        <v>0</v>
      </c>
      <c r="DV62" s="191">
        <v>0</v>
      </c>
      <c r="DW62" s="191">
        <v>0</v>
      </c>
      <c r="DX62" s="191">
        <v>2.79</v>
      </c>
      <c r="DY62" s="191">
        <v>0</v>
      </c>
      <c r="DZ62" s="191">
        <v>0</v>
      </c>
      <c r="EA62" s="191">
        <v>0</v>
      </c>
      <c r="EB62" s="191">
        <v>-2.56</v>
      </c>
      <c r="EC62" s="191">
        <v>0</v>
      </c>
      <c r="ED62" s="191">
        <v>18.57</v>
      </c>
      <c r="EE62" s="191">
        <v>-1.03</v>
      </c>
      <c r="EF62" s="191">
        <v>0</v>
      </c>
      <c r="EG62" s="191">
        <v>0</v>
      </c>
      <c r="EH62" s="191">
        <v>0</v>
      </c>
      <c r="EI62" s="192">
        <v>0</v>
      </c>
      <c r="EJ62" s="180"/>
      <c r="EK62" s="191" t="s">
        <v>467</v>
      </c>
      <c r="EL62" s="191">
        <v>-8.03</v>
      </c>
      <c r="EM62" s="191">
        <v>0</v>
      </c>
      <c r="EN62" s="191">
        <v>0</v>
      </c>
      <c r="EO62" s="191">
        <v>0</v>
      </c>
      <c r="EP62" s="191">
        <v>0</v>
      </c>
      <c r="EQ62" s="191">
        <v>0</v>
      </c>
      <c r="ER62" s="191">
        <v>0</v>
      </c>
      <c r="ES62" s="191">
        <v>0</v>
      </c>
      <c r="ET62" s="191">
        <v>4.89</v>
      </c>
      <c r="EU62" s="191">
        <v>0</v>
      </c>
      <c r="EV62" s="191">
        <v>0</v>
      </c>
      <c r="EW62" s="191">
        <v>-2.11</v>
      </c>
      <c r="EX62" s="191">
        <v>0</v>
      </c>
      <c r="EY62" s="191">
        <v>0.89</v>
      </c>
      <c r="EZ62" s="191">
        <v>0</v>
      </c>
      <c r="FA62" s="191">
        <v>4.51</v>
      </c>
      <c r="FB62" s="191">
        <v>0</v>
      </c>
      <c r="FC62" s="191">
        <v>0</v>
      </c>
      <c r="FD62" s="191">
        <v>0</v>
      </c>
      <c r="FE62" s="191">
        <v>-5.17</v>
      </c>
      <c r="FF62" s="191">
        <v>-5.07</v>
      </c>
      <c r="FG62" s="191">
        <v>-2.43</v>
      </c>
      <c r="FH62" s="191">
        <v>0</v>
      </c>
      <c r="FI62" s="191">
        <v>0</v>
      </c>
      <c r="FJ62" s="191">
        <v>0</v>
      </c>
      <c r="FK62" s="191">
        <v>0</v>
      </c>
      <c r="FL62" s="192">
        <v>0</v>
      </c>
    </row>
    <row r="63" s="180" customFormat="1" spans="1:168">
      <c r="A63" s="190" t="s">
        <v>468</v>
      </c>
      <c r="B63" s="191">
        <v>-27.9</v>
      </c>
      <c r="C63" s="192">
        <v>601.6</v>
      </c>
      <c r="E63" s="191" t="s">
        <v>468</v>
      </c>
      <c r="F63" s="191">
        <v>-7.6</v>
      </c>
      <c r="G63" s="191">
        <v>571.13</v>
      </c>
      <c r="H63" s="191">
        <v>0</v>
      </c>
      <c r="I63" s="191">
        <v>-3</v>
      </c>
      <c r="J63" s="191">
        <v>0</v>
      </c>
      <c r="K63" s="191">
        <v>0</v>
      </c>
      <c r="L63" s="191">
        <v>0</v>
      </c>
      <c r="M63" s="191">
        <v>0</v>
      </c>
      <c r="N63" s="191">
        <v>0</v>
      </c>
      <c r="O63" s="191">
        <v>0</v>
      </c>
      <c r="P63" s="191">
        <v>0</v>
      </c>
      <c r="Q63" s="191">
        <v>0</v>
      </c>
      <c r="R63" s="191">
        <v>0</v>
      </c>
      <c r="S63" s="191">
        <v>0</v>
      </c>
      <c r="T63" s="191">
        <v>0</v>
      </c>
      <c r="U63" s="191">
        <v>0</v>
      </c>
      <c r="V63" s="191">
        <v>0</v>
      </c>
      <c r="W63" s="191">
        <v>0</v>
      </c>
      <c r="X63" s="191">
        <v>0</v>
      </c>
      <c r="Y63" s="191">
        <v>0</v>
      </c>
      <c r="Z63" s="191">
        <v>0</v>
      </c>
      <c r="AA63" s="191">
        <v>0</v>
      </c>
      <c r="AB63" s="191">
        <v>-2</v>
      </c>
      <c r="AC63" s="191">
        <v>0</v>
      </c>
      <c r="AD63" s="191">
        <v>0</v>
      </c>
      <c r="AE63" s="191">
        <v>0</v>
      </c>
      <c r="AF63" s="191">
        <v>0</v>
      </c>
      <c r="AG63" s="191">
        <v>-0.8</v>
      </c>
      <c r="AH63" s="191">
        <v>0</v>
      </c>
      <c r="AI63" s="191">
        <v>3.81</v>
      </c>
      <c r="AJ63" s="191">
        <v>0</v>
      </c>
      <c r="AK63" s="191">
        <v>0</v>
      </c>
      <c r="AL63" s="191">
        <v>0</v>
      </c>
      <c r="AM63" s="191">
        <v>0</v>
      </c>
      <c r="AN63" s="191">
        <v>4.76</v>
      </c>
      <c r="AO63" s="191">
        <v>0</v>
      </c>
      <c r="AP63" s="191">
        <v>0</v>
      </c>
      <c r="AQ63" s="191">
        <v>0</v>
      </c>
      <c r="AR63" s="191">
        <v>0</v>
      </c>
      <c r="AS63" s="191">
        <v>0</v>
      </c>
      <c r="AT63" s="191">
        <v>0</v>
      </c>
      <c r="AU63" s="191">
        <v>-4.9</v>
      </c>
      <c r="AV63" s="191">
        <v>-4.8</v>
      </c>
      <c r="AW63" s="191">
        <v>-2.3</v>
      </c>
      <c r="AX63" s="191">
        <v>0</v>
      </c>
      <c r="AY63" s="191">
        <v>0</v>
      </c>
      <c r="AZ63" s="191">
        <v>0</v>
      </c>
      <c r="BA63" s="191">
        <v>0</v>
      </c>
      <c r="BB63" s="191">
        <v>0</v>
      </c>
      <c r="BC63" s="191">
        <v>0</v>
      </c>
      <c r="BD63" s="191">
        <v>0</v>
      </c>
      <c r="BE63" s="191">
        <v>0</v>
      </c>
      <c r="BF63" s="191">
        <v>0</v>
      </c>
      <c r="BG63" s="191">
        <v>0</v>
      </c>
      <c r="BH63" s="191">
        <v>2.86</v>
      </c>
      <c r="BI63" s="191">
        <v>0</v>
      </c>
      <c r="BJ63" s="191">
        <v>0</v>
      </c>
      <c r="BK63" s="191">
        <v>0</v>
      </c>
      <c r="BL63" s="191">
        <v>-2.5</v>
      </c>
      <c r="BM63" s="191">
        <v>0</v>
      </c>
      <c r="BN63" s="191">
        <v>19.04</v>
      </c>
      <c r="BO63" s="191">
        <v>0</v>
      </c>
      <c r="BP63" s="191">
        <v>0</v>
      </c>
      <c r="BQ63" s="191">
        <v>0</v>
      </c>
      <c r="BR63" s="191">
        <v>0</v>
      </c>
      <c r="BS63" s="192">
        <v>0</v>
      </c>
      <c r="BT63" s="180"/>
      <c r="BU63" s="191" t="s">
        <v>468</v>
      </c>
      <c r="BV63" s="191">
        <v>-7.79</v>
      </c>
      <c r="BW63" s="191">
        <v>557.08</v>
      </c>
      <c r="BX63" s="191">
        <v>0</v>
      </c>
      <c r="BY63" s="191">
        <v>-3.08</v>
      </c>
      <c r="BZ63" s="191">
        <v>0</v>
      </c>
      <c r="CA63" s="191">
        <v>0</v>
      </c>
      <c r="CB63" s="191">
        <v>0</v>
      </c>
      <c r="CC63" s="191">
        <v>0</v>
      </c>
      <c r="CD63" s="191">
        <v>0</v>
      </c>
      <c r="CE63" s="191">
        <v>0</v>
      </c>
      <c r="CF63" s="191">
        <v>0</v>
      </c>
      <c r="CG63" s="191">
        <v>0</v>
      </c>
      <c r="CH63" s="191">
        <v>0</v>
      </c>
      <c r="CI63" s="191">
        <v>0</v>
      </c>
      <c r="CJ63" s="191">
        <v>0</v>
      </c>
      <c r="CK63" s="191">
        <v>0</v>
      </c>
      <c r="CL63" s="191">
        <v>0</v>
      </c>
      <c r="CM63" s="191">
        <v>0</v>
      </c>
      <c r="CN63" s="191">
        <v>0</v>
      </c>
      <c r="CO63" s="191">
        <v>0</v>
      </c>
      <c r="CP63" s="191">
        <v>0</v>
      </c>
      <c r="CQ63" s="191">
        <v>0</v>
      </c>
      <c r="CR63" s="191">
        <v>-2.05</v>
      </c>
      <c r="CS63" s="191">
        <v>0</v>
      </c>
      <c r="CT63" s="191">
        <v>0</v>
      </c>
      <c r="CU63" s="191">
        <v>0</v>
      </c>
      <c r="CV63" s="191">
        <v>0</v>
      </c>
      <c r="CW63" s="191">
        <v>-0.82</v>
      </c>
      <c r="CX63" s="191">
        <v>0</v>
      </c>
      <c r="CY63" s="191">
        <v>3.72</v>
      </c>
      <c r="CZ63" s="191">
        <v>0</v>
      </c>
      <c r="DA63" s="191">
        <v>0</v>
      </c>
      <c r="DB63" s="191">
        <v>0</v>
      </c>
      <c r="DC63" s="191">
        <v>0</v>
      </c>
      <c r="DD63" s="191">
        <v>4.64</v>
      </c>
      <c r="DE63" s="191">
        <v>0</v>
      </c>
      <c r="DF63" s="191">
        <v>0</v>
      </c>
      <c r="DG63" s="191">
        <v>0</v>
      </c>
      <c r="DH63" s="191">
        <v>0</v>
      </c>
      <c r="DI63" s="191">
        <v>0</v>
      </c>
      <c r="DJ63" s="191">
        <v>0</v>
      </c>
      <c r="DK63" s="191">
        <v>-5.02</v>
      </c>
      <c r="DL63" s="191">
        <v>-4.92</v>
      </c>
      <c r="DM63" s="191">
        <v>-2.36</v>
      </c>
      <c r="DN63" s="191">
        <v>0</v>
      </c>
      <c r="DO63" s="191">
        <v>0</v>
      </c>
      <c r="DP63" s="191">
        <v>0</v>
      </c>
      <c r="DQ63" s="191">
        <v>0</v>
      </c>
      <c r="DR63" s="191">
        <v>0</v>
      </c>
      <c r="DS63" s="191">
        <v>0</v>
      </c>
      <c r="DT63" s="191">
        <v>0</v>
      </c>
      <c r="DU63" s="191">
        <v>0</v>
      </c>
      <c r="DV63" s="191">
        <v>0</v>
      </c>
      <c r="DW63" s="191">
        <v>0</v>
      </c>
      <c r="DX63" s="191">
        <v>2.79</v>
      </c>
      <c r="DY63" s="191">
        <v>0</v>
      </c>
      <c r="DZ63" s="191">
        <v>0</v>
      </c>
      <c r="EA63" s="191">
        <v>0</v>
      </c>
      <c r="EB63" s="191">
        <v>-2.56</v>
      </c>
      <c r="EC63" s="191">
        <v>0</v>
      </c>
      <c r="ED63" s="191">
        <v>18.57</v>
      </c>
      <c r="EE63" s="191">
        <v>0</v>
      </c>
      <c r="EF63" s="191">
        <v>0</v>
      </c>
      <c r="EG63" s="191">
        <v>0</v>
      </c>
      <c r="EH63" s="191">
        <v>0</v>
      </c>
      <c r="EI63" s="192">
        <v>0</v>
      </c>
      <c r="EJ63" s="180"/>
      <c r="EK63" s="191" t="s">
        <v>468</v>
      </c>
      <c r="EL63" s="191">
        <v>-8.03</v>
      </c>
      <c r="EM63" s="191">
        <v>0</v>
      </c>
      <c r="EN63" s="191">
        <v>0</v>
      </c>
      <c r="EO63" s="191">
        <v>0</v>
      </c>
      <c r="EP63" s="191">
        <v>0</v>
      </c>
      <c r="EQ63" s="191">
        <v>0</v>
      </c>
      <c r="ER63" s="191">
        <v>0</v>
      </c>
      <c r="ES63" s="191">
        <v>0</v>
      </c>
      <c r="ET63" s="191">
        <v>0</v>
      </c>
      <c r="EU63" s="191">
        <v>0</v>
      </c>
      <c r="EV63" s="191">
        <v>0</v>
      </c>
      <c r="EW63" s="191">
        <v>-2.11</v>
      </c>
      <c r="EX63" s="191">
        <v>0</v>
      </c>
      <c r="EY63" s="191">
        <v>0</v>
      </c>
      <c r="EZ63" s="191">
        <v>0</v>
      </c>
      <c r="FA63" s="191">
        <v>4.51</v>
      </c>
      <c r="FB63" s="191">
        <v>0</v>
      </c>
      <c r="FC63" s="191">
        <v>0</v>
      </c>
      <c r="FD63" s="191">
        <v>0</v>
      </c>
      <c r="FE63" s="191">
        <v>-5.17</v>
      </c>
      <c r="FF63" s="191">
        <v>-5.07</v>
      </c>
      <c r="FG63" s="191">
        <v>-2.43</v>
      </c>
      <c r="FH63" s="191">
        <v>0</v>
      </c>
      <c r="FI63" s="191">
        <v>0</v>
      </c>
      <c r="FJ63" s="191">
        <v>0</v>
      </c>
      <c r="FK63" s="191">
        <v>0</v>
      </c>
      <c r="FL63" s="192">
        <v>0</v>
      </c>
    </row>
    <row r="64" s="180" customFormat="1" spans="1:168">
      <c r="A64" s="190" t="s">
        <v>469</v>
      </c>
      <c r="B64" s="191">
        <v>-29.6</v>
      </c>
      <c r="C64" s="192">
        <v>801.59</v>
      </c>
      <c r="E64" s="191" t="s">
        <v>469</v>
      </c>
      <c r="F64" s="191">
        <v>-7.6</v>
      </c>
      <c r="G64" s="191">
        <v>761.5</v>
      </c>
      <c r="H64" s="191">
        <v>0</v>
      </c>
      <c r="I64" s="191">
        <v>-3</v>
      </c>
      <c r="J64" s="191">
        <v>0</v>
      </c>
      <c r="K64" s="191">
        <v>0</v>
      </c>
      <c r="L64" s="191">
        <v>0</v>
      </c>
      <c r="M64" s="191">
        <v>0</v>
      </c>
      <c r="N64" s="191">
        <v>0</v>
      </c>
      <c r="O64" s="191">
        <v>0</v>
      </c>
      <c r="P64" s="191">
        <v>0</v>
      </c>
      <c r="Q64" s="191">
        <v>0</v>
      </c>
      <c r="R64" s="191">
        <v>0</v>
      </c>
      <c r="S64" s="191">
        <v>0</v>
      </c>
      <c r="T64" s="191">
        <v>-0.2</v>
      </c>
      <c r="U64" s="191">
        <v>0</v>
      </c>
      <c r="V64" s="191">
        <v>0</v>
      </c>
      <c r="W64" s="191">
        <v>0</v>
      </c>
      <c r="X64" s="191">
        <v>5.71</v>
      </c>
      <c r="Y64" s="191">
        <v>0</v>
      </c>
      <c r="Z64" s="191">
        <v>0</v>
      </c>
      <c r="AA64" s="191">
        <v>0</v>
      </c>
      <c r="AB64" s="191">
        <v>-1.9</v>
      </c>
      <c r="AC64" s="191">
        <v>0</v>
      </c>
      <c r="AD64" s="191">
        <v>0</v>
      </c>
      <c r="AE64" s="191">
        <v>0</v>
      </c>
      <c r="AF64" s="191">
        <v>1.05</v>
      </c>
      <c r="AG64" s="191">
        <v>-0.8</v>
      </c>
      <c r="AH64" s="191">
        <v>0</v>
      </c>
      <c r="AI64" s="191">
        <v>3.81</v>
      </c>
      <c r="AJ64" s="191">
        <v>0</v>
      </c>
      <c r="AK64" s="191">
        <v>0</v>
      </c>
      <c r="AL64" s="191">
        <v>0</v>
      </c>
      <c r="AM64" s="191">
        <v>0</v>
      </c>
      <c r="AN64" s="191">
        <v>4.76</v>
      </c>
      <c r="AO64" s="191">
        <v>0</v>
      </c>
      <c r="AP64" s="191">
        <v>0</v>
      </c>
      <c r="AQ64" s="191">
        <v>0</v>
      </c>
      <c r="AR64" s="191">
        <v>0</v>
      </c>
      <c r="AS64" s="191">
        <v>0</v>
      </c>
      <c r="AT64" s="191">
        <v>0</v>
      </c>
      <c r="AU64" s="191">
        <v>-4.9</v>
      </c>
      <c r="AV64" s="191">
        <v>-4.8</v>
      </c>
      <c r="AW64" s="191">
        <v>-2.3</v>
      </c>
      <c r="AX64" s="191">
        <v>0</v>
      </c>
      <c r="AY64" s="191">
        <v>0</v>
      </c>
      <c r="AZ64" s="191">
        <v>0</v>
      </c>
      <c r="BA64" s="191">
        <v>0</v>
      </c>
      <c r="BB64" s="191">
        <v>0</v>
      </c>
      <c r="BC64" s="191">
        <v>2.86</v>
      </c>
      <c r="BD64" s="191">
        <v>0</v>
      </c>
      <c r="BE64" s="191">
        <v>0</v>
      </c>
      <c r="BF64" s="191">
        <v>0</v>
      </c>
      <c r="BG64" s="191">
        <v>0</v>
      </c>
      <c r="BH64" s="191">
        <v>2.86</v>
      </c>
      <c r="BI64" s="191">
        <v>0</v>
      </c>
      <c r="BJ64" s="191">
        <v>0</v>
      </c>
      <c r="BK64" s="191">
        <v>0</v>
      </c>
      <c r="BL64" s="191">
        <v>-2.5</v>
      </c>
      <c r="BM64" s="191">
        <v>0</v>
      </c>
      <c r="BN64" s="191">
        <v>19.04</v>
      </c>
      <c r="BO64" s="191">
        <v>-1.6</v>
      </c>
      <c r="BP64" s="191">
        <v>0</v>
      </c>
      <c r="BQ64" s="191">
        <v>0</v>
      </c>
      <c r="BR64" s="191">
        <v>0</v>
      </c>
      <c r="BS64" s="192">
        <v>0</v>
      </c>
      <c r="BT64" s="180"/>
      <c r="BU64" s="191" t="s">
        <v>469</v>
      </c>
      <c r="BV64" s="191">
        <v>-7.79</v>
      </c>
      <c r="BW64" s="191">
        <v>742.77</v>
      </c>
      <c r="BX64" s="191">
        <v>0</v>
      </c>
      <c r="BY64" s="191">
        <v>-3.08</v>
      </c>
      <c r="BZ64" s="191">
        <v>0</v>
      </c>
      <c r="CA64" s="191">
        <v>0</v>
      </c>
      <c r="CB64" s="191">
        <v>0</v>
      </c>
      <c r="CC64" s="191">
        <v>0</v>
      </c>
      <c r="CD64" s="191">
        <v>0</v>
      </c>
      <c r="CE64" s="191">
        <v>0</v>
      </c>
      <c r="CF64" s="191">
        <v>0</v>
      </c>
      <c r="CG64" s="191">
        <v>0</v>
      </c>
      <c r="CH64" s="191">
        <v>0</v>
      </c>
      <c r="CI64" s="191">
        <v>0</v>
      </c>
      <c r="CJ64" s="191">
        <v>-0.21</v>
      </c>
      <c r="CK64" s="191">
        <v>0</v>
      </c>
      <c r="CL64" s="191">
        <v>0</v>
      </c>
      <c r="CM64" s="191">
        <v>0</v>
      </c>
      <c r="CN64" s="191">
        <v>5.57</v>
      </c>
      <c r="CO64" s="191">
        <v>0</v>
      </c>
      <c r="CP64" s="191">
        <v>0</v>
      </c>
      <c r="CQ64" s="191">
        <v>0</v>
      </c>
      <c r="CR64" s="191">
        <v>-1.95</v>
      </c>
      <c r="CS64" s="191">
        <v>0</v>
      </c>
      <c r="CT64" s="191">
        <v>0</v>
      </c>
      <c r="CU64" s="191">
        <v>0</v>
      </c>
      <c r="CV64" s="191">
        <v>1.02</v>
      </c>
      <c r="CW64" s="191">
        <v>-0.82</v>
      </c>
      <c r="CX64" s="191">
        <v>0</v>
      </c>
      <c r="CY64" s="191">
        <v>3.72</v>
      </c>
      <c r="CZ64" s="191">
        <v>0</v>
      </c>
      <c r="DA64" s="191">
        <v>0</v>
      </c>
      <c r="DB64" s="191">
        <v>0</v>
      </c>
      <c r="DC64" s="191">
        <v>0</v>
      </c>
      <c r="DD64" s="191">
        <v>4.64</v>
      </c>
      <c r="DE64" s="191">
        <v>0</v>
      </c>
      <c r="DF64" s="191">
        <v>0</v>
      </c>
      <c r="DG64" s="191">
        <v>0</v>
      </c>
      <c r="DH64" s="191">
        <v>0</v>
      </c>
      <c r="DI64" s="191">
        <v>0</v>
      </c>
      <c r="DJ64" s="191">
        <v>0</v>
      </c>
      <c r="DK64" s="191">
        <v>-5.02</v>
      </c>
      <c r="DL64" s="191">
        <v>-4.92</v>
      </c>
      <c r="DM64" s="191">
        <v>-2.36</v>
      </c>
      <c r="DN64" s="191">
        <v>0</v>
      </c>
      <c r="DO64" s="191">
        <v>0</v>
      </c>
      <c r="DP64" s="191">
        <v>0</v>
      </c>
      <c r="DQ64" s="191">
        <v>0</v>
      </c>
      <c r="DR64" s="191">
        <v>0</v>
      </c>
      <c r="DS64" s="191">
        <v>2.79</v>
      </c>
      <c r="DT64" s="191">
        <v>0</v>
      </c>
      <c r="DU64" s="191">
        <v>0</v>
      </c>
      <c r="DV64" s="191">
        <v>0</v>
      </c>
      <c r="DW64" s="191">
        <v>0</v>
      </c>
      <c r="DX64" s="191">
        <v>2.79</v>
      </c>
      <c r="DY64" s="191">
        <v>0</v>
      </c>
      <c r="DZ64" s="191">
        <v>0</v>
      </c>
      <c r="EA64" s="191">
        <v>0</v>
      </c>
      <c r="EB64" s="191">
        <v>-2.56</v>
      </c>
      <c r="EC64" s="191">
        <v>0</v>
      </c>
      <c r="ED64" s="191">
        <v>18.57</v>
      </c>
      <c r="EE64" s="191">
        <v>-1.64</v>
      </c>
      <c r="EF64" s="191">
        <v>0</v>
      </c>
      <c r="EG64" s="191">
        <v>0</v>
      </c>
      <c r="EH64" s="191">
        <v>0</v>
      </c>
      <c r="EI64" s="192">
        <v>0</v>
      </c>
      <c r="EJ64" s="180"/>
      <c r="EK64" s="191" t="s">
        <v>469</v>
      </c>
      <c r="EL64" s="191">
        <v>-8.03</v>
      </c>
      <c r="EM64" s="191">
        <v>0</v>
      </c>
      <c r="EN64" s="191">
        <v>0</v>
      </c>
      <c r="EO64" s="191">
        <v>0</v>
      </c>
      <c r="EP64" s="191">
        <v>0</v>
      </c>
      <c r="EQ64" s="191">
        <v>0</v>
      </c>
      <c r="ER64" s="191">
        <v>0</v>
      </c>
      <c r="ES64" s="191">
        <v>0</v>
      </c>
      <c r="ET64" s="191">
        <v>5.42</v>
      </c>
      <c r="EU64" s="191">
        <v>0</v>
      </c>
      <c r="EV64" s="191">
        <v>0</v>
      </c>
      <c r="EW64" s="191">
        <v>-2</v>
      </c>
      <c r="EX64" s="191">
        <v>0</v>
      </c>
      <c r="EY64" s="191">
        <v>0.99</v>
      </c>
      <c r="EZ64" s="191">
        <v>0</v>
      </c>
      <c r="FA64" s="191">
        <v>4.51</v>
      </c>
      <c r="FB64" s="191">
        <v>0</v>
      </c>
      <c r="FC64" s="191">
        <v>0</v>
      </c>
      <c r="FD64" s="191">
        <v>0</v>
      </c>
      <c r="FE64" s="191">
        <v>-5.17</v>
      </c>
      <c r="FF64" s="191">
        <v>-5.07</v>
      </c>
      <c r="FG64" s="191">
        <v>-2.43</v>
      </c>
      <c r="FH64" s="191">
        <v>0</v>
      </c>
      <c r="FI64" s="191">
        <v>0</v>
      </c>
      <c r="FJ64" s="191">
        <v>0</v>
      </c>
      <c r="FK64" s="191">
        <v>0</v>
      </c>
      <c r="FL64" s="192">
        <v>0</v>
      </c>
    </row>
    <row r="65" s="180" customFormat="1" spans="1:168">
      <c r="A65" s="190" t="s">
        <v>470</v>
      </c>
      <c r="B65" s="191">
        <v>-29.7</v>
      </c>
      <c r="C65" s="192">
        <v>999.69</v>
      </c>
      <c r="E65" s="191" t="s">
        <v>470</v>
      </c>
      <c r="F65" s="191">
        <v>-7.6</v>
      </c>
      <c r="G65" s="191">
        <v>951.89</v>
      </c>
      <c r="H65" s="191">
        <v>0</v>
      </c>
      <c r="I65" s="191">
        <v>-2.9</v>
      </c>
      <c r="J65" s="191">
        <v>0</v>
      </c>
      <c r="K65" s="191">
        <v>0</v>
      </c>
      <c r="L65" s="191">
        <v>0</v>
      </c>
      <c r="M65" s="191">
        <v>0</v>
      </c>
      <c r="N65" s="191">
        <v>0</v>
      </c>
      <c r="O65" s="191">
        <v>0</v>
      </c>
      <c r="P65" s="191">
        <v>0</v>
      </c>
      <c r="Q65" s="191">
        <v>0</v>
      </c>
      <c r="R65" s="191">
        <v>0</v>
      </c>
      <c r="S65" s="191">
        <v>0</v>
      </c>
      <c r="T65" s="191">
        <v>-0.2</v>
      </c>
      <c r="U65" s="191">
        <v>0</v>
      </c>
      <c r="V65" s="191">
        <v>0</v>
      </c>
      <c r="W65" s="191">
        <v>0</v>
      </c>
      <c r="X65" s="191">
        <v>5.71</v>
      </c>
      <c r="Y65" s="191">
        <v>0</v>
      </c>
      <c r="Z65" s="191">
        <v>0</v>
      </c>
      <c r="AA65" s="191">
        <v>0</v>
      </c>
      <c r="AB65" s="191">
        <v>-1.9</v>
      </c>
      <c r="AC65" s="191">
        <v>3.43</v>
      </c>
      <c r="AD65" s="191">
        <v>0</v>
      </c>
      <c r="AE65" s="191">
        <v>4.28</v>
      </c>
      <c r="AF65" s="191">
        <v>1.05</v>
      </c>
      <c r="AG65" s="191">
        <v>-0.8</v>
      </c>
      <c r="AH65" s="191">
        <v>0</v>
      </c>
      <c r="AI65" s="191">
        <v>3.81</v>
      </c>
      <c r="AJ65" s="191">
        <v>0</v>
      </c>
      <c r="AK65" s="191">
        <v>0</v>
      </c>
      <c r="AL65" s="191">
        <v>0</v>
      </c>
      <c r="AM65" s="191">
        <v>0</v>
      </c>
      <c r="AN65" s="191">
        <v>4.76</v>
      </c>
      <c r="AO65" s="191">
        <v>0</v>
      </c>
      <c r="AP65" s="191">
        <v>0</v>
      </c>
      <c r="AQ65" s="191">
        <v>0</v>
      </c>
      <c r="AR65" s="191">
        <v>0</v>
      </c>
      <c r="AS65" s="191">
        <v>0</v>
      </c>
      <c r="AT65" s="191">
        <v>0</v>
      </c>
      <c r="AU65" s="191">
        <v>-4.9</v>
      </c>
      <c r="AV65" s="191">
        <v>-4.8</v>
      </c>
      <c r="AW65" s="191">
        <v>-2.3</v>
      </c>
      <c r="AX65" s="191">
        <v>0</v>
      </c>
      <c r="AY65" s="191">
        <v>0</v>
      </c>
      <c r="AZ65" s="191">
        <v>0</v>
      </c>
      <c r="BA65" s="191">
        <v>0</v>
      </c>
      <c r="BB65" s="191">
        <v>0</v>
      </c>
      <c r="BC65" s="191">
        <v>2.86</v>
      </c>
      <c r="BD65" s="191">
        <v>0</v>
      </c>
      <c r="BE65" s="191">
        <v>0</v>
      </c>
      <c r="BF65" s="191">
        <v>0</v>
      </c>
      <c r="BG65" s="191">
        <v>0</v>
      </c>
      <c r="BH65" s="191">
        <v>2.86</v>
      </c>
      <c r="BI65" s="191">
        <v>0</v>
      </c>
      <c r="BJ65" s="191">
        <v>0</v>
      </c>
      <c r="BK65" s="191">
        <v>0</v>
      </c>
      <c r="BL65" s="191">
        <v>-2.5</v>
      </c>
      <c r="BM65" s="191">
        <v>0</v>
      </c>
      <c r="BN65" s="191">
        <v>19.04</v>
      </c>
      <c r="BO65" s="191">
        <v>-1.8</v>
      </c>
      <c r="BP65" s="191">
        <v>0</v>
      </c>
      <c r="BQ65" s="191">
        <v>0</v>
      </c>
      <c r="BR65" s="191">
        <v>0</v>
      </c>
      <c r="BS65" s="192">
        <v>0</v>
      </c>
      <c r="BT65" s="180"/>
      <c r="BU65" s="191" t="s">
        <v>470</v>
      </c>
      <c r="BV65" s="191">
        <v>-7.79</v>
      </c>
      <c r="BW65" s="191">
        <v>928.47</v>
      </c>
      <c r="BX65" s="191">
        <v>0</v>
      </c>
      <c r="BY65" s="191">
        <v>-2.97</v>
      </c>
      <c r="BZ65" s="191">
        <v>0</v>
      </c>
      <c r="CA65" s="191">
        <v>0</v>
      </c>
      <c r="CB65" s="191">
        <v>0</v>
      </c>
      <c r="CC65" s="191">
        <v>0</v>
      </c>
      <c r="CD65" s="191">
        <v>0</v>
      </c>
      <c r="CE65" s="191">
        <v>0</v>
      </c>
      <c r="CF65" s="191">
        <v>0</v>
      </c>
      <c r="CG65" s="191">
        <v>0</v>
      </c>
      <c r="CH65" s="191">
        <v>0</v>
      </c>
      <c r="CI65" s="191">
        <v>0</v>
      </c>
      <c r="CJ65" s="191">
        <v>-0.21</v>
      </c>
      <c r="CK65" s="191">
        <v>0</v>
      </c>
      <c r="CL65" s="191">
        <v>0</v>
      </c>
      <c r="CM65" s="191">
        <v>0</v>
      </c>
      <c r="CN65" s="191">
        <v>5.57</v>
      </c>
      <c r="CO65" s="191">
        <v>0</v>
      </c>
      <c r="CP65" s="191">
        <v>0</v>
      </c>
      <c r="CQ65" s="191">
        <v>0</v>
      </c>
      <c r="CR65" s="191">
        <v>-1.95</v>
      </c>
      <c r="CS65" s="191">
        <v>3.35</v>
      </c>
      <c r="CT65" s="191">
        <v>0</v>
      </c>
      <c r="CU65" s="191">
        <v>4.17</v>
      </c>
      <c r="CV65" s="191">
        <v>1.02</v>
      </c>
      <c r="CW65" s="191">
        <v>-0.82</v>
      </c>
      <c r="CX65" s="191">
        <v>0</v>
      </c>
      <c r="CY65" s="191">
        <v>3.72</v>
      </c>
      <c r="CZ65" s="191">
        <v>0</v>
      </c>
      <c r="DA65" s="191">
        <v>0</v>
      </c>
      <c r="DB65" s="191">
        <v>0</v>
      </c>
      <c r="DC65" s="191">
        <v>0</v>
      </c>
      <c r="DD65" s="191">
        <v>4.64</v>
      </c>
      <c r="DE65" s="191">
        <v>0</v>
      </c>
      <c r="DF65" s="191">
        <v>0</v>
      </c>
      <c r="DG65" s="191">
        <v>0</v>
      </c>
      <c r="DH65" s="191">
        <v>0</v>
      </c>
      <c r="DI65" s="191">
        <v>0</v>
      </c>
      <c r="DJ65" s="191">
        <v>0</v>
      </c>
      <c r="DK65" s="191">
        <v>-5.02</v>
      </c>
      <c r="DL65" s="191">
        <v>-4.92</v>
      </c>
      <c r="DM65" s="191">
        <v>-2.36</v>
      </c>
      <c r="DN65" s="191">
        <v>0</v>
      </c>
      <c r="DO65" s="191">
        <v>0</v>
      </c>
      <c r="DP65" s="191">
        <v>0</v>
      </c>
      <c r="DQ65" s="191">
        <v>0</v>
      </c>
      <c r="DR65" s="191">
        <v>0</v>
      </c>
      <c r="DS65" s="191">
        <v>2.79</v>
      </c>
      <c r="DT65" s="191">
        <v>0</v>
      </c>
      <c r="DU65" s="191">
        <v>0</v>
      </c>
      <c r="DV65" s="191">
        <v>0</v>
      </c>
      <c r="DW65" s="191">
        <v>0</v>
      </c>
      <c r="DX65" s="191">
        <v>2.79</v>
      </c>
      <c r="DY65" s="191">
        <v>0</v>
      </c>
      <c r="DZ65" s="191">
        <v>0</v>
      </c>
      <c r="EA65" s="191">
        <v>0</v>
      </c>
      <c r="EB65" s="191">
        <v>-2.56</v>
      </c>
      <c r="EC65" s="191">
        <v>0</v>
      </c>
      <c r="ED65" s="191">
        <v>18.57</v>
      </c>
      <c r="EE65" s="191">
        <v>-1.85</v>
      </c>
      <c r="EF65" s="191">
        <v>0</v>
      </c>
      <c r="EG65" s="191">
        <v>0</v>
      </c>
      <c r="EH65" s="191">
        <v>0</v>
      </c>
      <c r="EI65" s="192">
        <v>0</v>
      </c>
      <c r="EJ65" s="180"/>
      <c r="EK65" s="191" t="s">
        <v>470</v>
      </c>
      <c r="EL65" s="191">
        <v>-8.03</v>
      </c>
      <c r="EM65" s="191">
        <v>0</v>
      </c>
      <c r="EN65" s="191">
        <v>0</v>
      </c>
      <c r="EO65" s="191">
        <v>0</v>
      </c>
      <c r="EP65" s="191">
        <v>0</v>
      </c>
      <c r="EQ65" s="191">
        <v>0</v>
      </c>
      <c r="ER65" s="191">
        <v>0</v>
      </c>
      <c r="ES65" s="191">
        <v>0</v>
      </c>
      <c r="ET65" s="191">
        <v>5.42</v>
      </c>
      <c r="EU65" s="191">
        <v>0</v>
      </c>
      <c r="EV65" s="191">
        <v>0</v>
      </c>
      <c r="EW65" s="191">
        <v>-2</v>
      </c>
      <c r="EX65" s="191">
        <v>3.26</v>
      </c>
      <c r="EY65" s="191">
        <v>0.99</v>
      </c>
      <c r="EZ65" s="191">
        <v>0</v>
      </c>
      <c r="FA65" s="191">
        <v>4.51</v>
      </c>
      <c r="FB65" s="191">
        <v>0</v>
      </c>
      <c r="FC65" s="191">
        <v>0</v>
      </c>
      <c r="FD65" s="191">
        <v>0</v>
      </c>
      <c r="FE65" s="191">
        <v>-5.17</v>
      </c>
      <c r="FF65" s="191">
        <v>-5.07</v>
      </c>
      <c r="FG65" s="191">
        <v>-2.43</v>
      </c>
      <c r="FH65" s="191">
        <v>0</v>
      </c>
      <c r="FI65" s="191">
        <v>0</v>
      </c>
      <c r="FJ65" s="191">
        <v>0</v>
      </c>
      <c r="FK65" s="191">
        <v>0</v>
      </c>
      <c r="FL65" s="192">
        <v>0</v>
      </c>
    </row>
    <row r="66" s="180" customFormat="1" spans="1:168">
      <c r="A66" s="190" t="s">
        <v>471</v>
      </c>
      <c r="B66" s="191">
        <v>-29.6</v>
      </c>
      <c r="C66" s="192">
        <v>611.21</v>
      </c>
      <c r="E66" s="191" t="s">
        <v>471</v>
      </c>
      <c r="F66" s="191">
        <v>-7.6</v>
      </c>
      <c r="G66" s="191">
        <v>571.12</v>
      </c>
      <c r="H66" s="191">
        <v>0</v>
      </c>
      <c r="I66" s="191">
        <v>-2.1</v>
      </c>
      <c r="J66" s="191">
        <v>0</v>
      </c>
      <c r="K66" s="191">
        <v>0</v>
      </c>
      <c r="L66" s="191">
        <v>0</v>
      </c>
      <c r="M66" s="191">
        <v>0</v>
      </c>
      <c r="N66" s="191">
        <v>0</v>
      </c>
      <c r="O66" s="191">
        <v>0</v>
      </c>
      <c r="P66" s="191">
        <v>0</v>
      </c>
      <c r="Q66" s="191">
        <v>0</v>
      </c>
      <c r="R66" s="191">
        <v>0</v>
      </c>
      <c r="S66" s="191">
        <v>0</v>
      </c>
      <c r="T66" s="191">
        <v>-0.2</v>
      </c>
      <c r="U66" s="191">
        <v>0</v>
      </c>
      <c r="V66" s="191">
        <v>0</v>
      </c>
      <c r="W66" s="191">
        <v>0</v>
      </c>
      <c r="X66" s="191">
        <v>5.71</v>
      </c>
      <c r="Y66" s="191">
        <v>0</v>
      </c>
      <c r="Z66" s="191">
        <v>0</v>
      </c>
      <c r="AA66" s="191">
        <v>0</v>
      </c>
      <c r="AB66" s="191">
        <v>-1.8</v>
      </c>
      <c r="AC66" s="191">
        <v>0</v>
      </c>
      <c r="AD66" s="191">
        <v>0</v>
      </c>
      <c r="AE66" s="191">
        <v>0</v>
      </c>
      <c r="AF66" s="191">
        <v>1.05</v>
      </c>
      <c r="AG66" s="191">
        <v>-0.8</v>
      </c>
      <c r="AH66" s="191">
        <v>0</v>
      </c>
      <c r="AI66" s="191">
        <v>3.81</v>
      </c>
      <c r="AJ66" s="191">
        <v>0</v>
      </c>
      <c r="AK66" s="191">
        <v>0</v>
      </c>
      <c r="AL66" s="191">
        <v>0</v>
      </c>
      <c r="AM66" s="191">
        <v>0</v>
      </c>
      <c r="AN66" s="191">
        <v>4.76</v>
      </c>
      <c r="AO66" s="191">
        <v>0</v>
      </c>
      <c r="AP66" s="191">
        <v>0</v>
      </c>
      <c r="AQ66" s="191">
        <v>0</v>
      </c>
      <c r="AR66" s="191">
        <v>0</v>
      </c>
      <c r="AS66" s="191">
        <v>0</v>
      </c>
      <c r="AT66" s="191">
        <v>0</v>
      </c>
      <c r="AU66" s="191">
        <v>-4.9</v>
      </c>
      <c r="AV66" s="191">
        <v>-4.8</v>
      </c>
      <c r="AW66" s="191">
        <v>-2.3</v>
      </c>
      <c r="AX66" s="191">
        <v>0</v>
      </c>
      <c r="AY66" s="191">
        <v>0</v>
      </c>
      <c r="AZ66" s="191">
        <v>0</v>
      </c>
      <c r="BA66" s="191">
        <v>0</v>
      </c>
      <c r="BB66" s="191">
        <v>0</v>
      </c>
      <c r="BC66" s="191">
        <v>2.86</v>
      </c>
      <c r="BD66" s="191">
        <v>0</v>
      </c>
      <c r="BE66" s="191">
        <v>0</v>
      </c>
      <c r="BF66" s="191">
        <v>0</v>
      </c>
      <c r="BG66" s="191">
        <v>0</v>
      </c>
      <c r="BH66" s="191">
        <v>2.86</v>
      </c>
      <c r="BI66" s="191">
        <v>0</v>
      </c>
      <c r="BJ66" s="191">
        <v>0</v>
      </c>
      <c r="BK66" s="191">
        <v>0</v>
      </c>
      <c r="BL66" s="191">
        <v>-2.5</v>
      </c>
      <c r="BM66" s="191">
        <v>0</v>
      </c>
      <c r="BN66" s="191">
        <v>19.04</v>
      </c>
      <c r="BO66" s="191">
        <v>-2.6</v>
      </c>
      <c r="BP66" s="191">
        <v>0</v>
      </c>
      <c r="BQ66" s="191">
        <v>0</v>
      </c>
      <c r="BR66" s="191">
        <v>0</v>
      </c>
      <c r="BS66" s="192">
        <v>0</v>
      </c>
      <c r="BT66" s="180"/>
      <c r="BU66" s="191" t="s">
        <v>471</v>
      </c>
      <c r="BV66" s="191">
        <v>-7.79</v>
      </c>
      <c r="BW66" s="191">
        <v>557.07</v>
      </c>
      <c r="BX66" s="191">
        <v>0</v>
      </c>
      <c r="BY66" s="191">
        <v>-2.15</v>
      </c>
      <c r="BZ66" s="191">
        <v>0</v>
      </c>
      <c r="CA66" s="191">
        <v>0</v>
      </c>
      <c r="CB66" s="191">
        <v>0</v>
      </c>
      <c r="CC66" s="191">
        <v>0</v>
      </c>
      <c r="CD66" s="191">
        <v>0</v>
      </c>
      <c r="CE66" s="191">
        <v>0</v>
      </c>
      <c r="CF66" s="191">
        <v>0</v>
      </c>
      <c r="CG66" s="191">
        <v>0</v>
      </c>
      <c r="CH66" s="191">
        <v>0</v>
      </c>
      <c r="CI66" s="191">
        <v>0</v>
      </c>
      <c r="CJ66" s="191">
        <v>-0.21</v>
      </c>
      <c r="CK66" s="191">
        <v>0</v>
      </c>
      <c r="CL66" s="191">
        <v>0</v>
      </c>
      <c r="CM66" s="191">
        <v>0</v>
      </c>
      <c r="CN66" s="191">
        <v>5.57</v>
      </c>
      <c r="CO66" s="191">
        <v>0</v>
      </c>
      <c r="CP66" s="191">
        <v>0</v>
      </c>
      <c r="CQ66" s="191">
        <v>0</v>
      </c>
      <c r="CR66" s="191">
        <v>-1.85</v>
      </c>
      <c r="CS66" s="191">
        <v>0</v>
      </c>
      <c r="CT66" s="191">
        <v>0</v>
      </c>
      <c r="CU66" s="191">
        <v>0</v>
      </c>
      <c r="CV66" s="191">
        <v>1.02</v>
      </c>
      <c r="CW66" s="191">
        <v>-0.82</v>
      </c>
      <c r="CX66" s="191">
        <v>0</v>
      </c>
      <c r="CY66" s="191">
        <v>3.72</v>
      </c>
      <c r="CZ66" s="191">
        <v>0</v>
      </c>
      <c r="DA66" s="191">
        <v>0</v>
      </c>
      <c r="DB66" s="191">
        <v>0</v>
      </c>
      <c r="DC66" s="191">
        <v>0</v>
      </c>
      <c r="DD66" s="191">
        <v>4.64</v>
      </c>
      <c r="DE66" s="191">
        <v>0</v>
      </c>
      <c r="DF66" s="191">
        <v>0</v>
      </c>
      <c r="DG66" s="191">
        <v>0</v>
      </c>
      <c r="DH66" s="191">
        <v>0</v>
      </c>
      <c r="DI66" s="191">
        <v>0</v>
      </c>
      <c r="DJ66" s="191">
        <v>0</v>
      </c>
      <c r="DK66" s="191">
        <v>-5.02</v>
      </c>
      <c r="DL66" s="191">
        <v>-4.92</v>
      </c>
      <c r="DM66" s="191">
        <v>-2.36</v>
      </c>
      <c r="DN66" s="191">
        <v>0</v>
      </c>
      <c r="DO66" s="191">
        <v>0</v>
      </c>
      <c r="DP66" s="191">
        <v>0</v>
      </c>
      <c r="DQ66" s="191">
        <v>0</v>
      </c>
      <c r="DR66" s="191">
        <v>0</v>
      </c>
      <c r="DS66" s="191">
        <v>2.79</v>
      </c>
      <c r="DT66" s="191">
        <v>0</v>
      </c>
      <c r="DU66" s="191">
        <v>0</v>
      </c>
      <c r="DV66" s="191">
        <v>0</v>
      </c>
      <c r="DW66" s="191">
        <v>0</v>
      </c>
      <c r="DX66" s="191">
        <v>2.79</v>
      </c>
      <c r="DY66" s="191">
        <v>0</v>
      </c>
      <c r="DZ66" s="191">
        <v>0</v>
      </c>
      <c r="EA66" s="191">
        <v>0</v>
      </c>
      <c r="EB66" s="191">
        <v>-2.56</v>
      </c>
      <c r="EC66" s="191">
        <v>0</v>
      </c>
      <c r="ED66" s="191">
        <v>18.57</v>
      </c>
      <c r="EE66" s="191">
        <v>-2.67</v>
      </c>
      <c r="EF66" s="191">
        <v>0</v>
      </c>
      <c r="EG66" s="191">
        <v>0</v>
      </c>
      <c r="EH66" s="191">
        <v>0</v>
      </c>
      <c r="EI66" s="192">
        <v>0</v>
      </c>
      <c r="EJ66" s="180"/>
      <c r="EK66" s="191" t="s">
        <v>471</v>
      </c>
      <c r="EL66" s="191">
        <v>-8.03</v>
      </c>
      <c r="EM66" s="191">
        <v>0</v>
      </c>
      <c r="EN66" s="191">
        <v>0</v>
      </c>
      <c r="EO66" s="191">
        <v>0</v>
      </c>
      <c r="EP66" s="191">
        <v>0</v>
      </c>
      <c r="EQ66" s="191">
        <v>0</v>
      </c>
      <c r="ER66" s="191">
        <v>0</v>
      </c>
      <c r="ES66" s="191">
        <v>0</v>
      </c>
      <c r="ET66" s="191">
        <v>5.42</v>
      </c>
      <c r="EU66" s="191">
        <v>0</v>
      </c>
      <c r="EV66" s="191">
        <v>0</v>
      </c>
      <c r="EW66" s="191">
        <v>-1.9</v>
      </c>
      <c r="EX66" s="191">
        <v>0</v>
      </c>
      <c r="EY66" s="191">
        <v>0.99</v>
      </c>
      <c r="EZ66" s="191">
        <v>0</v>
      </c>
      <c r="FA66" s="191">
        <v>4.51</v>
      </c>
      <c r="FB66" s="191">
        <v>0</v>
      </c>
      <c r="FC66" s="191">
        <v>0</v>
      </c>
      <c r="FD66" s="191">
        <v>0</v>
      </c>
      <c r="FE66" s="191">
        <v>-5.17</v>
      </c>
      <c r="FF66" s="191">
        <v>-5.07</v>
      </c>
      <c r="FG66" s="191">
        <v>-2.43</v>
      </c>
      <c r="FH66" s="191">
        <v>0</v>
      </c>
      <c r="FI66" s="191">
        <v>0</v>
      </c>
      <c r="FJ66" s="191">
        <v>0</v>
      </c>
      <c r="FK66" s="191">
        <v>0</v>
      </c>
      <c r="FL66" s="192">
        <v>0</v>
      </c>
    </row>
    <row r="67" s="180" customFormat="1" spans="1:168">
      <c r="A67" s="190" t="s">
        <v>472</v>
      </c>
      <c r="B67" s="191">
        <v>-29.1</v>
      </c>
      <c r="C67" s="192">
        <v>706.4</v>
      </c>
      <c r="E67" s="191" t="s">
        <v>472</v>
      </c>
      <c r="F67" s="191">
        <v>-7.6</v>
      </c>
      <c r="G67" s="191">
        <v>666.31</v>
      </c>
      <c r="H67" s="191">
        <v>0</v>
      </c>
      <c r="I67" s="191">
        <v>-2.1</v>
      </c>
      <c r="J67" s="191">
        <v>0</v>
      </c>
      <c r="K67" s="191">
        <v>0</v>
      </c>
      <c r="L67" s="191">
        <v>0</v>
      </c>
      <c r="M67" s="191">
        <v>0</v>
      </c>
      <c r="N67" s="191">
        <v>0</v>
      </c>
      <c r="O67" s="191">
        <v>0</v>
      </c>
      <c r="P67" s="191">
        <v>0</v>
      </c>
      <c r="Q67" s="191">
        <v>0</v>
      </c>
      <c r="R67" s="191">
        <v>0</v>
      </c>
      <c r="S67" s="191">
        <v>0</v>
      </c>
      <c r="T67" s="191">
        <v>-0.2</v>
      </c>
      <c r="U67" s="191">
        <v>0</v>
      </c>
      <c r="V67" s="191">
        <v>0</v>
      </c>
      <c r="W67" s="191">
        <v>0</v>
      </c>
      <c r="X67" s="191">
        <v>5.71</v>
      </c>
      <c r="Y67" s="191">
        <v>0</v>
      </c>
      <c r="Z67" s="191">
        <v>0</v>
      </c>
      <c r="AA67" s="191">
        <v>0</v>
      </c>
      <c r="AB67" s="191">
        <v>-1.8</v>
      </c>
      <c r="AC67" s="191">
        <v>0</v>
      </c>
      <c r="AD67" s="191">
        <v>0</v>
      </c>
      <c r="AE67" s="191">
        <v>0</v>
      </c>
      <c r="AF67" s="191">
        <v>1.05</v>
      </c>
      <c r="AG67" s="191">
        <v>-0.8</v>
      </c>
      <c r="AH67" s="191">
        <v>0</v>
      </c>
      <c r="AI67" s="191">
        <v>3.81</v>
      </c>
      <c r="AJ67" s="191">
        <v>0</v>
      </c>
      <c r="AK67" s="191">
        <v>0</v>
      </c>
      <c r="AL67" s="191">
        <v>0</v>
      </c>
      <c r="AM67" s="191">
        <v>0</v>
      </c>
      <c r="AN67" s="191">
        <v>4.76</v>
      </c>
      <c r="AO67" s="191">
        <v>0</v>
      </c>
      <c r="AP67" s="191">
        <v>0</v>
      </c>
      <c r="AQ67" s="191">
        <v>0</v>
      </c>
      <c r="AR67" s="191">
        <v>0</v>
      </c>
      <c r="AS67" s="191">
        <v>0</v>
      </c>
      <c r="AT67" s="191">
        <v>0</v>
      </c>
      <c r="AU67" s="191">
        <v>-4.9</v>
      </c>
      <c r="AV67" s="191">
        <v>-4.8</v>
      </c>
      <c r="AW67" s="191">
        <v>-2.3</v>
      </c>
      <c r="AX67" s="191">
        <v>0</v>
      </c>
      <c r="AY67" s="191">
        <v>0</v>
      </c>
      <c r="AZ67" s="191">
        <v>0</v>
      </c>
      <c r="BA67" s="191">
        <v>0</v>
      </c>
      <c r="BB67" s="191">
        <v>0</v>
      </c>
      <c r="BC67" s="191">
        <v>2.86</v>
      </c>
      <c r="BD67" s="191">
        <v>0</v>
      </c>
      <c r="BE67" s="191">
        <v>0</v>
      </c>
      <c r="BF67" s="191">
        <v>0</v>
      </c>
      <c r="BG67" s="191">
        <v>0</v>
      </c>
      <c r="BH67" s="191">
        <v>2.86</v>
      </c>
      <c r="BI67" s="191">
        <v>0</v>
      </c>
      <c r="BJ67" s="191">
        <v>0</v>
      </c>
      <c r="BK67" s="191">
        <v>0</v>
      </c>
      <c r="BL67" s="191">
        <v>-2.5</v>
      </c>
      <c r="BM67" s="191">
        <v>0</v>
      </c>
      <c r="BN67" s="191">
        <v>19.04</v>
      </c>
      <c r="BO67" s="191">
        <v>-2.1</v>
      </c>
      <c r="BP67" s="191">
        <v>0</v>
      </c>
      <c r="BQ67" s="191">
        <v>0</v>
      </c>
      <c r="BR67" s="191">
        <v>0</v>
      </c>
      <c r="BS67" s="192">
        <v>0</v>
      </c>
      <c r="BT67" s="180"/>
      <c r="BU67" s="191" t="s">
        <v>472</v>
      </c>
      <c r="BV67" s="191">
        <v>-7.79</v>
      </c>
      <c r="BW67" s="191">
        <v>649.92</v>
      </c>
      <c r="BX67" s="191">
        <v>0</v>
      </c>
      <c r="BY67" s="191">
        <v>-2.15</v>
      </c>
      <c r="BZ67" s="191">
        <v>0</v>
      </c>
      <c r="CA67" s="191">
        <v>0</v>
      </c>
      <c r="CB67" s="191">
        <v>0</v>
      </c>
      <c r="CC67" s="191">
        <v>0</v>
      </c>
      <c r="CD67" s="191">
        <v>0</v>
      </c>
      <c r="CE67" s="191">
        <v>0</v>
      </c>
      <c r="CF67" s="191">
        <v>0</v>
      </c>
      <c r="CG67" s="191">
        <v>0</v>
      </c>
      <c r="CH67" s="191">
        <v>0</v>
      </c>
      <c r="CI67" s="191">
        <v>0</v>
      </c>
      <c r="CJ67" s="191">
        <v>-0.21</v>
      </c>
      <c r="CK67" s="191">
        <v>0</v>
      </c>
      <c r="CL67" s="191">
        <v>0</v>
      </c>
      <c r="CM67" s="191">
        <v>0</v>
      </c>
      <c r="CN67" s="191">
        <v>5.57</v>
      </c>
      <c r="CO67" s="191">
        <v>0</v>
      </c>
      <c r="CP67" s="191">
        <v>0</v>
      </c>
      <c r="CQ67" s="191">
        <v>0</v>
      </c>
      <c r="CR67" s="191">
        <v>-1.85</v>
      </c>
      <c r="CS67" s="191">
        <v>0</v>
      </c>
      <c r="CT67" s="191">
        <v>0</v>
      </c>
      <c r="CU67" s="191">
        <v>0</v>
      </c>
      <c r="CV67" s="191">
        <v>1.02</v>
      </c>
      <c r="CW67" s="191">
        <v>-0.82</v>
      </c>
      <c r="CX67" s="191">
        <v>0</v>
      </c>
      <c r="CY67" s="191">
        <v>3.72</v>
      </c>
      <c r="CZ67" s="191">
        <v>0</v>
      </c>
      <c r="DA67" s="191">
        <v>0</v>
      </c>
      <c r="DB67" s="191">
        <v>0</v>
      </c>
      <c r="DC67" s="191">
        <v>0</v>
      </c>
      <c r="DD67" s="191">
        <v>4.64</v>
      </c>
      <c r="DE67" s="191">
        <v>0</v>
      </c>
      <c r="DF67" s="191">
        <v>0</v>
      </c>
      <c r="DG67" s="191">
        <v>0</v>
      </c>
      <c r="DH67" s="191">
        <v>0</v>
      </c>
      <c r="DI67" s="191">
        <v>0</v>
      </c>
      <c r="DJ67" s="191">
        <v>0</v>
      </c>
      <c r="DK67" s="191">
        <v>-5.02</v>
      </c>
      <c r="DL67" s="191">
        <v>-4.92</v>
      </c>
      <c r="DM67" s="191">
        <v>-2.36</v>
      </c>
      <c r="DN67" s="191">
        <v>0</v>
      </c>
      <c r="DO67" s="191">
        <v>0</v>
      </c>
      <c r="DP67" s="191">
        <v>0</v>
      </c>
      <c r="DQ67" s="191">
        <v>0</v>
      </c>
      <c r="DR67" s="191">
        <v>0</v>
      </c>
      <c r="DS67" s="191">
        <v>2.79</v>
      </c>
      <c r="DT67" s="191">
        <v>0</v>
      </c>
      <c r="DU67" s="191">
        <v>0</v>
      </c>
      <c r="DV67" s="191">
        <v>0</v>
      </c>
      <c r="DW67" s="191">
        <v>0</v>
      </c>
      <c r="DX67" s="191">
        <v>2.79</v>
      </c>
      <c r="DY67" s="191">
        <v>0</v>
      </c>
      <c r="DZ67" s="191">
        <v>0</v>
      </c>
      <c r="EA67" s="191">
        <v>0</v>
      </c>
      <c r="EB67" s="191">
        <v>-2.56</v>
      </c>
      <c r="EC67" s="191">
        <v>0</v>
      </c>
      <c r="ED67" s="191">
        <v>18.57</v>
      </c>
      <c r="EE67" s="191">
        <v>-2.15</v>
      </c>
      <c r="EF67" s="191">
        <v>0</v>
      </c>
      <c r="EG67" s="191">
        <v>0</v>
      </c>
      <c r="EH67" s="191">
        <v>0</v>
      </c>
      <c r="EI67" s="192">
        <v>0</v>
      </c>
      <c r="EJ67" s="180"/>
      <c r="EK67" s="191" t="s">
        <v>472</v>
      </c>
      <c r="EL67" s="191">
        <v>-8.03</v>
      </c>
      <c r="EM67" s="191">
        <v>0</v>
      </c>
      <c r="EN67" s="191">
        <v>0</v>
      </c>
      <c r="EO67" s="191">
        <v>0</v>
      </c>
      <c r="EP67" s="191">
        <v>0</v>
      </c>
      <c r="EQ67" s="191">
        <v>0</v>
      </c>
      <c r="ER67" s="191">
        <v>0</v>
      </c>
      <c r="ES67" s="191">
        <v>0</v>
      </c>
      <c r="ET67" s="191">
        <v>5.42</v>
      </c>
      <c r="EU67" s="191">
        <v>0</v>
      </c>
      <c r="EV67" s="191">
        <v>0</v>
      </c>
      <c r="EW67" s="191">
        <v>-1.9</v>
      </c>
      <c r="EX67" s="191">
        <v>0</v>
      </c>
      <c r="EY67" s="191">
        <v>0.99</v>
      </c>
      <c r="EZ67" s="191">
        <v>0</v>
      </c>
      <c r="FA67" s="191">
        <v>4.51</v>
      </c>
      <c r="FB67" s="191">
        <v>0</v>
      </c>
      <c r="FC67" s="191">
        <v>0</v>
      </c>
      <c r="FD67" s="191">
        <v>0</v>
      </c>
      <c r="FE67" s="191">
        <v>-5.17</v>
      </c>
      <c r="FF67" s="191">
        <v>-5.07</v>
      </c>
      <c r="FG67" s="191">
        <v>-2.43</v>
      </c>
      <c r="FH67" s="191">
        <v>0</v>
      </c>
      <c r="FI67" s="191">
        <v>0</v>
      </c>
      <c r="FJ67" s="191">
        <v>0</v>
      </c>
      <c r="FK67" s="191">
        <v>0</v>
      </c>
      <c r="FL67" s="192">
        <v>0</v>
      </c>
    </row>
    <row r="68" s="180" customFormat="1" spans="1:168">
      <c r="A68" s="190" t="s">
        <v>473</v>
      </c>
      <c r="B68" s="191">
        <v>-26.4</v>
      </c>
      <c r="C68" s="192">
        <v>433.3</v>
      </c>
      <c r="E68" s="191" t="s">
        <v>473</v>
      </c>
      <c r="F68" s="191">
        <v>-7.6</v>
      </c>
      <c r="G68" s="191">
        <v>380.74</v>
      </c>
      <c r="H68" s="191">
        <v>0</v>
      </c>
      <c r="I68" s="191">
        <v>-2</v>
      </c>
      <c r="J68" s="191">
        <v>0</v>
      </c>
      <c r="K68" s="191">
        <v>0</v>
      </c>
      <c r="L68" s="191">
        <v>0</v>
      </c>
      <c r="M68" s="191">
        <v>0</v>
      </c>
      <c r="N68" s="191">
        <v>0</v>
      </c>
      <c r="O68" s="191">
        <v>0</v>
      </c>
      <c r="P68" s="191">
        <v>0</v>
      </c>
      <c r="Q68" s="191">
        <v>0</v>
      </c>
      <c r="R68" s="191">
        <v>0</v>
      </c>
      <c r="S68" s="191">
        <v>0</v>
      </c>
      <c r="T68" s="191">
        <v>-0.2</v>
      </c>
      <c r="U68" s="191">
        <v>0</v>
      </c>
      <c r="V68" s="191">
        <v>0</v>
      </c>
      <c r="W68" s="191">
        <v>0</v>
      </c>
      <c r="X68" s="191">
        <v>5.71</v>
      </c>
      <c r="Y68" s="191">
        <v>0</v>
      </c>
      <c r="Z68" s="191">
        <v>0</v>
      </c>
      <c r="AA68" s="191">
        <v>0</v>
      </c>
      <c r="AB68" s="191">
        <v>-1.6</v>
      </c>
      <c r="AC68" s="191">
        <v>3.43</v>
      </c>
      <c r="AD68" s="191">
        <v>0</v>
      </c>
      <c r="AE68" s="191">
        <v>4.28</v>
      </c>
      <c r="AF68" s="191">
        <v>1.05</v>
      </c>
      <c r="AG68" s="191">
        <v>-0.5</v>
      </c>
      <c r="AH68" s="191">
        <v>0</v>
      </c>
      <c r="AI68" s="191">
        <v>3.81</v>
      </c>
      <c r="AJ68" s="191">
        <v>0</v>
      </c>
      <c r="AK68" s="191">
        <v>0</v>
      </c>
      <c r="AL68" s="191">
        <v>0</v>
      </c>
      <c r="AM68" s="191">
        <v>0</v>
      </c>
      <c r="AN68" s="191">
        <v>4.76</v>
      </c>
      <c r="AO68" s="191">
        <v>0</v>
      </c>
      <c r="AP68" s="191">
        <v>0</v>
      </c>
      <c r="AQ68" s="191">
        <v>0</v>
      </c>
      <c r="AR68" s="191">
        <v>0</v>
      </c>
      <c r="AS68" s="191">
        <v>0</v>
      </c>
      <c r="AT68" s="191">
        <v>0</v>
      </c>
      <c r="AU68" s="191">
        <v>-4.9</v>
      </c>
      <c r="AV68" s="191">
        <v>-4.8</v>
      </c>
      <c r="AW68" s="191">
        <v>-2.3</v>
      </c>
      <c r="AX68" s="191">
        <v>0</v>
      </c>
      <c r="AY68" s="191">
        <v>0</v>
      </c>
      <c r="AZ68" s="191">
        <v>0</v>
      </c>
      <c r="BA68" s="191">
        <v>0</v>
      </c>
      <c r="BB68" s="191">
        <v>0</v>
      </c>
      <c r="BC68" s="191">
        <v>2.86</v>
      </c>
      <c r="BD68" s="191">
        <v>0</v>
      </c>
      <c r="BE68" s="191">
        <v>0</v>
      </c>
      <c r="BF68" s="191">
        <v>0</v>
      </c>
      <c r="BG68" s="191">
        <v>0</v>
      </c>
      <c r="BH68" s="191">
        <v>2.86</v>
      </c>
      <c r="BI68" s="191">
        <v>0</v>
      </c>
      <c r="BJ68" s="191">
        <v>0</v>
      </c>
      <c r="BK68" s="191">
        <v>0</v>
      </c>
      <c r="BL68" s="191">
        <v>-2.5</v>
      </c>
      <c r="BM68" s="191">
        <v>0</v>
      </c>
      <c r="BN68" s="191">
        <v>23.8</v>
      </c>
      <c r="BO68" s="191">
        <v>0</v>
      </c>
      <c r="BP68" s="191">
        <v>0</v>
      </c>
      <c r="BQ68" s="191">
        <v>0</v>
      </c>
      <c r="BR68" s="191">
        <v>0</v>
      </c>
      <c r="BS68" s="192">
        <v>0</v>
      </c>
      <c r="BT68" s="180"/>
      <c r="BU68" s="191" t="s">
        <v>473</v>
      </c>
      <c r="BV68" s="191">
        <v>-7.79</v>
      </c>
      <c r="BW68" s="191">
        <v>371.37</v>
      </c>
      <c r="BX68" s="191">
        <v>0</v>
      </c>
      <c r="BY68" s="191">
        <v>-2.05</v>
      </c>
      <c r="BZ68" s="191">
        <v>0</v>
      </c>
      <c r="CA68" s="191">
        <v>0</v>
      </c>
      <c r="CB68" s="191">
        <v>0</v>
      </c>
      <c r="CC68" s="191">
        <v>0</v>
      </c>
      <c r="CD68" s="191">
        <v>0</v>
      </c>
      <c r="CE68" s="191">
        <v>0</v>
      </c>
      <c r="CF68" s="191">
        <v>0</v>
      </c>
      <c r="CG68" s="191">
        <v>0</v>
      </c>
      <c r="CH68" s="191">
        <v>0</v>
      </c>
      <c r="CI68" s="191">
        <v>0</v>
      </c>
      <c r="CJ68" s="191">
        <v>-0.21</v>
      </c>
      <c r="CK68" s="191">
        <v>0</v>
      </c>
      <c r="CL68" s="191">
        <v>0</v>
      </c>
      <c r="CM68" s="191">
        <v>0</v>
      </c>
      <c r="CN68" s="191">
        <v>5.57</v>
      </c>
      <c r="CO68" s="191">
        <v>0</v>
      </c>
      <c r="CP68" s="191">
        <v>0</v>
      </c>
      <c r="CQ68" s="191">
        <v>0</v>
      </c>
      <c r="CR68" s="191">
        <v>-1.64</v>
      </c>
      <c r="CS68" s="191">
        <v>3.35</v>
      </c>
      <c r="CT68" s="191">
        <v>0</v>
      </c>
      <c r="CU68" s="191">
        <v>4.17</v>
      </c>
      <c r="CV68" s="191">
        <v>1.02</v>
      </c>
      <c r="CW68" s="191">
        <v>-0.51</v>
      </c>
      <c r="CX68" s="191">
        <v>0</v>
      </c>
      <c r="CY68" s="191">
        <v>3.72</v>
      </c>
      <c r="CZ68" s="191">
        <v>0</v>
      </c>
      <c r="DA68" s="191">
        <v>0</v>
      </c>
      <c r="DB68" s="191">
        <v>0</v>
      </c>
      <c r="DC68" s="191">
        <v>0</v>
      </c>
      <c r="DD68" s="191">
        <v>4.64</v>
      </c>
      <c r="DE68" s="191">
        <v>0</v>
      </c>
      <c r="DF68" s="191">
        <v>0</v>
      </c>
      <c r="DG68" s="191">
        <v>0</v>
      </c>
      <c r="DH68" s="191">
        <v>0</v>
      </c>
      <c r="DI68" s="191">
        <v>0</v>
      </c>
      <c r="DJ68" s="191">
        <v>0</v>
      </c>
      <c r="DK68" s="191">
        <v>-5.02</v>
      </c>
      <c r="DL68" s="191">
        <v>-4.92</v>
      </c>
      <c r="DM68" s="191">
        <v>-2.36</v>
      </c>
      <c r="DN68" s="191">
        <v>0</v>
      </c>
      <c r="DO68" s="191">
        <v>0</v>
      </c>
      <c r="DP68" s="191">
        <v>0</v>
      </c>
      <c r="DQ68" s="191">
        <v>0</v>
      </c>
      <c r="DR68" s="191">
        <v>0</v>
      </c>
      <c r="DS68" s="191">
        <v>2.79</v>
      </c>
      <c r="DT68" s="191">
        <v>0</v>
      </c>
      <c r="DU68" s="191">
        <v>0</v>
      </c>
      <c r="DV68" s="191">
        <v>0</v>
      </c>
      <c r="DW68" s="191">
        <v>0</v>
      </c>
      <c r="DX68" s="191">
        <v>2.79</v>
      </c>
      <c r="DY68" s="191">
        <v>0</v>
      </c>
      <c r="DZ68" s="191">
        <v>0</v>
      </c>
      <c r="EA68" s="191">
        <v>0</v>
      </c>
      <c r="EB68" s="191">
        <v>-2.56</v>
      </c>
      <c r="EC68" s="191">
        <v>0</v>
      </c>
      <c r="ED68" s="191">
        <v>23.21</v>
      </c>
      <c r="EE68" s="191">
        <v>0</v>
      </c>
      <c r="EF68" s="191">
        <v>0</v>
      </c>
      <c r="EG68" s="191">
        <v>0</v>
      </c>
      <c r="EH68" s="191">
        <v>0</v>
      </c>
      <c r="EI68" s="192">
        <v>0</v>
      </c>
      <c r="EJ68" s="180"/>
      <c r="EK68" s="191" t="s">
        <v>473</v>
      </c>
      <c r="EL68" s="191">
        <v>-8.03</v>
      </c>
      <c r="EM68" s="191">
        <v>0</v>
      </c>
      <c r="EN68" s="191">
        <v>0</v>
      </c>
      <c r="EO68" s="191">
        <v>0</v>
      </c>
      <c r="EP68" s="191">
        <v>0</v>
      </c>
      <c r="EQ68" s="191">
        <v>0</v>
      </c>
      <c r="ER68" s="191">
        <v>0</v>
      </c>
      <c r="ES68" s="191">
        <v>0</v>
      </c>
      <c r="ET68" s="191">
        <v>5.42</v>
      </c>
      <c r="EU68" s="191">
        <v>0</v>
      </c>
      <c r="EV68" s="191">
        <v>0</v>
      </c>
      <c r="EW68" s="191">
        <v>-1.69</v>
      </c>
      <c r="EX68" s="191">
        <v>3.26</v>
      </c>
      <c r="EY68" s="191">
        <v>0.99</v>
      </c>
      <c r="EZ68" s="191">
        <v>0</v>
      </c>
      <c r="FA68" s="191">
        <v>4.51</v>
      </c>
      <c r="FB68" s="191">
        <v>0</v>
      </c>
      <c r="FC68" s="191">
        <v>0</v>
      </c>
      <c r="FD68" s="191">
        <v>0</v>
      </c>
      <c r="FE68" s="191">
        <v>-5.17</v>
      </c>
      <c r="FF68" s="191">
        <v>-5.07</v>
      </c>
      <c r="FG68" s="191">
        <v>-2.43</v>
      </c>
      <c r="FH68" s="191">
        <v>0</v>
      </c>
      <c r="FI68" s="191">
        <v>0</v>
      </c>
      <c r="FJ68" s="191">
        <v>0</v>
      </c>
      <c r="FK68" s="191">
        <v>0</v>
      </c>
      <c r="FL68" s="192">
        <v>0</v>
      </c>
    </row>
    <row r="69" s="180" customFormat="1" spans="1:168">
      <c r="A69" s="190" t="s">
        <v>474</v>
      </c>
      <c r="B69" s="191">
        <v>-25.7</v>
      </c>
      <c r="C69" s="192">
        <v>520.78</v>
      </c>
      <c r="E69" s="191" t="s">
        <v>474</v>
      </c>
      <c r="F69" s="191">
        <v>-7.6</v>
      </c>
      <c r="G69" s="191">
        <v>475.93</v>
      </c>
      <c r="H69" s="191">
        <v>0</v>
      </c>
      <c r="I69" s="191">
        <v>-1.6</v>
      </c>
      <c r="J69" s="191">
        <v>0</v>
      </c>
      <c r="K69" s="191">
        <v>0</v>
      </c>
      <c r="L69" s="191">
        <v>0</v>
      </c>
      <c r="M69" s="191">
        <v>0</v>
      </c>
      <c r="N69" s="191">
        <v>0</v>
      </c>
      <c r="O69" s="191">
        <v>0</v>
      </c>
      <c r="P69" s="191">
        <v>0</v>
      </c>
      <c r="Q69" s="191">
        <v>0</v>
      </c>
      <c r="R69" s="191">
        <v>0</v>
      </c>
      <c r="S69" s="191">
        <v>0</v>
      </c>
      <c r="T69" s="191">
        <v>0</v>
      </c>
      <c r="U69" s="191">
        <v>0</v>
      </c>
      <c r="V69" s="191">
        <v>0</v>
      </c>
      <c r="W69" s="191">
        <v>0</v>
      </c>
      <c r="X69" s="191">
        <v>5.71</v>
      </c>
      <c r="Y69" s="191">
        <v>0</v>
      </c>
      <c r="Z69" s="191">
        <v>0</v>
      </c>
      <c r="AA69" s="191">
        <v>0</v>
      </c>
      <c r="AB69" s="191">
        <v>-1.5</v>
      </c>
      <c r="AC69" s="191">
        <v>0</v>
      </c>
      <c r="AD69" s="191">
        <v>0</v>
      </c>
      <c r="AE69" s="191">
        <v>0</v>
      </c>
      <c r="AF69" s="191">
        <v>1.05</v>
      </c>
      <c r="AG69" s="191">
        <v>-0.5</v>
      </c>
      <c r="AH69" s="191">
        <v>0</v>
      </c>
      <c r="AI69" s="191">
        <v>3.81</v>
      </c>
      <c r="AJ69" s="191">
        <v>0</v>
      </c>
      <c r="AK69" s="191">
        <v>0</v>
      </c>
      <c r="AL69" s="191">
        <v>0</v>
      </c>
      <c r="AM69" s="191">
        <v>0</v>
      </c>
      <c r="AN69" s="191">
        <v>4.76</v>
      </c>
      <c r="AO69" s="191">
        <v>0</v>
      </c>
      <c r="AP69" s="191">
        <v>0</v>
      </c>
      <c r="AQ69" s="191">
        <v>0</v>
      </c>
      <c r="AR69" s="191">
        <v>0</v>
      </c>
      <c r="AS69" s="191">
        <v>0</v>
      </c>
      <c r="AT69" s="191">
        <v>0</v>
      </c>
      <c r="AU69" s="191">
        <v>-4.9</v>
      </c>
      <c r="AV69" s="191">
        <v>-4.8</v>
      </c>
      <c r="AW69" s="191">
        <v>-2.3</v>
      </c>
      <c r="AX69" s="191">
        <v>0</v>
      </c>
      <c r="AY69" s="191">
        <v>0</v>
      </c>
      <c r="AZ69" s="191">
        <v>0</v>
      </c>
      <c r="BA69" s="191">
        <v>0</v>
      </c>
      <c r="BB69" s="191">
        <v>0</v>
      </c>
      <c r="BC69" s="191">
        <v>2.86</v>
      </c>
      <c r="BD69" s="191">
        <v>0</v>
      </c>
      <c r="BE69" s="191">
        <v>0</v>
      </c>
      <c r="BF69" s="191">
        <v>0</v>
      </c>
      <c r="BG69" s="191">
        <v>0</v>
      </c>
      <c r="BH69" s="191">
        <v>2.86</v>
      </c>
      <c r="BI69" s="191">
        <v>0</v>
      </c>
      <c r="BJ69" s="191">
        <v>0</v>
      </c>
      <c r="BK69" s="191">
        <v>0</v>
      </c>
      <c r="BL69" s="191">
        <v>-2.5</v>
      </c>
      <c r="BM69" s="191">
        <v>0</v>
      </c>
      <c r="BN69" s="191">
        <v>23.8</v>
      </c>
      <c r="BO69" s="191">
        <v>0</v>
      </c>
      <c r="BP69" s="191">
        <v>0</v>
      </c>
      <c r="BQ69" s="191">
        <v>0</v>
      </c>
      <c r="BR69" s="191">
        <v>0</v>
      </c>
      <c r="BS69" s="192">
        <v>0</v>
      </c>
      <c r="BT69" s="180"/>
      <c r="BU69" s="191" t="s">
        <v>474</v>
      </c>
      <c r="BV69" s="191">
        <v>-7.79</v>
      </c>
      <c r="BW69" s="191">
        <v>464.22</v>
      </c>
      <c r="BX69" s="191">
        <v>0</v>
      </c>
      <c r="BY69" s="191">
        <v>-1.64</v>
      </c>
      <c r="BZ69" s="191">
        <v>0</v>
      </c>
      <c r="CA69" s="191">
        <v>0</v>
      </c>
      <c r="CB69" s="191">
        <v>0</v>
      </c>
      <c r="CC69" s="191">
        <v>0</v>
      </c>
      <c r="CD69" s="191">
        <v>0</v>
      </c>
      <c r="CE69" s="191">
        <v>0</v>
      </c>
      <c r="CF69" s="191">
        <v>0</v>
      </c>
      <c r="CG69" s="191">
        <v>0</v>
      </c>
      <c r="CH69" s="191">
        <v>0</v>
      </c>
      <c r="CI69" s="191">
        <v>0</v>
      </c>
      <c r="CJ69" s="191">
        <v>0</v>
      </c>
      <c r="CK69" s="191">
        <v>0</v>
      </c>
      <c r="CL69" s="191">
        <v>0</v>
      </c>
      <c r="CM69" s="191">
        <v>0</v>
      </c>
      <c r="CN69" s="191">
        <v>5.57</v>
      </c>
      <c r="CO69" s="191">
        <v>0</v>
      </c>
      <c r="CP69" s="191">
        <v>0</v>
      </c>
      <c r="CQ69" s="191">
        <v>0</v>
      </c>
      <c r="CR69" s="191">
        <v>-1.54</v>
      </c>
      <c r="CS69" s="191">
        <v>0</v>
      </c>
      <c r="CT69" s="191">
        <v>0</v>
      </c>
      <c r="CU69" s="191">
        <v>0</v>
      </c>
      <c r="CV69" s="191">
        <v>1.02</v>
      </c>
      <c r="CW69" s="191">
        <v>-0.51</v>
      </c>
      <c r="CX69" s="191">
        <v>0</v>
      </c>
      <c r="CY69" s="191">
        <v>3.72</v>
      </c>
      <c r="CZ69" s="191">
        <v>0</v>
      </c>
      <c r="DA69" s="191">
        <v>0</v>
      </c>
      <c r="DB69" s="191">
        <v>0</v>
      </c>
      <c r="DC69" s="191">
        <v>0</v>
      </c>
      <c r="DD69" s="191">
        <v>4.64</v>
      </c>
      <c r="DE69" s="191">
        <v>0</v>
      </c>
      <c r="DF69" s="191">
        <v>0</v>
      </c>
      <c r="DG69" s="191">
        <v>0</v>
      </c>
      <c r="DH69" s="191">
        <v>0</v>
      </c>
      <c r="DI69" s="191">
        <v>0</v>
      </c>
      <c r="DJ69" s="191">
        <v>0</v>
      </c>
      <c r="DK69" s="191">
        <v>-5.02</v>
      </c>
      <c r="DL69" s="191">
        <v>-4.92</v>
      </c>
      <c r="DM69" s="191">
        <v>-2.36</v>
      </c>
      <c r="DN69" s="191">
        <v>0</v>
      </c>
      <c r="DO69" s="191">
        <v>0</v>
      </c>
      <c r="DP69" s="191">
        <v>0</v>
      </c>
      <c r="DQ69" s="191">
        <v>0</v>
      </c>
      <c r="DR69" s="191">
        <v>0</v>
      </c>
      <c r="DS69" s="191">
        <v>2.79</v>
      </c>
      <c r="DT69" s="191">
        <v>0</v>
      </c>
      <c r="DU69" s="191">
        <v>0</v>
      </c>
      <c r="DV69" s="191">
        <v>0</v>
      </c>
      <c r="DW69" s="191">
        <v>0</v>
      </c>
      <c r="DX69" s="191">
        <v>2.79</v>
      </c>
      <c r="DY69" s="191">
        <v>0</v>
      </c>
      <c r="DZ69" s="191">
        <v>0</v>
      </c>
      <c r="EA69" s="191">
        <v>0</v>
      </c>
      <c r="EB69" s="191">
        <v>-2.56</v>
      </c>
      <c r="EC69" s="191">
        <v>0</v>
      </c>
      <c r="ED69" s="191">
        <v>23.21</v>
      </c>
      <c r="EE69" s="191">
        <v>0</v>
      </c>
      <c r="EF69" s="191">
        <v>0</v>
      </c>
      <c r="EG69" s="191">
        <v>0</v>
      </c>
      <c r="EH69" s="191">
        <v>0</v>
      </c>
      <c r="EI69" s="192">
        <v>0</v>
      </c>
      <c r="EJ69" s="180"/>
      <c r="EK69" s="191" t="s">
        <v>474</v>
      </c>
      <c r="EL69" s="191">
        <v>-8.03</v>
      </c>
      <c r="EM69" s="191">
        <v>0</v>
      </c>
      <c r="EN69" s="191">
        <v>0</v>
      </c>
      <c r="EO69" s="191">
        <v>0</v>
      </c>
      <c r="EP69" s="191">
        <v>0</v>
      </c>
      <c r="EQ69" s="191">
        <v>0</v>
      </c>
      <c r="ER69" s="191">
        <v>0</v>
      </c>
      <c r="ES69" s="191">
        <v>0</v>
      </c>
      <c r="ET69" s="191">
        <v>5.42</v>
      </c>
      <c r="EU69" s="191">
        <v>0</v>
      </c>
      <c r="EV69" s="191">
        <v>0</v>
      </c>
      <c r="EW69" s="191">
        <v>-1.58</v>
      </c>
      <c r="EX69" s="191">
        <v>0</v>
      </c>
      <c r="EY69" s="191">
        <v>0.99</v>
      </c>
      <c r="EZ69" s="191">
        <v>0</v>
      </c>
      <c r="FA69" s="191">
        <v>4.51</v>
      </c>
      <c r="FB69" s="191">
        <v>0</v>
      </c>
      <c r="FC69" s="191">
        <v>0</v>
      </c>
      <c r="FD69" s="191">
        <v>0</v>
      </c>
      <c r="FE69" s="191">
        <v>-5.17</v>
      </c>
      <c r="FF69" s="191">
        <v>-5.07</v>
      </c>
      <c r="FG69" s="191">
        <v>-2.43</v>
      </c>
      <c r="FH69" s="191">
        <v>0</v>
      </c>
      <c r="FI69" s="191">
        <v>0</v>
      </c>
      <c r="FJ69" s="191">
        <v>0</v>
      </c>
      <c r="FK69" s="191">
        <v>0</v>
      </c>
      <c r="FL69" s="192">
        <v>0</v>
      </c>
    </row>
    <row r="70" s="180" customFormat="1" spans="1:168">
      <c r="A70" s="190" t="s">
        <v>475</v>
      </c>
      <c r="B70" s="191">
        <v>-24.4</v>
      </c>
      <c r="C70" s="192">
        <v>587.99</v>
      </c>
      <c r="E70" s="191" t="s">
        <v>475</v>
      </c>
      <c r="F70" s="191">
        <v>-7.6</v>
      </c>
      <c r="G70" s="191">
        <v>571.13</v>
      </c>
      <c r="H70" s="191">
        <v>0</v>
      </c>
      <c r="I70" s="191">
        <v>-0.9</v>
      </c>
      <c r="J70" s="191">
        <v>0</v>
      </c>
      <c r="K70" s="191">
        <v>0</v>
      </c>
      <c r="L70" s="191">
        <v>0</v>
      </c>
      <c r="M70" s="191">
        <v>0</v>
      </c>
      <c r="N70" s="191">
        <v>2.09</v>
      </c>
      <c r="O70" s="191">
        <v>0</v>
      </c>
      <c r="P70" s="191">
        <v>0</v>
      </c>
      <c r="Q70" s="191">
        <v>0</v>
      </c>
      <c r="R70" s="191">
        <v>0</v>
      </c>
      <c r="S70" s="191">
        <v>0</v>
      </c>
      <c r="T70" s="191">
        <v>0</v>
      </c>
      <c r="U70" s="191">
        <v>0</v>
      </c>
      <c r="V70" s="191">
        <v>0</v>
      </c>
      <c r="W70" s="191">
        <v>0</v>
      </c>
      <c r="X70" s="191">
        <v>0</v>
      </c>
      <c r="Y70" s="191">
        <v>0</v>
      </c>
      <c r="Z70" s="191">
        <v>0</v>
      </c>
      <c r="AA70" s="191">
        <v>0</v>
      </c>
      <c r="AB70" s="191">
        <v>-1.4</v>
      </c>
      <c r="AC70" s="191">
        <v>0</v>
      </c>
      <c r="AD70" s="191">
        <v>0</v>
      </c>
      <c r="AE70" s="191">
        <v>0</v>
      </c>
      <c r="AF70" s="191">
        <v>0</v>
      </c>
      <c r="AG70" s="191">
        <v>0</v>
      </c>
      <c r="AH70" s="191">
        <v>0</v>
      </c>
      <c r="AI70" s="191">
        <v>3.81</v>
      </c>
      <c r="AJ70" s="191">
        <v>0</v>
      </c>
      <c r="AK70" s="191">
        <v>0</v>
      </c>
      <c r="AL70" s="191">
        <v>0</v>
      </c>
      <c r="AM70" s="191">
        <v>0</v>
      </c>
      <c r="AN70" s="191">
        <v>4.76</v>
      </c>
      <c r="AO70" s="191">
        <v>0</v>
      </c>
      <c r="AP70" s="191">
        <v>0</v>
      </c>
      <c r="AQ70" s="191">
        <v>0</v>
      </c>
      <c r="AR70" s="191">
        <v>0</v>
      </c>
      <c r="AS70" s="191">
        <v>0</v>
      </c>
      <c r="AT70" s="191">
        <v>0</v>
      </c>
      <c r="AU70" s="191">
        <v>-4.9</v>
      </c>
      <c r="AV70" s="191">
        <v>-4.8</v>
      </c>
      <c r="AW70" s="191">
        <v>-2.3</v>
      </c>
      <c r="AX70" s="191">
        <v>0</v>
      </c>
      <c r="AY70" s="191">
        <v>0</v>
      </c>
      <c r="AZ70" s="191">
        <v>0</v>
      </c>
      <c r="BA70" s="191">
        <v>0</v>
      </c>
      <c r="BB70" s="191">
        <v>0</v>
      </c>
      <c r="BC70" s="191">
        <v>2.86</v>
      </c>
      <c r="BD70" s="191">
        <v>0</v>
      </c>
      <c r="BE70" s="191">
        <v>0</v>
      </c>
      <c r="BF70" s="191">
        <v>0</v>
      </c>
      <c r="BG70" s="191">
        <v>0</v>
      </c>
      <c r="BH70" s="191">
        <v>2.86</v>
      </c>
      <c r="BI70" s="191">
        <v>0</v>
      </c>
      <c r="BJ70" s="191">
        <v>0</v>
      </c>
      <c r="BK70" s="191">
        <v>0</v>
      </c>
      <c r="BL70" s="191">
        <v>-2.5</v>
      </c>
      <c r="BM70" s="191">
        <v>0</v>
      </c>
      <c r="BN70" s="191">
        <v>0</v>
      </c>
      <c r="BO70" s="191">
        <v>0</v>
      </c>
      <c r="BP70" s="191">
        <v>0</v>
      </c>
      <c r="BQ70" s="191">
        <v>0</v>
      </c>
      <c r="BR70" s="191">
        <v>0.48</v>
      </c>
      <c r="BS70" s="192">
        <v>0</v>
      </c>
      <c r="BT70" s="180"/>
      <c r="BU70" s="191" t="s">
        <v>475</v>
      </c>
      <c r="BV70" s="191">
        <v>-7.79</v>
      </c>
      <c r="BW70" s="191">
        <v>557.08</v>
      </c>
      <c r="BX70" s="191">
        <v>0</v>
      </c>
      <c r="BY70" s="191">
        <v>-0.92</v>
      </c>
      <c r="BZ70" s="191">
        <v>0</v>
      </c>
      <c r="CA70" s="191">
        <v>0</v>
      </c>
      <c r="CB70" s="191">
        <v>0</v>
      </c>
      <c r="CC70" s="191">
        <v>0</v>
      </c>
      <c r="CD70" s="191">
        <v>2.04</v>
      </c>
      <c r="CE70" s="191">
        <v>0</v>
      </c>
      <c r="CF70" s="191">
        <v>0</v>
      </c>
      <c r="CG70" s="191">
        <v>0</v>
      </c>
      <c r="CH70" s="191">
        <v>0</v>
      </c>
      <c r="CI70" s="191">
        <v>0</v>
      </c>
      <c r="CJ70" s="191">
        <v>0</v>
      </c>
      <c r="CK70" s="191">
        <v>0</v>
      </c>
      <c r="CL70" s="191">
        <v>0</v>
      </c>
      <c r="CM70" s="191">
        <v>0</v>
      </c>
      <c r="CN70" s="191">
        <v>0</v>
      </c>
      <c r="CO70" s="191">
        <v>0</v>
      </c>
      <c r="CP70" s="191">
        <v>0</v>
      </c>
      <c r="CQ70" s="191">
        <v>0</v>
      </c>
      <c r="CR70" s="191">
        <v>-1.44</v>
      </c>
      <c r="CS70" s="191">
        <v>0</v>
      </c>
      <c r="CT70" s="191">
        <v>0</v>
      </c>
      <c r="CU70" s="191">
        <v>0</v>
      </c>
      <c r="CV70" s="191">
        <v>0</v>
      </c>
      <c r="CW70" s="191">
        <v>0</v>
      </c>
      <c r="CX70" s="191">
        <v>0</v>
      </c>
      <c r="CY70" s="191">
        <v>3.72</v>
      </c>
      <c r="CZ70" s="191">
        <v>0</v>
      </c>
      <c r="DA70" s="191">
        <v>0</v>
      </c>
      <c r="DB70" s="191">
        <v>0</v>
      </c>
      <c r="DC70" s="191">
        <v>0</v>
      </c>
      <c r="DD70" s="191">
        <v>4.64</v>
      </c>
      <c r="DE70" s="191">
        <v>0</v>
      </c>
      <c r="DF70" s="191">
        <v>0</v>
      </c>
      <c r="DG70" s="191">
        <v>0</v>
      </c>
      <c r="DH70" s="191">
        <v>0</v>
      </c>
      <c r="DI70" s="191">
        <v>0</v>
      </c>
      <c r="DJ70" s="191">
        <v>0</v>
      </c>
      <c r="DK70" s="191">
        <v>-5.02</v>
      </c>
      <c r="DL70" s="191">
        <v>-4.92</v>
      </c>
      <c r="DM70" s="191">
        <v>-2.36</v>
      </c>
      <c r="DN70" s="191">
        <v>0</v>
      </c>
      <c r="DO70" s="191">
        <v>0</v>
      </c>
      <c r="DP70" s="191">
        <v>0</v>
      </c>
      <c r="DQ70" s="191">
        <v>0</v>
      </c>
      <c r="DR70" s="191">
        <v>0</v>
      </c>
      <c r="DS70" s="191">
        <v>2.79</v>
      </c>
      <c r="DT70" s="191">
        <v>0</v>
      </c>
      <c r="DU70" s="191">
        <v>0</v>
      </c>
      <c r="DV70" s="191">
        <v>0</v>
      </c>
      <c r="DW70" s="191">
        <v>0</v>
      </c>
      <c r="DX70" s="191">
        <v>2.79</v>
      </c>
      <c r="DY70" s="191">
        <v>0</v>
      </c>
      <c r="DZ70" s="191">
        <v>0</v>
      </c>
      <c r="EA70" s="191">
        <v>0</v>
      </c>
      <c r="EB70" s="191">
        <v>-2.56</v>
      </c>
      <c r="EC70" s="191">
        <v>0</v>
      </c>
      <c r="ED70" s="191">
        <v>0</v>
      </c>
      <c r="EE70" s="191">
        <v>0</v>
      </c>
      <c r="EF70" s="191">
        <v>0</v>
      </c>
      <c r="EG70" s="191">
        <v>0</v>
      </c>
      <c r="EH70" s="191">
        <v>0.47</v>
      </c>
      <c r="EI70" s="192">
        <v>0</v>
      </c>
      <c r="EJ70" s="180"/>
      <c r="EK70" s="191" t="s">
        <v>475</v>
      </c>
      <c r="EL70" s="191">
        <v>-8.03</v>
      </c>
      <c r="EM70" s="191">
        <v>0</v>
      </c>
      <c r="EN70" s="191">
        <v>0</v>
      </c>
      <c r="EO70" s="191">
        <v>0</v>
      </c>
      <c r="EP70" s="191">
        <v>0</v>
      </c>
      <c r="EQ70" s="191">
        <v>0</v>
      </c>
      <c r="ER70" s="191">
        <v>0</v>
      </c>
      <c r="ES70" s="191">
        <v>0</v>
      </c>
      <c r="ET70" s="191">
        <v>0</v>
      </c>
      <c r="EU70" s="191">
        <v>0</v>
      </c>
      <c r="EV70" s="191">
        <v>0</v>
      </c>
      <c r="EW70" s="191">
        <v>-1.48</v>
      </c>
      <c r="EX70" s="191">
        <v>0</v>
      </c>
      <c r="EY70" s="191">
        <v>0</v>
      </c>
      <c r="EZ70" s="191">
        <v>0</v>
      </c>
      <c r="FA70" s="191">
        <v>4.51</v>
      </c>
      <c r="FB70" s="191">
        <v>0</v>
      </c>
      <c r="FC70" s="191">
        <v>0</v>
      </c>
      <c r="FD70" s="191">
        <v>0</v>
      </c>
      <c r="FE70" s="191">
        <v>-5.17</v>
      </c>
      <c r="FF70" s="191">
        <v>-5.07</v>
      </c>
      <c r="FG70" s="191">
        <v>-2.43</v>
      </c>
      <c r="FH70" s="191">
        <v>0</v>
      </c>
      <c r="FI70" s="191">
        <v>0</v>
      </c>
      <c r="FJ70" s="191">
        <v>0</v>
      </c>
      <c r="FK70" s="191">
        <v>0</v>
      </c>
      <c r="FL70" s="192">
        <v>0.46</v>
      </c>
    </row>
    <row r="71" s="180" customFormat="1" spans="1:168">
      <c r="A71" s="190" t="s">
        <v>476</v>
      </c>
      <c r="B71" s="191">
        <v>-23.8</v>
      </c>
      <c r="C71" s="192">
        <v>587.99</v>
      </c>
      <c r="E71" s="191" t="s">
        <v>476</v>
      </c>
      <c r="F71" s="191">
        <v>-7.6</v>
      </c>
      <c r="G71" s="191">
        <v>571.13</v>
      </c>
      <c r="H71" s="191">
        <v>0</v>
      </c>
      <c r="I71" s="191">
        <v>-0.5</v>
      </c>
      <c r="J71" s="191">
        <v>0</v>
      </c>
      <c r="K71" s="191">
        <v>0</v>
      </c>
      <c r="L71" s="191">
        <v>0</v>
      </c>
      <c r="M71" s="191">
        <v>0</v>
      </c>
      <c r="N71" s="191">
        <v>2.09</v>
      </c>
      <c r="O71" s="191">
        <v>0</v>
      </c>
      <c r="P71" s="191">
        <v>0</v>
      </c>
      <c r="Q71" s="191">
        <v>0</v>
      </c>
      <c r="R71" s="191">
        <v>0</v>
      </c>
      <c r="S71" s="191">
        <v>0</v>
      </c>
      <c r="T71" s="191">
        <v>0</v>
      </c>
      <c r="U71" s="191">
        <v>0</v>
      </c>
      <c r="V71" s="191">
        <v>0</v>
      </c>
      <c r="W71" s="191">
        <v>0</v>
      </c>
      <c r="X71" s="191">
        <v>0</v>
      </c>
      <c r="Y71" s="191">
        <v>0</v>
      </c>
      <c r="Z71" s="191">
        <v>0</v>
      </c>
      <c r="AA71" s="191">
        <v>0</v>
      </c>
      <c r="AB71" s="191">
        <v>-1.2</v>
      </c>
      <c r="AC71" s="191">
        <v>0</v>
      </c>
      <c r="AD71" s="191">
        <v>0</v>
      </c>
      <c r="AE71" s="191">
        <v>0</v>
      </c>
      <c r="AF71" s="191">
        <v>0</v>
      </c>
      <c r="AG71" s="191">
        <v>0</v>
      </c>
      <c r="AH71" s="191">
        <v>0</v>
      </c>
      <c r="AI71" s="191">
        <v>3.81</v>
      </c>
      <c r="AJ71" s="191">
        <v>0</v>
      </c>
      <c r="AK71" s="191">
        <v>0</v>
      </c>
      <c r="AL71" s="191">
        <v>0</v>
      </c>
      <c r="AM71" s="191">
        <v>0</v>
      </c>
      <c r="AN71" s="191">
        <v>4.76</v>
      </c>
      <c r="AO71" s="191">
        <v>0</v>
      </c>
      <c r="AP71" s="191">
        <v>0</v>
      </c>
      <c r="AQ71" s="191">
        <v>0</v>
      </c>
      <c r="AR71" s="191">
        <v>0</v>
      </c>
      <c r="AS71" s="191">
        <v>0</v>
      </c>
      <c r="AT71" s="191">
        <v>0</v>
      </c>
      <c r="AU71" s="191">
        <v>-4.9</v>
      </c>
      <c r="AV71" s="191">
        <v>-4.8</v>
      </c>
      <c r="AW71" s="191">
        <v>-2.3</v>
      </c>
      <c r="AX71" s="191">
        <v>0</v>
      </c>
      <c r="AY71" s="191">
        <v>0</v>
      </c>
      <c r="AZ71" s="191">
        <v>0</v>
      </c>
      <c r="BA71" s="191">
        <v>0</v>
      </c>
      <c r="BB71" s="191">
        <v>0</v>
      </c>
      <c r="BC71" s="191">
        <v>2.86</v>
      </c>
      <c r="BD71" s="191">
        <v>0</v>
      </c>
      <c r="BE71" s="191">
        <v>0</v>
      </c>
      <c r="BF71" s="191">
        <v>0</v>
      </c>
      <c r="BG71" s="191">
        <v>0</v>
      </c>
      <c r="BH71" s="191">
        <v>2.86</v>
      </c>
      <c r="BI71" s="191">
        <v>0</v>
      </c>
      <c r="BJ71" s="191">
        <v>0</v>
      </c>
      <c r="BK71" s="191">
        <v>0</v>
      </c>
      <c r="BL71" s="191">
        <v>-2.5</v>
      </c>
      <c r="BM71" s="191">
        <v>0</v>
      </c>
      <c r="BN71" s="191">
        <v>0</v>
      </c>
      <c r="BO71" s="191">
        <v>0</v>
      </c>
      <c r="BP71" s="191">
        <v>0</v>
      </c>
      <c r="BQ71" s="191">
        <v>0</v>
      </c>
      <c r="BR71" s="191">
        <v>0.48</v>
      </c>
      <c r="BS71" s="192">
        <v>0</v>
      </c>
      <c r="BT71" s="180"/>
      <c r="BU71" s="191" t="s">
        <v>476</v>
      </c>
      <c r="BV71" s="191">
        <v>-7.79</v>
      </c>
      <c r="BW71" s="191">
        <v>557.08</v>
      </c>
      <c r="BX71" s="191">
        <v>0</v>
      </c>
      <c r="BY71" s="191">
        <v>-0.51</v>
      </c>
      <c r="BZ71" s="191">
        <v>0</v>
      </c>
      <c r="CA71" s="191">
        <v>0</v>
      </c>
      <c r="CB71" s="191">
        <v>0</v>
      </c>
      <c r="CC71" s="191">
        <v>0</v>
      </c>
      <c r="CD71" s="191">
        <v>2.04</v>
      </c>
      <c r="CE71" s="191">
        <v>0</v>
      </c>
      <c r="CF71" s="191">
        <v>0</v>
      </c>
      <c r="CG71" s="191">
        <v>0</v>
      </c>
      <c r="CH71" s="191">
        <v>0</v>
      </c>
      <c r="CI71" s="191">
        <v>0</v>
      </c>
      <c r="CJ71" s="191">
        <v>0</v>
      </c>
      <c r="CK71" s="191">
        <v>0</v>
      </c>
      <c r="CL71" s="191">
        <v>0</v>
      </c>
      <c r="CM71" s="191">
        <v>0</v>
      </c>
      <c r="CN71" s="191">
        <v>0</v>
      </c>
      <c r="CO71" s="191">
        <v>0</v>
      </c>
      <c r="CP71" s="191">
        <v>0</v>
      </c>
      <c r="CQ71" s="191">
        <v>0</v>
      </c>
      <c r="CR71" s="191">
        <v>-1.23</v>
      </c>
      <c r="CS71" s="191">
        <v>0</v>
      </c>
      <c r="CT71" s="191">
        <v>0</v>
      </c>
      <c r="CU71" s="191">
        <v>0</v>
      </c>
      <c r="CV71" s="191">
        <v>0</v>
      </c>
      <c r="CW71" s="191">
        <v>0</v>
      </c>
      <c r="CX71" s="191">
        <v>0</v>
      </c>
      <c r="CY71" s="191">
        <v>3.72</v>
      </c>
      <c r="CZ71" s="191">
        <v>0</v>
      </c>
      <c r="DA71" s="191">
        <v>0</v>
      </c>
      <c r="DB71" s="191">
        <v>0</v>
      </c>
      <c r="DC71" s="191">
        <v>0</v>
      </c>
      <c r="DD71" s="191">
        <v>4.64</v>
      </c>
      <c r="DE71" s="191">
        <v>0</v>
      </c>
      <c r="DF71" s="191">
        <v>0</v>
      </c>
      <c r="DG71" s="191">
        <v>0</v>
      </c>
      <c r="DH71" s="191">
        <v>0</v>
      </c>
      <c r="DI71" s="191">
        <v>0</v>
      </c>
      <c r="DJ71" s="191">
        <v>0</v>
      </c>
      <c r="DK71" s="191">
        <v>-5.02</v>
      </c>
      <c r="DL71" s="191">
        <v>-4.92</v>
      </c>
      <c r="DM71" s="191">
        <v>-2.36</v>
      </c>
      <c r="DN71" s="191">
        <v>0</v>
      </c>
      <c r="DO71" s="191">
        <v>0</v>
      </c>
      <c r="DP71" s="191">
        <v>0</v>
      </c>
      <c r="DQ71" s="191">
        <v>0</v>
      </c>
      <c r="DR71" s="191">
        <v>0</v>
      </c>
      <c r="DS71" s="191">
        <v>2.79</v>
      </c>
      <c r="DT71" s="191">
        <v>0</v>
      </c>
      <c r="DU71" s="191">
        <v>0</v>
      </c>
      <c r="DV71" s="191">
        <v>0</v>
      </c>
      <c r="DW71" s="191">
        <v>0</v>
      </c>
      <c r="DX71" s="191">
        <v>2.79</v>
      </c>
      <c r="DY71" s="191">
        <v>0</v>
      </c>
      <c r="DZ71" s="191">
        <v>0</v>
      </c>
      <c r="EA71" s="191">
        <v>0</v>
      </c>
      <c r="EB71" s="191">
        <v>-2.56</v>
      </c>
      <c r="EC71" s="191">
        <v>0</v>
      </c>
      <c r="ED71" s="191">
        <v>0</v>
      </c>
      <c r="EE71" s="191">
        <v>0</v>
      </c>
      <c r="EF71" s="191">
        <v>0</v>
      </c>
      <c r="EG71" s="191">
        <v>0</v>
      </c>
      <c r="EH71" s="191">
        <v>0.47</v>
      </c>
      <c r="EI71" s="192">
        <v>0</v>
      </c>
      <c r="EJ71" s="180"/>
      <c r="EK71" s="191" t="s">
        <v>476</v>
      </c>
      <c r="EL71" s="191">
        <v>-8.03</v>
      </c>
      <c r="EM71" s="191">
        <v>0</v>
      </c>
      <c r="EN71" s="191">
        <v>0</v>
      </c>
      <c r="EO71" s="191">
        <v>0</v>
      </c>
      <c r="EP71" s="191">
        <v>0</v>
      </c>
      <c r="EQ71" s="191">
        <v>0</v>
      </c>
      <c r="ER71" s="191">
        <v>0</v>
      </c>
      <c r="ES71" s="191">
        <v>0</v>
      </c>
      <c r="ET71" s="191">
        <v>0</v>
      </c>
      <c r="EU71" s="191">
        <v>0</v>
      </c>
      <c r="EV71" s="191">
        <v>0</v>
      </c>
      <c r="EW71" s="191">
        <v>-1.26</v>
      </c>
      <c r="EX71" s="191">
        <v>0</v>
      </c>
      <c r="EY71" s="191">
        <v>0</v>
      </c>
      <c r="EZ71" s="191">
        <v>0</v>
      </c>
      <c r="FA71" s="191">
        <v>4.51</v>
      </c>
      <c r="FB71" s="191">
        <v>0</v>
      </c>
      <c r="FC71" s="191">
        <v>0</v>
      </c>
      <c r="FD71" s="191">
        <v>0</v>
      </c>
      <c r="FE71" s="191">
        <v>-5.17</v>
      </c>
      <c r="FF71" s="191">
        <v>-5.07</v>
      </c>
      <c r="FG71" s="191">
        <v>-2.43</v>
      </c>
      <c r="FH71" s="191">
        <v>0</v>
      </c>
      <c r="FI71" s="191">
        <v>0</v>
      </c>
      <c r="FJ71" s="191">
        <v>0</v>
      </c>
      <c r="FK71" s="191">
        <v>0</v>
      </c>
      <c r="FL71" s="192">
        <v>0.46</v>
      </c>
    </row>
    <row r="72" s="180" customFormat="1" spans="1:168">
      <c r="A72" s="190" t="s">
        <v>477</v>
      </c>
      <c r="B72" s="191">
        <v>-23.4</v>
      </c>
      <c r="C72" s="192">
        <v>343.06</v>
      </c>
      <c r="E72" s="191" t="s">
        <v>477</v>
      </c>
      <c r="F72" s="191">
        <v>-7.6</v>
      </c>
      <c r="G72" s="191">
        <v>285.55</v>
      </c>
      <c r="H72" s="191">
        <v>0</v>
      </c>
      <c r="I72" s="191">
        <v>-0.2</v>
      </c>
      <c r="J72" s="191">
        <v>0</v>
      </c>
      <c r="K72" s="191">
        <v>0</v>
      </c>
      <c r="L72" s="191">
        <v>0</v>
      </c>
      <c r="M72" s="191">
        <v>0</v>
      </c>
      <c r="N72" s="191">
        <v>2.09</v>
      </c>
      <c r="O72" s="191">
        <v>0</v>
      </c>
      <c r="P72" s="191">
        <v>0</v>
      </c>
      <c r="Q72" s="191">
        <v>0</v>
      </c>
      <c r="R72" s="191">
        <v>0</v>
      </c>
      <c r="S72" s="191">
        <v>0</v>
      </c>
      <c r="T72" s="191">
        <v>0</v>
      </c>
      <c r="U72" s="191">
        <v>0</v>
      </c>
      <c r="V72" s="191">
        <v>0</v>
      </c>
      <c r="W72" s="191">
        <v>0</v>
      </c>
      <c r="X72" s="191">
        <v>5.71</v>
      </c>
      <c r="Y72" s="191">
        <v>0</v>
      </c>
      <c r="Z72" s="191">
        <v>0</v>
      </c>
      <c r="AA72" s="191">
        <v>0</v>
      </c>
      <c r="AB72" s="191">
        <v>-1.1</v>
      </c>
      <c r="AC72" s="191">
        <v>3.43</v>
      </c>
      <c r="AD72" s="191">
        <v>0</v>
      </c>
      <c r="AE72" s="191">
        <v>4.28</v>
      </c>
      <c r="AF72" s="191">
        <v>1.05</v>
      </c>
      <c r="AG72" s="191">
        <v>0</v>
      </c>
      <c r="AH72" s="191">
        <v>0</v>
      </c>
      <c r="AI72" s="191">
        <v>3.81</v>
      </c>
      <c r="AJ72" s="191">
        <v>0</v>
      </c>
      <c r="AK72" s="191">
        <v>0</v>
      </c>
      <c r="AL72" s="191">
        <v>0</v>
      </c>
      <c r="AM72" s="191">
        <v>0</v>
      </c>
      <c r="AN72" s="191">
        <v>4.76</v>
      </c>
      <c r="AO72" s="191">
        <v>0</v>
      </c>
      <c r="AP72" s="191">
        <v>0</v>
      </c>
      <c r="AQ72" s="191">
        <v>11.04</v>
      </c>
      <c r="AR72" s="191">
        <v>13.71</v>
      </c>
      <c r="AS72" s="191">
        <v>0</v>
      </c>
      <c r="AT72" s="191">
        <v>0</v>
      </c>
      <c r="AU72" s="191">
        <v>-4.9</v>
      </c>
      <c r="AV72" s="191">
        <v>-4.8</v>
      </c>
      <c r="AW72" s="191">
        <v>-2.3</v>
      </c>
      <c r="AX72" s="191">
        <v>0</v>
      </c>
      <c r="AY72" s="191">
        <v>0</v>
      </c>
      <c r="AZ72" s="191">
        <v>0</v>
      </c>
      <c r="BA72" s="191">
        <v>1.43</v>
      </c>
      <c r="BB72" s="191">
        <v>0</v>
      </c>
      <c r="BC72" s="191">
        <v>2.86</v>
      </c>
      <c r="BD72" s="191">
        <v>0</v>
      </c>
      <c r="BE72" s="191">
        <v>0</v>
      </c>
      <c r="BF72" s="191">
        <v>0</v>
      </c>
      <c r="BG72" s="191">
        <v>0</v>
      </c>
      <c r="BH72" s="191">
        <v>2.86</v>
      </c>
      <c r="BI72" s="191">
        <v>0</v>
      </c>
      <c r="BJ72" s="191">
        <v>0</v>
      </c>
      <c r="BK72" s="191">
        <v>0</v>
      </c>
      <c r="BL72" s="191">
        <v>-2.5</v>
      </c>
      <c r="BM72" s="191">
        <v>0</v>
      </c>
      <c r="BN72" s="191">
        <v>0</v>
      </c>
      <c r="BO72" s="191">
        <v>0</v>
      </c>
      <c r="BP72" s="191">
        <v>0</v>
      </c>
      <c r="BQ72" s="191">
        <v>0</v>
      </c>
      <c r="BR72" s="191">
        <v>0.48</v>
      </c>
      <c r="BS72" s="192">
        <v>0</v>
      </c>
      <c r="BT72" s="180"/>
      <c r="BU72" s="191" t="s">
        <v>477</v>
      </c>
      <c r="BV72" s="191">
        <v>-7.79</v>
      </c>
      <c r="BW72" s="191">
        <v>278.53</v>
      </c>
      <c r="BX72" s="191">
        <v>0</v>
      </c>
      <c r="BY72" s="191">
        <v>-0.21</v>
      </c>
      <c r="BZ72" s="191">
        <v>0</v>
      </c>
      <c r="CA72" s="191">
        <v>0</v>
      </c>
      <c r="CB72" s="191">
        <v>0</v>
      </c>
      <c r="CC72" s="191">
        <v>0</v>
      </c>
      <c r="CD72" s="191">
        <v>2.04</v>
      </c>
      <c r="CE72" s="191">
        <v>0</v>
      </c>
      <c r="CF72" s="191">
        <v>0</v>
      </c>
      <c r="CG72" s="191">
        <v>0</v>
      </c>
      <c r="CH72" s="191">
        <v>0</v>
      </c>
      <c r="CI72" s="191">
        <v>0</v>
      </c>
      <c r="CJ72" s="191">
        <v>0</v>
      </c>
      <c r="CK72" s="191">
        <v>0</v>
      </c>
      <c r="CL72" s="191">
        <v>0</v>
      </c>
      <c r="CM72" s="191">
        <v>0</v>
      </c>
      <c r="CN72" s="191">
        <v>5.57</v>
      </c>
      <c r="CO72" s="191">
        <v>0</v>
      </c>
      <c r="CP72" s="191">
        <v>0</v>
      </c>
      <c r="CQ72" s="191">
        <v>0</v>
      </c>
      <c r="CR72" s="191">
        <v>-1.13</v>
      </c>
      <c r="CS72" s="191">
        <v>3.35</v>
      </c>
      <c r="CT72" s="191">
        <v>0</v>
      </c>
      <c r="CU72" s="191">
        <v>4.17</v>
      </c>
      <c r="CV72" s="191">
        <v>1.02</v>
      </c>
      <c r="CW72" s="191">
        <v>0</v>
      </c>
      <c r="CX72" s="191">
        <v>0</v>
      </c>
      <c r="CY72" s="191">
        <v>3.72</v>
      </c>
      <c r="CZ72" s="191">
        <v>0</v>
      </c>
      <c r="DA72" s="191">
        <v>0</v>
      </c>
      <c r="DB72" s="191">
        <v>0</v>
      </c>
      <c r="DC72" s="191">
        <v>0</v>
      </c>
      <c r="DD72" s="191">
        <v>4.64</v>
      </c>
      <c r="DE72" s="191">
        <v>0</v>
      </c>
      <c r="DF72" s="191">
        <v>0</v>
      </c>
      <c r="DG72" s="191">
        <v>10.77</v>
      </c>
      <c r="DH72" s="191">
        <v>13.37</v>
      </c>
      <c r="DI72" s="191">
        <v>0</v>
      </c>
      <c r="DJ72" s="191">
        <v>0</v>
      </c>
      <c r="DK72" s="191">
        <v>-5.02</v>
      </c>
      <c r="DL72" s="191">
        <v>-4.92</v>
      </c>
      <c r="DM72" s="191">
        <v>-2.36</v>
      </c>
      <c r="DN72" s="191">
        <v>0</v>
      </c>
      <c r="DO72" s="191">
        <v>0</v>
      </c>
      <c r="DP72" s="191">
        <v>0</v>
      </c>
      <c r="DQ72" s="191">
        <v>1.39</v>
      </c>
      <c r="DR72" s="191">
        <v>0</v>
      </c>
      <c r="DS72" s="191">
        <v>2.79</v>
      </c>
      <c r="DT72" s="191">
        <v>0</v>
      </c>
      <c r="DU72" s="191">
        <v>0</v>
      </c>
      <c r="DV72" s="191">
        <v>0</v>
      </c>
      <c r="DW72" s="191">
        <v>0</v>
      </c>
      <c r="DX72" s="191">
        <v>2.79</v>
      </c>
      <c r="DY72" s="191">
        <v>0</v>
      </c>
      <c r="DZ72" s="191">
        <v>0</v>
      </c>
      <c r="EA72" s="191">
        <v>0</v>
      </c>
      <c r="EB72" s="191">
        <v>-2.56</v>
      </c>
      <c r="EC72" s="191">
        <v>0</v>
      </c>
      <c r="ED72" s="191">
        <v>0</v>
      </c>
      <c r="EE72" s="191">
        <v>0</v>
      </c>
      <c r="EF72" s="191">
        <v>0</v>
      </c>
      <c r="EG72" s="191">
        <v>0</v>
      </c>
      <c r="EH72" s="191">
        <v>0.47</v>
      </c>
      <c r="EI72" s="192">
        <v>0</v>
      </c>
      <c r="EJ72" s="180"/>
      <c r="EK72" s="191" t="s">
        <v>477</v>
      </c>
      <c r="EL72" s="191">
        <v>-8.03</v>
      </c>
      <c r="EM72" s="191">
        <v>0</v>
      </c>
      <c r="EN72" s="191">
        <v>0</v>
      </c>
      <c r="EO72" s="191">
        <v>0</v>
      </c>
      <c r="EP72" s="191">
        <v>0</v>
      </c>
      <c r="EQ72" s="191">
        <v>0</v>
      </c>
      <c r="ER72" s="191">
        <v>0</v>
      </c>
      <c r="ES72" s="191">
        <v>0</v>
      </c>
      <c r="ET72" s="191">
        <v>5.42</v>
      </c>
      <c r="EU72" s="191">
        <v>0</v>
      </c>
      <c r="EV72" s="191">
        <v>0</v>
      </c>
      <c r="EW72" s="191">
        <v>-1.16</v>
      </c>
      <c r="EX72" s="191">
        <v>3.26</v>
      </c>
      <c r="EY72" s="191">
        <v>0.99</v>
      </c>
      <c r="EZ72" s="191">
        <v>0</v>
      </c>
      <c r="FA72" s="191">
        <v>4.51</v>
      </c>
      <c r="FB72" s="191">
        <v>0</v>
      </c>
      <c r="FC72" s="191">
        <v>0</v>
      </c>
      <c r="FD72" s="191">
        <v>0</v>
      </c>
      <c r="FE72" s="191">
        <v>-5.17</v>
      </c>
      <c r="FF72" s="191">
        <v>-5.07</v>
      </c>
      <c r="FG72" s="191">
        <v>-2.43</v>
      </c>
      <c r="FH72" s="191">
        <v>0</v>
      </c>
      <c r="FI72" s="191">
        <v>0</v>
      </c>
      <c r="FJ72" s="191">
        <v>0</v>
      </c>
      <c r="FK72" s="191">
        <v>0</v>
      </c>
      <c r="FL72" s="192">
        <v>0.46</v>
      </c>
    </row>
    <row r="73" s="180" customFormat="1" spans="1:168">
      <c r="A73" s="190" t="s">
        <v>478</v>
      </c>
      <c r="B73" s="191">
        <v>-23.2</v>
      </c>
      <c r="C73" s="192">
        <v>438.16</v>
      </c>
      <c r="E73" s="191" t="s">
        <v>478</v>
      </c>
      <c r="F73" s="191">
        <v>-7.6</v>
      </c>
      <c r="G73" s="191">
        <v>380.75</v>
      </c>
      <c r="H73" s="191">
        <v>0</v>
      </c>
      <c r="I73" s="191">
        <v>-0.1</v>
      </c>
      <c r="J73" s="191">
        <v>0</v>
      </c>
      <c r="K73" s="191">
        <v>0</v>
      </c>
      <c r="L73" s="191">
        <v>0</v>
      </c>
      <c r="M73" s="191">
        <v>0</v>
      </c>
      <c r="N73" s="191">
        <v>2.09</v>
      </c>
      <c r="O73" s="191">
        <v>0</v>
      </c>
      <c r="P73" s="191">
        <v>0</v>
      </c>
      <c r="Q73" s="191">
        <v>0</v>
      </c>
      <c r="R73" s="191">
        <v>0</v>
      </c>
      <c r="S73" s="191">
        <v>0</v>
      </c>
      <c r="T73" s="191">
        <v>0</v>
      </c>
      <c r="U73" s="191">
        <v>0</v>
      </c>
      <c r="V73" s="191">
        <v>0</v>
      </c>
      <c r="W73" s="191">
        <v>0</v>
      </c>
      <c r="X73" s="191">
        <v>5.71</v>
      </c>
      <c r="Y73" s="191">
        <v>0</v>
      </c>
      <c r="Z73" s="191">
        <v>0</v>
      </c>
      <c r="AA73" s="191">
        <v>0</v>
      </c>
      <c r="AB73" s="191">
        <v>-1</v>
      </c>
      <c r="AC73" s="191">
        <v>3.43</v>
      </c>
      <c r="AD73" s="191">
        <v>0</v>
      </c>
      <c r="AE73" s="191">
        <v>4.28</v>
      </c>
      <c r="AF73" s="191">
        <v>1.05</v>
      </c>
      <c r="AG73" s="191">
        <v>0</v>
      </c>
      <c r="AH73" s="191">
        <v>0</v>
      </c>
      <c r="AI73" s="191">
        <v>3.81</v>
      </c>
      <c r="AJ73" s="191">
        <v>0</v>
      </c>
      <c r="AK73" s="191">
        <v>0</v>
      </c>
      <c r="AL73" s="191">
        <v>0</v>
      </c>
      <c r="AM73" s="191">
        <v>0</v>
      </c>
      <c r="AN73" s="191">
        <v>4.76</v>
      </c>
      <c r="AO73" s="191">
        <v>0</v>
      </c>
      <c r="AP73" s="191">
        <v>0</v>
      </c>
      <c r="AQ73" s="191">
        <v>11.04</v>
      </c>
      <c r="AR73" s="191">
        <v>13.61</v>
      </c>
      <c r="AS73" s="191">
        <v>0</v>
      </c>
      <c r="AT73" s="191">
        <v>0</v>
      </c>
      <c r="AU73" s="191">
        <v>-4.9</v>
      </c>
      <c r="AV73" s="191">
        <v>-4.8</v>
      </c>
      <c r="AW73" s="191">
        <v>-2.3</v>
      </c>
      <c r="AX73" s="191">
        <v>0</v>
      </c>
      <c r="AY73" s="191">
        <v>0</v>
      </c>
      <c r="AZ73" s="191">
        <v>0</v>
      </c>
      <c r="BA73" s="191">
        <v>1.43</v>
      </c>
      <c r="BB73" s="191">
        <v>0</v>
      </c>
      <c r="BC73" s="191">
        <v>2.86</v>
      </c>
      <c r="BD73" s="191">
        <v>0</v>
      </c>
      <c r="BE73" s="191">
        <v>0</v>
      </c>
      <c r="BF73" s="191">
        <v>0</v>
      </c>
      <c r="BG73" s="191">
        <v>0</v>
      </c>
      <c r="BH73" s="191">
        <v>2.86</v>
      </c>
      <c r="BI73" s="191">
        <v>0</v>
      </c>
      <c r="BJ73" s="191">
        <v>0</v>
      </c>
      <c r="BK73" s="191">
        <v>0</v>
      </c>
      <c r="BL73" s="191">
        <v>-2.5</v>
      </c>
      <c r="BM73" s="191">
        <v>0</v>
      </c>
      <c r="BN73" s="191">
        <v>0</v>
      </c>
      <c r="BO73" s="191">
        <v>0</v>
      </c>
      <c r="BP73" s="191">
        <v>0</v>
      </c>
      <c r="BQ73" s="191">
        <v>0</v>
      </c>
      <c r="BR73" s="191">
        <v>0.48</v>
      </c>
      <c r="BS73" s="192">
        <v>0</v>
      </c>
      <c r="BT73" s="180"/>
      <c r="BU73" s="191" t="s">
        <v>478</v>
      </c>
      <c r="BV73" s="191">
        <v>-7.79</v>
      </c>
      <c r="BW73" s="191">
        <v>371.38</v>
      </c>
      <c r="BX73" s="191">
        <v>0</v>
      </c>
      <c r="BY73" s="191">
        <v>-0.1</v>
      </c>
      <c r="BZ73" s="191">
        <v>0</v>
      </c>
      <c r="CA73" s="191">
        <v>0</v>
      </c>
      <c r="CB73" s="191">
        <v>0</v>
      </c>
      <c r="CC73" s="191">
        <v>0</v>
      </c>
      <c r="CD73" s="191">
        <v>2.04</v>
      </c>
      <c r="CE73" s="191">
        <v>0</v>
      </c>
      <c r="CF73" s="191">
        <v>0</v>
      </c>
      <c r="CG73" s="191">
        <v>0</v>
      </c>
      <c r="CH73" s="191">
        <v>0</v>
      </c>
      <c r="CI73" s="191">
        <v>0</v>
      </c>
      <c r="CJ73" s="191">
        <v>0</v>
      </c>
      <c r="CK73" s="191">
        <v>0</v>
      </c>
      <c r="CL73" s="191">
        <v>0</v>
      </c>
      <c r="CM73" s="191">
        <v>0</v>
      </c>
      <c r="CN73" s="191">
        <v>5.57</v>
      </c>
      <c r="CO73" s="191">
        <v>0</v>
      </c>
      <c r="CP73" s="191">
        <v>0</v>
      </c>
      <c r="CQ73" s="191">
        <v>0</v>
      </c>
      <c r="CR73" s="191">
        <v>-1.03</v>
      </c>
      <c r="CS73" s="191">
        <v>3.35</v>
      </c>
      <c r="CT73" s="191">
        <v>0</v>
      </c>
      <c r="CU73" s="191">
        <v>4.17</v>
      </c>
      <c r="CV73" s="191">
        <v>1.02</v>
      </c>
      <c r="CW73" s="191">
        <v>0</v>
      </c>
      <c r="CX73" s="191">
        <v>0</v>
      </c>
      <c r="CY73" s="191">
        <v>3.72</v>
      </c>
      <c r="CZ73" s="191">
        <v>0</v>
      </c>
      <c r="DA73" s="191">
        <v>0</v>
      </c>
      <c r="DB73" s="191">
        <v>0</v>
      </c>
      <c r="DC73" s="191">
        <v>0</v>
      </c>
      <c r="DD73" s="191">
        <v>4.64</v>
      </c>
      <c r="DE73" s="191">
        <v>0</v>
      </c>
      <c r="DF73" s="191">
        <v>0</v>
      </c>
      <c r="DG73" s="191">
        <v>10.77</v>
      </c>
      <c r="DH73" s="191">
        <v>13.28</v>
      </c>
      <c r="DI73" s="191">
        <v>0</v>
      </c>
      <c r="DJ73" s="191">
        <v>0</v>
      </c>
      <c r="DK73" s="191">
        <v>-5.02</v>
      </c>
      <c r="DL73" s="191">
        <v>-4.92</v>
      </c>
      <c r="DM73" s="191">
        <v>-2.36</v>
      </c>
      <c r="DN73" s="191">
        <v>0</v>
      </c>
      <c r="DO73" s="191">
        <v>0</v>
      </c>
      <c r="DP73" s="191">
        <v>0</v>
      </c>
      <c r="DQ73" s="191">
        <v>1.39</v>
      </c>
      <c r="DR73" s="191">
        <v>0</v>
      </c>
      <c r="DS73" s="191">
        <v>2.79</v>
      </c>
      <c r="DT73" s="191">
        <v>0</v>
      </c>
      <c r="DU73" s="191">
        <v>0</v>
      </c>
      <c r="DV73" s="191">
        <v>0</v>
      </c>
      <c r="DW73" s="191">
        <v>0</v>
      </c>
      <c r="DX73" s="191">
        <v>2.79</v>
      </c>
      <c r="DY73" s="191">
        <v>0</v>
      </c>
      <c r="DZ73" s="191">
        <v>0</v>
      </c>
      <c r="EA73" s="191">
        <v>0</v>
      </c>
      <c r="EB73" s="191">
        <v>-2.56</v>
      </c>
      <c r="EC73" s="191">
        <v>0</v>
      </c>
      <c r="ED73" s="191">
        <v>0</v>
      </c>
      <c r="EE73" s="191">
        <v>0</v>
      </c>
      <c r="EF73" s="191">
        <v>0</v>
      </c>
      <c r="EG73" s="191">
        <v>0</v>
      </c>
      <c r="EH73" s="191">
        <v>0.47</v>
      </c>
      <c r="EI73" s="192">
        <v>0</v>
      </c>
      <c r="EJ73" s="180"/>
      <c r="EK73" s="191" t="s">
        <v>478</v>
      </c>
      <c r="EL73" s="191">
        <v>-8.03</v>
      </c>
      <c r="EM73" s="191">
        <v>0</v>
      </c>
      <c r="EN73" s="191">
        <v>0</v>
      </c>
      <c r="EO73" s="191">
        <v>0</v>
      </c>
      <c r="EP73" s="191">
        <v>0</v>
      </c>
      <c r="EQ73" s="191">
        <v>0</v>
      </c>
      <c r="ER73" s="191">
        <v>0</v>
      </c>
      <c r="ES73" s="191">
        <v>0</v>
      </c>
      <c r="ET73" s="191">
        <v>5.42</v>
      </c>
      <c r="EU73" s="191">
        <v>0</v>
      </c>
      <c r="EV73" s="191">
        <v>0</v>
      </c>
      <c r="EW73" s="191">
        <v>-1.06</v>
      </c>
      <c r="EX73" s="191">
        <v>3.26</v>
      </c>
      <c r="EY73" s="191">
        <v>0.99</v>
      </c>
      <c r="EZ73" s="191">
        <v>0</v>
      </c>
      <c r="FA73" s="191">
        <v>4.51</v>
      </c>
      <c r="FB73" s="191">
        <v>0</v>
      </c>
      <c r="FC73" s="191">
        <v>0</v>
      </c>
      <c r="FD73" s="191">
        <v>0</v>
      </c>
      <c r="FE73" s="191">
        <v>-5.17</v>
      </c>
      <c r="FF73" s="191">
        <v>-5.07</v>
      </c>
      <c r="FG73" s="191">
        <v>-2.43</v>
      </c>
      <c r="FH73" s="191">
        <v>0</v>
      </c>
      <c r="FI73" s="191">
        <v>0</v>
      </c>
      <c r="FJ73" s="191">
        <v>0</v>
      </c>
      <c r="FK73" s="191">
        <v>0</v>
      </c>
      <c r="FL73" s="192">
        <v>0.46</v>
      </c>
    </row>
    <row r="74" s="180" customFormat="1" spans="1:168">
      <c r="A74" s="190" t="s">
        <v>479</v>
      </c>
      <c r="B74" s="191">
        <v>-23</v>
      </c>
      <c r="C74" s="192">
        <v>722.4</v>
      </c>
      <c r="E74" s="191" t="s">
        <v>479</v>
      </c>
      <c r="F74" s="191">
        <v>-7.6</v>
      </c>
      <c r="G74" s="191">
        <v>666.32</v>
      </c>
      <c r="H74" s="191">
        <v>0</v>
      </c>
      <c r="I74" s="191">
        <v>0</v>
      </c>
      <c r="J74" s="191">
        <v>0</v>
      </c>
      <c r="K74" s="191">
        <v>0</v>
      </c>
      <c r="L74" s="191">
        <v>0</v>
      </c>
      <c r="M74" s="191">
        <v>0</v>
      </c>
      <c r="N74" s="191">
        <v>2.09</v>
      </c>
      <c r="O74" s="191">
        <v>0</v>
      </c>
      <c r="P74" s="191">
        <v>0</v>
      </c>
      <c r="Q74" s="191">
        <v>0</v>
      </c>
      <c r="R74" s="191">
        <v>0</v>
      </c>
      <c r="S74" s="191">
        <v>0</v>
      </c>
      <c r="T74" s="191">
        <v>0</v>
      </c>
      <c r="U74" s="191">
        <v>0</v>
      </c>
      <c r="V74" s="191">
        <v>0</v>
      </c>
      <c r="W74" s="191">
        <v>0</v>
      </c>
      <c r="X74" s="191">
        <v>5.71</v>
      </c>
      <c r="Y74" s="191">
        <v>0</v>
      </c>
      <c r="Z74" s="191">
        <v>0</v>
      </c>
      <c r="AA74" s="191">
        <v>0</v>
      </c>
      <c r="AB74" s="191">
        <v>-0.9</v>
      </c>
      <c r="AC74" s="191">
        <v>3.43</v>
      </c>
      <c r="AD74" s="191">
        <v>0</v>
      </c>
      <c r="AE74" s="191">
        <v>4.28</v>
      </c>
      <c r="AF74" s="191">
        <v>1.05</v>
      </c>
      <c r="AG74" s="191">
        <v>0</v>
      </c>
      <c r="AH74" s="191">
        <v>0</v>
      </c>
      <c r="AI74" s="191">
        <v>3.81</v>
      </c>
      <c r="AJ74" s="191">
        <v>0</v>
      </c>
      <c r="AK74" s="191">
        <v>0</v>
      </c>
      <c r="AL74" s="191">
        <v>0</v>
      </c>
      <c r="AM74" s="191">
        <v>0</v>
      </c>
      <c r="AN74" s="191">
        <v>4.76</v>
      </c>
      <c r="AO74" s="191">
        <v>0</v>
      </c>
      <c r="AP74" s="191">
        <v>0</v>
      </c>
      <c r="AQ74" s="191">
        <v>11.04</v>
      </c>
      <c r="AR74" s="191">
        <v>12.28</v>
      </c>
      <c r="AS74" s="191">
        <v>0</v>
      </c>
      <c r="AT74" s="191">
        <v>0</v>
      </c>
      <c r="AU74" s="191">
        <v>-4.9</v>
      </c>
      <c r="AV74" s="191">
        <v>-4.8</v>
      </c>
      <c r="AW74" s="191">
        <v>-2.3</v>
      </c>
      <c r="AX74" s="191">
        <v>0</v>
      </c>
      <c r="AY74" s="191">
        <v>0</v>
      </c>
      <c r="AZ74" s="191">
        <v>0</v>
      </c>
      <c r="BA74" s="191">
        <v>1.43</v>
      </c>
      <c r="BB74" s="191">
        <v>0</v>
      </c>
      <c r="BC74" s="191">
        <v>2.86</v>
      </c>
      <c r="BD74" s="191">
        <v>0</v>
      </c>
      <c r="BE74" s="191">
        <v>0</v>
      </c>
      <c r="BF74" s="191">
        <v>0</v>
      </c>
      <c r="BG74" s="191">
        <v>0</v>
      </c>
      <c r="BH74" s="191">
        <v>2.86</v>
      </c>
      <c r="BI74" s="191">
        <v>0</v>
      </c>
      <c r="BJ74" s="191">
        <v>0</v>
      </c>
      <c r="BK74" s="191">
        <v>0</v>
      </c>
      <c r="BL74" s="191">
        <v>-2.5</v>
      </c>
      <c r="BM74" s="191">
        <v>0</v>
      </c>
      <c r="BN74" s="191">
        <v>0</v>
      </c>
      <c r="BO74" s="191">
        <v>0</v>
      </c>
      <c r="BP74" s="191">
        <v>0</v>
      </c>
      <c r="BQ74" s="191">
        <v>0</v>
      </c>
      <c r="BR74" s="191">
        <v>0.48</v>
      </c>
      <c r="BS74" s="192">
        <v>0</v>
      </c>
      <c r="BT74" s="180"/>
      <c r="BU74" s="191" t="s">
        <v>479</v>
      </c>
      <c r="BV74" s="191">
        <v>-7.79</v>
      </c>
      <c r="BW74" s="191">
        <v>649.93</v>
      </c>
      <c r="BX74" s="191">
        <v>0</v>
      </c>
      <c r="BY74" s="191">
        <v>0</v>
      </c>
      <c r="BZ74" s="191">
        <v>0</v>
      </c>
      <c r="CA74" s="191">
        <v>0</v>
      </c>
      <c r="CB74" s="191">
        <v>0</v>
      </c>
      <c r="CC74" s="191">
        <v>0</v>
      </c>
      <c r="CD74" s="191">
        <v>2.04</v>
      </c>
      <c r="CE74" s="191">
        <v>0</v>
      </c>
      <c r="CF74" s="191">
        <v>0</v>
      </c>
      <c r="CG74" s="191">
        <v>0</v>
      </c>
      <c r="CH74" s="191">
        <v>0</v>
      </c>
      <c r="CI74" s="191">
        <v>0</v>
      </c>
      <c r="CJ74" s="191">
        <v>0</v>
      </c>
      <c r="CK74" s="191">
        <v>0</v>
      </c>
      <c r="CL74" s="191">
        <v>0</v>
      </c>
      <c r="CM74" s="191">
        <v>0</v>
      </c>
      <c r="CN74" s="191">
        <v>5.57</v>
      </c>
      <c r="CO74" s="191">
        <v>0</v>
      </c>
      <c r="CP74" s="191">
        <v>0</v>
      </c>
      <c r="CQ74" s="191">
        <v>0</v>
      </c>
      <c r="CR74" s="191">
        <v>-0.92</v>
      </c>
      <c r="CS74" s="191">
        <v>3.35</v>
      </c>
      <c r="CT74" s="191">
        <v>0</v>
      </c>
      <c r="CU74" s="191">
        <v>4.17</v>
      </c>
      <c r="CV74" s="191">
        <v>1.02</v>
      </c>
      <c r="CW74" s="191">
        <v>0</v>
      </c>
      <c r="CX74" s="191">
        <v>0</v>
      </c>
      <c r="CY74" s="191">
        <v>3.72</v>
      </c>
      <c r="CZ74" s="191">
        <v>0</v>
      </c>
      <c r="DA74" s="191">
        <v>0</v>
      </c>
      <c r="DB74" s="191">
        <v>0</v>
      </c>
      <c r="DC74" s="191">
        <v>0</v>
      </c>
      <c r="DD74" s="191">
        <v>4.64</v>
      </c>
      <c r="DE74" s="191">
        <v>0</v>
      </c>
      <c r="DF74" s="191">
        <v>0</v>
      </c>
      <c r="DG74" s="191">
        <v>10.77</v>
      </c>
      <c r="DH74" s="191">
        <v>11.98</v>
      </c>
      <c r="DI74" s="191">
        <v>0</v>
      </c>
      <c r="DJ74" s="191">
        <v>0</v>
      </c>
      <c r="DK74" s="191">
        <v>-5.02</v>
      </c>
      <c r="DL74" s="191">
        <v>-4.92</v>
      </c>
      <c r="DM74" s="191">
        <v>-2.36</v>
      </c>
      <c r="DN74" s="191">
        <v>0</v>
      </c>
      <c r="DO74" s="191">
        <v>0</v>
      </c>
      <c r="DP74" s="191">
        <v>0</v>
      </c>
      <c r="DQ74" s="191">
        <v>1.39</v>
      </c>
      <c r="DR74" s="191">
        <v>0</v>
      </c>
      <c r="DS74" s="191">
        <v>2.79</v>
      </c>
      <c r="DT74" s="191">
        <v>0</v>
      </c>
      <c r="DU74" s="191">
        <v>0</v>
      </c>
      <c r="DV74" s="191">
        <v>0</v>
      </c>
      <c r="DW74" s="191">
        <v>0</v>
      </c>
      <c r="DX74" s="191">
        <v>2.79</v>
      </c>
      <c r="DY74" s="191">
        <v>0</v>
      </c>
      <c r="DZ74" s="191">
        <v>0</v>
      </c>
      <c r="EA74" s="191">
        <v>0</v>
      </c>
      <c r="EB74" s="191">
        <v>-2.56</v>
      </c>
      <c r="EC74" s="191">
        <v>0</v>
      </c>
      <c r="ED74" s="191">
        <v>0</v>
      </c>
      <c r="EE74" s="191">
        <v>0</v>
      </c>
      <c r="EF74" s="191">
        <v>0</v>
      </c>
      <c r="EG74" s="191">
        <v>0</v>
      </c>
      <c r="EH74" s="191">
        <v>0.47</v>
      </c>
      <c r="EI74" s="192">
        <v>0</v>
      </c>
      <c r="EJ74" s="180"/>
      <c r="EK74" s="191" t="s">
        <v>479</v>
      </c>
      <c r="EL74" s="191">
        <v>-8.03</v>
      </c>
      <c r="EM74" s="191">
        <v>0</v>
      </c>
      <c r="EN74" s="191">
        <v>0</v>
      </c>
      <c r="EO74" s="191">
        <v>0</v>
      </c>
      <c r="EP74" s="191">
        <v>0</v>
      </c>
      <c r="EQ74" s="191">
        <v>0</v>
      </c>
      <c r="ER74" s="191">
        <v>0</v>
      </c>
      <c r="ES74" s="191">
        <v>0</v>
      </c>
      <c r="ET74" s="191">
        <v>5.42</v>
      </c>
      <c r="EU74" s="191">
        <v>0</v>
      </c>
      <c r="EV74" s="191">
        <v>0</v>
      </c>
      <c r="EW74" s="191">
        <v>-0.95</v>
      </c>
      <c r="EX74" s="191">
        <v>3.26</v>
      </c>
      <c r="EY74" s="191">
        <v>0.99</v>
      </c>
      <c r="EZ74" s="191">
        <v>0</v>
      </c>
      <c r="FA74" s="191">
        <v>4.51</v>
      </c>
      <c r="FB74" s="191">
        <v>0</v>
      </c>
      <c r="FC74" s="191">
        <v>0</v>
      </c>
      <c r="FD74" s="191">
        <v>0</v>
      </c>
      <c r="FE74" s="191">
        <v>-5.17</v>
      </c>
      <c r="FF74" s="191">
        <v>-5.07</v>
      </c>
      <c r="FG74" s="191">
        <v>-2.43</v>
      </c>
      <c r="FH74" s="191">
        <v>0</v>
      </c>
      <c r="FI74" s="191">
        <v>0</v>
      </c>
      <c r="FJ74" s="191">
        <v>0</v>
      </c>
      <c r="FK74" s="191">
        <v>0</v>
      </c>
      <c r="FL74" s="192">
        <v>0.46</v>
      </c>
    </row>
    <row r="75" s="180" customFormat="1" spans="1:168">
      <c r="A75" s="190" t="s">
        <v>480</v>
      </c>
      <c r="B75" s="191">
        <v>-22.9</v>
      </c>
      <c r="C75" s="192">
        <v>791.16</v>
      </c>
      <c r="E75" s="191" t="s">
        <v>480</v>
      </c>
      <c r="F75" s="191">
        <v>-7.6</v>
      </c>
      <c r="G75" s="191">
        <v>761.51</v>
      </c>
      <c r="H75" s="191">
        <v>0</v>
      </c>
      <c r="I75" s="191">
        <v>0</v>
      </c>
      <c r="J75" s="191">
        <v>0</v>
      </c>
      <c r="K75" s="191">
        <v>0</v>
      </c>
      <c r="L75" s="191">
        <v>0</v>
      </c>
      <c r="M75" s="191">
        <v>0</v>
      </c>
      <c r="N75" s="191">
        <v>2.09</v>
      </c>
      <c r="O75" s="191">
        <v>0</v>
      </c>
      <c r="P75" s="191">
        <v>0</v>
      </c>
      <c r="Q75" s="191">
        <v>0</v>
      </c>
      <c r="R75" s="191">
        <v>0</v>
      </c>
      <c r="S75" s="191">
        <v>0</v>
      </c>
      <c r="T75" s="191">
        <v>0</v>
      </c>
      <c r="U75" s="191">
        <v>0</v>
      </c>
      <c r="V75" s="191">
        <v>0</v>
      </c>
      <c r="W75" s="191">
        <v>0</v>
      </c>
      <c r="X75" s="191">
        <v>5.71</v>
      </c>
      <c r="Y75" s="191">
        <v>0</v>
      </c>
      <c r="Z75" s="191">
        <v>0</v>
      </c>
      <c r="AA75" s="191">
        <v>0</v>
      </c>
      <c r="AB75" s="191">
        <v>-0.8</v>
      </c>
      <c r="AC75" s="191">
        <v>1.75</v>
      </c>
      <c r="AD75" s="191">
        <v>0</v>
      </c>
      <c r="AE75" s="191">
        <v>4.28</v>
      </c>
      <c r="AF75" s="191">
        <v>1.05</v>
      </c>
      <c r="AG75" s="191">
        <v>0</v>
      </c>
      <c r="AH75" s="191">
        <v>0</v>
      </c>
      <c r="AI75" s="191">
        <v>3.81</v>
      </c>
      <c r="AJ75" s="191">
        <v>0</v>
      </c>
      <c r="AK75" s="191">
        <v>0</v>
      </c>
      <c r="AL75" s="191">
        <v>0</v>
      </c>
      <c r="AM75" s="191">
        <v>0</v>
      </c>
      <c r="AN75" s="191">
        <v>4.76</v>
      </c>
      <c r="AO75" s="191">
        <v>0</v>
      </c>
      <c r="AP75" s="191">
        <v>0</v>
      </c>
      <c r="AQ75" s="191">
        <v>0</v>
      </c>
      <c r="AR75" s="191">
        <v>0</v>
      </c>
      <c r="AS75" s="191">
        <v>0</v>
      </c>
      <c r="AT75" s="191">
        <v>0</v>
      </c>
      <c r="AU75" s="191">
        <v>-4.9</v>
      </c>
      <c r="AV75" s="191">
        <v>-4.8</v>
      </c>
      <c r="AW75" s="191">
        <v>-2.3</v>
      </c>
      <c r="AX75" s="191">
        <v>0</v>
      </c>
      <c r="AY75" s="191">
        <v>0</v>
      </c>
      <c r="AZ75" s="191">
        <v>0</v>
      </c>
      <c r="BA75" s="191">
        <v>0</v>
      </c>
      <c r="BB75" s="191">
        <v>0</v>
      </c>
      <c r="BC75" s="191">
        <v>2.86</v>
      </c>
      <c r="BD75" s="191">
        <v>0</v>
      </c>
      <c r="BE75" s="191">
        <v>0</v>
      </c>
      <c r="BF75" s="191">
        <v>0</v>
      </c>
      <c r="BG75" s="191">
        <v>0</v>
      </c>
      <c r="BH75" s="191">
        <v>2.86</v>
      </c>
      <c r="BI75" s="191">
        <v>0</v>
      </c>
      <c r="BJ75" s="191">
        <v>0</v>
      </c>
      <c r="BK75" s="191">
        <v>0</v>
      </c>
      <c r="BL75" s="191">
        <v>-2.5</v>
      </c>
      <c r="BM75" s="191">
        <v>0</v>
      </c>
      <c r="BN75" s="191">
        <v>0</v>
      </c>
      <c r="BO75" s="191">
        <v>0</v>
      </c>
      <c r="BP75" s="191">
        <v>0</v>
      </c>
      <c r="BQ75" s="191">
        <v>0</v>
      </c>
      <c r="BR75" s="191">
        <v>0.48</v>
      </c>
      <c r="BS75" s="192">
        <v>0</v>
      </c>
      <c r="BT75" s="180"/>
      <c r="BU75" s="191" t="s">
        <v>480</v>
      </c>
      <c r="BV75" s="191">
        <v>-7.79</v>
      </c>
      <c r="BW75" s="191">
        <v>742.78</v>
      </c>
      <c r="BX75" s="191">
        <v>0</v>
      </c>
      <c r="BY75" s="191">
        <v>0</v>
      </c>
      <c r="BZ75" s="191">
        <v>0</v>
      </c>
      <c r="CA75" s="191">
        <v>0</v>
      </c>
      <c r="CB75" s="191">
        <v>0</v>
      </c>
      <c r="CC75" s="191">
        <v>0</v>
      </c>
      <c r="CD75" s="191">
        <v>2.04</v>
      </c>
      <c r="CE75" s="191">
        <v>0</v>
      </c>
      <c r="CF75" s="191">
        <v>0</v>
      </c>
      <c r="CG75" s="191">
        <v>0</v>
      </c>
      <c r="CH75" s="191">
        <v>0</v>
      </c>
      <c r="CI75" s="191">
        <v>0</v>
      </c>
      <c r="CJ75" s="191">
        <v>0</v>
      </c>
      <c r="CK75" s="191">
        <v>0</v>
      </c>
      <c r="CL75" s="191">
        <v>0</v>
      </c>
      <c r="CM75" s="191">
        <v>0</v>
      </c>
      <c r="CN75" s="191">
        <v>5.57</v>
      </c>
      <c r="CO75" s="191">
        <v>0</v>
      </c>
      <c r="CP75" s="191">
        <v>0</v>
      </c>
      <c r="CQ75" s="191">
        <v>0</v>
      </c>
      <c r="CR75" s="191">
        <v>-0.82</v>
      </c>
      <c r="CS75" s="191">
        <v>1.71</v>
      </c>
      <c r="CT75" s="191">
        <v>0</v>
      </c>
      <c r="CU75" s="191">
        <v>4.17</v>
      </c>
      <c r="CV75" s="191">
        <v>1.02</v>
      </c>
      <c r="CW75" s="191">
        <v>0</v>
      </c>
      <c r="CX75" s="191">
        <v>0</v>
      </c>
      <c r="CY75" s="191">
        <v>3.72</v>
      </c>
      <c r="CZ75" s="191">
        <v>0</v>
      </c>
      <c r="DA75" s="191">
        <v>0</v>
      </c>
      <c r="DB75" s="191">
        <v>0</v>
      </c>
      <c r="DC75" s="191">
        <v>0</v>
      </c>
      <c r="DD75" s="191">
        <v>4.64</v>
      </c>
      <c r="DE75" s="191">
        <v>0</v>
      </c>
      <c r="DF75" s="191">
        <v>0</v>
      </c>
      <c r="DG75" s="191">
        <v>0</v>
      </c>
      <c r="DH75" s="191">
        <v>0</v>
      </c>
      <c r="DI75" s="191">
        <v>0</v>
      </c>
      <c r="DJ75" s="191">
        <v>0</v>
      </c>
      <c r="DK75" s="191">
        <v>-5.02</v>
      </c>
      <c r="DL75" s="191">
        <v>-4.92</v>
      </c>
      <c r="DM75" s="191">
        <v>-2.36</v>
      </c>
      <c r="DN75" s="191">
        <v>0</v>
      </c>
      <c r="DO75" s="191">
        <v>0</v>
      </c>
      <c r="DP75" s="191">
        <v>0</v>
      </c>
      <c r="DQ75" s="191">
        <v>0</v>
      </c>
      <c r="DR75" s="191">
        <v>0</v>
      </c>
      <c r="DS75" s="191">
        <v>2.79</v>
      </c>
      <c r="DT75" s="191">
        <v>0</v>
      </c>
      <c r="DU75" s="191">
        <v>0</v>
      </c>
      <c r="DV75" s="191">
        <v>0</v>
      </c>
      <c r="DW75" s="191">
        <v>0</v>
      </c>
      <c r="DX75" s="191">
        <v>2.79</v>
      </c>
      <c r="DY75" s="191">
        <v>0</v>
      </c>
      <c r="DZ75" s="191">
        <v>0</v>
      </c>
      <c r="EA75" s="191">
        <v>0</v>
      </c>
      <c r="EB75" s="191">
        <v>-2.56</v>
      </c>
      <c r="EC75" s="191">
        <v>0</v>
      </c>
      <c r="ED75" s="191">
        <v>0</v>
      </c>
      <c r="EE75" s="191">
        <v>0</v>
      </c>
      <c r="EF75" s="191">
        <v>0</v>
      </c>
      <c r="EG75" s="191">
        <v>0</v>
      </c>
      <c r="EH75" s="191">
        <v>0.47</v>
      </c>
      <c r="EI75" s="192">
        <v>0</v>
      </c>
      <c r="EJ75" s="180"/>
      <c r="EK75" s="191" t="s">
        <v>480</v>
      </c>
      <c r="EL75" s="191">
        <v>-8.03</v>
      </c>
      <c r="EM75" s="191">
        <v>0</v>
      </c>
      <c r="EN75" s="191">
        <v>0</v>
      </c>
      <c r="EO75" s="191">
        <v>0</v>
      </c>
      <c r="EP75" s="191">
        <v>0</v>
      </c>
      <c r="EQ75" s="191">
        <v>0</v>
      </c>
      <c r="ER75" s="191">
        <v>0</v>
      </c>
      <c r="ES75" s="191">
        <v>0</v>
      </c>
      <c r="ET75" s="191">
        <v>5.42</v>
      </c>
      <c r="EU75" s="191">
        <v>0</v>
      </c>
      <c r="EV75" s="191">
        <v>0</v>
      </c>
      <c r="EW75" s="191">
        <v>-0.84</v>
      </c>
      <c r="EX75" s="191">
        <v>1.66</v>
      </c>
      <c r="EY75" s="191">
        <v>0.99</v>
      </c>
      <c r="EZ75" s="191">
        <v>0</v>
      </c>
      <c r="FA75" s="191">
        <v>4.51</v>
      </c>
      <c r="FB75" s="191">
        <v>0</v>
      </c>
      <c r="FC75" s="191">
        <v>0</v>
      </c>
      <c r="FD75" s="191">
        <v>0</v>
      </c>
      <c r="FE75" s="191">
        <v>-5.17</v>
      </c>
      <c r="FF75" s="191">
        <v>-5.07</v>
      </c>
      <c r="FG75" s="191">
        <v>-2.43</v>
      </c>
      <c r="FH75" s="191">
        <v>0</v>
      </c>
      <c r="FI75" s="191">
        <v>0</v>
      </c>
      <c r="FJ75" s="191">
        <v>0</v>
      </c>
      <c r="FK75" s="191">
        <v>0</v>
      </c>
      <c r="FL75" s="192">
        <v>0.46</v>
      </c>
    </row>
    <row r="76" s="180" customFormat="1" spans="1:168">
      <c r="A76" s="190" t="s">
        <v>481</v>
      </c>
      <c r="B76" s="191">
        <v>-22.8</v>
      </c>
      <c r="C76" s="192">
        <v>346.3</v>
      </c>
      <c r="E76" s="191" t="s">
        <v>481</v>
      </c>
      <c r="F76" s="191">
        <v>-7.6</v>
      </c>
      <c r="G76" s="191">
        <v>190.35</v>
      </c>
      <c r="H76" s="191">
        <v>0</v>
      </c>
      <c r="I76" s="191">
        <v>0</v>
      </c>
      <c r="J76" s="191">
        <v>8.38</v>
      </c>
      <c r="K76" s="191">
        <v>5.05</v>
      </c>
      <c r="L76" s="191">
        <v>2.67</v>
      </c>
      <c r="M76" s="191">
        <v>0</v>
      </c>
      <c r="N76" s="191">
        <v>2.09</v>
      </c>
      <c r="O76" s="191">
        <v>0</v>
      </c>
      <c r="P76" s="191">
        <v>0</v>
      </c>
      <c r="Q76" s="191">
        <v>0</v>
      </c>
      <c r="R76" s="191">
        <v>0</v>
      </c>
      <c r="S76" s="191">
        <v>7.62</v>
      </c>
      <c r="T76" s="191">
        <v>0</v>
      </c>
      <c r="U76" s="191">
        <v>0</v>
      </c>
      <c r="V76" s="191">
        <v>1.9</v>
      </c>
      <c r="W76" s="191">
        <v>7.14</v>
      </c>
      <c r="X76" s="191">
        <v>5.71</v>
      </c>
      <c r="Y76" s="191">
        <v>0</v>
      </c>
      <c r="Z76" s="191">
        <v>1.9</v>
      </c>
      <c r="AA76" s="191">
        <v>0</v>
      </c>
      <c r="AB76" s="191">
        <v>-0.7</v>
      </c>
      <c r="AC76" s="191">
        <v>3.43</v>
      </c>
      <c r="AD76" s="191">
        <v>0</v>
      </c>
      <c r="AE76" s="191">
        <v>4.28</v>
      </c>
      <c r="AF76" s="191">
        <v>1.05</v>
      </c>
      <c r="AG76" s="191">
        <v>0</v>
      </c>
      <c r="AH76" s="191">
        <v>0</v>
      </c>
      <c r="AI76" s="191">
        <v>3.81</v>
      </c>
      <c r="AJ76" s="191">
        <v>0</v>
      </c>
      <c r="AK76" s="191">
        <v>0.38</v>
      </c>
      <c r="AL76" s="191">
        <v>0</v>
      </c>
      <c r="AM76" s="191">
        <v>9.52</v>
      </c>
      <c r="AN76" s="191">
        <v>4.76</v>
      </c>
      <c r="AO76" s="191">
        <v>0.48</v>
      </c>
      <c r="AP76" s="191">
        <v>0</v>
      </c>
      <c r="AQ76" s="191">
        <v>14.28</v>
      </c>
      <c r="AR76" s="191">
        <v>24.75</v>
      </c>
      <c r="AS76" s="191">
        <v>0</v>
      </c>
      <c r="AT76" s="191">
        <v>0</v>
      </c>
      <c r="AU76" s="191">
        <v>-4.9</v>
      </c>
      <c r="AV76" s="191">
        <v>-4.8</v>
      </c>
      <c r="AW76" s="191">
        <v>-2.3</v>
      </c>
      <c r="AX76" s="191">
        <v>0</v>
      </c>
      <c r="AY76" s="191">
        <v>0</v>
      </c>
      <c r="AZ76" s="191">
        <v>0</v>
      </c>
      <c r="BA76" s="191">
        <v>7.14</v>
      </c>
      <c r="BB76" s="191">
        <v>9.52</v>
      </c>
      <c r="BC76" s="191">
        <v>0</v>
      </c>
      <c r="BD76" s="191">
        <v>0</v>
      </c>
      <c r="BE76" s="191">
        <v>0</v>
      </c>
      <c r="BF76" s="191">
        <v>2.86</v>
      </c>
      <c r="BG76" s="191">
        <v>0</v>
      </c>
      <c r="BH76" s="191">
        <v>2.86</v>
      </c>
      <c r="BI76" s="191">
        <v>2</v>
      </c>
      <c r="BJ76" s="191">
        <v>0</v>
      </c>
      <c r="BK76" s="191">
        <v>0</v>
      </c>
      <c r="BL76" s="191">
        <v>-2.5</v>
      </c>
      <c r="BM76" s="191">
        <v>0</v>
      </c>
      <c r="BN76" s="191">
        <v>21.89</v>
      </c>
      <c r="BO76" s="191">
        <v>0</v>
      </c>
      <c r="BP76" s="191">
        <v>0</v>
      </c>
      <c r="BQ76" s="191">
        <v>0</v>
      </c>
      <c r="BR76" s="191">
        <v>0.48</v>
      </c>
      <c r="BS76" s="192">
        <v>0</v>
      </c>
      <c r="BT76" s="180"/>
      <c r="BU76" s="191" t="s">
        <v>481</v>
      </c>
      <c r="BV76" s="191">
        <v>-7.79</v>
      </c>
      <c r="BW76" s="191">
        <v>185.67</v>
      </c>
      <c r="BX76" s="191">
        <v>0</v>
      </c>
      <c r="BY76" s="191">
        <v>0</v>
      </c>
      <c r="BZ76" s="191">
        <v>8.17</v>
      </c>
      <c r="CA76" s="191">
        <v>4.93</v>
      </c>
      <c r="CB76" s="191">
        <v>2.6</v>
      </c>
      <c r="CC76" s="191">
        <v>0</v>
      </c>
      <c r="CD76" s="191">
        <v>2.04</v>
      </c>
      <c r="CE76" s="191">
        <v>0</v>
      </c>
      <c r="CF76" s="191">
        <v>0</v>
      </c>
      <c r="CG76" s="191">
        <v>0</v>
      </c>
      <c r="CH76" s="191">
        <v>0</v>
      </c>
      <c r="CI76" s="191">
        <v>7.43</v>
      </c>
      <c r="CJ76" s="191">
        <v>0</v>
      </c>
      <c r="CK76" s="191">
        <v>0</v>
      </c>
      <c r="CL76" s="191">
        <v>1.85</v>
      </c>
      <c r="CM76" s="191">
        <v>6.96</v>
      </c>
      <c r="CN76" s="191">
        <v>5.57</v>
      </c>
      <c r="CO76" s="191">
        <v>0</v>
      </c>
      <c r="CP76" s="191">
        <v>1.85</v>
      </c>
      <c r="CQ76" s="191">
        <v>0</v>
      </c>
      <c r="CR76" s="191">
        <v>-0.72</v>
      </c>
      <c r="CS76" s="191">
        <v>3.35</v>
      </c>
      <c r="CT76" s="191">
        <v>0</v>
      </c>
      <c r="CU76" s="191">
        <v>4.17</v>
      </c>
      <c r="CV76" s="191">
        <v>1.02</v>
      </c>
      <c r="CW76" s="191">
        <v>0</v>
      </c>
      <c r="CX76" s="191">
        <v>0</v>
      </c>
      <c r="CY76" s="191">
        <v>3.72</v>
      </c>
      <c r="CZ76" s="191">
        <v>0</v>
      </c>
      <c r="DA76" s="191">
        <v>0.37</v>
      </c>
      <c r="DB76" s="191">
        <v>0</v>
      </c>
      <c r="DC76" s="191">
        <v>9.29</v>
      </c>
      <c r="DD76" s="191">
        <v>4.64</v>
      </c>
      <c r="DE76" s="191">
        <v>0.47</v>
      </c>
      <c r="DF76" s="191">
        <v>0</v>
      </c>
      <c r="DG76" s="191">
        <v>13.93</v>
      </c>
      <c r="DH76" s="191">
        <v>24.14</v>
      </c>
      <c r="DI76" s="191">
        <v>0</v>
      </c>
      <c r="DJ76" s="191">
        <v>0</v>
      </c>
      <c r="DK76" s="191">
        <v>-5.02</v>
      </c>
      <c r="DL76" s="191">
        <v>-4.92</v>
      </c>
      <c r="DM76" s="191">
        <v>-2.36</v>
      </c>
      <c r="DN76" s="191">
        <v>0</v>
      </c>
      <c r="DO76" s="191">
        <v>0</v>
      </c>
      <c r="DP76" s="191">
        <v>0</v>
      </c>
      <c r="DQ76" s="191">
        <v>6.96</v>
      </c>
      <c r="DR76" s="191">
        <v>9.29</v>
      </c>
      <c r="DS76" s="191">
        <v>0</v>
      </c>
      <c r="DT76" s="191">
        <v>0</v>
      </c>
      <c r="DU76" s="191">
        <v>0</v>
      </c>
      <c r="DV76" s="191">
        <v>2.79</v>
      </c>
      <c r="DW76" s="191">
        <v>0</v>
      </c>
      <c r="DX76" s="191">
        <v>2.79</v>
      </c>
      <c r="DY76" s="191">
        <v>1.95</v>
      </c>
      <c r="DZ76" s="191">
        <v>0</v>
      </c>
      <c r="EA76" s="191">
        <v>0</v>
      </c>
      <c r="EB76" s="191">
        <v>-2.56</v>
      </c>
      <c r="EC76" s="191">
        <v>0</v>
      </c>
      <c r="ED76" s="191">
        <v>21.35</v>
      </c>
      <c r="EE76" s="191">
        <v>0</v>
      </c>
      <c r="EF76" s="191">
        <v>0</v>
      </c>
      <c r="EG76" s="191">
        <v>0</v>
      </c>
      <c r="EH76" s="191">
        <v>0.47</v>
      </c>
      <c r="EI76" s="192">
        <v>0</v>
      </c>
      <c r="EJ76" s="180"/>
      <c r="EK76" s="191" t="s">
        <v>481</v>
      </c>
      <c r="EL76" s="191">
        <v>-8.03</v>
      </c>
      <c r="EM76" s="191">
        <v>0</v>
      </c>
      <c r="EN76" s="191">
        <v>7.93</v>
      </c>
      <c r="EO76" s="191">
        <v>2.52</v>
      </c>
      <c r="EP76" s="191">
        <v>0</v>
      </c>
      <c r="EQ76" s="191">
        <v>0</v>
      </c>
      <c r="ER76" s="191">
        <v>0</v>
      </c>
      <c r="ES76" s="191">
        <v>6.77</v>
      </c>
      <c r="ET76" s="191">
        <v>5.42</v>
      </c>
      <c r="EU76" s="191">
        <v>1.8</v>
      </c>
      <c r="EV76" s="191">
        <v>0</v>
      </c>
      <c r="EW76" s="191">
        <v>-0.74</v>
      </c>
      <c r="EX76" s="191">
        <v>3.26</v>
      </c>
      <c r="EY76" s="191">
        <v>0.99</v>
      </c>
      <c r="EZ76" s="191">
        <v>0</v>
      </c>
      <c r="FA76" s="191">
        <v>4.51</v>
      </c>
      <c r="FB76" s="191">
        <v>0.46</v>
      </c>
      <c r="FC76" s="191">
        <v>0</v>
      </c>
      <c r="FD76" s="191">
        <v>0</v>
      </c>
      <c r="FE76" s="191">
        <v>-5.17</v>
      </c>
      <c r="FF76" s="191">
        <v>-5.07</v>
      </c>
      <c r="FG76" s="191">
        <v>-2.43</v>
      </c>
      <c r="FH76" s="191">
        <v>0</v>
      </c>
      <c r="FI76" s="191">
        <v>0</v>
      </c>
      <c r="FJ76" s="191">
        <v>1.89</v>
      </c>
      <c r="FK76" s="191">
        <v>0</v>
      </c>
      <c r="FL76" s="192">
        <v>0.46</v>
      </c>
    </row>
    <row r="77" s="180" customFormat="1" spans="1:168">
      <c r="A77" s="190" t="s">
        <v>482</v>
      </c>
      <c r="B77" s="191">
        <v>-22.6</v>
      </c>
      <c r="C77" s="192">
        <v>533.92</v>
      </c>
      <c r="E77" s="191" t="s">
        <v>482</v>
      </c>
      <c r="F77" s="191">
        <v>-7.6</v>
      </c>
      <c r="G77" s="191">
        <v>380.74</v>
      </c>
      <c r="H77" s="191">
        <v>0</v>
      </c>
      <c r="I77" s="191">
        <v>0</v>
      </c>
      <c r="J77" s="191">
        <v>0</v>
      </c>
      <c r="K77" s="191">
        <v>0</v>
      </c>
      <c r="L77" s="191">
        <v>0</v>
      </c>
      <c r="M77" s="191">
        <v>0</v>
      </c>
      <c r="N77" s="191">
        <v>2.57</v>
      </c>
      <c r="O77" s="191">
        <v>0</v>
      </c>
      <c r="P77" s="191">
        <v>0</v>
      </c>
      <c r="Q77" s="191">
        <v>0</v>
      </c>
      <c r="R77" s="191">
        <v>0</v>
      </c>
      <c r="S77" s="191">
        <v>0</v>
      </c>
      <c r="T77" s="191">
        <v>0</v>
      </c>
      <c r="U77" s="191">
        <v>0</v>
      </c>
      <c r="V77" s="191">
        <v>8.09</v>
      </c>
      <c r="W77" s="191">
        <v>7.14</v>
      </c>
      <c r="X77" s="191">
        <v>5.71</v>
      </c>
      <c r="Y77" s="191">
        <v>0</v>
      </c>
      <c r="Z77" s="191">
        <v>0</v>
      </c>
      <c r="AA77" s="191">
        <v>0</v>
      </c>
      <c r="AB77" s="191">
        <v>-0.5</v>
      </c>
      <c r="AC77" s="191">
        <v>3.43</v>
      </c>
      <c r="AD77" s="191">
        <v>0</v>
      </c>
      <c r="AE77" s="191">
        <v>4.28</v>
      </c>
      <c r="AF77" s="191">
        <v>1.05</v>
      </c>
      <c r="AG77" s="191">
        <v>0</v>
      </c>
      <c r="AH77" s="191">
        <v>0</v>
      </c>
      <c r="AI77" s="191">
        <v>27.61</v>
      </c>
      <c r="AJ77" s="191">
        <v>0</v>
      </c>
      <c r="AK77" s="191">
        <v>0</v>
      </c>
      <c r="AL77" s="191">
        <v>0</v>
      </c>
      <c r="AM77" s="191">
        <v>0</v>
      </c>
      <c r="AN77" s="191">
        <v>4.76</v>
      </c>
      <c r="AO77" s="191">
        <v>0.48</v>
      </c>
      <c r="AP77" s="191">
        <v>0</v>
      </c>
      <c r="AQ77" s="191">
        <v>14.28</v>
      </c>
      <c r="AR77" s="191">
        <v>24.75</v>
      </c>
      <c r="AS77" s="191">
        <v>0</v>
      </c>
      <c r="AT77" s="191">
        <v>0</v>
      </c>
      <c r="AU77" s="191">
        <v>-4.9</v>
      </c>
      <c r="AV77" s="191">
        <v>-4.8</v>
      </c>
      <c r="AW77" s="191">
        <v>-2.3</v>
      </c>
      <c r="AX77" s="191">
        <v>0</v>
      </c>
      <c r="AY77" s="191">
        <v>0</v>
      </c>
      <c r="AZ77" s="191">
        <v>0</v>
      </c>
      <c r="BA77" s="191">
        <v>7.14</v>
      </c>
      <c r="BB77" s="191">
        <v>9.52</v>
      </c>
      <c r="BC77" s="191">
        <v>0</v>
      </c>
      <c r="BD77" s="191">
        <v>7.14</v>
      </c>
      <c r="BE77" s="191">
        <v>0</v>
      </c>
      <c r="BF77" s="191">
        <v>0</v>
      </c>
      <c r="BG77" s="191">
        <v>0</v>
      </c>
      <c r="BH77" s="191">
        <v>2.86</v>
      </c>
      <c r="BI77" s="191">
        <v>0</v>
      </c>
      <c r="BJ77" s="191">
        <v>0</v>
      </c>
      <c r="BK77" s="191">
        <v>0</v>
      </c>
      <c r="BL77" s="191">
        <v>-2.5</v>
      </c>
      <c r="BM77" s="191">
        <v>0</v>
      </c>
      <c r="BN77" s="191">
        <v>21.89</v>
      </c>
      <c r="BO77" s="191">
        <v>0</v>
      </c>
      <c r="BP77" s="191">
        <v>0</v>
      </c>
      <c r="BQ77" s="191">
        <v>0</v>
      </c>
      <c r="BR77" s="191">
        <v>0.48</v>
      </c>
      <c r="BS77" s="192">
        <v>0</v>
      </c>
      <c r="BT77" s="180"/>
      <c r="BU77" s="191" t="s">
        <v>482</v>
      </c>
      <c r="BV77" s="191">
        <v>-7.79</v>
      </c>
      <c r="BW77" s="191">
        <v>371.37</v>
      </c>
      <c r="BX77" s="191">
        <v>0</v>
      </c>
      <c r="BY77" s="191">
        <v>0</v>
      </c>
      <c r="BZ77" s="191">
        <v>0</v>
      </c>
      <c r="CA77" s="191">
        <v>0</v>
      </c>
      <c r="CB77" s="191">
        <v>0</v>
      </c>
      <c r="CC77" s="191">
        <v>0</v>
      </c>
      <c r="CD77" s="191">
        <v>2.51</v>
      </c>
      <c r="CE77" s="191">
        <v>0</v>
      </c>
      <c r="CF77" s="191">
        <v>0</v>
      </c>
      <c r="CG77" s="191">
        <v>0</v>
      </c>
      <c r="CH77" s="191">
        <v>0</v>
      </c>
      <c r="CI77" s="191">
        <v>0</v>
      </c>
      <c r="CJ77" s="191">
        <v>0</v>
      </c>
      <c r="CK77" s="191">
        <v>0</v>
      </c>
      <c r="CL77" s="191">
        <v>7.89</v>
      </c>
      <c r="CM77" s="191">
        <v>6.96</v>
      </c>
      <c r="CN77" s="191">
        <v>5.57</v>
      </c>
      <c r="CO77" s="191">
        <v>0</v>
      </c>
      <c r="CP77" s="191">
        <v>0</v>
      </c>
      <c r="CQ77" s="191">
        <v>0</v>
      </c>
      <c r="CR77" s="191">
        <v>-0.51</v>
      </c>
      <c r="CS77" s="191">
        <v>3.35</v>
      </c>
      <c r="CT77" s="191">
        <v>0</v>
      </c>
      <c r="CU77" s="191">
        <v>4.17</v>
      </c>
      <c r="CV77" s="191">
        <v>1.02</v>
      </c>
      <c r="CW77" s="191">
        <v>0</v>
      </c>
      <c r="CX77" s="191">
        <v>0</v>
      </c>
      <c r="CY77" s="191">
        <v>26.93</v>
      </c>
      <c r="CZ77" s="191">
        <v>0</v>
      </c>
      <c r="DA77" s="191">
        <v>0</v>
      </c>
      <c r="DB77" s="191">
        <v>0</v>
      </c>
      <c r="DC77" s="191">
        <v>0</v>
      </c>
      <c r="DD77" s="191">
        <v>4.64</v>
      </c>
      <c r="DE77" s="191">
        <v>0.47</v>
      </c>
      <c r="DF77" s="191">
        <v>0</v>
      </c>
      <c r="DG77" s="191">
        <v>13.93</v>
      </c>
      <c r="DH77" s="191">
        <v>24.14</v>
      </c>
      <c r="DI77" s="191">
        <v>0</v>
      </c>
      <c r="DJ77" s="191">
        <v>0</v>
      </c>
      <c r="DK77" s="191">
        <v>-5.02</v>
      </c>
      <c r="DL77" s="191">
        <v>-4.92</v>
      </c>
      <c r="DM77" s="191">
        <v>-2.36</v>
      </c>
      <c r="DN77" s="191">
        <v>0</v>
      </c>
      <c r="DO77" s="191">
        <v>0</v>
      </c>
      <c r="DP77" s="191">
        <v>0</v>
      </c>
      <c r="DQ77" s="191">
        <v>6.96</v>
      </c>
      <c r="DR77" s="191">
        <v>9.29</v>
      </c>
      <c r="DS77" s="191">
        <v>0</v>
      </c>
      <c r="DT77" s="191">
        <v>6.96</v>
      </c>
      <c r="DU77" s="191">
        <v>0</v>
      </c>
      <c r="DV77" s="191">
        <v>0</v>
      </c>
      <c r="DW77" s="191">
        <v>0</v>
      </c>
      <c r="DX77" s="191">
        <v>2.79</v>
      </c>
      <c r="DY77" s="191">
        <v>0</v>
      </c>
      <c r="DZ77" s="191">
        <v>0</v>
      </c>
      <c r="EA77" s="191">
        <v>0</v>
      </c>
      <c r="EB77" s="191">
        <v>-2.56</v>
      </c>
      <c r="EC77" s="191">
        <v>0</v>
      </c>
      <c r="ED77" s="191">
        <v>21.35</v>
      </c>
      <c r="EE77" s="191">
        <v>0</v>
      </c>
      <c r="EF77" s="191">
        <v>0</v>
      </c>
      <c r="EG77" s="191">
        <v>0</v>
      </c>
      <c r="EH77" s="191">
        <v>0.47</v>
      </c>
      <c r="EI77" s="192">
        <v>0</v>
      </c>
      <c r="EJ77" s="180"/>
      <c r="EK77" s="191" t="s">
        <v>482</v>
      </c>
      <c r="EL77" s="191">
        <v>-8.03</v>
      </c>
      <c r="EM77" s="191">
        <v>0</v>
      </c>
      <c r="EN77" s="191">
        <v>0</v>
      </c>
      <c r="EO77" s="191">
        <v>0</v>
      </c>
      <c r="EP77" s="191">
        <v>0</v>
      </c>
      <c r="EQ77" s="191">
        <v>0</v>
      </c>
      <c r="ER77" s="191">
        <v>0</v>
      </c>
      <c r="ES77" s="191">
        <v>6.77</v>
      </c>
      <c r="ET77" s="191">
        <v>5.42</v>
      </c>
      <c r="EU77" s="191">
        <v>0</v>
      </c>
      <c r="EV77" s="191">
        <v>0</v>
      </c>
      <c r="EW77" s="191">
        <v>-0.52</v>
      </c>
      <c r="EX77" s="191">
        <v>3.26</v>
      </c>
      <c r="EY77" s="191">
        <v>0.99</v>
      </c>
      <c r="EZ77" s="191">
        <v>0</v>
      </c>
      <c r="FA77" s="191">
        <v>4.51</v>
      </c>
      <c r="FB77" s="191">
        <v>0.46</v>
      </c>
      <c r="FC77" s="191">
        <v>0</v>
      </c>
      <c r="FD77" s="191">
        <v>0</v>
      </c>
      <c r="FE77" s="191">
        <v>-5.17</v>
      </c>
      <c r="FF77" s="191">
        <v>-5.07</v>
      </c>
      <c r="FG77" s="191">
        <v>-2.43</v>
      </c>
      <c r="FH77" s="191">
        <v>0</v>
      </c>
      <c r="FI77" s="191">
        <v>0</v>
      </c>
      <c r="FJ77" s="191">
        <v>0</v>
      </c>
      <c r="FK77" s="191">
        <v>0</v>
      </c>
      <c r="FL77" s="192">
        <v>0.46</v>
      </c>
    </row>
    <row r="78" s="180" customFormat="1" spans="1:168">
      <c r="A78" s="190" t="s">
        <v>483</v>
      </c>
      <c r="B78" s="191">
        <v>-22.5</v>
      </c>
      <c r="C78" s="192">
        <v>910.78</v>
      </c>
      <c r="E78" s="191" t="s">
        <v>483</v>
      </c>
      <c r="F78" s="191">
        <v>-7.6</v>
      </c>
      <c r="G78" s="191">
        <v>761.5</v>
      </c>
      <c r="H78" s="191">
        <v>0</v>
      </c>
      <c r="I78" s="191">
        <v>0</v>
      </c>
      <c r="J78" s="191">
        <v>0</v>
      </c>
      <c r="K78" s="191">
        <v>0</v>
      </c>
      <c r="L78" s="191">
        <v>0</v>
      </c>
      <c r="M78" s="191">
        <v>0</v>
      </c>
      <c r="N78" s="191">
        <v>2.57</v>
      </c>
      <c r="O78" s="191">
        <v>0</v>
      </c>
      <c r="P78" s="191">
        <v>0</v>
      </c>
      <c r="Q78" s="191">
        <v>0</v>
      </c>
      <c r="R78" s="191">
        <v>0</v>
      </c>
      <c r="S78" s="191">
        <v>0</v>
      </c>
      <c r="T78" s="191">
        <v>0</v>
      </c>
      <c r="U78" s="191">
        <v>0</v>
      </c>
      <c r="V78" s="191">
        <v>10.95</v>
      </c>
      <c r="W78" s="191">
        <v>0</v>
      </c>
      <c r="X78" s="191">
        <v>5.71</v>
      </c>
      <c r="Y78" s="191">
        <v>0</v>
      </c>
      <c r="Z78" s="191">
        <v>0</v>
      </c>
      <c r="AA78" s="191">
        <v>0</v>
      </c>
      <c r="AB78" s="191">
        <v>-0.4</v>
      </c>
      <c r="AC78" s="191">
        <v>0</v>
      </c>
      <c r="AD78" s="191">
        <v>0</v>
      </c>
      <c r="AE78" s="191">
        <v>0</v>
      </c>
      <c r="AF78" s="191">
        <v>1.05</v>
      </c>
      <c r="AG78" s="191">
        <v>0</v>
      </c>
      <c r="AH78" s="191">
        <v>0</v>
      </c>
      <c r="AI78" s="191">
        <v>27.61</v>
      </c>
      <c r="AJ78" s="191">
        <v>0</v>
      </c>
      <c r="AK78" s="191">
        <v>0</v>
      </c>
      <c r="AL78" s="191">
        <v>0</v>
      </c>
      <c r="AM78" s="191">
        <v>0</v>
      </c>
      <c r="AN78" s="191">
        <v>4.76</v>
      </c>
      <c r="AO78" s="191">
        <v>0</v>
      </c>
      <c r="AP78" s="191">
        <v>0</v>
      </c>
      <c r="AQ78" s="191">
        <v>0</v>
      </c>
      <c r="AR78" s="191">
        <v>0</v>
      </c>
      <c r="AS78" s="191">
        <v>0</v>
      </c>
      <c r="AT78" s="191">
        <v>0</v>
      </c>
      <c r="AU78" s="191">
        <v>-4.9</v>
      </c>
      <c r="AV78" s="191">
        <v>-4.8</v>
      </c>
      <c r="AW78" s="191">
        <v>-2.3</v>
      </c>
      <c r="AX78" s="191">
        <v>0</v>
      </c>
      <c r="AY78" s="191">
        <v>0</v>
      </c>
      <c r="AZ78" s="191">
        <v>7.62</v>
      </c>
      <c r="BA78" s="191">
        <v>0</v>
      </c>
      <c r="BB78" s="191">
        <v>0</v>
      </c>
      <c r="BC78" s="191">
        <v>0</v>
      </c>
      <c r="BD78" s="191">
        <v>0</v>
      </c>
      <c r="BE78" s="191">
        <v>0</v>
      </c>
      <c r="BF78" s="191">
        <v>0</v>
      </c>
      <c r="BG78" s="191">
        <v>0</v>
      </c>
      <c r="BH78" s="191">
        <v>2.86</v>
      </c>
      <c r="BI78" s="191">
        <v>0</v>
      </c>
      <c r="BJ78" s="191">
        <v>0</v>
      </c>
      <c r="BK78" s="191">
        <v>0</v>
      </c>
      <c r="BL78" s="191">
        <v>-2.5</v>
      </c>
      <c r="BM78" s="191">
        <v>0</v>
      </c>
      <c r="BN78" s="191">
        <v>85.67</v>
      </c>
      <c r="BO78" s="191">
        <v>0</v>
      </c>
      <c r="BP78" s="191">
        <v>0</v>
      </c>
      <c r="BQ78" s="191">
        <v>0</v>
      </c>
      <c r="BR78" s="191">
        <v>0.48</v>
      </c>
      <c r="BS78" s="192">
        <v>0</v>
      </c>
      <c r="BT78" s="180"/>
      <c r="BU78" s="191" t="s">
        <v>483</v>
      </c>
      <c r="BV78" s="191">
        <v>-7.79</v>
      </c>
      <c r="BW78" s="191">
        <v>742.77</v>
      </c>
      <c r="BX78" s="191">
        <v>0</v>
      </c>
      <c r="BY78" s="191">
        <v>0</v>
      </c>
      <c r="BZ78" s="191">
        <v>0</v>
      </c>
      <c r="CA78" s="191">
        <v>0</v>
      </c>
      <c r="CB78" s="191">
        <v>0</v>
      </c>
      <c r="CC78" s="191">
        <v>0</v>
      </c>
      <c r="CD78" s="191">
        <v>2.51</v>
      </c>
      <c r="CE78" s="191">
        <v>0</v>
      </c>
      <c r="CF78" s="191">
        <v>0</v>
      </c>
      <c r="CG78" s="191">
        <v>0</v>
      </c>
      <c r="CH78" s="191">
        <v>0</v>
      </c>
      <c r="CI78" s="191">
        <v>0</v>
      </c>
      <c r="CJ78" s="191">
        <v>0</v>
      </c>
      <c r="CK78" s="191">
        <v>0</v>
      </c>
      <c r="CL78" s="191">
        <v>10.68</v>
      </c>
      <c r="CM78" s="191">
        <v>0</v>
      </c>
      <c r="CN78" s="191">
        <v>5.57</v>
      </c>
      <c r="CO78" s="191">
        <v>0</v>
      </c>
      <c r="CP78" s="191">
        <v>0</v>
      </c>
      <c r="CQ78" s="191">
        <v>0</v>
      </c>
      <c r="CR78" s="191">
        <v>-0.41</v>
      </c>
      <c r="CS78" s="191">
        <v>0</v>
      </c>
      <c r="CT78" s="191">
        <v>0</v>
      </c>
      <c r="CU78" s="191">
        <v>0</v>
      </c>
      <c r="CV78" s="191">
        <v>1.02</v>
      </c>
      <c r="CW78" s="191">
        <v>0</v>
      </c>
      <c r="CX78" s="191">
        <v>0</v>
      </c>
      <c r="CY78" s="191">
        <v>26.93</v>
      </c>
      <c r="CZ78" s="191">
        <v>0</v>
      </c>
      <c r="DA78" s="191">
        <v>0</v>
      </c>
      <c r="DB78" s="191">
        <v>0</v>
      </c>
      <c r="DC78" s="191">
        <v>0</v>
      </c>
      <c r="DD78" s="191">
        <v>4.64</v>
      </c>
      <c r="DE78" s="191">
        <v>0</v>
      </c>
      <c r="DF78" s="191">
        <v>0</v>
      </c>
      <c r="DG78" s="191">
        <v>0</v>
      </c>
      <c r="DH78" s="191">
        <v>0</v>
      </c>
      <c r="DI78" s="191">
        <v>0</v>
      </c>
      <c r="DJ78" s="191">
        <v>0</v>
      </c>
      <c r="DK78" s="191">
        <v>-5.02</v>
      </c>
      <c r="DL78" s="191">
        <v>-4.92</v>
      </c>
      <c r="DM78" s="191">
        <v>-2.36</v>
      </c>
      <c r="DN78" s="191">
        <v>0</v>
      </c>
      <c r="DO78" s="191">
        <v>0</v>
      </c>
      <c r="DP78" s="191">
        <v>7.43</v>
      </c>
      <c r="DQ78" s="191">
        <v>0</v>
      </c>
      <c r="DR78" s="191">
        <v>0</v>
      </c>
      <c r="DS78" s="191">
        <v>0</v>
      </c>
      <c r="DT78" s="191">
        <v>0</v>
      </c>
      <c r="DU78" s="191">
        <v>0</v>
      </c>
      <c r="DV78" s="191">
        <v>0</v>
      </c>
      <c r="DW78" s="191">
        <v>0</v>
      </c>
      <c r="DX78" s="191">
        <v>2.79</v>
      </c>
      <c r="DY78" s="191">
        <v>0</v>
      </c>
      <c r="DZ78" s="191">
        <v>0</v>
      </c>
      <c r="EA78" s="191">
        <v>0</v>
      </c>
      <c r="EB78" s="191">
        <v>-2.56</v>
      </c>
      <c r="EC78" s="191">
        <v>0</v>
      </c>
      <c r="ED78" s="191">
        <v>83.56</v>
      </c>
      <c r="EE78" s="191">
        <v>0</v>
      </c>
      <c r="EF78" s="191">
        <v>0</v>
      </c>
      <c r="EG78" s="191">
        <v>0</v>
      </c>
      <c r="EH78" s="191">
        <v>0.47</v>
      </c>
      <c r="EI78" s="192">
        <v>0</v>
      </c>
      <c r="EJ78" s="180"/>
      <c r="EK78" s="191" t="s">
        <v>483</v>
      </c>
      <c r="EL78" s="191">
        <v>-8.03</v>
      </c>
      <c r="EM78" s="191">
        <v>0</v>
      </c>
      <c r="EN78" s="191">
        <v>0</v>
      </c>
      <c r="EO78" s="191">
        <v>0</v>
      </c>
      <c r="EP78" s="191">
        <v>0</v>
      </c>
      <c r="EQ78" s="191">
        <v>0</v>
      </c>
      <c r="ER78" s="191">
        <v>0</v>
      </c>
      <c r="ES78" s="191">
        <v>0</v>
      </c>
      <c r="ET78" s="191">
        <v>5.42</v>
      </c>
      <c r="EU78" s="191">
        <v>0</v>
      </c>
      <c r="EV78" s="191">
        <v>0</v>
      </c>
      <c r="EW78" s="191">
        <v>-0.42</v>
      </c>
      <c r="EX78" s="191">
        <v>0</v>
      </c>
      <c r="EY78" s="191">
        <v>0.99</v>
      </c>
      <c r="EZ78" s="191">
        <v>0</v>
      </c>
      <c r="FA78" s="191">
        <v>4.51</v>
      </c>
      <c r="FB78" s="191">
        <v>0</v>
      </c>
      <c r="FC78" s="191">
        <v>0</v>
      </c>
      <c r="FD78" s="191">
        <v>0</v>
      </c>
      <c r="FE78" s="191">
        <v>-5.17</v>
      </c>
      <c r="FF78" s="191">
        <v>-5.07</v>
      </c>
      <c r="FG78" s="191">
        <v>-2.43</v>
      </c>
      <c r="FH78" s="191">
        <v>0</v>
      </c>
      <c r="FI78" s="191">
        <v>0</v>
      </c>
      <c r="FJ78" s="191">
        <v>0</v>
      </c>
      <c r="FK78" s="191">
        <v>0</v>
      </c>
      <c r="FL78" s="192">
        <v>0.46</v>
      </c>
    </row>
    <row r="79" s="180" customFormat="1" spans="1:168">
      <c r="A79" s="190" t="s">
        <v>484</v>
      </c>
      <c r="B79" s="191">
        <v>-30.1</v>
      </c>
      <c r="C79" s="192">
        <v>682.96</v>
      </c>
      <c r="E79" s="191" t="s">
        <v>484</v>
      </c>
      <c r="F79" s="191">
        <v>-7.6</v>
      </c>
      <c r="G79" s="191">
        <v>666.33</v>
      </c>
      <c r="H79" s="191">
        <v>0</v>
      </c>
      <c r="I79" s="191">
        <v>0</v>
      </c>
      <c r="J79" s="191">
        <v>0</v>
      </c>
      <c r="K79" s="191">
        <v>0</v>
      </c>
      <c r="L79" s="191">
        <v>0</v>
      </c>
      <c r="M79" s="191">
        <v>0</v>
      </c>
      <c r="N79" s="191">
        <v>0</v>
      </c>
      <c r="O79" s="191">
        <v>0</v>
      </c>
      <c r="P79" s="191">
        <v>0</v>
      </c>
      <c r="Q79" s="191">
        <v>0</v>
      </c>
      <c r="R79" s="191">
        <v>0</v>
      </c>
      <c r="S79" s="191">
        <v>0</v>
      </c>
      <c r="T79" s="191">
        <v>0</v>
      </c>
      <c r="U79" s="191">
        <v>0</v>
      </c>
      <c r="V79" s="191">
        <v>13.8</v>
      </c>
      <c r="W79" s="191">
        <v>0</v>
      </c>
      <c r="X79" s="191">
        <v>0</v>
      </c>
      <c r="Y79" s="191">
        <v>0</v>
      </c>
      <c r="Z79" s="191">
        <v>0</v>
      </c>
      <c r="AA79" s="191">
        <v>0</v>
      </c>
      <c r="AB79" s="191">
        <v>-0.2</v>
      </c>
      <c r="AC79" s="191">
        <v>0</v>
      </c>
      <c r="AD79" s="191">
        <v>0</v>
      </c>
      <c r="AE79" s="191">
        <v>0</v>
      </c>
      <c r="AF79" s="191">
        <v>0</v>
      </c>
      <c r="AG79" s="191">
        <v>0</v>
      </c>
      <c r="AH79" s="191">
        <v>-7.8</v>
      </c>
      <c r="AI79" s="191">
        <v>0</v>
      </c>
      <c r="AJ79" s="191">
        <v>0</v>
      </c>
      <c r="AK79" s="191">
        <v>0</v>
      </c>
      <c r="AL79" s="191">
        <v>0</v>
      </c>
      <c r="AM79" s="191">
        <v>0</v>
      </c>
      <c r="AN79" s="191">
        <v>2.35</v>
      </c>
      <c r="AO79" s="191">
        <v>0</v>
      </c>
      <c r="AP79" s="191">
        <v>0</v>
      </c>
      <c r="AQ79" s="191">
        <v>0</v>
      </c>
      <c r="AR79" s="191">
        <v>0</v>
      </c>
      <c r="AS79" s="191">
        <v>0</v>
      </c>
      <c r="AT79" s="191">
        <v>0</v>
      </c>
      <c r="AU79" s="191">
        <v>-4.9</v>
      </c>
      <c r="AV79" s="191">
        <v>-4.8</v>
      </c>
      <c r="AW79" s="191">
        <v>-2.3</v>
      </c>
      <c r="AX79" s="191">
        <v>0</v>
      </c>
      <c r="AY79" s="191">
        <v>0</v>
      </c>
      <c r="AZ79" s="191">
        <v>0</v>
      </c>
      <c r="BA79" s="191">
        <v>0</v>
      </c>
      <c r="BB79" s="191">
        <v>0</v>
      </c>
      <c r="BC79" s="191">
        <v>0</v>
      </c>
      <c r="BD79" s="191">
        <v>0</v>
      </c>
      <c r="BE79" s="191">
        <v>0</v>
      </c>
      <c r="BF79" s="191">
        <v>0</v>
      </c>
      <c r="BG79" s="191">
        <v>0</v>
      </c>
      <c r="BH79" s="191">
        <v>0</v>
      </c>
      <c r="BI79" s="191">
        <v>0</v>
      </c>
      <c r="BJ79" s="191">
        <v>0</v>
      </c>
      <c r="BK79" s="191">
        <v>0</v>
      </c>
      <c r="BL79" s="191">
        <v>-2.5</v>
      </c>
      <c r="BM79" s="191">
        <v>0</v>
      </c>
      <c r="BN79" s="191">
        <v>0</v>
      </c>
      <c r="BO79" s="191">
        <v>0</v>
      </c>
      <c r="BP79" s="191">
        <v>0</v>
      </c>
      <c r="BQ79" s="191">
        <v>0</v>
      </c>
      <c r="BR79" s="191">
        <v>0.48</v>
      </c>
      <c r="BS79" s="192">
        <v>0</v>
      </c>
      <c r="BT79" s="180"/>
      <c r="BU79" s="191" t="s">
        <v>484</v>
      </c>
      <c r="BV79" s="191">
        <v>-7.79</v>
      </c>
      <c r="BW79" s="191">
        <v>649.94</v>
      </c>
      <c r="BX79" s="191">
        <v>0</v>
      </c>
      <c r="BY79" s="191">
        <v>0</v>
      </c>
      <c r="BZ79" s="191">
        <v>0</v>
      </c>
      <c r="CA79" s="191">
        <v>0</v>
      </c>
      <c r="CB79" s="191">
        <v>0</v>
      </c>
      <c r="CC79" s="191">
        <v>0</v>
      </c>
      <c r="CD79" s="191">
        <v>0</v>
      </c>
      <c r="CE79" s="191">
        <v>0</v>
      </c>
      <c r="CF79" s="191">
        <v>0</v>
      </c>
      <c r="CG79" s="191">
        <v>0</v>
      </c>
      <c r="CH79" s="191">
        <v>0</v>
      </c>
      <c r="CI79" s="191">
        <v>0</v>
      </c>
      <c r="CJ79" s="191">
        <v>0</v>
      </c>
      <c r="CK79" s="191">
        <v>0</v>
      </c>
      <c r="CL79" s="191">
        <v>13.46</v>
      </c>
      <c r="CM79" s="191">
        <v>0</v>
      </c>
      <c r="CN79" s="191">
        <v>0</v>
      </c>
      <c r="CO79" s="191">
        <v>0</v>
      </c>
      <c r="CP79" s="191">
        <v>0</v>
      </c>
      <c r="CQ79" s="191">
        <v>0</v>
      </c>
      <c r="CR79" s="191">
        <v>-0.21</v>
      </c>
      <c r="CS79" s="191">
        <v>0</v>
      </c>
      <c r="CT79" s="191">
        <v>0</v>
      </c>
      <c r="CU79" s="191">
        <v>0</v>
      </c>
      <c r="CV79" s="191">
        <v>0</v>
      </c>
      <c r="CW79" s="191">
        <v>0</v>
      </c>
      <c r="CX79" s="191">
        <v>-8</v>
      </c>
      <c r="CY79" s="191">
        <v>0</v>
      </c>
      <c r="CZ79" s="191">
        <v>0</v>
      </c>
      <c r="DA79" s="191">
        <v>0</v>
      </c>
      <c r="DB79" s="191">
        <v>0</v>
      </c>
      <c r="DC79" s="191">
        <v>0</v>
      </c>
      <c r="DD79" s="191">
        <v>2.29</v>
      </c>
      <c r="DE79" s="191">
        <v>0</v>
      </c>
      <c r="DF79" s="191">
        <v>0</v>
      </c>
      <c r="DG79" s="191">
        <v>0</v>
      </c>
      <c r="DH79" s="191">
        <v>0</v>
      </c>
      <c r="DI79" s="191">
        <v>0</v>
      </c>
      <c r="DJ79" s="191">
        <v>0</v>
      </c>
      <c r="DK79" s="191">
        <v>-5.02</v>
      </c>
      <c r="DL79" s="191">
        <v>-4.92</v>
      </c>
      <c r="DM79" s="191">
        <v>-2.36</v>
      </c>
      <c r="DN79" s="191">
        <v>0</v>
      </c>
      <c r="DO79" s="191">
        <v>0</v>
      </c>
      <c r="DP79" s="191">
        <v>0</v>
      </c>
      <c r="DQ79" s="191">
        <v>0</v>
      </c>
      <c r="DR79" s="191">
        <v>0</v>
      </c>
      <c r="DS79" s="191">
        <v>0</v>
      </c>
      <c r="DT79" s="191">
        <v>0</v>
      </c>
      <c r="DU79" s="191">
        <v>0</v>
      </c>
      <c r="DV79" s="191">
        <v>0</v>
      </c>
      <c r="DW79" s="191">
        <v>0</v>
      </c>
      <c r="DX79" s="191">
        <v>0</v>
      </c>
      <c r="DY79" s="191">
        <v>0</v>
      </c>
      <c r="DZ79" s="191">
        <v>0</v>
      </c>
      <c r="EA79" s="191">
        <v>0</v>
      </c>
      <c r="EB79" s="191">
        <v>-2.56</v>
      </c>
      <c r="EC79" s="191">
        <v>0</v>
      </c>
      <c r="ED79" s="191">
        <v>0</v>
      </c>
      <c r="EE79" s="191">
        <v>0</v>
      </c>
      <c r="EF79" s="191">
        <v>0</v>
      </c>
      <c r="EG79" s="191">
        <v>0</v>
      </c>
      <c r="EH79" s="191">
        <v>0.47</v>
      </c>
      <c r="EI79" s="192">
        <v>0</v>
      </c>
      <c r="EJ79" s="180"/>
      <c r="EK79" s="191" t="s">
        <v>484</v>
      </c>
      <c r="EL79" s="191">
        <v>-8.03</v>
      </c>
      <c r="EM79" s="191">
        <v>0</v>
      </c>
      <c r="EN79" s="191">
        <v>0</v>
      </c>
      <c r="EO79" s="191">
        <v>0</v>
      </c>
      <c r="EP79" s="191">
        <v>0</v>
      </c>
      <c r="EQ79" s="191">
        <v>0</v>
      </c>
      <c r="ER79" s="191">
        <v>0</v>
      </c>
      <c r="ES79" s="191">
        <v>0</v>
      </c>
      <c r="ET79" s="191">
        <v>0</v>
      </c>
      <c r="EU79" s="191">
        <v>0</v>
      </c>
      <c r="EV79" s="191">
        <v>0</v>
      </c>
      <c r="EW79" s="191">
        <v>-0.22</v>
      </c>
      <c r="EX79" s="191">
        <v>0</v>
      </c>
      <c r="EY79" s="191">
        <v>0</v>
      </c>
      <c r="EZ79" s="191">
        <v>0</v>
      </c>
      <c r="FA79" s="191">
        <v>2.23</v>
      </c>
      <c r="FB79" s="191">
        <v>0</v>
      </c>
      <c r="FC79" s="191">
        <v>0</v>
      </c>
      <c r="FD79" s="191">
        <v>0</v>
      </c>
      <c r="FE79" s="191">
        <v>-5.17</v>
      </c>
      <c r="FF79" s="191">
        <v>-5.07</v>
      </c>
      <c r="FG79" s="191">
        <v>-2.43</v>
      </c>
      <c r="FH79" s="191">
        <v>0</v>
      </c>
      <c r="FI79" s="191">
        <v>0</v>
      </c>
      <c r="FJ79" s="191">
        <v>0</v>
      </c>
      <c r="FK79" s="191">
        <v>0</v>
      </c>
      <c r="FL79" s="192">
        <v>0.46</v>
      </c>
    </row>
    <row r="80" s="180" customFormat="1" spans="1:168">
      <c r="A80" s="190" t="s">
        <v>485</v>
      </c>
      <c r="B80" s="191">
        <v>-22.5</v>
      </c>
      <c r="C80" s="192">
        <v>209.55</v>
      </c>
      <c r="E80" s="191" t="s">
        <v>485</v>
      </c>
      <c r="F80" s="191">
        <v>-7.6</v>
      </c>
      <c r="G80" s="191">
        <v>187.66</v>
      </c>
      <c r="H80" s="191">
        <v>0</v>
      </c>
      <c r="I80" s="191">
        <v>0</v>
      </c>
      <c r="J80" s="191">
        <v>0</v>
      </c>
      <c r="K80" s="191">
        <v>0</v>
      </c>
      <c r="L80" s="191">
        <v>0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19.51</v>
      </c>
      <c r="W80" s="191">
        <v>0</v>
      </c>
      <c r="X80" s="191">
        <v>0</v>
      </c>
      <c r="Y80" s="191">
        <v>0</v>
      </c>
      <c r="Z80" s="191">
        <v>0</v>
      </c>
      <c r="AA80" s="191">
        <v>0</v>
      </c>
      <c r="AB80" s="191">
        <v>-0.2</v>
      </c>
      <c r="AC80" s="191">
        <v>0</v>
      </c>
      <c r="AD80" s="191">
        <v>0</v>
      </c>
      <c r="AE80" s="191">
        <v>0</v>
      </c>
      <c r="AF80" s="191">
        <v>0</v>
      </c>
      <c r="AG80" s="191">
        <v>-0.2</v>
      </c>
      <c r="AH80" s="191">
        <v>0</v>
      </c>
      <c r="AI80" s="191">
        <v>0</v>
      </c>
      <c r="AJ80" s="191">
        <v>0</v>
      </c>
      <c r="AK80" s="191">
        <v>0</v>
      </c>
      <c r="AL80" s="191">
        <v>0</v>
      </c>
      <c r="AM80" s="191">
        <v>0</v>
      </c>
      <c r="AN80" s="191">
        <v>0</v>
      </c>
      <c r="AO80" s="191">
        <v>0</v>
      </c>
      <c r="AP80" s="191">
        <v>0</v>
      </c>
      <c r="AQ80" s="191">
        <v>0</v>
      </c>
      <c r="AR80" s="191">
        <v>0</v>
      </c>
      <c r="AS80" s="191">
        <v>0</v>
      </c>
      <c r="AT80" s="191">
        <v>0</v>
      </c>
      <c r="AU80" s="191">
        <v>-4.9</v>
      </c>
      <c r="AV80" s="191">
        <v>-4.8</v>
      </c>
      <c r="AW80" s="191">
        <v>-2.3</v>
      </c>
      <c r="AX80" s="191">
        <v>0</v>
      </c>
      <c r="AY80" s="191">
        <v>0</v>
      </c>
      <c r="AZ80" s="191">
        <v>0</v>
      </c>
      <c r="BA80" s="191">
        <v>0</v>
      </c>
      <c r="BB80" s="191">
        <v>0</v>
      </c>
      <c r="BC80" s="191">
        <v>0</v>
      </c>
      <c r="BD80" s="191">
        <v>0</v>
      </c>
      <c r="BE80" s="191">
        <v>0</v>
      </c>
      <c r="BF80" s="191">
        <v>0</v>
      </c>
      <c r="BG80" s="191">
        <v>0</v>
      </c>
      <c r="BH80" s="191">
        <v>0</v>
      </c>
      <c r="BI80" s="191">
        <v>0</v>
      </c>
      <c r="BJ80" s="191">
        <v>0</v>
      </c>
      <c r="BK80" s="191">
        <v>0</v>
      </c>
      <c r="BL80" s="191">
        <v>-2.5</v>
      </c>
      <c r="BM80" s="191">
        <v>0</v>
      </c>
      <c r="BN80" s="191">
        <v>0</v>
      </c>
      <c r="BO80" s="191">
        <v>0</v>
      </c>
      <c r="BP80" s="191">
        <v>0</v>
      </c>
      <c r="BQ80" s="191">
        <v>0</v>
      </c>
      <c r="BR80" s="191">
        <v>2.38</v>
      </c>
      <c r="BS80" s="192">
        <v>0</v>
      </c>
      <c r="BT80" s="180"/>
      <c r="BU80" s="191" t="s">
        <v>485</v>
      </c>
      <c r="BV80" s="191">
        <v>-7.79</v>
      </c>
      <c r="BW80" s="191">
        <v>183.04</v>
      </c>
      <c r="BX80" s="191">
        <v>0</v>
      </c>
      <c r="BY80" s="191">
        <v>0</v>
      </c>
      <c r="BZ80" s="191">
        <v>0</v>
      </c>
      <c r="CA80" s="191">
        <v>0</v>
      </c>
      <c r="CB80" s="191">
        <v>0</v>
      </c>
      <c r="CC80" s="191">
        <v>0</v>
      </c>
      <c r="CD80" s="191">
        <v>0</v>
      </c>
      <c r="CE80" s="191">
        <v>0</v>
      </c>
      <c r="CF80" s="191">
        <v>0</v>
      </c>
      <c r="CG80" s="191">
        <v>0</v>
      </c>
      <c r="CH80" s="191">
        <v>0</v>
      </c>
      <c r="CI80" s="191">
        <v>0</v>
      </c>
      <c r="CJ80" s="191">
        <v>0</v>
      </c>
      <c r="CK80" s="191">
        <v>0</v>
      </c>
      <c r="CL80" s="191">
        <v>19.03</v>
      </c>
      <c r="CM80" s="191">
        <v>0</v>
      </c>
      <c r="CN80" s="191">
        <v>0</v>
      </c>
      <c r="CO80" s="191">
        <v>0</v>
      </c>
      <c r="CP80" s="191">
        <v>0</v>
      </c>
      <c r="CQ80" s="191">
        <v>0</v>
      </c>
      <c r="CR80" s="191">
        <v>-0.21</v>
      </c>
      <c r="CS80" s="191">
        <v>0</v>
      </c>
      <c r="CT80" s="191">
        <v>0</v>
      </c>
      <c r="CU80" s="191">
        <v>0</v>
      </c>
      <c r="CV80" s="191">
        <v>0</v>
      </c>
      <c r="CW80" s="191">
        <v>-0.21</v>
      </c>
      <c r="CX80" s="191">
        <v>0</v>
      </c>
      <c r="CY80" s="191">
        <v>0</v>
      </c>
      <c r="CZ80" s="191">
        <v>0</v>
      </c>
      <c r="DA80" s="191">
        <v>0</v>
      </c>
      <c r="DB80" s="191">
        <v>0</v>
      </c>
      <c r="DC80" s="191">
        <v>0</v>
      </c>
      <c r="DD80" s="191">
        <v>0</v>
      </c>
      <c r="DE80" s="191">
        <v>0</v>
      </c>
      <c r="DF80" s="191">
        <v>0</v>
      </c>
      <c r="DG80" s="191">
        <v>0</v>
      </c>
      <c r="DH80" s="191">
        <v>0</v>
      </c>
      <c r="DI80" s="191">
        <v>0</v>
      </c>
      <c r="DJ80" s="191">
        <v>0</v>
      </c>
      <c r="DK80" s="191">
        <v>-5.02</v>
      </c>
      <c r="DL80" s="191">
        <v>-4.92</v>
      </c>
      <c r="DM80" s="191">
        <v>-2.36</v>
      </c>
      <c r="DN80" s="191">
        <v>0</v>
      </c>
      <c r="DO80" s="191">
        <v>0</v>
      </c>
      <c r="DP80" s="191">
        <v>0</v>
      </c>
      <c r="DQ80" s="191">
        <v>0</v>
      </c>
      <c r="DR80" s="191">
        <v>0</v>
      </c>
      <c r="DS80" s="191">
        <v>0</v>
      </c>
      <c r="DT80" s="191">
        <v>0</v>
      </c>
      <c r="DU80" s="191">
        <v>0</v>
      </c>
      <c r="DV80" s="191">
        <v>0</v>
      </c>
      <c r="DW80" s="191">
        <v>0</v>
      </c>
      <c r="DX80" s="191">
        <v>0</v>
      </c>
      <c r="DY80" s="191">
        <v>0</v>
      </c>
      <c r="DZ80" s="191">
        <v>0</v>
      </c>
      <c r="EA80" s="191">
        <v>0</v>
      </c>
      <c r="EB80" s="191">
        <v>-2.56</v>
      </c>
      <c r="EC80" s="191">
        <v>0</v>
      </c>
      <c r="ED80" s="191">
        <v>0</v>
      </c>
      <c r="EE80" s="191">
        <v>0</v>
      </c>
      <c r="EF80" s="191">
        <v>0</v>
      </c>
      <c r="EG80" s="191">
        <v>0</v>
      </c>
      <c r="EH80" s="191">
        <v>2.32</v>
      </c>
      <c r="EI80" s="192">
        <v>0</v>
      </c>
      <c r="EJ80" s="180"/>
      <c r="EK80" s="191" t="s">
        <v>485</v>
      </c>
      <c r="EL80" s="191">
        <v>-8.03</v>
      </c>
      <c r="EM80" s="191">
        <v>0</v>
      </c>
      <c r="EN80" s="191">
        <v>0</v>
      </c>
      <c r="EO80" s="191">
        <v>0</v>
      </c>
      <c r="EP80" s="191">
        <v>0</v>
      </c>
      <c r="EQ80" s="191">
        <v>0</v>
      </c>
      <c r="ER80" s="191">
        <v>0</v>
      </c>
      <c r="ES80" s="191">
        <v>0</v>
      </c>
      <c r="ET80" s="191">
        <v>0</v>
      </c>
      <c r="EU80" s="191">
        <v>0</v>
      </c>
      <c r="EV80" s="191">
        <v>0</v>
      </c>
      <c r="EW80" s="191">
        <v>-0.22</v>
      </c>
      <c r="EX80" s="191">
        <v>0</v>
      </c>
      <c r="EY80" s="191">
        <v>0</v>
      </c>
      <c r="EZ80" s="191">
        <v>0</v>
      </c>
      <c r="FA80" s="191">
        <v>0</v>
      </c>
      <c r="FB80" s="191">
        <v>0</v>
      </c>
      <c r="FC80" s="191">
        <v>0</v>
      </c>
      <c r="FD80" s="191">
        <v>0</v>
      </c>
      <c r="FE80" s="191">
        <v>-5.17</v>
      </c>
      <c r="FF80" s="191">
        <v>-5.07</v>
      </c>
      <c r="FG80" s="191">
        <v>-2.43</v>
      </c>
      <c r="FH80" s="191">
        <v>0</v>
      </c>
      <c r="FI80" s="191">
        <v>0</v>
      </c>
      <c r="FJ80" s="191">
        <v>0</v>
      </c>
      <c r="FK80" s="191">
        <v>0</v>
      </c>
      <c r="FL80" s="192">
        <v>2.25</v>
      </c>
    </row>
    <row r="81" s="180" customFormat="1" spans="1:168">
      <c r="A81" s="190" t="s">
        <v>486</v>
      </c>
      <c r="B81" s="191">
        <v>-22.4</v>
      </c>
      <c r="C81" s="192">
        <v>280.81</v>
      </c>
      <c r="E81" s="191" t="s">
        <v>486</v>
      </c>
      <c r="F81" s="191">
        <v>-7.6</v>
      </c>
      <c r="G81" s="191">
        <v>280.81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  <c r="V81" s="191">
        <v>0</v>
      </c>
      <c r="W81" s="191">
        <v>0</v>
      </c>
      <c r="X81" s="191">
        <v>0</v>
      </c>
      <c r="Y81" s="191">
        <v>0</v>
      </c>
      <c r="Z81" s="191">
        <v>0</v>
      </c>
      <c r="AA81" s="191">
        <v>0</v>
      </c>
      <c r="AB81" s="191">
        <v>-0.1</v>
      </c>
      <c r="AC81" s="191">
        <v>0</v>
      </c>
      <c r="AD81" s="191">
        <v>0</v>
      </c>
      <c r="AE81" s="191">
        <v>0</v>
      </c>
      <c r="AF81" s="191">
        <v>0</v>
      </c>
      <c r="AG81" s="191">
        <v>-0.2</v>
      </c>
      <c r="AH81" s="191">
        <v>0</v>
      </c>
      <c r="AI81" s="191">
        <v>0</v>
      </c>
      <c r="AJ81" s="191">
        <v>0</v>
      </c>
      <c r="AK81" s="191">
        <v>0</v>
      </c>
      <c r="AL81" s="191">
        <v>0</v>
      </c>
      <c r="AM81" s="191">
        <v>0</v>
      </c>
      <c r="AN81" s="191">
        <v>0</v>
      </c>
      <c r="AO81" s="191">
        <v>0</v>
      </c>
      <c r="AP81" s="191">
        <v>0</v>
      </c>
      <c r="AQ81" s="191">
        <v>0</v>
      </c>
      <c r="AR81" s="191">
        <v>0</v>
      </c>
      <c r="AS81" s="191">
        <v>0</v>
      </c>
      <c r="AT81" s="191">
        <v>0</v>
      </c>
      <c r="AU81" s="191">
        <v>-4.9</v>
      </c>
      <c r="AV81" s="191">
        <v>-4.8</v>
      </c>
      <c r="AW81" s="191">
        <v>-2.3</v>
      </c>
      <c r="AX81" s="191">
        <v>0</v>
      </c>
      <c r="AY81" s="191">
        <v>0</v>
      </c>
      <c r="AZ81" s="191">
        <v>0</v>
      </c>
      <c r="BA81" s="191">
        <v>0</v>
      </c>
      <c r="BB81" s="191">
        <v>0</v>
      </c>
      <c r="BC81" s="191">
        <v>0</v>
      </c>
      <c r="BD81" s="191">
        <v>0</v>
      </c>
      <c r="BE81" s="191">
        <v>0</v>
      </c>
      <c r="BF81" s="191">
        <v>0</v>
      </c>
      <c r="BG81" s="191">
        <v>0</v>
      </c>
      <c r="BH81" s="191">
        <v>0</v>
      </c>
      <c r="BI81" s="191">
        <v>0</v>
      </c>
      <c r="BJ81" s="191">
        <v>0</v>
      </c>
      <c r="BK81" s="191">
        <v>0</v>
      </c>
      <c r="BL81" s="191">
        <v>-2.5</v>
      </c>
      <c r="BM81" s="191">
        <v>0</v>
      </c>
      <c r="BN81" s="191">
        <v>0</v>
      </c>
      <c r="BO81" s="191">
        <v>0</v>
      </c>
      <c r="BP81" s="191">
        <v>0</v>
      </c>
      <c r="BQ81" s="191">
        <v>0</v>
      </c>
      <c r="BR81" s="191">
        <v>0</v>
      </c>
      <c r="BS81" s="192">
        <v>0</v>
      </c>
      <c r="BT81" s="180"/>
      <c r="BU81" s="191" t="s">
        <v>486</v>
      </c>
      <c r="BV81" s="191">
        <v>-7.79</v>
      </c>
      <c r="BW81" s="191">
        <v>273.9</v>
      </c>
      <c r="BX81" s="191">
        <v>0</v>
      </c>
      <c r="BY81" s="191">
        <v>0</v>
      </c>
      <c r="BZ81" s="191">
        <v>0</v>
      </c>
      <c r="CA81" s="191">
        <v>0</v>
      </c>
      <c r="CB81" s="191">
        <v>0</v>
      </c>
      <c r="CC81" s="191">
        <v>0</v>
      </c>
      <c r="CD81" s="191">
        <v>0</v>
      </c>
      <c r="CE81" s="191">
        <v>0</v>
      </c>
      <c r="CF81" s="191">
        <v>0</v>
      </c>
      <c r="CG81" s="191">
        <v>0</v>
      </c>
      <c r="CH81" s="191">
        <v>0</v>
      </c>
      <c r="CI81" s="191">
        <v>0</v>
      </c>
      <c r="CJ81" s="191">
        <v>0</v>
      </c>
      <c r="CK81" s="191">
        <v>0</v>
      </c>
      <c r="CL81" s="191">
        <v>0</v>
      </c>
      <c r="CM81" s="191">
        <v>0</v>
      </c>
      <c r="CN81" s="191">
        <v>0</v>
      </c>
      <c r="CO81" s="191">
        <v>0</v>
      </c>
      <c r="CP81" s="191">
        <v>0</v>
      </c>
      <c r="CQ81" s="191">
        <v>0</v>
      </c>
      <c r="CR81" s="191">
        <v>-0.1</v>
      </c>
      <c r="CS81" s="191">
        <v>0</v>
      </c>
      <c r="CT81" s="191">
        <v>0</v>
      </c>
      <c r="CU81" s="191">
        <v>0</v>
      </c>
      <c r="CV81" s="191">
        <v>0</v>
      </c>
      <c r="CW81" s="191">
        <v>-0.21</v>
      </c>
      <c r="CX81" s="191">
        <v>0</v>
      </c>
      <c r="CY81" s="191">
        <v>0</v>
      </c>
      <c r="CZ81" s="191">
        <v>0</v>
      </c>
      <c r="DA81" s="191">
        <v>0</v>
      </c>
      <c r="DB81" s="191">
        <v>0</v>
      </c>
      <c r="DC81" s="191">
        <v>0</v>
      </c>
      <c r="DD81" s="191">
        <v>0</v>
      </c>
      <c r="DE81" s="191">
        <v>0</v>
      </c>
      <c r="DF81" s="191">
        <v>0</v>
      </c>
      <c r="DG81" s="191">
        <v>0</v>
      </c>
      <c r="DH81" s="191">
        <v>0</v>
      </c>
      <c r="DI81" s="191">
        <v>0</v>
      </c>
      <c r="DJ81" s="191">
        <v>0</v>
      </c>
      <c r="DK81" s="191">
        <v>-5.02</v>
      </c>
      <c r="DL81" s="191">
        <v>-4.92</v>
      </c>
      <c r="DM81" s="191">
        <v>-2.36</v>
      </c>
      <c r="DN81" s="191">
        <v>0</v>
      </c>
      <c r="DO81" s="191">
        <v>0</v>
      </c>
      <c r="DP81" s="191">
        <v>0</v>
      </c>
      <c r="DQ81" s="191">
        <v>0</v>
      </c>
      <c r="DR81" s="191">
        <v>0</v>
      </c>
      <c r="DS81" s="191">
        <v>0</v>
      </c>
      <c r="DT81" s="191">
        <v>0</v>
      </c>
      <c r="DU81" s="191">
        <v>0</v>
      </c>
      <c r="DV81" s="191">
        <v>0</v>
      </c>
      <c r="DW81" s="191">
        <v>0</v>
      </c>
      <c r="DX81" s="191">
        <v>0</v>
      </c>
      <c r="DY81" s="191">
        <v>0</v>
      </c>
      <c r="DZ81" s="191">
        <v>0</v>
      </c>
      <c r="EA81" s="191">
        <v>0</v>
      </c>
      <c r="EB81" s="191">
        <v>-2.56</v>
      </c>
      <c r="EC81" s="191">
        <v>0</v>
      </c>
      <c r="ED81" s="191">
        <v>0</v>
      </c>
      <c r="EE81" s="191">
        <v>0</v>
      </c>
      <c r="EF81" s="191">
        <v>0</v>
      </c>
      <c r="EG81" s="191">
        <v>0</v>
      </c>
      <c r="EH81" s="191">
        <v>0</v>
      </c>
      <c r="EI81" s="192">
        <v>0</v>
      </c>
      <c r="EJ81" s="180"/>
      <c r="EK81" s="191" t="s">
        <v>486</v>
      </c>
      <c r="EL81" s="191">
        <v>-8.03</v>
      </c>
      <c r="EM81" s="191">
        <v>0</v>
      </c>
      <c r="EN81" s="191">
        <v>0</v>
      </c>
      <c r="EO81" s="191">
        <v>0</v>
      </c>
      <c r="EP81" s="191">
        <v>0</v>
      </c>
      <c r="EQ81" s="191">
        <v>0</v>
      </c>
      <c r="ER81" s="191">
        <v>0</v>
      </c>
      <c r="ES81" s="191">
        <v>0</v>
      </c>
      <c r="ET81" s="191">
        <v>0</v>
      </c>
      <c r="EU81" s="191">
        <v>0</v>
      </c>
      <c r="EV81" s="191">
        <v>0</v>
      </c>
      <c r="EW81" s="191">
        <v>-0.1</v>
      </c>
      <c r="EX81" s="191">
        <v>0</v>
      </c>
      <c r="EY81" s="191">
        <v>0</v>
      </c>
      <c r="EZ81" s="191">
        <v>0</v>
      </c>
      <c r="FA81" s="191">
        <v>0</v>
      </c>
      <c r="FB81" s="191">
        <v>0</v>
      </c>
      <c r="FC81" s="191">
        <v>0</v>
      </c>
      <c r="FD81" s="191">
        <v>0</v>
      </c>
      <c r="FE81" s="191">
        <v>-5.17</v>
      </c>
      <c r="FF81" s="191">
        <v>-5.07</v>
      </c>
      <c r="FG81" s="191">
        <v>-2.43</v>
      </c>
      <c r="FH81" s="191">
        <v>0</v>
      </c>
      <c r="FI81" s="191">
        <v>0</v>
      </c>
      <c r="FJ81" s="191">
        <v>0</v>
      </c>
      <c r="FK81" s="191">
        <v>0</v>
      </c>
      <c r="FL81" s="192">
        <v>0</v>
      </c>
    </row>
    <row r="82" s="180" customFormat="1" spans="1:168">
      <c r="A82" s="190" t="s">
        <v>487</v>
      </c>
      <c r="B82" s="191">
        <v>-22.4</v>
      </c>
      <c r="C82" s="192">
        <v>53.65</v>
      </c>
      <c r="E82" s="191" t="s">
        <v>487</v>
      </c>
      <c r="F82" s="191">
        <v>-7.6</v>
      </c>
      <c r="G82" s="191">
        <v>53.65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0</v>
      </c>
      <c r="X82" s="191">
        <v>0</v>
      </c>
      <c r="Y82" s="191">
        <v>0</v>
      </c>
      <c r="Z82" s="191">
        <v>0</v>
      </c>
      <c r="AA82" s="191">
        <v>0</v>
      </c>
      <c r="AB82" s="191">
        <v>-0.1</v>
      </c>
      <c r="AC82" s="191">
        <v>0</v>
      </c>
      <c r="AD82" s="191">
        <v>0</v>
      </c>
      <c r="AE82" s="191">
        <v>0</v>
      </c>
      <c r="AF82" s="191">
        <v>0</v>
      </c>
      <c r="AG82" s="191">
        <v>-0.2</v>
      </c>
      <c r="AH82" s="191">
        <v>0</v>
      </c>
      <c r="AI82" s="191">
        <v>0</v>
      </c>
      <c r="AJ82" s="191">
        <v>0</v>
      </c>
      <c r="AK82" s="191">
        <v>0</v>
      </c>
      <c r="AL82" s="191">
        <v>0</v>
      </c>
      <c r="AM82" s="191">
        <v>0</v>
      </c>
      <c r="AN82" s="191">
        <v>0</v>
      </c>
      <c r="AO82" s="191">
        <v>0</v>
      </c>
      <c r="AP82" s="191">
        <v>0</v>
      </c>
      <c r="AQ82" s="191">
        <v>0</v>
      </c>
      <c r="AR82" s="191">
        <v>0</v>
      </c>
      <c r="AS82" s="191">
        <v>0</v>
      </c>
      <c r="AT82" s="191">
        <v>0</v>
      </c>
      <c r="AU82" s="191">
        <v>-4.9</v>
      </c>
      <c r="AV82" s="191">
        <v>-4.8</v>
      </c>
      <c r="AW82" s="191">
        <v>-2.3</v>
      </c>
      <c r="AX82" s="191">
        <v>0</v>
      </c>
      <c r="AY82" s="191">
        <v>0</v>
      </c>
      <c r="AZ82" s="191">
        <v>0</v>
      </c>
      <c r="BA82" s="191">
        <v>0</v>
      </c>
      <c r="BB82" s="191">
        <v>0</v>
      </c>
      <c r="BC82" s="191">
        <v>0</v>
      </c>
      <c r="BD82" s="191">
        <v>0</v>
      </c>
      <c r="BE82" s="191">
        <v>0</v>
      </c>
      <c r="BF82" s="191">
        <v>0</v>
      </c>
      <c r="BG82" s="191">
        <v>0</v>
      </c>
      <c r="BH82" s="191">
        <v>0</v>
      </c>
      <c r="BI82" s="191">
        <v>0</v>
      </c>
      <c r="BJ82" s="191">
        <v>0</v>
      </c>
      <c r="BK82" s="191">
        <v>0</v>
      </c>
      <c r="BL82" s="191">
        <v>-2.5</v>
      </c>
      <c r="BM82" s="191">
        <v>0</v>
      </c>
      <c r="BN82" s="191">
        <v>0</v>
      </c>
      <c r="BO82" s="191">
        <v>0</v>
      </c>
      <c r="BP82" s="191">
        <v>0</v>
      </c>
      <c r="BQ82" s="191">
        <v>0</v>
      </c>
      <c r="BR82" s="191">
        <v>0</v>
      </c>
      <c r="BS82" s="192">
        <v>0</v>
      </c>
      <c r="BT82" s="180"/>
      <c r="BU82" s="191" t="s">
        <v>487</v>
      </c>
      <c r="BV82" s="191">
        <v>-7.79</v>
      </c>
      <c r="BW82" s="191">
        <v>52.33</v>
      </c>
      <c r="BX82" s="191">
        <v>0</v>
      </c>
      <c r="BY82" s="191">
        <v>0</v>
      </c>
      <c r="BZ82" s="191">
        <v>0</v>
      </c>
      <c r="CA82" s="191">
        <v>0</v>
      </c>
      <c r="CB82" s="191">
        <v>0</v>
      </c>
      <c r="CC82" s="191">
        <v>0</v>
      </c>
      <c r="CD82" s="191">
        <v>0</v>
      </c>
      <c r="CE82" s="191">
        <v>0</v>
      </c>
      <c r="CF82" s="191">
        <v>0</v>
      </c>
      <c r="CG82" s="191">
        <v>0</v>
      </c>
      <c r="CH82" s="191">
        <v>0</v>
      </c>
      <c r="CI82" s="191">
        <v>0</v>
      </c>
      <c r="CJ82" s="191">
        <v>0</v>
      </c>
      <c r="CK82" s="191">
        <v>0</v>
      </c>
      <c r="CL82" s="191">
        <v>0</v>
      </c>
      <c r="CM82" s="191">
        <v>0</v>
      </c>
      <c r="CN82" s="191">
        <v>0</v>
      </c>
      <c r="CO82" s="191">
        <v>0</v>
      </c>
      <c r="CP82" s="191">
        <v>0</v>
      </c>
      <c r="CQ82" s="191">
        <v>0</v>
      </c>
      <c r="CR82" s="191">
        <v>-0.1</v>
      </c>
      <c r="CS82" s="191">
        <v>0</v>
      </c>
      <c r="CT82" s="191">
        <v>0</v>
      </c>
      <c r="CU82" s="191">
        <v>0</v>
      </c>
      <c r="CV82" s="191">
        <v>0</v>
      </c>
      <c r="CW82" s="191">
        <v>-0.21</v>
      </c>
      <c r="CX82" s="191">
        <v>0</v>
      </c>
      <c r="CY82" s="191">
        <v>0</v>
      </c>
      <c r="CZ82" s="191">
        <v>0</v>
      </c>
      <c r="DA82" s="191">
        <v>0</v>
      </c>
      <c r="DB82" s="191">
        <v>0</v>
      </c>
      <c r="DC82" s="191">
        <v>0</v>
      </c>
      <c r="DD82" s="191">
        <v>0</v>
      </c>
      <c r="DE82" s="191">
        <v>0</v>
      </c>
      <c r="DF82" s="191">
        <v>0</v>
      </c>
      <c r="DG82" s="191">
        <v>0</v>
      </c>
      <c r="DH82" s="191">
        <v>0</v>
      </c>
      <c r="DI82" s="191">
        <v>0</v>
      </c>
      <c r="DJ82" s="191">
        <v>0</v>
      </c>
      <c r="DK82" s="191">
        <v>-5.02</v>
      </c>
      <c r="DL82" s="191">
        <v>-4.92</v>
      </c>
      <c r="DM82" s="191">
        <v>-2.36</v>
      </c>
      <c r="DN82" s="191">
        <v>0</v>
      </c>
      <c r="DO82" s="191">
        <v>0</v>
      </c>
      <c r="DP82" s="191">
        <v>0</v>
      </c>
      <c r="DQ82" s="191">
        <v>0</v>
      </c>
      <c r="DR82" s="191">
        <v>0</v>
      </c>
      <c r="DS82" s="191">
        <v>0</v>
      </c>
      <c r="DT82" s="191">
        <v>0</v>
      </c>
      <c r="DU82" s="191">
        <v>0</v>
      </c>
      <c r="DV82" s="191">
        <v>0</v>
      </c>
      <c r="DW82" s="191">
        <v>0</v>
      </c>
      <c r="DX82" s="191">
        <v>0</v>
      </c>
      <c r="DY82" s="191">
        <v>0</v>
      </c>
      <c r="DZ82" s="191">
        <v>0</v>
      </c>
      <c r="EA82" s="191">
        <v>0</v>
      </c>
      <c r="EB82" s="191">
        <v>-2.56</v>
      </c>
      <c r="EC82" s="191">
        <v>0</v>
      </c>
      <c r="ED82" s="191">
        <v>0</v>
      </c>
      <c r="EE82" s="191">
        <v>0</v>
      </c>
      <c r="EF82" s="191">
        <v>0</v>
      </c>
      <c r="EG82" s="191">
        <v>0</v>
      </c>
      <c r="EH82" s="191">
        <v>0</v>
      </c>
      <c r="EI82" s="192">
        <v>0</v>
      </c>
      <c r="EJ82" s="180"/>
      <c r="EK82" s="191" t="s">
        <v>487</v>
      </c>
      <c r="EL82" s="191">
        <v>-8.03</v>
      </c>
      <c r="EM82" s="191">
        <v>0</v>
      </c>
      <c r="EN82" s="191">
        <v>0</v>
      </c>
      <c r="EO82" s="191">
        <v>0</v>
      </c>
      <c r="EP82" s="191">
        <v>0</v>
      </c>
      <c r="EQ82" s="191">
        <v>0</v>
      </c>
      <c r="ER82" s="191">
        <v>0</v>
      </c>
      <c r="ES82" s="191">
        <v>0</v>
      </c>
      <c r="ET82" s="191">
        <v>0</v>
      </c>
      <c r="EU82" s="191">
        <v>0</v>
      </c>
      <c r="EV82" s="191">
        <v>0</v>
      </c>
      <c r="EW82" s="191">
        <v>-0.1</v>
      </c>
      <c r="EX82" s="191">
        <v>0</v>
      </c>
      <c r="EY82" s="191">
        <v>0</v>
      </c>
      <c r="EZ82" s="191">
        <v>0</v>
      </c>
      <c r="FA82" s="191">
        <v>0</v>
      </c>
      <c r="FB82" s="191">
        <v>0</v>
      </c>
      <c r="FC82" s="191">
        <v>0</v>
      </c>
      <c r="FD82" s="191">
        <v>0</v>
      </c>
      <c r="FE82" s="191">
        <v>-5.17</v>
      </c>
      <c r="FF82" s="191">
        <v>-5.07</v>
      </c>
      <c r="FG82" s="191">
        <v>-2.43</v>
      </c>
      <c r="FH82" s="191">
        <v>0</v>
      </c>
      <c r="FI82" s="191">
        <v>0</v>
      </c>
      <c r="FJ82" s="191">
        <v>0</v>
      </c>
      <c r="FK82" s="191">
        <v>0</v>
      </c>
      <c r="FL82" s="192">
        <v>0</v>
      </c>
    </row>
    <row r="83" s="180" customFormat="1" spans="1:168">
      <c r="A83" s="190" t="s">
        <v>488</v>
      </c>
      <c r="B83" s="191">
        <v>-22.3</v>
      </c>
      <c r="C83" s="192">
        <v>53.53</v>
      </c>
      <c r="E83" s="191" t="s">
        <v>488</v>
      </c>
      <c r="F83" s="191">
        <v>-7.6</v>
      </c>
      <c r="G83" s="191">
        <v>53.53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0</v>
      </c>
      <c r="X83" s="191">
        <v>0</v>
      </c>
      <c r="Y83" s="191">
        <v>0</v>
      </c>
      <c r="Z83" s="191">
        <v>0</v>
      </c>
      <c r="AA83" s="191">
        <v>0</v>
      </c>
      <c r="AB83" s="191">
        <v>0</v>
      </c>
      <c r="AC83" s="191">
        <v>0</v>
      </c>
      <c r="AD83" s="191">
        <v>0</v>
      </c>
      <c r="AE83" s="191">
        <v>0</v>
      </c>
      <c r="AF83" s="191">
        <v>0</v>
      </c>
      <c r="AG83" s="191">
        <v>-0.2</v>
      </c>
      <c r="AH83" s="191">
        <v>0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0</v>
      </c>
      <c r="AR83" s="191">
        <v>0</v>
      </c>
      <c r="AS83" s="191">
        <v>0</v>
      </c>
      <c r="AT83" s="191">
        <v>0</v>
      </c>
      <c r="AU83" s="191">
        <v>-4.9</v>
      </c>
      <c r="AV83" s="191">
        <v>-4.8</v>
      </c>
      <c r="AW83" s="191">
        <v>-2.3</v>
      </c>
      <c r="AX83" s="191">
        <v>0</v>
      </c>
      <c r="AY83" s="191">
        <v>0</v>
      </c>
      <c r="AZ83" s="191">
        <v>0</v>
      </c>
      <c r="BA83" s="191">
        <v>0</v>
      </c>
      <c r="BB83" s="191">
        <v>0</v>
      </c>
      <c r="BC83" s="191">
        <v>0</v>
      </c>
      <c r="BD83" s="191">
        <v>0</v>
      </c>
      <c r="BE83" s="191">
        <v>0</v>
      </c>
      <c r="BF83" s="191">
        <v>0</v>
      </c>
      <c r="BG83" s="191">
        <v>0</v>
      </c>
      <c r="BH83" s="191">
        <v>0</v>
      </c>
      <c r="BI83" s="191">
        <v>0</v>
      </c>
      <c r="BJ83" s="191">
        <v>0</v>
      </c>
      <c r="BK83" s="191">
        <v>0</v>
      </c>
      <c r="BL83" s="191">
        <v>-2.5</v>
      </c>
      <c r="BM83" s="191">
        <v>0</v>
      </c>
      <c r="BN83" s="191">
        <v>0</v>
      </c>
      <c r="BO83" s="191">
        <v>0</v>
      </c>
      <c r="BP83" s="191">
        <v>0</v>
      </c>
      <c r="BQ83" s="191">
        <v>0</v>
      </c>
      <c r="BR83" s="191">
        <v>0</v>
      </c>
      <c r="BS83" s="192">
        <v>0</v>
      </c>
      <c r="BT83" s="180"/>
      <c r="BU83" s="191" t="s">
        <v>488</v>
      </c>
      <c r="BV83" s="191">
        <v>-7.79</v>
      </c>
      <c r="BW83" s="191">
        <v>52.21</v>
      </c>
      <c r="BX83" s="191">
        <v>0</v>
      </c>
      <c r="BY83" s="191">
        <v>0</v>
      </c>
      <c r="BZ83" s="191">
        <v>0</v>
      </c>
      <c r="CA83" s="191">
        <v>0</v>
      </c>
      <c r="CB83" s="191">
        <v>0</v>
      </c>
      <c r="CC83" s="191">
        <v>0</v>
      </c>
      <c r="CD83" s="191">
        <v>0</v>
      </c>
      <c r="CE83" s="191">
        <v>0</v>
      </c>
      <c r="CF83" s="191">
        <v>0</v>
      </c>
      <c r="CG83" s="191">
        <v>0</v>
      </c>
      <c r="CH83" s="191">
        <v>0</v>
      </c>
      <c r="CI83" s="191">
        <v>0</v>
      </c>
      <c r="CJ83" s="191">
        <v>0</v>
      </c>
      <c r="CK83" s="191">
        <v>0</v>
      </c>
      <c r="CL83" s="191">
        <v>0</v>
      </c>
      <c r="CM83" s="191">
        <v>0</v>
      </c>
      <c r="CN83" s="191">
        <v>0</v>
      </c>
      <c r="CO83" s="191">
        <v>0</v>
      </c>
      <c r="CP83" s="191">
        <v>0</v>
      </c>
      <c r="CQ83" s="191">
        <v>0</v>
      </c>
      <c r="CR83" s="191">
        <v>0</v>
      </c>
      <c r="CS83" s="191">
        <v>0</v>
      </c>
      <c r="CT83" s="191">
        <v>0</v>
      </c>
      <c r="CU83" s="191">
        <v>0</v>
      </c>
      <c r="CV83" s="191">
        <v>0</v>
      </c>
      <c r="CW83" s="191">
        <v>-0.21</v>
      </c>
      <c r="CX83" s="191">
        <v>0</v>
      </c>
      <c r="CY83" s="191">
        <v>0</v>
      </c>
      <c r="CZ83" s="191">
        <v>0</v>
      </c>
      <c r="DA83" s="191">
        <v>0</v>
      </c>
      <c r="DB83" s="191">
        <v>0</v>
      </c>
      <c r="DC83" s="191">
        <v>0</v>
      </c>
      <c r="DD83" s="191">
        <v>0</v>
      </c>
      <c r="DE83" s="191">
        <v>0</v>
      </c>
      <c r="DF83" s="191">
        <v>0</v>
      </c>
      <c r="DG83" s="191">
        <v>0</v>
      </c>
      <c r="DH83" s="191">
        <v>0</v>
      </c>
      <c r="DI83" s="191">
        <v>0</v>
      </c>
      <c r="DJ83" s="191">
        <v>0</v>
      </c>
      <c r="DK83" s="191">
        <v>-5.02</v>
      </c>
      <c r="DL83" s="191">
        <v>-4.92</v>
      </c>
      <c r="DM83" s="191">
        <v>-2.36</v>
      </c>
      <c r="DN83" s="191">
        <v>0</v>
      </c>
      <c r="DO83" s="191">
        <v>0</v>
      </c>
      <c r="DP83" s="191">
        <v>0</v>
      </c>
      <c r="DQ83" s="191">
        <v>0</v>
      </c>
      <c r="DR83" s="191">
        <v>0</v>
      </c>
      <c r="DS83" s="191">
        <v>0</v>
      </c>
      <c r="DT83" s="191">
        <v>0</v>
      </c>
      <c r="DU83" s="191">
        <v>0</v>
      </c>
      <c r="DV83" s="191">
        <v>0</v>
      </c>
      <c r="DW83" s="191">
        <v>0</v>
      </c>
      <c r="DX83" s="191">
        <v>0</v>
      </c>
      <c r="DY83" s="191">
        <v>0</v>
      </c>
      <c r="DZ83" s="191">
        <v>0</v>
      </c>
      <c r="EA83" s="191">
        <v>0</v>
      </c>
      <c r="EB83" s="191">
        <v>-2.56</v>
      </c>
      <c r="EC83" s="191">
        <v>0</v>
      </c>
      <c r="ED83" s="191">
        <v>0</v>
      </c>
      <c r="EE83" s="191">
        <v>0</v>
      </c>
      <c r="EF83" s="191">
        <v>0</v>
      </c>
      <c r="EG83" s="191">
        <v>0</v>
      </c>
      <c r="EH83" s="191">
        <v>0</v>
      </c>
      <c r="EI83" s="192">
        <v>0</v>
      </c>
      <c r="EJ83" s="180"/>
      <c r="EK83" s="191" t="s">
        <v>488</v>
      </c>
      <c r="EL83" s="191">
        <v>-8.03</v>
      </c>
      <c r="EM83" s="191">
        <v>0</v>
      </c>
      <c r="EN83" s="191">
        <v>0</v>
      </c>
      <c r="EO83" s="191">
        <v>0</v>
      </c>
      <c r="EP83" s="191">
        <v>0</v>
      </c>
      <c r="EQ83" s="191">
        <v>0</v>
      </c>
      <c r="ER83" s="191">
        <v>0</v>
      </c>
      <c r="ES83" s="191">
        <v>0</v>
      </c>
      <c r="ET83" s="191">
        <v>0</v>
      </c>
      <c r="EU83" s="191">
        <v>0</v>
      </c>
      <c r="EV83" s="191">
        <v>0</v>
      </c>
      <c r="EW83" s="191">
        <v>0</v>
      </c>
      <c r="EX83" s="191">
        <v>0</v>
      </c>
      <c r="EY83" s="191">
        <v>0</v>
      </c>
      <c r="EZ83" s="191">
        <v>0</v>
      </c>
      <c r="FA83" s="191">
        <v>0</v>
      </c>
      <c r="FB83" s="191">
        <v>0</v>
      </c>
      <c r="FC83" s="191">
        <v>0</v>
      </c>
      <c r="FD83" s="191">
        <v>0</v>
      </c>
      <c r="FE83" s="191">
        <v>-5.17</v>
      </c>
      <c r="FF83" s="191">
        <v>-5.07</v>
      </c>
      <c r="FG83" s="191">
        <v>-2.43</v>
      </c>
      <c r="FH83" s="191">
        <v>0</v>
      </c>
      <c r="FI83" s="191">
        <v>0</v>
      </c>
      <c r="FJ83" s="191">
        <v>0</v>
      </c>
      <c r="FK83" s="191">
        <v>0</v>
      </c>
      <c r="FL83" s="192">
        <v>0</v>
      </c>
    </row>
    <row r="84" s="180" customFormat="1" spans="1:168">
      <c r="A84" s="190" t="s">
        <v>489</v>
      </c>
      <c r="B84" s="191">
        <v>-219.9</v>
      </c>
      <c r="C84" s="192">
        <v>0</v>
      </c>
      <c r="E84" s="191" t="s">
        <v>489</v>
      </c>
      <c r="F84" s="191">
        <v>-7.6</v>
      </c>
      <c r="G84" s="191">
        <v>-200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0</v>
      </c>
      <c r="X84" s="191">
        <v>0</v>
      </c>
      <c r="Y84" s="191">
        <v>0</v>
      </c>
      <c r="Z84" s="191">
        <v>0</v>
      </c>
      <c r="AA84" s="191">
        <v>0</v>
      </c>
      <c r="AB84" s="191">
        <v>0</v>
      </c>
      <c r="AC84" s="191">
        <v>0</v>
      </c>
      <c r="AD84" s="191">
        <v>0</v>
      </c>
      <c r="AE84" s="191">
        <v>0</v>
      </c>
      <c r="AF84" s="191">
        <v>0</v>
      </c>
      <c r="AG84" s="191">
        <v>-0.2</v>
      </c>
      <c r="AH84" s="191">
        <v>0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0</v>
      </c>
      <c r="AR84" s="191">
        <v>0</v>
      </c>
      <c r="AS84" s="191">
        <v>0</v>
      </c>
      <c r="AT84" s="191">
        <v>0</v>
      </c>
      <c r="AU84" s="191">
        <v>-4.9</v>
      </c>
      <c r="AV84" s="191">
        <v>-4.8</v>
      </c>
      <c r="AW84" s="191">
        <v>-2.3</v>
      </c>
      <c r="AX84" s="191">
        <v>0</v>
      </c>
      <c r="AY84" s="191">
        <v>0</v>
      </c>
      <c r="AZ84" s="191">
        <v>0</v>
      </c>
      <c r="BA84" s="191">
        <v>0</v>
      </c>
      <c r="BB84" s="191">
        <v>0</v>
      </c>
      <c r="BC84" s="191">
        <v>0</v>
      </c>
      <c r="BD84" s="191">
        <v>0</v>
      </c>
      <c r="BE84" s="191">
        <v>0</v>
      </c>
      <c r="BF84" s="191">
        <v>0</v>
      </c>
      <c r="BG84" s="191">
        <v>0</v>
      </c>
      <c r="BH84" s="191">
        <v>0</v>
      </c>
      <c r="BI84" s="191">
        <v>0</v>
      </c>
      <c r="BJ84" s="191">
        <v>0</v>
      </c>
      <c r="BK84" s="191">
        <v>-0.1</v>
      </c>
      <c r="BL84" s="191">
        <v>0</v>
      </c>
      <c r="BM84" s="191">
        <v>0</v>
      </c>
      <c r="BN84" s="191">
        <v>0</v>
      </c>
      <c r="BO84" s="191">
        <v>0</v>
      </c>
      <c r="BP84" s="191">
        <v>0</v>
      </c>
      <c r="BQ84" s="191">
        <v>0</v>
      </c>
      <c r="BR84" s="191">
        <v>0</v>
      </c>
      <c r="BS84" s="192">
        <v>0</v>
      </c>
      <c r="BT84" s="180"/>
      <c r="BU84" s="191" t="s">
        <v>489</v>
      </c>
      <c r="BV84" s="191">
        <v>-7.79</v>
      </c>
      <c r="BW84" s="191">
        <v>-205.04</v>
      </c>
      <c r="BX84" s="191">
        <v>0</v>
      </c>
      <c r="BY84" s="191">
        <v>0</v>
      </c>
      <c r="BZ84" s="191">
        <v>0</v>
      </c>
      <c r="CA84" s="191">
        <v>0</v>
      </c>
      <c r="CB84" s="191">
        <v>0</v>
      </c>
      <c r="CC84" s="191">
        <v>0</v>
      </c>
      <c r="CD84" s="191">
        <v>0</v>
      </c>
      <c r="CE84" s="191">
        <v>0</v>
      </c>
      <c r="CF84" s="191">
        <v>0</v>
      </c>
      <c r="CG84" s="191">
        <v>0</v>
      </c>
      <c r="CH84" s="191">
        <v>0</v>
      </c>
      <c r="CI84" s="191">
        <v>0</v>
      </c>
      <c r="CJ84" s="191">
        <v>0</v>
      </c>
      <c r="CK84" s="191">
        <v>0</v>
      </c>
      <c r="CL84" s="191">
        <v>0</v>
      </c>
      <c r="CM84" s="191">
        <v>0</v>
      </c>
      <c r="CN84" s="191">
        <v>0</v>
      </c>
      <c r="CO84" s="191">
        <v>0</v>
      </c>
      <c r="CP84" s="191">
        <v>0</v>
      </c>
      <c r="CQ84" s="191">
        <v>0</v>
      </c>
      <c r="CR84" s="191">
        <v>0</v>
      </c>
      <c r="CS84" s="191">
        <v>0</v>
      </c>
      <c r="CT84" s="191">
        <v>0</v>
      </c>
      <c r="CU84" s="191">
        <v>0</v>
      </c>
      <c r="CV84" s="191">
        <v>0</v>
      </c>
      <c r="CW84" s="191">
        <v>-0.21</v>
      </c>
      <c r="CX84" s="191">
        <v>0</v>
      </c>
      <c r="CY84" s="191">
        <v>0</v>
      </c>
      <c r="CZ84" s="191">
        <v>0</v>
      </c>
      <c r="DA84" s="191">
        <v>0</v>
      </c>
      <c r="DB84" s="191">
        <v>0</v>
      </c>
      <c r="DC84" s="191">
        <v>0</v>
      </c>
      <c r="DD84" s="191">
        <v>0</v>
      </c>
      <c r="DE84" s="191">
        <v>0</v>
      </c>
      <c r="DF84" s="191">
        <v>0</v>
      </c>
      <c r="DG84" s="191">
        <v>0</v>
      </c>
      <c r="DH84" s="191">
        <v>0</v>
      </c>
      <c r="DI84" s="191">
        <v>0</v>
      </c>
      <c r="DJ84" s="191">
        <v>0</v>
      </c>
      <c r="DK84" s="191">
        <v>-5.02</v>
      </c>
      <c r="DL84" s="191">
        <v>-4.92</v>
      </c>
      <c r="DM84" s="191">
        <v>-2.36</v>
      </c>
      <c r="DN84" s="191">
        <v>0</v>
      </c>
      <c r="DO84" s="191">
        <v>0</v>
      </c>
      <c r="DP84" s="191">
        <v>0</v>
      </c>
      <c r="DQ84" s="191">
        <v>0</v>
      </c>
      <c r="DR84" s="191">
        <v>0</v>
      </c>
      <c r="DS84" s="191">
        <v>0</v>
      </c>
      <c r="DT84" s="191">
        <v>0</v>
      </c>
      <c r="DU84" s="191">
        <v>0</v>
      </c>
      <c r="DV84" s="191">
        <v>0</v>
      </c>
      <c r="DW84" s="191">
        <v>0</v>
      </c>
      <c r="DX84" s="191">
        <v>0</v>
      </c>
      <c r="DY84" s="191">
        <v>0</v>
      </c>
      <c r="DZ84" s="191">
        <v>0</v>
      </c>
      <c r="EA84" s="191">
        <v>-0.1</v>
      </c>
      <c r="EB84" s="191">
        <v>0</v>
      </c>
      <c r="EC84" s="191">
        <v>0</v>
      </c>
      <c r="ED84" s="191">
        <v>0</v>
      </c>
      <c r="EE84" s="191">
        <v>0</v>
      </c>
      <c r="EF84" s="191">
        <v>0</v>
      </c>
      <c r="EG84" s="191">
        <v>0</v>
      </c>
      <c r="EH84" s="191">
        <v>0</v>
      </c>
      <c r="EI84" s="192">
        <v>0</v>
      </c>
      <c r="EJ84" s="180"/>
      <c r="EK84" s="191" t="s">
        <v>489</v>
      </c>
      <c r="EL84" s="191">
        <v>-8.03</v>
      </c>
      <c r="EM84" s="191">
        <v>0</v>
      </c>
      <c r="EN84" s="191">
        <v>0</v>
      </c>
      <c r="EO84" s="191">
        <v>0</v>
      </c>
      <c r="EP84" s="191">
        <v>0</v>
      </c>
      <c r="EQ84" s="191">
        <v>0</v>
      </c>
      <c r="ER84" s="191">
        <v>0</v>
      </c>
      <c r="ES84" s="191">
        <v>0</v>
      </c>
      <c r="ET84" s="191">
        <v>0</v>
      </c>
      <c r="EU84" s="191">
        <v>0</v>
      </c>
      <c r="EV84" s="191">
        <v>0</v>
      </c>
      <c r="EW84" s="191">
        <v>0</v>
      </c>
      <c r="EX84" s="191">
        <v>0</v>
      </c>
      <c r="EY84" s="191">
        <v>0</v>
      </c>
      <c r="EZ84" s="191">
        <v>0</v>
      </c>
      <c r="FA84" s="191">
        <v>0</v>
      </c>
      <c r="FB84" s="191">
        <v>0</v>
      </c>
      <c r="FC84" s="191">
        <v>0</v>
      </c>
      <c r="FD84" s="191">
        <v>0</v>
      </c>
      <c r="FE84" s="191">
        <v>-5.17</v>
      </c>
      <c r="FF84" s="191">
        <v>-5.07</v>
      </c>
      <c r="FG84" s="191">
        <v>-2.43</v>
      </c>
      <c r="FH84" s="191">
        <v>0</v>
      </c>
      <c r="FI84" s="191">
        <v>0</v>
      </c>
      <c r="FJ84" s="191">
        <v>0</v>
      </c>
      <c r="FK84" s="191">
        <v>-0.1</v>
      </c>
      <c r="FL84" s="192">
        <v>0</v>
      </c>
    </row>
    <row r="85" s="180" customFormat="1" spans="1:168">
      <c r="A85" s="190" t="s">
        <v>490</v>
      </c>
      <c r="B85" s="191">
        <v>-119.9</v>
      </c>
      <c r="C85" s="192">
        <v>0</v>
      </c>
      <c r="E85" s="191" t="s">
        <v>490</v>
      </c>
      <c r="F85" s="191">
        <v>-7.6</v>
      </c>
      <c r="G85" s="191">
        <v>-100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0</v>
      </c>
      <c r="X85" s="191">
        <v>0</v>
      </c>
      <c r="Y85" s="191">
        <v>0</v>
      </c>
      <c r="Z85" s="191">
        <v>0</v>
      </c>
      <c r="AA85" s="191">
        <v>0</v>
      </c>
      <c r="AB85" s="191">
        <v>0</v>
      </c>
      <c r="AC85" s="191">
        <v>0</v>
      </c>
      <c r="AD85" s="191">
        <v>0</v>
      </c>
      <c r="AE85" s="191">
        <v>0</v>
      </c>
      <c r="AF85" s="191">
        <v>0</v>
      </c>
      <c r="AG85" s="191">
        <v>-0.2</v>
      </c>
      <c r="AH85" s="191">
        <v>0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0</v>
      </c>
      <c r="AR85" s="191">
        <v>0</v>
      </c>
      <c r="AS85" s="191">
        <v>0</v>
      </c>
      <c r="AT85" s="191">
        <v>0</v>
      </c>
      <c r="AU85" s="191">
        <v>-4.9</v>
      </c>
      <c r="AV85" s="191">
        <v>-4.8</v>
      </c>
      <c r="AW85" s="191">
        <v>-2.3</v>
      </c>
      <c r="AX85" s="191">
        <v>0</v>
      </c>
      <c r="AY85" s="191">
        <v>0</v>
      </c>
      <c r="AZ85" s="191">
        <v>0</v>
      </c>
      <c r="BA85" s="191">
        <v>0</v>
      </c>
      <c r="BB85" s="191">
        <v>0</v>
      </c>
      <c r="BC85" s="191">
        <v>0</v>
      </c>
      <c r="BD85" s="191">
        <v>0</v>
      </c>
      <c r="BE85" s="191">
        <v>0</v>
      </c>
      <c r="BF85" s="191">
        <v>0</v>
      </c>
      <c r="BG85" s="191">
        <v>0</v>
      </c>
      <c r="BH85" s="191">
        <v>0</v>
      </c>
      <c r="BI85" s="191">
        <v>0</v>
      </c>
      <c r="BJ85" s="191">
        <v>0</v>
      </c>
      <c r="BK85" s="191">
        <v>-0.1</v>
      </c>
      <c r="BL85" s="191">
        <v>0</v>
      </c>
      <c r="BM85" s="191">
        <v>0</v>
      </c>
      <c r="BN85" s="191">
        <v>0</v>
      </c>
      <c r="BO85" s="191">
        <v>0</v>
      </c>
      <c r="BP85" s="191">
        <v>0</v>
      </c>
      <c r="BQ85" s="191">
        <v>0</v>
      </c>
      <c r="BR85" s="191">
        <v>0</v>
      </c>
      <c r="BS85" s="192">
        <v>0</v>
      </c>
      <c r="BT85" s="180"/>
      <c r="BU85" s="191" t="s">
        <v>490</v>
      </c>
      <c r="BV85" s="191">
        <v>-7.79</v>
      </c>
      <c r="BW85" s="191">
        <v>-102.52</v>
      </c>
      <c r="BX85" s="191">
        <v>0</v>
      </c>
      <c r="BY85" s="191">
        <v>0</v>
      </c>
      <c r="BZ85" s="191">
        <v>0</v>
      </c>
      <c r="CA85" s="191">
        <v>0</v>
      </c>
      <c r="CB85" s="191">
        <v>0</v>
      </c>
      <c r="CC85" s="191">
        <v>0</v>
      </c>
      <c r="CD85" s="191">
        <v>0</v>
      </c>
      <c r="CE85" s="191">
        <v>0</v>
      </c>
      <c r="CF85" s="191">
        <v>0</v>
      </c>
      <c r="CG85" s="191">
        <v>0</v>
      </c>
      <c r="CH85" s="191">
        <v>0</v>
      </c>
      <c r="CI85" s="191">
        <v>0</v>
      </c>
      <c r="CJ85" s="191">
        <v>0</v>
      </c>
      <c r="CK85" s="191">
        <v>0</v>
      </c>
      <c r="CL85" s="191">
        <v>0</v>
      </c>
      <c r="CM85" s="191">
        <v>0</v>
      </c>
      <c r="CN85" s="191">
        <v>0</v>
      </c>
      <c r="CO85" s="191">
        <v>0</v>
      </c>
      <c r="CP85" s="191">
        <v>0</v>
      </c>
      <c r="CQ85" s="191">
        <v>0</v>
      </c>
      <c r="CR85" s="191">
        <v>0</v>
      </c>
      <c r="CS85" s="191">
        <v>0</v>
      </c>
      <c r="CT85" s="191">
        <v>0</v>
      </c>
      <c r="CU85" s="191">
        <v>0</v>
      </c>
      <c r="CV85" s="191">
        <v>0</v>
      </c>
      <c r="CW85" s="191">
        <v>-0.21</v>
      </c>
      <c r="CX85" s="191">
        <v>0</v>
      </c>
      <c r="CY85" s="191">
        <v>0</v>
      </c>
      <c r="CZ85" s="191">
        <v>0</v>
      </c>
      <c r="DA85" s="191">
        <v>0</v>
      </c>
      <c r="DB85" s="191">
        <v>0</v>
      </c>
      <c r="DC85" s="191">
        <v>0</v>
      </c>
      <c r="DD85" s="191">
        <v>0</v>
      </c>
      <c r="DE85" s="191">
        <v>0</v>
      </c>
      <c r="DF85" s="191">
        <v>0</v>
      </c>
      <c r="DG85" s="191">
        <v>0</v>
      </c>
      <c r="DH85" s="191">
        <v>0</v>
      </c>
      <c r="DI85" s="191">
        <v>0</v>
      </c>
      <c r="DJ85" s="191">
        <v>0</v>
      </c>
      <c r="DK85" s="191">
        <v>-5.02</v>
      </c>
      <c r="DL85" s="191">
        <v>-4.92</v>
      </c>
      <c r="DM85" s="191">
        <v>-2.36</v>
      </c>
      <c r="DN85" s="191">
        <v>0</v>
      </c>
      <c r="DO85" s="191">
        <v>0</v>
      </c>
      <c r="DP85" s="191">
        <v>0</v>
      </c>
      <c r="DQ85" s="191">
        <v>0</v>
      </c>
      <c r="DR85" s="191">
        <v>0</v>
      </c>
      <c r="DS85" s="191">
        <v>0</v>
      </c>
      <c r="DT85" s="191">
        <v>0</v>
      </c>
      <c r="DU85" s="191">
        <v>0</v>
      </c>
      <c r="DV85" s="191">
        <v>0</v>
      </c>
      <c r="DW85" s="191">
        <v>0</v>
      </c>
      <c r="DX85" s="191">
        <v>0</v>
      </c>
      <c r="DY85" s="191">
        <v>0</v>
      </c>
      <c r="DZ85" s="191">
        <v>0</v>
      </c>
      <c r="EA85" s="191">
        <v>-0.1</v>
      </c>
      <c r="EB85" s="191">
        <v>0</v>
      </c>
      <c r="EC85" s="191">
        <v>0</v>
      </c>
      <c r="ED85" s="191">
        <v>0</v>
      </c>
      <c r="EE85" s="191">
        <v>0</v>
      </c>
      <c r="EF85" s="191">
        <v>0</v>
      </c>
      <c r="EG85" s="191">
        <v>0</v>
      </c>
      <c r="EH85" s="191">
        <v>0</v>
      </c>
      <c r="EI85" s="192">
        <v>0</v>
      </c>
      <c r="EJ85" s="180"/>
      <c r="EK85" s="191" t="s">
        <v>490</v>
      </c>
      <c r="EL85" s="191">
        <v>-8.03</v>
      </c>
      <c r="EM85" s="191">
        <v>0</v>
      </c>
      <c r="EN85" s="191">
        <v>0</v>
      </c>
      <c r="EO85" s="191">
        <v>0</v>
      </c>
      <c r="EP85" s="191">
        <v>0</v>
      </c>
      <c r="EQ85" s="191">
        <v>0</v>
      </c>
      <c r="ER85" s="191">
        <v>0</v>
      </c>
      <c r="ES85" s="191">
        <v>0</v>
      </c>
      <c r="ET85" s="191">
        <v>0</v>
      </c>
      <c r="EU85" s="191">
        <v>0</v>
      </c>
      <c r="EV85" s="191">
        <v>0</v>
      </c>
      <c r="EW85" s="191">
        <v>0</v>
      </c>
      <c r="EX85" s="191">
        <v>0</v>
      </c>
      <c r="EY85" s="191">
        <v>0</v>
      </c>
      <c r="EZ85" s="191">
        <v>0</v>
      </c>
      <c r="FA85" s="191">
        <v>0</v>
      </c>
      <c r="FB85" s="191">
        <v>0</v>
      </c>
      <c r="FC85" s="191">
        <v>0</v>
      </c>
      <c r="FD85" s="191">
        <v>0</v>
      </c>
      <c r="FE85" s="191">
        <v>-5.17</v>
      </c>
      <c r="FF85" s="191">
        <v>-5.07</v>
      </c>
      <c r="FG85" s="191">
        <v>-2.43</v>
      </c>
      <c r="FH85" s="191">
        <v>0</v>
      </c>
      <c r="FI85" s="191">
        <v>0</v>
      </c>
      <c r="FJ85" s="191">
        <v>0</v>
      </c>
      <c r="FK85" s="191">
        <v>-0.1</v>
      </c>
      <c r="FL85" s="192">
        <v>0</v>
      </c>
    </row>
    <row r="86" s="180" customFormat="1" spans="1:168">
      <c r="A86" s="190" t="s">
        <v>491</v>
      </c>
      <c r="B86" s="191">
        <v>-224.2</v>
      </c>
      <c r="C86" s="192">
        <v>0</v>
      </c>
      <c r="E86" s="191" t="s">
        <v>491</v>
      </c>
      <c r="F86" s="191">
        <v>-7.6</v>
      </c>
      <c r="G86" s="191">
        <v>-200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  <c r="V86" s="191">
        <v>0</v>
      </c>
      <c r="W86" s="191">
        <v>0</v>
      </c>
      <c r="X86" s="191">
        <v>0</v>
      </c>
      <c r="Y86" s="191">
        <v>0</v>
      </c>
      <c r="Z86" s="191">
        <v>0</v>
      </c>
      <c r="AA86" s="191">
        <v>0</v>
      </c>
      <c r="AB86" s="191">
        <v>0</v>
      </c>
      <c r="AC86" s="191">
        <v>0</v>
      </c>
      <c r="AD86" s="191">
        <v>0</v>
      </c>
      <c r="AE86" s="191">
        <v>0</v>
      </c>
      <c r="AF86" s="191">
        <v>0</v>
      </c>
      <c r="AG86" s="191">
        <v>-0.2</v>
      </c>
      <c r="AH86" s="191">
        <v>0</v>
      </c>
      <c r="AI86" s="191">
        <v>0</v>
      </c>
      <c r="AJ86" s="191">
        <v>0</v>
      </c>
      <c r="AK86" s="191">
        <v>0</v>
      </c>
      <c r="AL86" s="191">
        <v>0</v>
      </c>
      <c r="AM86" s="191">
        <v>0</v>
      </c>
      <c r="AN86" s="191">
        <v>0</v>
      </c>
      <c r="AO86" s="191">
        <v>0</v>
      </c>
      <c r="AP86" s="191">
        <v>0</v>
      </c>
      <c r="AQ86" s="191">
        <v>0</v>
      </c>
      <c r="AR86" s="191">
        <v>0</v>
      </c>
      <c r="AS86" s="191">
        <v>0</v>
      </c>
      <c r="AT86" s="191">
        <v>0</v>
      </c>
      <c r="AU86" s="191">
        <v>-4.9</v>
      </c>
      <c r="AV86" s="191">
        <v>-4.8</v>
      </c>
      <c r="AW86" s="191">
        <v>-2.3</v>
      </c>
      <c r="AX86" s="191">
        <v>0</v>
      </c>
      <c r="AY86" s="191">
        <v>0</v>
      </c>
      <c r="AZ86" s="191">
        <v>0</v>
      </c>
      <c r="BA86" s="191">
        <v>0</v>
      </c>
      <c r="BB86" s="191">
        <v>0</v>
      </c>
      <c r="BC86" s="191">
        <v>0</v>
      </c>
      <c r="BD86" s="191">
        <v>0</v>
      </c>
      <c r="BE86" s="191">
        <v>0</v>
      </c>
      <c r="BF86" s="191">
        <v>0</v>
      </c>
      <c r="BG86" s="191">
        <v>0</v>
      </c>
      <c r="BH86" s="191">
        <v>0</v>
      </c>
      <c r="BI86" s="191">
        <v>0</v>
      </c>
      <c r="BJ86" s="191">
        <v>0</v>
      </c>
      <c r="BK86" s="191">
        <v>-0.1</v>
      </c>
      <c r="BL86" s="191">
        <v>-2.5</v>
      </c>
      <c r="BM86" s="191">
        <v>0</v>
      </c>
      <c r="BN86" s="191">
        <v>0</v>
      </c>
      <c r="BO86" s="191">
        <v>-1.8</v>
      </c>
      <c r="BP86" s="191">
        <v>0</v>
      </c>
      <c r="BQ86" s="191">
        <v>0</v>
      </c>
      <c r="BR86" s="191">
        <v>0</v>
      </c>
      <c r="BS86" s="192">
        <v>0</v>
      </c>
      <c r="BT86" s="180"/>
      <c r="BU86" s="191" t="s">
        <v>491</v>
      </c>
      <c r="BV86" s="191">
        <v>-7.79</v>
      </c>
      <c r="BW86" s="191">
        <v>-205.04</v>
      </c>
      <c r="BX86" s="191">
        <v>0</v>
      </c>
      <c r="BY86" s="191">
        <v>0</v>
      </c>
      <c r="BZ86" s="191">
        <v>0</v>
      </c>
      <c r="CA86" s="191">
        <v>0</v>
      </c>
      <c r="CB86" s="191">
        <v>0</v>
      </c>
      <c r="CC86" s="191">
        <v>0</v>
      </c>
      <c r="CD86" s="191">
        <v>0</v>
      </c>
      <c r="CE86" s="191">
        <v>0</v>
      </c>
      <c r="CF86" s="191">
        <v>0</v>
      </c>
      <c r="CG86" s="191">
        <v>0</v>
      </c>
      <c r="CH86" s="191">
        <v>0</v>
      </c>
      <c r="CI86" s="191">
        <v>0</v>
      </c>
      <c r="CJ86" s="191">
        <v>0</v>
      </c>
      <c r="CK86" s="191">
        <v>0</v>
      </c>
      <c r="CL86" s="191">
        <v>0</v>
      </c>
      <c r="CM86" s="191">
        <v>0</v>
      </c>
      <c r="CN86" s="191">
        <v>0</v>
      </c>
      <c r="CO86" s="191">
        <v>0</v>
      </c>
      <c r="CP86" s="191">
        <v>0</v>
      </c>
      <c r="CQ86" s="191">
        <v>0</v>
      </c>
      <c r="CR86" s="191">
        <v>0</v>
      </c>
      <c r="CS86" s="191">
        <v>0</v>
      </c>
      <c r="CT86" s="191">
        <v>0</v>
      </c>
      <c r="CU86" s="191">
        <v>0</v>
      </c>
      <c r="CV86" s="191">
        <v>0</v>
      </c>
      <c r="CW86" s="191">
        <v>-0.21</v>
      </c>
      <c r="CX86" s="191">
        <v>0</v>
      </c>
      <c r="CY86" s="191">
        <v>0</v>
      </c>
      <c r="CZ86" s="191">
        <v>0</v>
      </c>
      <c r="DA86" s="191">
        <v>0</v>
      </c>
      <c r="DB86" s="191">
        <v>0</v>
      </c>
      <c r="DC86" s="191">
        <v>0</v>
      </c>
      <c r="DD86" s="191">
        <v>0</v>
      </c>
      <c r="DE86" s="191">
        <v>0</v>
      </c>
      <c r="DF86" s="191">
        <v>0</v>
      </c>
      <c r="DG86" s="191">
        <v>0</v>
      </c>
      <c r="DH86" s="191">
        <v>0</v>
      </c>
      <c r="DI86" s="191">
        <v>0</v>
      </c>
      <c r="DJ86" s="191">
        <v>0</v>
      </c>
      <c r="DK86" s="191">
        <v>-5.02</v>
      </c>
      <c r="DL86" s="191">
        <v>-4.92</v>
      </c>
      <c r="DM86" s="191">
        <v>-2.36</v>
      </c>
      <c r="DN86" s="191">
        <v>0</v>
      </c>
      <c r="DO86" s="191">
        <v>0</v>
      </c>
      <c r="DP86" s="191">
        <v>0</v>
      </c>
      <c r="DQ86" s="191">
        <v>0</v>
      </c>
      <c r="DR86" s="191">
        <v>0</v>
      </c>
      <c r="DS86" s="191">
        <v>0</v>
      </c>
      <c r="DT86" s="191">
        <v>0</v>
      </c>
      <c r="DU86" s="191">
        <v>0</v>
      </c>
      <c r="DV86" s="191">
        <v>0</v>
      </c>
      <c r="DW86" s="191">
        <v>0</v>
      </c>
      <c r="DX86" s="191">
        <v>0</v>
      </c>
      <c r="DY86" s="191">
        <v>0</v>
      </c>
      <c r="DZ86" s="191">
        <v>0</v>
      </c>
      <c r="EA86" s="191">
        <v>-0.1</v>
      </c>
      <c r="EB86" s="191">
        <v>-2.56</v>
      </c>
      <c r="EC86" s="191">
        <v>0</v>
      </c>
      <c r="ED86" s="191">
        <v>0</v>
      </c>
      <c r="EE86" s="191">
        <v>-1.85</v>
      </c>
      <c r="EF86" s="191">
        <v>0</v>
      </c>
      <c r="EG86" s="191">
        <v>0</v>
      </c>
      <c r="EH86" s="191">
        <v>0</v>
      </c>
      <c r="EI86" s="192">
        <v>0</v>
      </c>
      <c r="EJ86" s="180"/>
      <c r="EK86" s="191" t="s">
        <v>491</v>
      </c>
      <c r="EL86" s="191">
        <v>-8.03</v>
      </c>
      <c r="EM86" s="191">
        <v>0</v>
      </c>
      <c r="EN86" s="191">
        <v>0</v>
      </c>
      <c r="EO86" s="191">
        <v>0</v>
      </c>
      <c r="EP86" s="191">
        <v>0</v>
      </c>
      <c r="EQ86" s="191">
        <v>0</v>
      </c>
      <c r="ER86" s="191">
        <v>0</v>
      </c>
      <c r="ES86" s="191">
        <v>0</v>
      </c>
      <c r="ET86" s="191">
        <v>0</v>
      </c>
      <c r="EU86" s="191">
        <v>0</v>
      </c>
      <c r="EV86" s="191">
        <v>0</v>
      </c>
      <c r="EW86" s="191">
        <v>0</v>
      </c>
      <c r="EX86" s="191">
        <v>0</v>
      </c>
      <c r="EY86" s="191">
        <v>0</v>
      </c>
      <c r="EZ86" s="191">
        <v>0</v>
      </c>
      <c r="FA86" s="191">
        <v>0</v>
      </c>
      <c r="FB86" s="191">
        <v>0</v>
      </c>
      <c r="FC86" s="191">
        <v>0</v>
      </c>
      <c r="FD86" s="191">
        <v>0</v>
      </c>
      <c r="FE86" s="191">
        <v>-5.17</v>
      </c>
      <c r="FF86" s="191">
        <v>-5.07</v>
      </c>
      <c r="FG86" s="191">
        <v>-2.43</v>
      </c>
      <c r="FH86" s="191">
        <v>0</v>
      </c>
      <c r="FI86" s="191">
        <v>0</v>
      </c>
      <c r="FJ86" s="191">
        <v>0</v>
      </c>
      <c r="FK86" s="191">
        <v>-0.1</v>
      </c>
      <c r="FL86" s="192">
        <v>0</v>
      </c>
    </row>
    <row r="87" s="180" customFormat="1" spans="1:168">
      <c r="A87" s="190" t="s">
        <v>492</v>
      </c>
      <c r="B87" s="191">
        <v>-222.4</v>
      </c>
      <c r="C87" s="192">
        <v>0</v>
      </c>
      <c r="E87" s="191" t="s">
        <v>492</v>
      </c>
      <c r="F87" s="191">
        <v>-7.6</v>
      </c>
      <c r="G87" s="191">
        <v>-200</v>
      </c>
      <c r="H87" s="191">
        <v>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0</v>
      </c>
      <c r="V87" s="191">
        <v>0</v>
      </c>
      <c r="W87" s="191">
        <v>0</v>
      </c>
      <c r="X87" s="191">
        <v>0</v>
      </c>
      <c r="Y87" s="191">
        <v>0</v>
      </c>
      <c r="Z87" s="191">
        <v>0</v>
      </c>
      <c r="AA87" s="191">
        <v>0</v>
      </c>
      <c r="AB87" s="191">
        <v>0</v>
      </c>
      <c r="AC87" s="191">
        <v>0</v>
      </c>
      <c r="AD87" s="191">
        <v>0</v>
      </c>
      <c r="AE87" s="191">
        <v>0</v>
      </c>
      <c r="AF87" s="191">
        <v>0</v>
      </c>
      <c r="AG87" s="191">
        <v>-0.2</v>
      </c>
      <c r="AH87" s="191">
        <v>0</v>
      </c>
      <c r="AI87" s="191">
        <v>0</v>
      </c>
      <c r="AJ87" s="191">
        <v>0</v>
      </c>
      <c r="AK87" s="191">
        <v>0</v>
      </c>
      <c r="AL87" s="191">
        <v>0</v>
      </c>
      <c r="AM87" s="191">
        <v>0</v>
      </c>
      <c r="AN87" s="191">
        <v>0</v>
      </c>
      <c r="AO87" s="191">
        <v>0</v>
      </c>
      <c r="AP87" s="191">
        <v>0</v>
      </c>
      <c r="AQ87" s="191">
        <v>0</v>
      </c>
      <c r="AR87" s="191">
        <v>0</v>
      </c>
      <c r="AS87" s="191">
        <v>0</v>
      </c>
      <c r="AT87" s="191">
        <v>0</v>
      </c>
      <c r="AU87" s="191">
        <v>-4.9</v>
      </c>
      <c r="AV87" s="191">
        <v>-4.8</v>
      </c>
      <c r="AW87" s="191">
        <v>-2.3</v>
      </c>
      <c r="AX87" s="191">
        <v>0</v>
      </c>
      <c r="AY87" s="191">
        <v>0</v>
      </c>
      <c r="AZ87" s="191">
        <v>0</v>
      </c>
      <c r="BA87" s="191">
        <v>0</v>
      </c>
      <c r="BB87" s="191">
        <v>0</v>
      </c>
      <c r="BC87" s="191">
        <v>0</v>
      </c>
      <c r="BD87" s="191">
        <v>0</v>
      </c>
      <c r="BE87" s="191">
        <v>0</v>
      </c>
      <c r="BF87" s="191">
        <v>0</v>
      </c>
      <c r="BG87" s="191">
        <v>0</v>
      </c>
      <c r="BH87" s="191">
        <v>0</v>
      </c>
      <c r="BI87" s="191">
        <v>0</v>
      </c>
      <c r="BJ87" s="191">
        <v>0</v>
      </c>
      <c r="BK87" s="191">
        <v>-0.1</v>
      </c>
      <c r="BL87" s="191">
        <v>-2.5</v>
      </c>
      <c r="BM87" s="191">
        <v>0</v>
      </c>
      <c r="BN87" s="191">
        <v>0</v>
      </c>
      <c r="BO87" s="191">
        <v>0</v>
      </c>
      <c r="BP87" s="191">
        <v>0</v>
      </c>
      <c r="BQ87" s="191">
        <v>0</v>
      </c>
      <c r="BR87" s="191">
        <v>0</v>
      </c>
      <c r="BS87" s="192">
        <v>0</v>
      </c>
      <c r="BT87" s="180"/>
      <c r="BU87" s="191" t="s">
        <v>492</v>
      </c>
      <c r="BV87" s="191">
        <v>-7.79</v>
      </c>
      <c r="BW87" s="191">
        <v>-205.04</v>
      </c>
      <c r="BX87" s="191">
        <v>0</v>
      </c>
      <c r="BY87" s="191">
        <v>0</v>
      </c>
      <c r="BZ87" s="191">
        <v>0</v>
      </c>
      <c r="CA87" s="191">
        <v>0</v>
      </c>
      <c r="CB87" s="191">
        <v>0</v>
      </c>
      <c r="CC87" s="191">
        <v>0</v>
      </c>
      <c r="CD87" s="191">
        <v>0</v>
      </c>
      <c r="CE87" s="191">
        <v>0</v>
      </c>
      <c r="CF87" s="191">
        <v>0</v>
      </c>
      <c r="CG87" s="191">
        <v>0</v>
      </c>
      <c r="CH87" s="191">
        <v>0</v>
      </c>
      <c r="CI87" s="191">
        <v>0</v>
      </c>
      <c r="CJ87" s="191">
        <v>0</v>
      </c>
      <c r="CK87" s="191">
        <v>0</v>
      </c>
      <c r="CL87" s="191">
        <v>0</v>
      </c>
      <c r="CM87" s="191">
        <v>0</v>
      </c>
      <c r="CN87" s="191">
        <v>0</v>
      </c>
      <c r="CO87" s="191">
        <v>0</v>
      </c>
      <c r="CP87" s="191">
        <v>0</v>
      </c>
      <c r="CQ87" s="191">
        <v>0</v>
      </c>
      <c r="CR87" s="191">
        <v>0</v>
      </c>
      <c r="CS87" s="191">
        <v>0</v>
      </c>
      <c r="CT87" s="191">
        <v>0</v>
      </c>
      <c r="CU87" s="191">
        <v>0</v>
      </c>
      <c r="CV87" s="191">
        <v>0</v>
      </c>
      <c r="CW87" s="191">
        <v>-0.21</v>
      </c>
      <c r="CX87" s="191">
        <v>0</v>
      </c>
      <c r="CY87" s="191">
        <v>0</v>
      </c>
      <c r="CZ87" s="191">
        <v>0</v>
      </c>
      <c r="DA87" s="191">
        <v>0</v>
      </c>
      <c r="DB87" s="191">
        <v>0</v>
      </c>
      <c r="DC87" s="191">
        <v>0</v>
      </c>
      <c r="DD87" s="191">
        <v>0</v>
      </c>
      <c r="DE87" s="191">
        <v>0</v>
      </c>
      <c r="DF87" s="191">
        <v>0</v>
      </c>
      <c r="DG87" s="191">
        <v>0</v>
      </c>
      <c r="DH87" s="191">
        <v>0</v>
      </c>
      <c r="DI87" s="191">
        <v>0</v>
      </c>
      <c r="DJ87" s="191">
        <v>0</v>
      </c>
      <c r="DK87" s="191">
        <v>-5.02</v>
      </c>
      <c r="DL87" s="191">
        <v>-4.92</v>
      </c>
      <c r="DM87" s="191">
        <v>-2.36</v>
      </c>
      <c r="DN87" s="191">
        <v>0</v>
      </c>
      <c r="DO87" s="191">
        <v>0</v>
      </c>
      <c r="DP87" s="191">
        <v>0</v>
      </c>
      <c r="DQ87" s="191">
        <v>0</v>
      </c>
      <c r="DR87" s="191">
        <v>0</v>
      </c>
      <c r="DS87" s="191">
        <v>0</v>
      </c>
      <c r="DT87" s="191">
        <v>0</v>
      </c>
      <c r="DU87" s="191">
        <v>0</v>
      </c>
      <c r="DV87" s="191">
        <v>0</v>
      </c>
      <c r="DW87" s="191">
        <v>0</v>
      </c>
      <c r="DX87" s="191">
        <v>0</v>
      </c>
      <c r="DY87" s="191">
        <v>0</v>
      </c>
      <c r="DZ87" s="191">
        <v>0</v>
      </c>
      <c r="EA87" s="191">
        <v>-0.1</v>
      </c>
      <c r="EB87" s="191">
        <v>-2.56</v>
      </c>
      <c r="EC87" s="191">
        <v>0</v>
      </c>
      <c r="ED87" s="191">
        <v>0</v>
      </c>
      <c r="EE87" s="191">
        <v>0</v>
      </c>
      <c r="EF87" s="191">
        <v>0</v>
      </c>
      <c r="EG87" s="191">
        <v>0</v>
      </c>
      <c r="EH87" s="191">
        <v>0</v>
      </c>
      <c r="EI87" s="192">
        <v>0</v>
      </c>
      <c r="EJ87" s="180"/>
      <c r="EK87" s="191" t="s">
        <v>492</v>
      </c>
      <c r="EL87" s="191">
        <v>-8.03</v>
      </c>
      <c r="EM87" s="191">
        <v>0</v>
      </c>
      <c r="EN87" s="191">
        <v>0</v>
      </c>
      <c r="EO87" s="191">
        <v>0</v>
      </c>
      <c r="EP87" s="191">
        <v>0</v>
      </c>
      <c r="EQ87" s="191">
        <v>0</v>
      </c>
      <c r="ER87" s="191">
        <v>0</v>
      </c>
      <c r="ES87" s="191">
        <v>0</v>
      </c>
      <c r="ET87" s="191">
        <v>0</v>
      </c>
      <c r="EU87" s="191">
        <v>0</v>
      </c>
      <c r="EV87" s="191">
        <v>0</v>
      </c>
      <c r="EW87" s="191">
        <v>0</v>
      </c>
      <c r="EX87" s="191">
        <v>0</v>
      </c>
      <c r="EY87" s="191">
        <v>0</v>
      </c>
      <c r="EZ87" s="191">
        <v>0</v>
      </c>
      <c r="FA87" s="191">
        <v>0</v>
      </c>
      <c r="FB87" s="191">
        <v>0</v>
      </c>
      <c r="FC87" s="191">
        <v>0</v>
      </c>
      <c r="FD87" s="191">
        <v>0</v>
      </c>
      <c r="FE87" s="191">
        <v>-5.17</v>
      </c>
      <c r="FF87" s="191">
        <v>-5.07</v>
      </c>
      <c r="FG87" s="191">
        <v>-2.43</v>
      </c>
      <c r="FH87" s="191">
        <v>0</v>
      </c>
      <c r="FI87" s="191">
        <v>0</v>
      </c>
      <c r="FJ87" s="191">
        <v>0</v>
      </c>
      <c r="FK87" s="191">
        <v>-0.1</v>
      </c>
      <c r="FL87" s="192">
        <v>0</v>
      </c>
    </row>
    <row r="88" s="180" customFormat="1" spans="1:168">
      <c r="A88" s="190" t="s">
        <v>493</v>
      </c>
      <c r="B88" s="191">
        <v>-322.4</v>
      </c>
      <c r="C88" s="192">
        <v>0</v>
      </c>
      <c r="E88" s="191" t="s">
        <v>493</v>
      </c>
      <c r="F88" s="191">
        <v>-7.6</v>
      </c>
      <c r="G88" s="191">
        <v>-300</v>
      </c>
      <c r="H88" s="191">
        <v>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0</v>
      </c>
      <c r="X88" s="191">
        <v>0</v>
      </c>
      <c r="Y88" s="191">
        <v>0</v>
      </c>
      <c r="Z88" s="191">
        <v>0</v>
      </c>
      <c r="AA88" s="191">
        <v>0</v>
      </c>
      <c r="AB88" s="191">
        <v>0</v>
      </c>
      <c r="AC88" s="191">
        <v>0</v>
      </c>
      <c r="AD88" s="191">
        <v>0</v>
      </c>
      <c r="AE88" s="191">
        <v>0</v>
      </c>
      <c r="AF88" s="191">
        <v>0</v>
      </c>
      <c r="AG88" s="191">
        <v>-0.2</v>
      </c>
      <c r="AH88" s="191">
        <v>0</v>
      </c>
      <c r="AI88" s="191">
        <v>0</v>
      </c>
      <c r="AJ88" s="191">
        <v>0</v>
      </c>
      <c r="AK88" s="191">
        <v>0</v>
      </c>
      <c r="AL88" s="191">
        <v>0</v>
      </c>
      <c r="AM88" s="191">
        <v>0</v>
      </c>
      <c r="AN88" s="191">
        <v>0</v>
      </c>
      <c r="AO88" s="191">
        <v>0</v>
      </c>
      <c r="AP88" s="191">
        <v>0</v>
      </c>
      <c r="AQ88" s="191">
        <v>0</v>
      </c>
      <c r="AR88" s="191">
        <v>0</v>
      </c>
      <c r="AS88" s="191">
        <v>0</v>
      </c>
      <c r="AT88" s="191">
        <v>0</v>
      </c>
      <c r="AU88" s="191">
        <v>-4.9</v>
      </c>
      <c r="AV88" s="191">
        <v>-4.8</v>
      </c>
      <c r="AW88" s="191">
        <v>-2.3</v>
      </c>
      <c r="AX88" s="191">
        <v>0</v>
      </c>
      <c r="AY88" s="191">
        <v>0</v>
      </c>
      <c r="AZ88" s="191">
        <v>0</v>
      </c>
      <c r="BA88" s="191">
        <v>0</v>
      </c>
      <c r="BB88" s="191">
        <v>0</v>
      </c>
      <c r="BC88" s="191">
        <v>0</v>
      </c>
      <c r="BD88" s="191">
        <v>0</v>
      </c>
      <c r="BE88" s="191">
        <v>0</v>
      </c>
      <c r="BF88" s="191">
        <v>0</v>
      </c>
      <c r="BG88" s="191">
        <v>0</v>
      </c>
      <c r="BH88" s="191">
        <v>0</v>
      </c>
      <c r="BI88" s="191">
        <v>0</v>
      </c>
      <c r="BJ88" s="191">
        <v>0</v>
      </c>
      <c r="BK88" s="191">
        <v>-0.1</v>
      </c>
      <c r="BL88" s="191">
        <v>-2.5</v>
      </c>
      <c r="BM88" s="191">
        <v>0</v>
      </c>
      <c r="BN88" s="191">
        <v>0</v>
      </c>
      <c r="BO88" s="191">
        <v>0</v>
      </c>
      <c r="BP88" s="191">
        <v>0</v>
      </c>
      <c r="BQ88" s="191">
        <v>0</v>
      </c>
      <c r="BR88" s="191">
        <v>0</v>
      </c>
      <c r="BS88" s="192">
        <v>0</v>
      </c>
      <c r="BT88" s="180"/>
      <c r="BU88" s="191" t="s">
        <v>493</v>
      </c>
      <c r="BV88" s="191">
        <v>-7.79</v>
      </c>
      <c r="BW88" s="191">
        <v>-307.57</v>
      </c>
      <c r="BX88" s="191">
        <v>0</v>
      </c>
      <c r="BY88" s="191">
        <v>0</v>
      </c>
      <c r="BZ88" s="191">
        <v>0</v>
      </c>
      <c r="CA88" s="191">
        <v>0</v>
      </c>
      <c r="CB88" s="191">
        <v>0</v>
      </c>
      <c r="CC88" s="191">
        <v>0</v>
      </c>
      <c r="CD88" s="191">
        <v>0</v>
      </c>
      <c r="CE88" s="191">
        <v>0</v>
      </c>
      <c r="CF88" s="191">
        <v>0</v>
      </c>
      <c r="CG88" s="191">
        <v>0</v>
      </c>
      <c r="CH88" s="191">
        <v>0</v>
      </c>
      <c r="CI88" s="191">
        <v>0</v>
      </c>
      <c r="CJ88" s="191">
        <v>0</v>
      </c>
      <c r="CK88" s="191">
        <v>0</v>
      </c>
      <c r="CL88" s="191">
        <v>0</v>
      </c>
      <c r="CM88" s="191">
        <v>0</v>
      </c>
      <c r="CN88" s="191">
        <v>0</v>
      </c>
      <c r="CO88" s="191">
        <v>0</v>
      </c>
      <c r="CP88" s="191">
        <v>0</v>
      </c>
      <c r="CQ88" s="191">
        <v>0</v>
      </c>
      <c r="CR88" s="191">
        <v>0</v>
      </c>
      <c r="CS88" s="191">
        <v>0</v>
      </c>
      <c r="CT88" s="191">
        <v>0</v>
      </c>
      <c r="CU88" s="191">
        <v>0</v>
      </c>
      <c r="CV88" s="191">
        <v>0</v>
      </c>
      <c r="CW88" s="191">
        <v>-0.21</v>
      </c>
      <c r="CX88" s="191">
        <v>0</v>
      </c>
      <c r="CY88" s="191">
        <v>0</v>
      </c>
      <c r="CZ88" s="191">
        <v>0</v>
      </c>
      <c r="DA88" s="191">
        <v>0</v>
      </c>
      <c r="DB88" s="191">
        <v>0</v>
      </c>
      <c r="DC88" s="191">
        <v>0</v>
      </c>
      <c r="DD88" s="191">
        <v>0</v>
      </c>
      <c r="DE88" s="191">
        <v>0</v>
      </c>
      <c r="DF88" s="191">
        <v>0</v>
      </c>
      <c r="DG88" s="191">
        <v>0</v>
      </c>
      <c r="DH88" s="191">
        <v>0</v>
      </c>
      <c r="DI88" s="191">
        <v>0</v>
      </c>
      <c r="DJ88" s="191">
        <v>0</v>
      </c>
      <c r="DK88" s="191">
        <v>-5.02</v>
      </c>
      <c r="DL88" s="191">
        <v>-4.92</v>
      </c>
      <c r="DM88" s="191">
        <v>-2.36</v>
      </c>
      <c r="DN88" s="191">
        <v>0</v>
      </c>
      <c r="DO88" s="191">
        <v>0</v>
      </c>
      <c r="DP88" s="191">
        <v>0</v>
      </c>
      <c r="DQ88" s="191">
        <v>0</v>
      </c>
      <c r="DR88" s="191">
        <v>0</v>
      </c>
      <c r="DS88" s="191">
        <v>0</v>
      </c>
      <c r="DT88" s="191">
        <v>0</v>
      </c>
      <c r="DU88" s="191">
        <v>0</v>
      </c>
      <c r="DV88" s="191">
        <v>0</v>
      </c>
      <c r="DW88" s="191">
        <v>0</v>
      </c>
      <c r="DX88" s="191">
        <v>0</v>
      </c>
      <c r="DY88" s="191">
        <v>0</v>
      </c>
      <c r="DZ88" s="191">
        <v>0</v>
      </c>
      <c r="EA88" s="191">
        <v>-0.1</v>
      </c>
      <c r="EB88" s="191">
        <v>-2.56</v>
      </c>
      <c r="EC88" s="191">
        <v>0</v>
      </c>
      <c r="ED88" s="191">
        <v>0</v>
      </c>
      <c r="EE88" s="191">
        <v>0</v>
      </c>
      <c r="EF88" s="191">
        <v>0</v>
      </c>
      <c r="EG88" s="191">
        <v>0</v>
      </c>
      <c r="EH88" s="191">
        <v>0</v>
      </c>
      <c r="EI88" s="192">
        <v>0</v>
      </c>
      <c r="EJ88" s="180"/>
      <c r="EK88" s="191" t="s">
        <v>493</v>
      </c>
      <c r="EL88" s="191">
        <v>-8.03</v>
      </c>
      <c r="EM88" s="191">
        <v>0</v>
      </c>
      <c r="EN88" s="191">
        <v>0</v>
      </c>
      <c r="EO88" s="191">
        <v>0</v>
      </c>
      <c r="EP88" s="191">
        <v>0</v>
      </c>
      <c r="EQ88" s="191">
        <v>0</v>
      </c>
      <c r="ER88" s="191">
        <v>0</v>
      </c>
      <c r="ES88" s="191">
        <v>0</v>
      </c>
      <c r="ET88" s="191">
        <v>0</v>
      </c>
      <c r="EU88" s="191">
        <v>0</v>
      </c>
      <c r="EV88" s="191">
        <v>0</v>
      </c>
      <c r="EW88" s="191">
        <v>0</v>
      </c>
      <c r="EX88" s="191">
        <v>0</v>
      </c>
      <c r="EY88" s="191">
        <v>0</v>
      </c>
      <c r="EZ88" s="191">
        <v>0</v>
      </c>
      <c r="FA88" s="191">
        <v>0</v>
      </c>
      <c r="FB88" s="191">
        <v>0</v>
      </c>
      <c r="FC88" s="191">
        <v>0</v>
      </c>
      <c r="FD88" s="191">
        <v>0</v>
      </c>
      <c r="FE88" s="191">
        <v>-5.17</v>
      </c>
      <c r="FF88" s="191">
        <v>-5.07</v>
      </c>
      <c r="FG88" s="191">
        <v>-2.43</v>
      </c>
      <c r="FH88" s="191">
        <v>0</v>
      </c>
      <c r="FI88" s="191">
        <v>0</v>
      </c>
      <c r="FJ88" s="191">
        <v>0</v>
      </c>
      <c r="FK88" s="191">
        <v>-0.1</v>
      </c>
      <c r="FL88" s="192">
        <v>0</v>
      </c>
    </row>
    <row r="89" s="180" customFormat="1" spans="1:168">
      <c r="A89" s="190" t="s">
        <v>494</v>
      </c>
      <c r="B89" s="191">
        <v>-322.4</v>
      </c>
      <c r="C89" s="192">
        <v>0</v>
      </c>
      <c r="E89" s="191" t="s">
        <v>494</v>
      </c>
      <c r="F89" s="191">
        <v>-7.6</v>
      </c>
      <c r="G89" s="191">
        <v>-300</v>
      </c>
      <c r="H89" s="191">
        <v>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0</v>
      </c>
      <c r="V89" s="191">
        <v>0</v>
      </c>
      <c r="W89" s="191">
        <v>0</v>
      </c>
      <c r="X89" s="191">
        <v>0</v>
      </c>
      <c r="Y89" s="191">
        <v>0</v>
      </c>
      <c r="Z89" s="191">
        <v>0</v>
      </c>
      <c r="AA89" s="191">
        <v>0</v>
      </c>
      <c r="AB89" s="191">
        <v>0</v>
      </c>
      <c r="AC89" s="191">
        <v>0</v>
      </c>
      <c r="AD89" s="191">
        <v>0</v>
      </c>
      <c r="AE89" s="191">
        <v>0</v>
      </c>
      <c r="AF89" s="191">
        <v>0</v>
      </c>
      <c r="AG89" s="191">
        <v>-0.2</v>
      </c>
      <c r="AH89" s="191">
        <v>0</v>
      </c>
      <c r="AI89" s="191">
        <v>0</v>
      </c>
      <c r="AJ89" s="191">
        <v>0</v>
      </c>
      <c r="AK89" s="191">
        <v>0</v>
      </c>
      <c r="AL89" s="191">
        <v>0</v>
      </c>
      <c r="AM89" s="191">
        <v>0</v>
      </c>
      <c r="AN89" s="191">
        <v>0</v>
      </c>
      <c r="AO89" s="191">
        <v>0</v>
      </c>
      <c r="AP89" s="191">
        <v>0</v>
      </c>
      <c r="AQ89" s="191">
        <v>0</v>
      </c>
      <c r="AR89" s="191">
        <v>0</v>
      </c>
      <c r="AS89" s="191">
        <v>0</v>
      </c>
      <c r="AT89" s="191">
        <v>0</v>
      </c>
      <c r="AU89" s="191">
        <v>-4.9</v>
      </c>
      <c r="AV89" s="191">
        <v>-4.8</v>
      </c>
      <c r="AW89" s="191">
        <v>-2.3</v>
      </c>
      <c r="AX89" s="191">
        <v>0</v>
      </c>
      <c r="AY89" s="191">
        <v>0</v>
      </c>
      <c r="AZ89" s="191">
        <v>0</v>
      </c>
      <c r="BA89" s="191">
        <v>0</v>
      </c>
      <c r="BB89" s="191">
        <v>0</v>
      </c>
      <c r="BC89" s="191">
        <v>0</v>
      </c>
      <c r="BD89" s="191">
        <v>0</v>
      </c>
      <c r="BE89" s="191">
        <v>0</v>
      </c>
      <c r="BF89" s="191">
        <v>0</v>
      </c>
      <c r="BG89" s="191">
        <v>0</v>
      </c>
      <c r="BH89" s="191">
        <v>0</v>
      </c>
      <c r="BI89" s="191">
        <v>0</v>
      </c>
      <c r="BJ89" s="191">
        <v>0</v>
      </c>
      <c r="BK89" s="191">
        <v>-0.1</v>
      </c>
      <c r="BL89" s="191">
        <v>-2.5</v>
      </c>
      <c r="BM89" s="191">
        <v>0</v>
      </c>
      <c r="BN89" s="191">
        <v>0</v>
      </c>
      <c r="BO89" s="191">
        <v>0</v>
      </c>
      <c r="BP89" s="191">
        <v>0</v>
      </c>
      <c r="BQ89" s="191">
        <v>0</v>
      </c>
      <c r="BR89" s="191">
        <v>0</v>
      </c>
      <c r="BS89" s="192">
        <v>0</v>
      </c>
      <c r="BT89" s="180"/>
      <c r="BU89" s="191" t="s">
        <v>494</v>
      </c>
      <c r="BV89" s="191">
        <v>-7.79</v>
      </c>
      <c r="BW89" s="191">
        <v>-307.57</v>
      </c>
      <c r="BX89" s="191">
        <v>0</v>
      </c>
      <c r="BY89" s="191">
        <v>0</v>
      </c>
      <c r="BZ89" s="191">
        <v>0</v>
      </c>
      <c r="CA89" s="191">
        <v>0</v>
      </c>
      <c r="CB89" s="191">
        <v>0</v>
      </c>
      <c r="CC89" s="191">
        <v>0</v>
      </c>
      <c r="CD89" s="191">
        <v>0</v>
      </c>
      <c r="CE89" s="191">
        <v>0</v>
      </c>
      <c r="CF89" s="191">
        <v>0</v>
      </c>
      <c r="CG89" s="191">
        <v>0</v>
      </c>
      <c r="CH89" s="191">
        <v>0</v>
      </c>
      <c r="CI89" s="191">
        <v>0</v>
      </c>
      <c r="CJ89" s="191">
        <v>0</v>
      </c>
      <c r="CK89" s="191">
        <v>0</v>
      </c>
      <c r="CL89" s="191">
        <v>0</v>
      </c>
      <c r="CM89" s="191">
        <v>0</v>
      </c>
      <c r="CN89" s="191">
        <v>0</v>
      </c>
      <c r="CO89" s="191">
        <v>0</v>
      </c>
      <c r="CP89" s="191">
        <v>0</v>
      </c>
      <c r="CQ89" s="191">
        <v>0</v>
      </c>
      <c r="CR89" s="191">
        <v>0</v>
      </c>
      <c r="CS89" s="191">
        <v>0</v>
      </c>
      <c r="CT89" s="191">
        <v>0</v>
      </c>
      <c r="CU89" s="191">
        <v>0</v>
      </c>
      <c r="CV89" s="191">
        <v>0</v>
      </c>
      <c r="CW89" s="191">
        <v>-0.21</v>
      </c>
      <c r="CX89" s="191">
        <v>0</v>
      </c>
      <c r="CY89" s="191">
        <v>0</v>
      </c>
      <c r="CZ89" s="191">
        <v>0</v>
      </c>
      <c r="DA89" s="191">
        <v>0</v>
      </c>
      <c r="DB89" s="191">
        <v>0</v>
      </c>
      <c r="DC89" s="191">
        <v>0</v>
      </c>
      <c r="DD89" s="191">
        <v>0</v>
      </c>
      <c r="DE89" s="191">
        <v>0</v>
      </c>
      <c r="DF89" s="191">
        <v>0</v>
      </c>
      <c r="DG89" s="191">
        <v>0</v>
      </c>
      <c r="DH89" s="191">
        <v>0</v>
      </c>
      <c r="DI89" s="191">
        <v>0</v>
      </c>
      <c r="DJ89" s="191">
        <v>0</v>
      </c>
      <c r="DK89" s="191">
        <v>-5.02</v>
      </c>
      <c r="DL89" s="191">
        <v>-4.92</v>
      </c>
      <c r="DM89" s="191">
        <v>-2.36</v>
      </c>
      <c r="DN89" s="191">
        <v>0</v>
      </c>
      <c r="DO89" s="191">
        <v>0</v>
      </c>
      <c r="DP89" s="191">
        <v>0</v>
      </c>
      <c r="DQ89" s="191">
        <v>0</v>
      </c>
      <c r="DR89" s="191">
        <v>0</v>
      </c>
      <c r="DS89" s="191">
        <v>0</v>
      </c>
      <c r="DT89" s="191">
        <v>0</v>
      </c>
      <c r="DU89" s="191">
        <v>0</v>
      </c>
      <c r="DV89" s="191">
        <v>0</v>
      </c>
      <c r="DW89" s="191">
        <v>0</v>
      </c>
      <c r="DX89" s="191">
        <v>0</v>
      </c>
      <c r="DY89" s="191">
        <v>0</v>
      </c>
      <c r="DZ89" s="191">
        <v>0</v>
      </c>
      <c r="EA89" s="191">
        <v>-0.1</v>
      </c>
      <c r="EB89" s="191">
        <v>-2.56</v>
      </c>
      <c r="EC89" s="191">
        <v>0</v>
      </c>
      <c r="ED89" s="191">
        <v>0</v>
      </c>
      <c r="EE89" s="191">
        <v>0</v>
      </c>
      <c r="EF89" s="191">
        <v>0</v>
      </c>
      <c r="EG89" s="191">
        <v>0</v>
      </c>
      <c r="EH89" s="191">
        <v>0</v>
      </c>
      <c r="EI89" s="192">
        <v>0</v>
      </c>
      <c r="EJ89" s="180"/>
      <c r="EK89" s="191" t="s">
        <v>494</v>
      </c>
      <c r="EL89" s="191">
        <v>-8.03</v>
      </c>
      <c r="EM89" s="191">
        <v>0</v>
      </c>
      <c r="EN89" s="191">
        <v>0</v>
      </c>
      <c r="EO89" s="191">
        <v>0</v>
      </c>
      <c r="EP89" s="191">
        <v>0</v>
      </c>
      <c r="EQ89" s="191">
        <v>0</v>
      </c>
      <c r="ER89" s="191">
        <v>0</v>
      </c>
      <c r="ES89" s="191">
        <v>0</v>
      </c>
      <c r="ET89" s="191">
        <v>0</v>
      </c>
      <c r="EU89" s="191">
        <v>0</v>
      </c>
      <c r="EV89" s="191">
        <v>0</v>
      </c>
      <c r="EW89" s="191">
        <v>0</v>
      </c>
      <c r="EX89" s="191">
        <v>0</v>
      </c>
      <c r="EY89" s="191">
        <v>0</v>
      </c>
      <c r="EZ89" s="191">
        <v>0</v>
      </c>
      <c r="FA89" s="191">
        <v>0</v>
      </c>
      <c r="FB89" s="191">
        <v>0</v>
      </c>
      <c r="FC89" s="191">
        <v>0</v>
      </c>
      <c r="FD89" s="191">
        <v>0</v>
      </c>
      <c r="FE89" s="191">
        <v>-5.17</v>
      </c>
      <c r="FF89" s="191">
        <v>-5.07</v>
      </c>
      <c r="FG89" s="191">
        <v>-2.43</v>
      </c>
      <c r="FH89" s="191">
        <v>0</v>
      </c>
      <c r="FI89" s="191">
        <v>0</v>
      </c>
      <c r="FJ89" s="191">
        <v>0</v>
      </c>
      <c r="FK89" s="191">
        <v>-0.1</v>
      </c>
      <c r="FL89" s="192">
        <v>0</v>
      </c>
    </row>
    <row r="90" s="180" customFormat="1" spans="1:168">
      <c r="A90" s="190" t="s">
        <v>495</v>
      </c>
      <c r="B90" s="191">
        <v>-222.4</v>
      </c>
      <c r="C90" s="192">
        <v>0</v>
      </c>
      <c r="E90" s="191" t="s">
        <v>495</v>
      </c>
      <c r="F90" s="191">
        <v>-7.6</v>
      </c>
      <c r="G90" s="191">
        <v>-200</v>
      </c>
      <c r="H90" s="191">
        <v>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0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  <c r="V90" s="191">
        <v>0</v>
      </c>
      <c r="W90" s="191">
        <v>0</v>
      </c>
      <c r="X90" s="191">
        <v>0</v>
      </c>
      <c r="Y90" s="191">
        <v>0</v>
      </c>
      <c r="Z90" s="191">
        <v>0</v>
      </c>
      <c r="AA90" s="191">
        <v>0</v>
      </c>
      <c r="AB90" s="191">
        <v>0</v>
      </c>
      <c r="AC90" s="191">
        <v>0</v>
      </c>
      <c r="AD90" s="191">
        <v>0</v>
      </c>
      <c r="AE90" s="191">
        <v>0</v>
      </c>
      <c r="AF90" s="191">
        <v>0</v>
      </c>
      <c r="AG90" s="191">
        <v>-0.2</v>
      </c>
      <c r="AH90" s="191">
        <v>0</v>
      </c>
      <c r="AI90" s="191">
        <v>0</v>
      </c>
      <c r="AJ90" s="191">
        <v>0</v>
      </c>
      <c r="AK90" s="191">
        <v>0</v>
      </c>
      <c r="AL90" s="191">
        <v>0</v>
      </c>
      <c r="AM90" s="191">
        <v>0</v>
      </c>
      <c r="AN90" s="191">
        <v>0</v>
      </c>
      <c r="AO90" s="191">
        <v>0</v>
      </c>
      <c r="AP90" s="191">
        <v>0</v>
      </c>
      <c r="AQ90" s="191">
        <v>0</v>
      </c>
      <c r="AR90" s="191">
        <v>0</v>
      </c>
      <c r="AS90" s="191">
        <v>0</v>
      </c>
      <c r="AT90" s="191">
        <v>0</v>
      </c>
      <c r="AU90" s="191">
        <v>-4.9</v>
      </c>
      <c r="AV90" s="191">
        <v>-4.8</v>
      </c>
      <c r="AW90" s="191">
        <v>-2.3</v>
      </c>
      <c r="AX90" s="191">
        <v>0</v>
      </c>
      <c r="AY90" s="191">
        <v>0</v>
      </c>
      <c r="AZ90" s="191">
        <v>0</v>
      </c>
      <c r="BA90" s="191">
        <v>0</v>
      </c>
      <c r="BB90" s="191">
        <v>0</v>
      </c>
      <c r="BC90" s="191">
        <v>0</v>
      </c>
      <c r="BD90" s="191">
        <v>0</v>
      </c>
      <c r="BE90" s="191">
        <v>0</v>
      </c>
      <c r="BF90" s="191">
        <v>0</v>
      </c>
      <c r="BG90" s="191">
        <v>0</v>
      </c>
      <c r="BH90" s="191">
        <v>0</v>
      </c>
      <c r="BI90" s="191">
        <v>0</v>
      </c>
      <c r="BJ90" s="191">
        <v>0</v>
      </c>
      <c r="BK90" s="191">
        <v>-0.1</v>
      </c>
      <c r="BL90" s="191">
        <v>-2.5</v>
      </c>
      <c r="BM90" s="191">
        <v>0</v>
      </c>
      <c r="BN90" s="191">
        <v>0</v>
      </c>
      <c r="BO90" s="191">
        <v>0</v>
      </c>
      <c r="BP90" s="191">
        <v>0</v>
      </c>
      <c r="BQ90" s="191">
        <v>0</v>
      </c>
      <c r="BR90" s="191">
        <v>0</v>
      </c>
      <c r="BS90" s="192">
        <v>0</v>
      </c>
      <c r="BT90" s="180"/>
      <c r="BU90" s="191" t="s">
        <v>495</v>
      </c>
      <c r="BV90" s="191">
        <v>-7.79</v>
      </c>
      <c r="BW90" s="191">
        <v>-205.04</v>
      </c>
      <c r="BX90" s="191">
        <v>0</v>
      </c>
      <c r="BY90" s="191">
        <v>0</v>
      </c>
      <c r="BZ90" s="191">
        <v>0</v>
      </c>
      <c r="CA90" s="191">
        <v>0</v>
      </c>
      <c r="CB90" s="191">
        <v>0</v>
      </c>
      <c r="CC90" s="191">
        <v>0</v>
      </c>
      <c r="CD90" s="191">
        <v>0</v>
      </c>
      <c r="CE90" s="191">
        <v>0</v>
      </c>
      <c r="CF90" s="191">
        <v>0</v>
      </c>
      <c r="CG90" s="191">
        <v>0</v>
      </c>
      <c r="CH90" s="191">
        <v>0</v>
      </c>
      <c r="CI90" s="191">
        <v>0</v>
      </c>
      <c r="CJ90" s="191">
        <v>0</v>
      </c>
      <c r="CK90" s="191">
        <v>0</v>
      </c>
      <c r="CL90" s="191">
        <v>0</v>
      </c>
      <c r="CM90" s="191">
        <v>0</v>
      </c>
      <c r="CN90" s="191">
        <v>0</v>
      </c>
      <c r="CO90" s="191">
        <v>0</v>
      </c>
      <c r="CP90" s="191">
        <v>0</v>
      </c>
      <c r="CQ90" s="191">
        <v>0</v>
      </c>
      <c r="CR90" s="191">
        <v>0</v>
      </c>
      <c r="CS90" s="191">
        <v>0</v>
      </c>
      <c r="CT90" s="191">
        <v>0</v>
      </c>
      <c r="CU90" s="191">
        <v>0</v>
      </c>
      <c r="CV90" s="191">
        <v>0</v>
      </c>
      <c r="CW90" s="191">
        <v>-0.21</v>
      </c>
      <c r="CX90" s="191">
        <v>0</v>
      </c>
      <c r="CY90" s="191">
        <v>0</v>
      </c>
      <c r="CZ90" s="191">
        <v>0</v>
      </c>
      <c r="DA90" s="191">
        <v>0</v>
      </c>
      <c r="DB90" s="191">
        <v>0</v>
      </c>
      <c r="DC90" s="191">
        <v>0</v>
      </c>
      <c r="DD90" s="191">
        <v>0</v>
      </c>
      <c r="DE90" s="191">
        <v>0</v>
      </c>
      <c r="DF90" s="191">
        <v>0</v>
      </c>
      <c r="DG90" s="191">
        <v>0</v>
      </c>
      <c r="DH90" s="191">
        <v>0</v>
      </c>
      <c r="DI90" s="191">
        <v>0</v>
      </c>
      <c r="DJ90" s="191">
        <v>0</v>
      </c>
      <c r="DK90" s="191">
        <v>-5.02</v>
      </c>
      <c r="DL90" s="191">
        <v>-4.92</v>
      </c>
      <c r="DM90" s="191">
        <v>-2.36</v>
      </c>
      <c r="DN90" s="191">
        <v>0</v>
      </c>
      <c r="DO90" s="191">
        <v>0</v>
      </c>
      <c r="DP90" s="191">
        <v>0</v>
      </c>
      <c r="DQ90" s="191">
        <v>0</v>
      </c>
      <c r="DR90" s="191">
        <v>0</v>
      </c>
      <c r="DS90" s="191">
        <v>0</v>
      </c>
      <c r="DT90" s="191">
        <v>0</v>
      </c>
      <c r="DU90" s="191">
        <v>0</v>
      </c>
      <c r="DV90" s="191">
        <v>0</v>
      </c>
      <c r="DW90" s="191">
        <v>0</v>
      </c>
      <c r="DX90" s="191">
        <v>0</v>
      </c>
      <c r="DY90" s="191">
        <v>0</v>
      </c>
      <c r="DZ90" s="191">
        <v>0</v>
      </c>
      <c r="EA90" s="191">
        <v>-0.1</v>
      </c>
      <c r="EB90" s="191">
        <v>-2.56</v>
      </c>
      <c r="EC90" s="191">
        <v>0</v>
      </c>
      <c r="ED90" s="191">
        <v>0</v>
      </c>
      <c r="EE90" s="191">
        <v>0</v>
      </c>
      <c r="EF90" s="191">
        <v>0</v>
      </c>
      <c r="EG90" s="191">
        <v>0</v>
      </c>
      <c r="EH90" s="191">
        <v>0</v>
      </c>
      <c r="EI90" s="192">
        <v>0</v>
      </c>
      <c r="EJ90" s="180"/>
      <c r="EK90" s="191" t="s">
        <v>495</v>
      </c>
      <c r="EL90" s="191">
        <v>-8.03</v>
      </c>
      <c r="EM90" s="191">
        <v>0</v>
      </c>
      <c r="EN90" s="191">
        <v>0</v>
      </c>
      <c r="EO90" s="191">
        <v>0</v>
      </c>
      <c r="EP90" s="191">
        <v>0</v>
      </c>
      <c r="EQ90" s="191">
        <v>0</v>
      </c>
      <c r="ER90" s="191">
        <v>0</v>
      </c>
      <c r="ES90" s="191">
        <v>0</v>
      </c>
      <c r="ET90" s="191">
        <v>0</v>
      </c>
      <c r="EU90" s="191">
        <v>0</v>
      </c>
      <c r="EV90" s="191">
        <v>0</v>
      </c>
      <c r="EW90" s="191">
        <v>0</v>
      </c>
      <c r="EX90" s="191">
        <v>0</v>
      </c>
      <c r="EY90" s="191">
        <v>0</v>
      </c>
      <c r="EZ90" s="191">
        <v>0</v>
      </c>
      <c r="FA90" s="191">
        <v>0</v>
      </c>
      <c r="FB90" s="191">
        <v>0</v>
      </c>
      <c r="FC90" s="191">
        <v>0</v>
      </c>
      <c r="FD90" s="191">
        <v>0</v>
      </c>
      <c r="FE90" s="191">
        <v>-5.17</v>
      </c>
      <c r="FF90" s="191">
        <v>-5.07</v>
      </c>
      <c r="FG90" s="191">
        <v>-2.43</v>
      </c>
      <c r="FH90" s="191">
        <v>0</v>
      </c>
      <c r="FI90" s="191">
        <v>0</v>
      </c>
      <c r="FJ90" s="191">
        <v>0</v>
      </c>
      <c r="FK90" s="191">
        <v>-0.1</v>
      </c>
      <c r="FL90" s="192">
        <v>0</v>
      </c>
    </row>
    <row r="91" s="180" customFormat="1" spans="1:168">
      <c r="A91" s="190" t="s">
        <v>496</v>
      </c>
      <c r="B91" s="191">
        <v>-322.4</v>
      </c>
      <c r="C91" s="192">
        <v>0</v>
      </c>
      <c r="E91" s="191" t="s">
        <v>496</v>
      </c>
      <c r="F91" s="191">
        <v>-7.6</v>
      </c>
      <c r="G91" s="191">
        <v>-300</v>
      </c>
      <c r="H91" s="191">
        <v>0</v>
      </c>
      <c r="I91" s="191">
        <v>0</v>
      </c>
      <c r="J91" s="191">
        <v>0</v>
      </c>
      <c r="K91" s="191">
        <v>0</v>
      </c>
      <c r="L91" s="191">
        <v>0</v>
      </c>
      <c r="M91" s="191">
        <v>0</v>
      </c>
      <c r="N91" s="191">
        <v>0</v>
      </c>
      <c r="O91" s="191">
        <v>0</v>
      </c>
      <c r="P91" s="191">
        <v>0</v>
      </c>
      <c r="Q91" s="191">
        <v>0</v>
      </c>
      <c r="R91" s="191">
        <v>0</v>
      </c>
      <c r="S91" s="191">
        <v>0</v>
      </c>
      <c r="T91" s="191">
        <v>0</v>
      </c>
      <c r="U91" s="191">
        <v>0</v>
      </c>
      <c r="V91" s="191">
        <v>0</v>
      </c>
      <c r="W91" s="191">
        <v>0</v>
      </c>
      <c r="X91" s="191">
        <v>0</v>
      </c>
      <c r="Y91" s="191">
        <v>0</v>
      </c>
      <c r="Z91" s="191">
        <v>0</v>
      </c>
      <c r="AA91" s="191">
        <v>0</v>
      </c>
      <c r="AB91" s="191">
        <v>0</v>
      </c>
      <c r="AC91" s="191">
        <v>0</v>
      </c>
      <c r="AD91" s="191">
        <v>0</v>
      </c>
      <c r="AE91" s="191">
        <v>0</v>
      </c>
      <c r="AF91" s="191">
        <v>0</v>
      </c>
      <c r="AG91" s="191">
        <v>-0.2</v>
      </c>
      <c r="AH91" s="191">
        <v>0</v>
      </c>
      <c r="AI91" s="191">
        <v>0</v>
      </c>
      <c r="AJ91" s="191">
        <v>0</v>
      </c>
      <c r="AK91" s="191">
        <v>0</v>
      </c>
      <c r="AL91" s="191">
        <v>0</v>
      </c>
      <c r="AM91" s="191">
        <v>0</v>
      </c>
      <c r="AN91" s="191">
        <v>0</v>
      </c>
      <c r="AO91" s="191">
        <v>0</v>
      </c>
      <c r="AP91" s="191">
        <v>0</v>
      </c>
      <c r="AQ91" s="191">
        <v>0</v>
      </c>
      <c r="AR91" s="191">
        <v>0</v>
      </c>
      <c r="AS91" s="191">
        <v>0</v>
      </c>
      <c r="AT91" s="191">
        <v>0</v>
      </c>
      <c r="AU91" s="191">
        <v>-4.9</v>
      </c>
      <c r="AV91" s="191">
        <v>-4.8</v>
      </c>
      <c r="AW91" s="191">
        <v>-2.3</v>
      </c>
      <c r="AX91" s="191">
        <v>0</v>
      </c>
      <c r="AY91" s="191">
        <v>0</v>
      </c>
      <c r="AZ91" s="191">
        <v>0</v>
      </c>
      <c r="BA91" s="191">
        <v>0</v>
      </c>
      <c r="BB91" s="191">
        <v>0</v>
      </c>
      <c r="BC91" s="191">
        <v>0</v>
      </c>
      <c r="BD91" s="191">
        <v>0</v>
      </c>
      <c r="BE91" s="191">
        <v>0</v>
      </c>
      <c r="BF91" s="191">
        <v>0</v>
      </c>
      <c r="BG91" s="191">
        <v>0</v>
      </c>
      <c r="BH91" s="191">
        <v>0</v>
      </c>
      <c r="BI91" s="191">
        <v>0</v>
      </c>
      <c r="BJ91" s="191">
        <v>0</v>
      </c>
      <c r="BK91" s="191">
        <v>-0.1</v>
      </c>
      <c r="BL91" s="191">
        <v>-2.5</v>
      </c>
      <c r="BM91" s="191">
        <v>0</v>
      </c>
      <c r="BN91" s="191">
        <v>0</v>
      </c>
      <c r="BO91" s="191">
        <v>0</v>
      </c>
      <c r="BP91" s="191">
        <v>0</v>
      </c>
      <c r="BQ91" s="191">
        <v>0</v>
      </c>
      <c r="BR91" s="191">
        <v>0</v>
      </c>
      <c r="BS91" s="192">
        <v>0</v>
      </c>
      <c r="BT91" s="180"/>
      <c r="BU91" s="191" t="s">
        <v>496</v>
      </c>
      <c r="BV91" s="191">
        <v>-7.79</v>
      </c>
      <c r="BW91" s="191">
        <v>-307.57</v>
      </c>
      <c r="BX91" s="191">
        <v>0</v>
      </c>
      <c r="BY91" s="191">
        <v>0</v>
      </c>
      <c r="BZ91" s="191">
        <v>0</v>
      </c>
      <c r="CA91" s="191">
        <v>0</v>
      </c>
      <c r="CB91" s="191">
        <v>0</v>
      </c>
      <c r="CC91" s="191">
        <v>0</v>
      </c>
      <c r="CD91" s="191">
        <v>0</v>
      </c>
      <c r="CE91" s="191">
        <v>0</v>
      </c>
      <c r="CF91" s="191">
        <v>0</v>
      </c>
      <c r="CG91" s="191">
        <v>0</v>
      </c>
      <c r="CH91" s="191">
        <v>0</v>
      </c>
      <c r="CI91" s="191">
        <v>0</v>
      </c>
      <c r="CJ91" s="191">
        <v>0</v>
      </c>
      <c r="CK91" s="191">
        <v>0</v>
      </c>
      <c r="CL91" s="191">
        <v>0</v>
      </c>
      <c r="CM91" s="191">
        <v>0</v>
      </c>
      <c r="CN91" s="191">
        <v>0</v>
      </c>
      <c r="CO91" s="191">
        <v>0</v>
      </c>
      <c r="CP91" s="191">
        <v>0</v>
      </c>
      <c r="CQ91" s="191">
        <v>0</v>
      </c>
      <c r="CR91" s="191">
        <v>0</v>
      </c>
      <c r="CS91" s="191">
        <v>0</v>
      </c>
      <c r="CT91" s="191">
        <v>0</v>
      </c>
      <c r="CU91" s="191">
        <v>0</v>
      </c>
      <c r="CV91" s="191">
        <v>0</v>
      </c>
      <c r="CW91" s="191">
        <v>-0.21</v>
      </c>
      <c r="CX91" s="191">
        <v>0</v>
      </c>
      <c r="CY91" s="191">
        <v>0</v>
      </c>
      <c r="CZ91" s="191">
        <v>0</v>
      </c>
      <c r="DA91" s="191">
        <v>0</v>
      </c>
      <c r="DB91" s="191">
        <v>0</v>
      </c>
      <c r="DC91" s="191">
        <v>0</v>
      </c>
      <c r="DD91" s="191">
        <v>0</v>
      </c>
      <c r="DE91" s="191">
        <v>0</v>
      </c>
      <c r="DF91" s="191">
        <v>0</v>
      </c>
      <c r="DG91" s="191">
        <v>0</v>
      </c>
      <c r="DH91" s="191">
        <v>0</v>
      </c>
      <c r="DI91" s="191">
        <v>0</v>
      </c>
      <c r="DJ91" s="191">
        <v>0</v>
      </c>
      <c r="DK91" s="191">
        <v>-5.02</v>
      </c>
      <c r="DL91" s="191">
        <v>-4.92</v>
      </c>
      <c r="DM91" s="191">
        <v>-2.36</v>
      </c>
      <c r="DN91" s="191">
        <v>0</v>
      </c>
      <c r="DO91" s="191">
        <v>0</v>
      </c>
      <c r="DP91" s="191">
        <v>0</v>
      </c>
      <c r="DQ91" s="191">
        <v>0</v>
      </c>
      <c r="DR91" s="191">
        <v>0</v>
      </c>
      <c r="DS91" s="191">
        <v>0</v>
      </c>
      <c r="DT91" s="191">
        <v>0</v>
      </c>
      <c r="DU91" s="191">
        <v>0</v>
      </c>
      <c r="DV91" s="191">
        <v>0</v>
      </c>
      <c r="DW91" s="191">
        <v>0</v>
      </c>
      <c r="DX91" s="191">
        <v>0</v>
      </c>
      <c r="DY91" s="191">
        <v>0</v>
      </c>
      <c r="DZ91" s="191">
        <v>0</v>
      </c>
      <c r="EA91" s="191">
        <v>-0.1</v>
      </c>
      <c r="EB91" s="191">
        <v>-2.56</v>
      </c>
      <c r="EC91" s="191">
        <v>0</v>
      </c>
      <c r="ED91" s="191">
        <v>0</v>
      </c>
      <c r="EE91" s="191">
        <v>0</v>
      </c>
      <c r="EF91" s="191">
        <v>0</v>
      </c>
      <c r="EG91" s="191">
        <v>0</v>
      </c>
      <c r="EH91" s="191">
        <v>0</v>
      </c>
      <c r="EI91" s="192">
        <v>0</v>
      </c>
      <c r="EJ91" s="180"/>
      <c r="EK91" s="191" t="s">
        <v>496</v>
      </c>
      <c r="EL91" s="191">
        <v>-8.03</v>
      </c>
      <c r="EM91" s="191">
        <v>0</v>
      </c>
      <c r="EN91" s="191">
        <v>0</v>
      </c>
      <c r="EO91" s="191">
        <v>0</v>
      </c>
      <c r="EP91" s="191">
        <v>0</v>
      </c>
      <c r="EQ91" s="191">
        <v>0</v>
      </c>
      <c r="ER91" s="191">
        <v>0</v>
      </c>
      <c r="ES91" s="191">
        <v>0</v>
      </c>
      <c r="ET91" s="191">
        <v>0</v>
      </c>
      <c r="EU91" s="191">
        <v>0</v>
      </c>
      <c r="EV91" s="191">
        <v>0</v>
      </c>
      <c r="EW91" s="191">
        <v>0</v>
      </c>
      <c r="EX91" s="191">
        <v>0</v>
      </c>
      <c r="EY91" s="191">
        <v>0</v>
      </c>
      <c r="EZ91" s="191">
        <v>0</v>
      </c>
      <c r="FA91" s="191">
        <v>0</v>
      </c>
      <c r="FB91" s="191">
        <v>0</v>
      </c>
      <c r="FC91" s="191">
        <v>0</v>
      </c>
      <c r="FD91" s="191">
        <v>0</v>
      </c>
      <c r="FE91" s="191">
        <v>-5.17</v>
      </c>
      <c r="FF91" s="191">
        <v>-5.07</v>
      </c>
      <c r="FG91" s="191">
        <v>-2.43</v>
      </c>
      <c r="FH91" s="191">
        <v>0</v>
      </c>
      <c r="FI91" s="191">
        <v>0</v>
      </c>
      <c r="FJ91" s="191">
        <v>0</v>
      </c>
      <c r="FK91" s="191">
        <v>-0.1</v>
      </c>
      <c r="FL91" s="192">
        <v>0</v>
      </c>
    </row>
    <row r="92" s="180" customFormat="1" spans="1:168">
      <c r="A92" s="190" t="s">
        <v>497</v>
      </c>
      <c r="B92" s="191">
        <v>-331.2</v>
      </c>
      <c r="C92" s="192">
        <v>0</v>
      </c>
      <c r="E92" s="191" t="s">
        <v>497</v>
      </c>
      <c r="F92" s="191">
        <v>-7.6</v>
      </c>
      <c r="G92" s="191">
        <v>-300</v>
      </c>
      <c r="H92" s="191">
        <v>0</v>
      </c>
      <c r="I92" s="191">
        <v>0</v>
      </c>
      <c r="J92" s="191">
        <v>0</v>
      </c>
      <c r="K92" s="191">
        <v>0</v>
      </c>
      <c r="L92" s="191">
        <v>0</v>
      </c>
      <c r="M92" s="191">
        <v>0</v>
      </c>
      <c r="N92" s="191">
        <v>0</v>
      </c>
      <c r="O92" s="191">
        <v>0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0</v>
      </c>
      <c r="V92" s="191">
        <v>0</v>
      </c>
      <c r="W92" s="191">
        <v>0</v>
      </c>
      <c r="X92" s="191">
        <v>0</v>
      </c>
      <c r="Y92" s="191">
        <v>0</v>
      </c>
      <c r="Z92" s="191">
        <v>0</v>
      </c>
      <c r="AA92" s="191">
        <v>0</v>
      </c>
      <c r="AB92" s="191">
        <v>0</v>
      </c>
      <c r="AC92" s="191">
        <v>0</v>
      </c>
      <c r="AD92" s="191">
        <v>0</v>
      </c>
      <c r="AE92" s="191">
        <v>0</v>
      </c>
      <c r="AF92" s="191">
        <v>0</v>
      </c>
      <c r="AG92" s="191">
        <v>-0.2</v>
      </c>
      <c r="AH92" s="191">
        <v>-7.8</v>
      </c>
      <c r="AI92" s="191">
        <v>0</v>
      </c>
      <c r="AJ92" s="191">
        <v>0</v>
      </c>
      <c r="AK92" s="191">
        <v>0</v>
      </c>
      <c r="AL92" s="191">
        <v>0</v>
      </c>
      <c r="AM92" s="191">
        <v>0</v>
      </c>
      <c r="AN92" s="191">
        <v>0</v>
      </c>
      <c r="AO92" s="191">
        <v>0</v>
      </c>
      <c r="AP92" s="191">
        <v>0</v>
      </c>
      <c r="AQ92" s="191">
        <v>0</v>
      </c>
      <c r="AR92" s="191">
        <v>0</v>
      </c>
      <c r="AS92" s="191">
        <v>0</v>
      </c>
      <c r="AT92" s="191">
        <v>0</v>
      </c>
      <c r="AU92" s="191">
        <v>-4.9</v>
      </c>
      <c r="AV92" s="191">
        <v>-4.8</v>
      </c>
      <c r="AW92" s="191">
        <v>-2.3</v>
      </c>
      <c r="AX92" s="191">
        <v>0</v>
      </c>
      <c r="AY92" s="191">
        <v>0</v>
      </c>
      <c r="AZ92" s="191">
        <v>0</v>
      </c>
      <c r="BA92" s="191">
        <v>0</v>
      </c>
      <c r="BB92" s="191">
        <v>0</v>
      </c>
      <c r="BC92" s="191">
        <v>0</v>
      </c>
      <c r="BD92" s="191">
        <v>0</v>
      </c>
      <c r="BE92" s="191">
        <v>0</v>
      </c>
      <c r="BF92" s="191">
        <v>0</v>
      </c>
      <c r="BG92" s="191">
        <v>0</v>
      </c>
      <c r="BH92" s="191">
        <v>0</v>
      </c>
      <c r="BI92" s="191">
        <v>0</v>
      </c>
      <c r="BJ92" s="191">
        <v>0</v>
      </c>
      <c r="BK92" s="191">
        <v>-0.1</v>
      </c>
      <c r="BL92" s="191">
        <v>-2.5</v>
      </c>
      <c r="BM92" s="191">
        <v>0</v>
      </c>
      <c r="BN92" s="191">
        <v>0</v>
      </c>
      <c r="BO92" s="191">
        <v>-1</v>
      </c>
      <c r="BP92" s="191">
        <v>0</v>
      </c>
      <c r="BQ92" s="191">
        <v>0</v>
      </c>
      <c r="BR92" s="191">
        <v>0</v>
      </c>
      <c r="BS92" s="192">
        <v>0</v>
      </c>
      <c r="BT92" s="180"/>
      <c r="BU92" s="191" t="s">
        <v>497</v>
      </c>
      <c r="BV92" s="191">
        <v>-7.79</v>
      </c>
      <c r="BW92" s="191">
        <v>-307.57</v>
      </c>
      <c r="BX92" s="191">
        <v>0</v>
      </c>
      <c r="BY92" s="191">
        <v>0</v>
      </c>
      <c r="BZ92" s="191">
        <v>0</v>
      </c>
      <c r="CA92" s="191">
        <v>0</v>
      </c>
      <c r="CB92" s="191">
        <v>0</v>
      </c>
      <c r="CC92" s="191">
        <v>0</v>
      </c>
      <c r="CD92" s="191">
        <v>0</v>
      </c>
      <c r="CE92" s="191">
        <v>0</v>
      </c>
      <c r="CF92" s="191">
        <v>0</v>
      </c>
      <c r="CG92" s="191">
        <v>0</v>
      </c>
      <c r="CH92" s="191">
        <v>0</v>
      </c>
      <c r="CI92" s="191">
        <v>0</v>
      </c>
      <c r="CJ92" s="191">
        <v>0</v>
      </c>
      <c r="CK92" s="191">
        <v>0</v>
      </c>
      <c r="CL92" s="191">
        <v>0</v>
      </c>
      <c r="CM92" s="191">
        <v>0</v>
      </c>
      <c r="CN92" s="191">
        <v>0</v>
      </c>
      <c r="CO92" s="191">
        <v>0</v>
      </c>
      <c r="CP92" s="191">
        <v>0</v>
      </c>
      <c r="CQ92" s="191">
        <v>0</v>
      </c>
      <c r="CR92" s="191">
        <v>0</v>
      </c>
      <c r="CS92" s="191">
        <v>0</v>
      </c>
      <c r="CT92" s="191">
        <v>0</v>
      </c>
      <c r="CU92" s="191">
        <v>0</v>
      </c>
      <c r="CV92" s="191">
        <v>0</v>
      </c>
      <c r="CW92" s="191">
        <v>-0.21</v>
      </c>
      <c r="CX92" s="191">
        <v>-8</v>
      </c>
      <c r="CY92" s="191">
        <v>0</v>
      </c>
      <c r="CZ92" s="191">
        <v>0</v>
      </c>
      <c r="DA92" s="191">
        <v>0</v>
      </c>
      <c r="DB92" s="191">
        <v>0</v>
      </c>
      <c r="DC92" s="191">
        <v>0</v>
      </c>
      <c r="DD92" s="191">
        <v>0</v>
      </c>
      <c r="DE92" s="191">
        <v>0</v>
      </c>
      <c r="DF92" s="191">
        <v>0</v>
      </c>
      <c r="DG92" s="191">
        <v>0</v>
      </c>
      <c r="DH92" s="191">
        <v>0</v>
      </c>
      <c r="DI92" s="191">
        <v>0</v>
      </c>
      <c r="DJ92" s="191">
        <v>0</v>
      </c>
      <c r="DK92" s="191">
        <v>-5.02</v>
      </c>
      <c r="DL92" s="191">
        <v>-4.92</v>
      </c>
      <c r="DM92" s="191">
        <v>-2.36</v>
      </c>
      <c r="DN92" s="191">
        <v>0</v>
      </c>
      <c r="DO92" s="191">
        <v>0</v>
      </c>
      <c r="DP92" s="191">
        <v>0</v>
      </c>
      <c r="DQ92" s="191">
        <v>0</v>
      </c>
      <c r="DR92" s="191">
        <v>0</v>
      </c>
      <c r="DS92" s="191">
        <v>0</v>
      </c>
      <c r="DT92" s="191">
        <v>0</v>
      </c>
      <c r="DU92" s="191">
        <v>0</v>
      </c>
      <c r="DV92" s="191">
        <v>0</v>
      </c>
      <c r="DW92" s="191">
        <v>0</v>
      </c>
      <c r="DX92" s="191">
        <v>0</v>
      </c>
      <c r="DY92" s="191">
        <v>0</v>
      </c>
      <c r="DZ92" s="191">
        <v>0</v>
      </c>
      <c r="EA92" s="191">
        <v>-0.1</v>
      </c>
      <c r="EB92" s="191">
        <v>-2.56</v>
      </c>
      <c r="EC92" s="191">
        <v>0</v>
      </c>
      <c r="ED92" s="191">
        <v>0</v>
      </c>
      <c r="EE92" s="191">
        <v>-1.03</v>
      </c>
      <c r="EF92" s="191">
        <v>0</v>
      </c>
      <c r="EG92" s="191">
        <v>0</v>
      </c>
      <c r="EH92" s="191">
        <v>0</v>
      </c>
      <c r="EI92" s="192">
        <v>0</v>
      </c>
      <c r="EJ92" s="180"/>
      <c r="EK92" s="191" t="s">
        <v>497</v>
      </c>
      <c r="EL92" s="191">
        <v>-8.03</v>
      </c>
      <c r="EM92" s="191">
        <v>0</v>
      </c>
      <c r="EN92" s="191">
        <v>0</v>
      </c>
      <c r="EO92" s="191">
        <v>0</v>
      </c>
      <c r="EP92" s="191">
        <v>0</v>
      </c>
      <c r="EQ92" s="191">
        <v>0</v>
      </c>
      <c r="ER92" s="191">
        <v>0</v>
      </c>
      <c r="ES92" s="191">
        <v>0</v>
      </c>
      <c r="ET92" s="191">
        <v>0</v>
      </c>
      <c r="EU92" s="191">
        <v>0</v>
      </c>
      <c r="EV92" s="191">
        <v>0</v>
      </c>
      <c r="EW92" s="191">
        <v>0</v>
      </c>
      <c r="EX92" s="191">
        <v>0</v>
      </c>
      <c r="EY92" s="191">
        <v>0</v>
      </c>
      <c r="EZ92" s="191">
        <v>0</v>
      </c>
      <c r="FA92" s="191">
        <v>0</v>
      </c>
      <c r="FB92" s="191">
        <v>0</v>
      </c>
      <c r="FC92" s="191">
        <v>0</v>
      </c>
      <c r="FD92" s="191">
        <v>0</v>
      </c>
      <c r="FE92" s="191">
        <v>-5.17</v>
      </c>
      <c r="FF92" s="191">
        <v>-5.07</v>
      </c>
      <c r="FG92" s="191">
        <v>-2.43</v>
      </c>
      <c r="FH92" s="191">
        <v>0</v>
      </c>
      <c r="FI92" s="191">
        <v>0</v>
      </c>
      <c r="FJ92" s="191">
        <v>0</v>
      </c>
      <c r="FK92" s="191">
        <v>-0.1</v>
      </c>
      <c r="FL92" s="192">
        <v>0</v>
      </c>
    </row>
    <row r="93" s="180" customFormat="1" spans="1:168">
      <c r="A93" s="190" t="s">
        <v>498</v>
      </c>
      <c r="B93" s="191">
        <v>-330.2</v>
      </c>
      <c r="C93" s="192">
        <v>0</v>
      </c>
      <c r="E93" s="191" t="s">
        <v>498</v>
      </c>
      <c r="F93" s="191">
        <v>-7.6</v>
      </c>
      <c r="G93" s="191">
        <v>-300</v>
      </c>
      <c r="H93" s="191">
        <v>0</v>
      </c>
      <c r="I93" s="191">
        <v>0</v>
      </c>
      <c r="J93" s="191">
        <v>0</v>
      </c>
      <c r="K93" s="191">
        <v>0</v>
      </c>
      <c r="L93" s="191">
        <v>0</v>
      </c>
      <c r="M93" s="191">
        <v>0</v>
      </c>
      <c r="N93" s="191">
        <v>0</v>
      </c>
      <c r="O93" s="191">
        <v>0</v>
      </c>
      <c r="P93" s="191">
        <v>0</v>
      </c>
      <c r="Q93" s="191">
        <v>0</v>
      </c>
      <c r="R93" s="191">
        <v>0</v>
      </c>
      <c r="S93" s="191">
        <v>0</v>
      </c>
      <c r="T93" s="191">
        <v>0</v>
      </c>
      <c r="U93" s="191">
        <v>0</v>
      </c>
      <c r="V93" s="191">
        <v>0</v>
      </c>
      <c r="W93" s="191">
        <v>0</v>
      </c>
      <c r="X93" s="191">
        <v>0</v>
      </c>
      <c r="Y93" s="191">
        <v>0</v>
      </c>
      <c r="Z93" s="191">
        <v>0</v>
      </c>
      <c r="AA93" s="191">
        <v>0</v>
      </c>
      <c r="AB93" s="191">
        <v>0</v>
      </c>
      <c r="AC93" s="191">
        <v>0</v>
      </c>
      <c r="AD93" s="191">
        <v>0</v>
      </c>
      <c r="AE93" s="191">
        <v>0</v>
      </c>
      <c r="AF93" s="191">
        <v>0</v>
      </c>
      <c r="AG93" s="191">
        <v>-0.2</v>
      </c>
      <c r="AH93" s="191">
        <v>-7.8</v>
      </c>
      <c r="AI93" s="191">
        <v>0</v>
      </c>
      <c r="AJ93" s="191">
        <v>0</v>
      </c>
      <c r="AK93" s="191">
        <v>0</v>
      </c>
      <c r="AL93" s="191">
        <v>0</v>
      </c>
      <c r="AM93" s="191">
        <v>0</v>
      </c>
      <c r="AN93" s="191">
        <v>0</v>
      </c>
      <c r="AO93" s="191">
        <v>0</v>
      </c>
      <c r="AP93" s="191">
        <v>0</v>
      </c>
      <c r="AQ93" s="191">
        <v>0</v>
      </c>
      <c r="AR93" s="191">
        <v>0</v>
      </c>
      <c r="AS93" s="191">
        <v>0</v>
      </c>
      <c r="AT93" s="191">
        <v>0</v>
      </c>
      <c r="AU93" s="191">
        <v>-4.9</v>
      </c>
      <c r="AV93" s="191">
        <v>-4.8</v>
      </c>
      <c r="AW93" s="191">
        <v>-2.3</v>
      </c>
      <c r="AX93" s="191">
        <v>0</v>
      </c>
      <c r="AY93" s="191">
        <v>0</v>
      </c>
      <c r="AZ93" s="191">
        <v>0</v>
      </c>
      <c r="BA93" s="191">
        <v>0</v>
      </c>
      <c r="BB93" s="191">
        <v>0</v>
      </c>
      <c r="BC93" s="191">
        <v>0</v>
      </c>
      <c r="BD93" s="191">
        <v>0</v>
      </c>
      <c r="BE93" s="191">
        <v>0</v>
      </c>
      <c r="BF93" s="191">
        <v>0</v>
      </c>
      <c r="BG93" s="191">
        <v>0</v>
      </c>
      <c r="BH93" s="191">
        <v>0</v>
      </c>
      <c r="BI93" s="191">
        <v>0</v>
      </c>
      <c r="BJ93" s="191">
        <v>0</v>
      </c>
      <c r="BK93" s="191">
        <v>-0.1</v>
      </c>
      <c r="BL93" s="191">
        <v>-2.5</v>
      </c>
      <c r="BM93" s="191">
        <v>0</v>
      </c>
      <c r="BN93" s="191">
        <v>0</v>
      </c>
      <c r="BO93" s="191">
        <v>0</v>
      </c>
      <c r="BP93" s="191">
        <v>0</v>
      </c>
      <c r="BQ93" s="191">
        <v>0</v>
      </c>
      <c r="BR93" s="191">
        <v>0</v>
      </c>
      <c r="BS93" s="192">
        <v>0</v>
      </c>
      <c r="BT93" s="180"/>
      <c r="BU93" s="191" t="s">
        <v>498</v>
      </c>
      <c r="BV93" s="191">
        <v>-7.79</v>
      </c>
      <c r="BW93" s="191">
        <v>-307.57</v>
      </c>
      <c r="BX93" s="191">
        <v>0</v>
      </c>
      <c r="BY93" s="191">
        <v>0</v>
      </c>
      <c r="BZ93" s="191">
        <v>0</v>
      </c>
      <c r="CA93" s="191">
        <v>0</v>
      </c>
      <c r="CB93" s="191">
        <v>0</v>
      </c>
      <c r="CC93" s="191">
        <v>0</v>
      </c>
      <c r="CD93" s="191">
        <v>0</v>
      </c>
      <c r="CE93" s="191">
        <v>0</v>
      </c>
      <c r="CF93" s="191">
        <v>0</v>
      </c>
      <c r="CG93" s="191">
        <v>0</v>
      </c>
      <c r="CH93" s="191">
        <v>0</v>
      </c>
      <c r="CI93" s="191">
        <v>0</v>
      </c>
      <c r="CJ93" s="191">
        <v>0</v>
      </c>
      <c r="CK93" s="191">
        <v>0</v>
      </c>
      <c r="CL93" s="191">
        <v>0</v>
      </c>
      <c r="CM93" s="191">
        <v>0</v>
      </c>
      <c r="CN93" s="191">
        <v>0</v>
      </c>
      <c r="CO93" s="191">
        <v>0</v>
      </c>
      <c r="CP93" s="191">
        <v>0</v>
      </c>
      <c r="CQ93" s="191">
        <v>0</v>
      </c>
      <c r="CR93" s="191">
        <v>0</v>
      </c>
      <c r="CS93" s="191">
        <v>0</v>
      </c>
      <c r="CT93" s="191">
        <v>0</v>
      </c>
      <c r="CU93" s="191">
        <v>0</v>
      </c>
      <c r="CV93" s="191">
        <v>0</v>
      </c>
      <c r="CW93" s="191">
        <v>-0.21</v>
      </c>
      <c r="CX93" s="191">
        <v>-8</v>
      </c>
      <c r="CY93" s="191">
        <v>0</v>
      </c>
      <c r="CZ93" s="191">
        <v>0</v>
      </c>
      <c r="DA93" s="191">
        <v>0</v>
      </c>
      <c r="DB93" s="191">
        <v>0</v>
      </c>
      <c r="DC93" s="191">
        <v>0</v>
      </c>
      <c r="DD93" s="191">
        <v>0</v>
      </c>
      <c r="DE93" s="191">
        <v>0</v>
      </c>
      <c r="DF93" s="191">
        <v>0</v>
      </c>
      <c r="DG93" s="191">
        <v>0</v>
      </c>
      <c r="DH93" s="191">
        <v>0</v>
      </c>
      <c r="DI93" s="191">
        <v>0</v>
      </c>
      <c r="DJ93" s="191">
        <v>0</v>
      </c>
      <c r="DK93" s="191">
        <v>-5.02</v>
      </c>
      <c r="DL93" s="191">
        <v>-4.92</v>
      </c>
      <c r="DM93" s="191">
        <v>-2.36</v>
      </c>
      <c r="DN93" s="191">
        <v>0</v>
      </c>
      <c r="DO93" s="191">
        <v>0</v>
      </c>
      <c r="DP93" s="191">
        <v>0</v>
      </c>
      <c r="DQ93" s="191">
        <v>0</v>
      </c>
      <c r="DR93" s="191">
        <v>0</v>
      </c>
      <c r="DS93" s="191">
        <v>0</v>
      </c>
      <c r="DT93" s="191">
        <v>0</v>
      </c>
      <c r="DU93" s="191">
        <v>0</v>
      </c>
      <c r="DV93" s="191">
        <v>0</v>
      </c>
      <c r="DW93" s="191">
        <v>0</v>
      </c>
      <c r="DX93" s="191">
        <v>0</v>
      </c>
      <c r="DY93" s="191">
        <v>0</v>
      </c>
      <c r="DZ93" s="191">
        <v>0</v>
      </c>
      <c r="EA93" s="191">
        <v>-0.1</v>
      </c>
      <c r="EB93" s="191">
        <v>-2.56</v>
      </c>
      <c r="EC93" s="191">
        <v>0</v>
      </c>
      <c r="ED93" s="191">
        <v>0</v>
      </c>
      <c r="EE93" s="191">
        <v>0</v>
      </c>
      <c r="EF93" s="191">
        <v>0</v>
      </c>
      <c r="EG93" s="191">
        <v>0</v>
      </c>
      <c r="EH93" s="191">
        <v>0</v>
      </c>
      <c r="EI93" s="192">
        <v>0</v>
      </c>
      <c r="EJ93" s="180"/>
      <c r="EK93" s="191" t="s">
        <v>498</v>
      </c>
      <c r="EL93" s="191">
        <v>-8.03</v>
      </c>
      <c r="EM93" s="191">
        <v>0</v>
      </c>
      <c r="EN93" s="191">
        <v>0</v>
      </c>
      <c r="EO93" s="191">
        <v>0</v>
      </c>
      <c r="EP93" s="191">
        <v>0</v>
      </c>
      <c r="EQ93" s="191">
        <v>0</v>
      </c>
      <c r="ER93" s="191">
        <v>0</v>
      </c>
      <c r="ES93" s="191">
        <v>0</v>
      </c>
      <c r="ET93" s="191">
        <v>0</v>
      </c>
      <c r="EU93" s="191">
        <v>0</v>
      </c>
      <c r="EV93" s="191">
        <v>0</v>
      </c>
      <c r="EW93" s="191">
        <v>0</v>
      </c>
      <c r="EX93" s="191">
        <v>0</v>
      </c>
      <c r="EY93" s="191">
        <v>0</v>
      </c>
      <c r="EZ93" s="191">
        <v>0</v>
      </c>
      <c r="FA93" s="191">
        <v>0</v>
      </c>
      <c r="FB93" s="191">
        <v>0</v>
      </c>
      <c r="FC93" s="191">
        <v>0</v>
      </c>
      <c r="FD93" s="191">
        <v>0</v>
      </c>
      <c r="FE93" s="191">
        <v>-5.17</v>
      </c>
      <c r="FF93" s="191">
        <v>-5.07</v>
      </c>
      <c r="FG93" s="191">
        <v>-2.43</v>
      </c>
      <c r="FH93" s="191">
        <v>0</v>
      </c>
      <c r="FI93" s="191">
        <v>0</v>
      </c>
      <c r="FJ93" s="191">
        <v>0</v>
      </c>
      <c r="FK93" s="191">
        <v>-0.1</v>
      </c>
      <c r="FL93" s="192">
        <v>0</v>
      </c>
    </row>
    <row r="94" s="180" customFormat="1" spans="1:168">
      <c r="A94" s="190" t="s">
        <v>499</v>
      </c>
      <c r="B94" s="191">
        <v>-522.4</v>
      </c>
      <c r="C94" s="192">
        <v>39.45</v>
      </c>
      <c r="E94" s="191" t="s">
        <v>499</v>
      </c>
      <c r="F94" s="191">
        <v>-7.6</v>
      </c>
      <c r="G94" s="191">
        <v>-500</v>
      </c>
      <c r="H94" s="191">
        <v>0</v>
      </c>
      <c r="I94" s="191">
        <v>0</v>
      </c>
      <c r="J94" s="191">
        <v>0</v>
      </c>
      <c r="K94" s="191">
        <v>0</v>
      </c>
      <c r="L94" s="191">
        <v>0</v>
      </c>
      <c r="M94" s="191">
        <v>0</v>
      </c>
      <c r="N94" s="191">
        <v>0.96</v>
      </c>
      <c r="O94" s="191">
        <v>0</v>
      </c>
      <c r="P94" s="191">
        <v>0</v>
      </c>
      <c r="Q94" s="191">
        <v>0</v>
      </c>
      <c r="R94" s="191">
        <v>0</v>
      </c>
      <c r="S94" s="191">
        <v>0</v>
      </c>
      <c r="T94" s="191">
        <v>0</v>
      </c>
      <c r="U94" s="191">
        <v>0</v>
      </c>
      <c r="V94" s="191">
        <v>24.27</v>
      </c>
      <c r="W94" s="191">
        <v>0</v>
      </c>
      <c r="X94" s="191">
        <v>0</v>
      </c>
      <c r="Y94" s="191">
        <v>0</v>
      </c>
      <c r="Z94" s="191">
        <v>0</v>
      </c>
      <c r="AA94" s="191">
        <v>0</v>
      </c>
      <c r="AB94" s="191">
        <v>0</v>
      </c>
      <c r="AC94" s="191">
        <v>0</v>
      </c>
      <c r="AD94" s="191">
        <v>0</v>
      </c>
      <c r="AE94" s="191">
        <v>0</v>
      </c>
      <c r="AF94" s="191">
        <v>0</v>
      </c>
      <c r="AG94" s="191">
        <v>-0.2</v>
      </c>
      <c r="AH94" s="191">
        <v>0</v>
      </c>
      <c r="AI94" s="191">
        <v>0</v>
      </c>
      <c r="AJ94" s="191">
        <v>0</v>
      </c>
      <c r="AK94" s="191">
        <v>0</v>
      </c>
      <c r="AL94" s="191">
        <v>0</v>
      </c>
      <c r="AM94" s="191">
        <v>0</v>
      </c>
      <c r="AN94" s="191">
        <v>4.76</v>
      </c>
      <c r="AO94" s="191">
        <v>0</v>
      </c>
      <c r="AP94" s="191">
        <v>0</v>
      </c>
      <c r="AQ94" s="191">
        <v>0</v>
      </c>
      <c r="AR94" s="191">
        <v>0</v>
      </c>
      <c r="AS94" s="191">
        <v>0</v>
      </c>
      <c r="AT94" s="191">
        <v>0</v>
      </c>
      <c r="AU94" s="191">
        <v>-4.9</v>
      </c>
      <c r="AV94" s="191">
        <v>-4.8</v>
      </c>
      <c r="AW94" s="191">
        <v>-2.3</v>
      </c>
      <c r="AX94" s="191">
        <v>0</v>
      </c>
      <c r="AY94" s="191">
        <v>0</v>
      </c>
      <c r="AZ94" s="191">
        <v>0</v>
      </c>
      <c r="BA94" s="191">
        <v>0</v>
      </c>
      <c r="BB94" s="191">
        <v>0</v>
      </c>
      <c r="BC94" s="191">
        <v>2.86</v>
      </c>
      <c r="BD94" s="191">
        <v>0</v>
      </c>
      <c r="BE94" s="191">
        <v>0</v>
      </c>
      <c r="BF94" s="191">
        <v>0</v>
      </c>
      <c r="BG94" s="191">
        <v>0</v>
      </c>
      <c r="BH94" s="191">
        <v>5.71</v>
      </c>
      <c r="BI94" s="191">
        <v>0</v>
      </c>
      <c r="BJ94" s="191">
        <v>0</v>
      </c>
      <c r="BK94" s="191">
        <v>-0.1</v>
      </c>
      <c r="BL94" s="191">
        <v>-2.5</v>
      </c>
      <c r="BM94" s="191">
        <v>0</v>
      </c>
      <c r="BN94" s="191">
        <v>0</v>
      </c>
      <c r="BO94" s="191">
        <v>0</v>
      </c>
      <c r="BP94" s="191">
        <v>0</v>
      </c>
      <c r="BQ94" s="191">
        <v>0</v>
      </c>
      <c r="BR94" s="191">
        <v>0.89</v>
      </c>
      <c r="BS94" s="192">
        <v>0</v>
      </c>
      <c r="BT94" s="180"/>
      <c r="BU94" s="191" t="s">
        <v>499</v>
      </c>
      <c r="BV94" s="191">
        <v>-7.79</v>
      </c>
      <c r="BW94" s="191">
        <v>-512.61</v>
      </c>
      <c r="BX94" s="191">
        <v>0</v>
      </c>
      <c r="BY94" s="191">
        <v>0</v>
      </c>
      <c r="BZ94" s="191">
        <v>0</v>
      </c>
      <c r="CA94" s="191">
        <v>0</v>
      </c>
      <c r="CB94" s="191">
        <v>0</v>
      </c>
      <c r="CC94" s="191">
        <v>0</v>
      </c>
      <c r="CD94" s="191">
        <v>0.94</v>
      </c>
      <c r="CE94" s="191">
        <v>0</v>
      </c>
      <c r="CF94" s="191">
        <v>0</v>
      </c>
      <c r="CG94" s="191">
        <v>0</v>
      </c>
      <c r="CH94" s="191">
        <v>0</v>
      </c>
      <c r="CI94" s="191">
        <v>0</v>
      </c>
      <c r="CJ94" s="191">
        <v>0</v>
      </c>
      <c r="CK94" s="191">
        <v>0</v>
      </c>
      <c r="CL94" s="191">
        <v>23.67</v>
      </c>
      <c r="CM94" s="191">
        <v>0</v>
      </c>
      <c r="CN94" s="191">
        <v>0</v>
      </c>
      <c r="CO94" s="191">
        <v>0</v>
      </c>
      <c r="CP94" s="191">
        <v>0</v>
      </c>
      <c r="CQ94" s="191">
        <v>0</v>
      </c>
      <c r="CR94" s="191">
        <v>0</v>
      </c>
      <c r="CS94" s="191">
        <v>0</v>
      </c>
      <c r="CT94" s="191">
        <v>0</v>
      </c>
      <c r="CU94" s="191">
        <v>0</v>
      </c>
      <c r="CV94" s="191">
        <v>0</v>
      </c>
      <c r="CW94" s="191">
        <v>-0.21</v>
      </c>
      <c r="CX94" s="191">
        <v>0</v>
      </c>
      <c r="CY94" s="191">
        <v>0</v>
      </c>
      <c r="CZ94" s="191">
        <v>0</v>
      </c>
      <c r="DA94" s="191">
        <v>0</v>
      </c>
      <c r="DB94" s="191">
        <v>0</v>
      </c>
      <c r="DC94" s="191">
        <v>0</v>
      </c>
      <c r="DD94" s="191">
        <v>4.64</v>
      </c>
      <c r="DE94" s="191">
        <v>0</v>
      </c>
      <c r="DF94" s="191">
        <v>0</v>
      </c>
      <c r="DG94" s="191">
        <v>0</v>
      </c>
      <c r="DH94" s="191">
        <v>0</v>
      </c>
      <c r="DI94" s="191">
        <v>0</v>
      </c>
      <c r="DJ94" s="191">
        <v>0</v>
      </c>
      <c r="DK94" s="191">
        <v>-5.02</v>
      </c>
      <c r="DL94" s="191">
        <v>-4.92</v>
      </c>
      <c r="DM94" s="191">
        <v>-2.36</v>
      </c>
      <c r="DN94" s="191">
        <v>0</v>
      </c>
      <c r="DO94" s="191">
        <v>0</v>
      </c>
      <c r="DP94" s="191">
        <v>0</v>
      </c>
      <c r="DQ94" s="191">
        <v>0</v>
      </c>
      <c r="DR94" s="191">
        <v>0</v>
      </c>
      <c r="DS94" s="191">
        <v>2.79</v>
      </c>
      <c r="DT94" s="191">
        <v>0</v>
      </c>
      <c r="DU94" s="191">
        <v>0</v>
      </c>
      <c r="DV94" s="191">
        <v>0</v>
      </c>
      <c r="DW94" s="191">
        <v>0</v>
      </c>
      <c r="DX94" s="191">
        <v>5.57</v>
      </c>
      <c r="DY94" s="191">
        <v>0</v>
      </c>
      <c r="DZ94" s="191">
        <v>0</v>
      </c>
      <c r="EA94" s="191">
        <v>-0.1</v>
      </c>
      <c r="EB94" s="191">
        <v>-2.56</v>
      </c>
      <c r="EC94" s="191">
        <v>0</v>
      </c>
      <c r="ED94" s="191">
        <v>0</v>
      </c>
      <c r="EE94" s="191">
        <v>0</v>
      </c>
      <c r="EF94" s="191">
        <v>0</v>
      </c>
      <c r="EG94" s="191">
        <v>0</v>
      </c>
      <c r="EH94" s="191">
        <v>0.87</v>
      </c>
      <c r="EI94" s="192">
        <v>0</v>
      </c>
      <c r="EJ94" s="180"/>
      <c r="EK94" s="191" t="s">
        <v>499</v>
      </c>
      <c r="EL94" s="191">
        <v>-8.03</v>
      </c>
      <c r="EM94" s="191">
        <v>0</v>
      </c>
      <c r="EN94" s="191">
        <v>0</v>
      </c>
      <c r="EO94" s="191">
        <v>0</v>
      </c>
      <c r="EP94" s="191">
        <v>0</v>
      </c>
      <c r="EQ94" s="191">
        <v>0</v>
      </c>
      <c r="ER94" s="191">
        <v>0</v>
      </c>
      <c r="ES94" s="191">
        <v>0</v>
      </c>
      <c r="ET94" s="191">
        <v>0</v>
      </c>
      <c r="EU94" s="191">
        <v>0</v>
      </c>
      <c r="EV94" s="191">
        <v>0</v>
      </c>
      <c r="EW94" s="191">
        <v>0</v>
      </c>
      <c r="EX94" s="191">
        <v>0</v>
      </c>
      <c r="EY94" s="191">
        <v>0</v>
      </c>
      <c r="EZ94" s="191">
        <v>0</v>
      </c>
      <c r="FA94" s="191">
        <v>4.51</v>
      </c>
      <c r="FB94" s="191">
        <v>0</v>
      </c>
      <c r="FC94" s="191">
        <v>0</v>
      </c>
      <c r="FD94" s="191">
        <v>0</v>
      </c>
      <c r="FE94" s="191">
        <v>-5.17</v>
      </c>
      <c r="FF94" s="191">
        <v>-5.07</v>
      </c>
      <c r="FG94" s="191">
        <v>-2.43</v>
      </c>
      <c r="FH94" s="191">
        <v>0</v>
      </c>
      <c r="FI94" s="191">
        <v>0</v>
      </c>
      <c r="FJ94" s="191">
        <v>0</v>
      </c>
      <c r="FK94" s="191">
        <v>-0.1</v>
      </c>
      <c r="FL94" s="192">
        <v>0.84</v>
      </c>
    </row>
    <row r="95" s="180" customFormat="1" spans="1:168">
      <c r="A95" s="190" t="s">
        <v>500</v>
      </c>
      <c r="B95" s="191">
        <v>-622.4</v>
      </c>
      <c r="C95" s="192">
        <v>143.55</v>
      </c>
      <c r="E95" s="191" t="s">
        <v>500</v>
      </c>
      <c r="F95" s="191">
        <v>-7.6</v>
      </c>
      <c r="G95" s="191">
        <v>-600</v>
      </c>
      <c r="H95" s="191">
        <v>0</v>
      </c>
      <c r="I95" s="191">
        <v>0</v>
      </c>
      <c r="J95" s="191">
        <v>0</v>
      </c>
      <c r="K95" s="191">
        <v>0</v>
      </c>
      <c r="L95" s="191">
        <v>0</v>
      </c>
      <c r="M95" s="191">
        <v>0</v>
      </c>
      <c r="N95" s="191">
        <v>2.57</v>
      </c>
      <c r="O95" s="191">
        <v>0</v>
      </c>
      <c r="P95" s="191">
        <v>0</v>
      </c>
      <c r="Q95" s="191">
        <v>0</v>
      </c>
      <c r="R95" s="191">
        <v>0</v>
      </c>
      <c r="S95" s="191">
        <v>0</v>
      </c>
      <c r="T95" s="191">
        <v>0</v>
      </c>
      <c r="U95" s="191">
        <v>0</v>
      </c>
      <c r="V95" s="191">
        <v>24.27</v>
      </c>
      <c r="W95" s="191">
        <v>0</v>
      </c>
      <c r="X95" s="191">
        <v>0</v>
      </c>
      <c r="Y95" s="191">
        <v>0</v>
      </c>
      <c r="Z95" s="191">
        <v>0</v>
      </c>
      <c r="AA95" s="191">
        <v>0</v>
      </c>
      <c r="AB95" s="191">
        <v>0</v>
      </c>
      <c r="AC95" s="191">
        <v>0</v>
      </c>
      <c r="AD95" s="191">
        <v>0</v>
      </c>
      <c r="AE95" s="191">
        <v>0</v>
      </c>
      <c r="AF95" s="191">
        <v>1.05</v>
      </c>
      <c r="AG95" s="191">
        <v>-0.2</v>
      </c>
      <c r="AH95" s="191">
        <v>0</v>
      </c>
      <c r="AI95" s="191">
        <v>0</v>
      </c>
      <c r="AJ95" s="191">
        <v>0</v>
      </c>
      <c r="AK95" s="191">
        <v>0</v>
      </c>
      <c r="AL95" s="191">
        <v>0</v>
      </c>
      <c r="AM95" s="191">
        <v>0</v>
      </c>
      <c r="AN95" s="191">
        <v>4.76</v>
      </c>
      <c r="AO95" s="191">
        <v>0</v>
      </c>
      <c r="AP95" s="191">
        <v>0</v>
      </c>
      <c r="AQ95" s="191">
        <v>0</v>
      </c>
      <c r="AR95" s="191">
        <v>0</v>
      </c>
      <c r="AS95" s="191">
        <v>0</v>
      </c>
      <c r="AT95" s="191">
        <v>0</v>
      </c>
      <c r="AU95" s="191">
        <v>-4.9</v>
      </c>
      <c r="AV95" s="191">
        <v>-4.8</v>
      </c>
      <c r="AW95" s="191">
        <v>-2.3</v>
      </c>
      <c r="AX95" s="191">
        <v>0</v>
      </c>
      <c r="AY95" s="191">
        <v>0</v>
      </c>
      <c r="AZ95" s="191">
        <v>0</v>
      </c>
      <c r="BA95" s="191">
        <v>0</v>
      </c>
      <c r="BB95" s="191">
        <v>0</v>
      </c>
      <c r="BC95" s="191">
        <v>2.86</v>
      </c>
      <c r="BD95" s="191">
        <v>0</v>
      </c>
      <c r="BE95" s="191">
        <v>0</v>
      </c>
      <c r="BF95" s="191">
        <v>0</v>
      </c>
      <c r="BG95" s="191">
        <v>0</v>
      </c>
      <c r="BH95" s="191">
        <v>5.71</v>
      </c>
      <c r="BI95" s="191">
        <v>0</v>
      </c>
      <c r="BJ95" s="191">
        <v>14.28</v>
      </c>
      <c r="BK95" s="191">
        <v>-0.1</v>
      </c>
      <c r="BL95" s="191">
        <v>-2.5</v>
      </c>
      <c r="BM95" s="191">
        <v>0</v>
      </c>
      <c r="BN95" s="191">
        <v>85.67</v>
      </c>
      <c r="BO95" s="191">
        <v>0</v>
      </c>
      <c r="BP95" s="191">
        <v>0</v>
      </c>
      <c r="BQ95" s="191">
        <v>0</v>
      </c>
      <c r="BR95" s="191">
        <v>2.38</v>
      </c>
      <c r="BS95" s="192">
        <v>0</v>
      </c>
      <c r="BT95" s="180"/>
      <c r="BU95" s="191" t="s">
        <v>500</v>
      </c>
      <c r="BV95" s="191">
        <v>-7.79</v>
      </c>
      <c r="BW95" s="191">
        <v>-615.13</v>
      </c>
      <c r="BX95" s="191">
        <v>0</v>
      </c>
      <c r="BY95" s="191">
        <v>0</v>
      </c>
      <c r="BZ95" s="191">
        <v>0</v>
      </c>
      <c r="CA95" s="191">
        <v>0</v>
      </c>
      <c r="CB95" s="191">
        <v>0</v>
      </c>
      <c r="CC95" s="191">
        <v>0</v>
      </c>
      <c r="CD95" s="191">
        <v>2.51</v>
      </c>
      <c r="CE95" s="191">
        <v>0</v>
      </c>
      <c r="CF95" s="191">
        <v>0</v>
      </c>
      <c r="CG95" s="191">
        <v>0</v>
      </c>
      <c r="CH95" s="191">
        <v>0</v>
      </c>
      <c r="CI95" s="191">
        <v>0</v>
      </c>
      <c r="CJ95" s="191">
        <v>0</v>
      </c>
      <c r="CK95" s="191">
        <v>0</v>
      </c>
      <c r="CL95" s="191">
        <v>23.67</v>
      </c>
      <c r="CM95" s="191">
        <v>0</v>
      </c>
      <c r="CN95" s="191">
        <v>0</v>
      </c>
      <c r="CO95" s="191">
        <v>0</v>
      </c>
      <c r="CP95" s="191">
        <v>0</v>
      </c>
      <c r="CQ95" s="191">
        <v>0</v>
      </c>
      <c r="CR95" s="191">
        <v>0</v>
      </c>
      <c r="CS95" s="191">
        <v>0</v>
      </c>
      <c r="CT95" s="191">
        <v>0</v>
      </c>
      <c r="CU95" s="191">
        <v>0</v>
      </c>
      <c r="CV95" s="191">
        <v>1.02</v>
      </c>
      <c r="CW95" s="191">
        <v>-0.21</v>
      </c>
      <c r="CX95" s="191">
        <v>0</v>
      </c>
      <c r="CY95" s="191">
        <v>0</v>
      </c>
      <c r="CZ95" s="191">
        <v>0</v>
      </c>
      <c r="DA95" s="191">
        <v>0</v>
      </c>
      <c r="DB95" s="191">
        <v>0</v>
      </c>
      <c r="DC95" s="191">
        <v>0</v>
      </c>
      <c r="DD95" s="191">
        <v>4.64</v>
      </c>
      <c r="DE95" s="191">
        <v>0</v>
      </c>
      <c r="DF95" s="191">
        <v>0</v>
      </c>
      <c r="DG95" s="191">
        <v>0</v>
      </c>
      <c r="DH95" s="191">
        <v>0</v>
      </c>
      <c r="DI95" s="191">
        <v>0</v>
      </c>
      <c r="DJ95" s="191">
        <v>0</v>
      </c>
      <c r="DK95" s="191">
        <v>-5.02</v>
      </c>
      <c r="DL95" s="191">
        <v>-4.92</v>
      </c>
      <c r="DM95" s="191">
        <v>-2.36</v>
      </c>
      <c r="DN95" s="191">
        <v>0</v>
      </c>
      <c r="DO95" s="191">
        <v>0</v>
      </c>
      <c r="DP95" s="191">
        <v>0</v>
      </c>
      <c r="DQ95" s="191">
        <v>0</v>
      </c>
      <c r="DR95" s="191">
        <v>0</v>
      </c>
      <c r="DS95" s="191">
        <v>2.79</v>
      </c>
      <c r="DT95" s="191">
        <v>0</v>
      </c>
      <c r="DU95" s="191">
        <v>0</v>
      </c>
      <c r="DV95" s="191">
        <v>0</v>
      </c>
      <c r="DW95" s="191">
        <v>0</v>
      </c>
      <c r="DX95" s="191">
        <v>5.57</v>
      </c>
      <c r="DY95" s="191">
        <v>0</v>
      </c>
      <c r="DZ95" s="191">
        <v>13.93</v>
      </c>
      <c r="EA95" s="191">
        <v>-0.1</v>
      </c>
      <c r="EB95" s="191">
        <v>-2.56</v>
      </c>
      <c r="EC95" s="191">
        <v>0</v>
      </c>
      <c r="ED95" s="191">
        <v>83.56</v>
      </c>
      <c r="EE95" s="191">
        <v>0</v>
      </c>
      <c r="EF95" s="191">
        <v>0</v>
      </c>
      <c r="EG95" s="191">
        <v>0</v>
      </c>
      <c r="EH95" s="191">
        <v>2.32</v>
      </c>
      <c r="EI95" s="192">
        <v>0</v>
      </c>
      <c r="EJ95" s="180"/>
      <c r="EK95" s="191" t="s">
        <v>500</v>
      </c>
      <c r="EL95" s="191">
        <v>-8.03</v>
      </c>
      <c r="EM95" s="191">
        <v>0</v>
      </c>
      <c r="EN95" s="191">
        <v>0</v>
      </c>
      <c r="EO95" s="191">
        <v>0</v>
      </c>
      <c r="EP95" s="191">
        <v>0</v>
      </c>
      <c r="EQ95" s="191">
        <v>0</v>
      </c>
      <c r="ER95" s="191">
        <v>0</v>
      </c>
      <c r="ES95" s="191">
        <v>0</v>
      </c>
      <c r="ET95" s="191">
        <v>0</v>
      </c>
      <c r="EU95" s="191">
        <v>0</v>
      </c>
      <c r="EV95" s="191">
        <v>0</v>
      </c>
      <c r="EW95" s="191">
        <v>0</v>
      </c>
      <c r="EX95" s="191">
        <v>0</v>
      </c>
      <c r="EY95" s="191">
        <v>0.99</v>
      </c>
      <c r="EZ95" s="191">
        <v>0</v>
      </c>
      <c r="FA95" s="191">
        <v>4.51</v>
      </c>
      <c r="FB95" s="191">
        <v>0</v>
      </c>
      <c r="FC95" s="191">
        <v>0</v>
      </c>
      <c r="FD95" s="191">
        <v>0</v>
      </c>
      <c r="FE95" s="191">
        <v>-5.17</v>
      </c>
      <c r="FF95" s="191">
        <v>-5.07</v>
      </c>
      <c r="FG95" s="191">
        <v>-2.43</v>
      </c>
      <c r="FH95" s="191">
        <v>0</v>
      </c>
      <c r="FI95" s="191">
        <v>0</v>
      </c>
      <c r="FJ95" s="191">
        <v>0</v>
      </c>
      <c r="FK95" s="191">
        <v>-0.1</v>
      </c>
      <c r="FL95" s="192">
        <v>2.25</v>
      </c>
    </row>
    <row r="96" s="180" customFormat="1" spans="1:168">
      <c r="A96" s="190" t="s">
        <v>501</v>
      </c>
      <c r="B96" s="191">
        <v>-22.4</v>
      </c>
      <c r="C96" s="192">
        <v>99.95</v>
      </c>
      <c r="E96" s="191" t="s">
        <v>501</v>
      </c>
      <c r="F96" s="191">
        <v>-7.6</v>
      </c>
      <c r="G96" s="191">
        <v>0</v>
      </c>
      <c r="H96" s="191">
        <v>0</v>
      </c>
      <c r="I96" s="191">
        <v>0</v>
      </c>
      <c r="J96" s="191">
        <v>0</v>
      </c>
      <c r="K96" s="191">
        <v>0</v>
      </c>
      <c r="L96" s="191">
        <v>0</v>
      </c>
      <c r="M96" s="191">
        <v>0</v>
      </c>
      <c r="N96" s="191">
        <v>2.57</v>
      </c>
      <c r="O96" s="191">
        <v>0</v>
      </c>
      <c r="P96" s="191">
        <v>0</v>
      </c>
      <c r="Q96" s="191">
        <v>0</v>
      </c>
      <c r="R96" s="191">
        <v>0</v>
      </c>
      <c r="S96" s="191">
        <v>0</v>
      </c>
      <c r="T96" s="191">
        <v>0</v>
      </c>
      <c r="U96" s="191">
        <v>0</v>
      </c>
      <c r="V96" s="191">
        <v>24.27</v>
      </c>
      <c r="W96" s="191">
        <v>0</v>
      </c>
      <c r="X96" s="191">
        <v>5.71</v>
      </c>
      <c r="Y96" s="191">
        <v>0</v>
      </c>
      <c r="Z96" s="191">
        <v>0</v>
      </c>
      <c r="AA96" s="191">
        <v>0</v>
      </c>
      <c r="AB96" s="191">
        <v>0</v>
      </c>
      <c r="AC96" s="191">
        <v>0</v>
      </c>
      <c r="AD96" s="191">
        <v>0</v>
      </c>
      <c r="AE96" s="191">
        <v>4.28</v>
      </c>
      <c r="AF96" s="191">
        <v>1.05</v>
      </c>
      <c r="AG96" s="191">
        <v>-0.2</v>
      </c>
      <c r="AH96" s="191">
        <v>0</v>
      </c>
      <c r="AI96" s="191">
        <v>0</v>
      </c>
      <c r="AJ96" s="191">
        <v>0</v>
      </c>
      <c r="AK96" s="191">
        <v>0</v>
      </c>
      <c r="AL96" s="191">
        <v>0</v>
      </c>
      <c r="AM96" s="191">
        <v>9.52</v>
      </c>
      <c r="AN96" s="191">
        <v>4.76</v>
      </c>
      <c r="AO96" s="191">
        <v>1.14</v>
      </c>
      <c r="AP96" s="191">
        <v>0</v>
      </c>
      <c r="AQ96" s="191">
        <v>0</v>
      </c>
      <c r="AR96" s="191">
        <v>0</v>
      </c>
      <c r="AS96" s="191">
        <v>0</v>
      </c>
      <c r="AT96" s="191">
        <v>0</v>
      </c>
      <c r="AU96" s="191">
        <v>-4.9</v>
      </c>
      <c r="AV96" s="191">
        <v>-4.8</v>
      </c>
      <c r="AW96" s="191">
        <v>-2.3</v>
      </c>
      <c r="AX96" s="191">
        <v>0</v>
      </c>
      <c r="AY96" s="191">
        <v>0</v>
      </c>
      <c r="AZ96" s="191">
        <v>0</v>
      </c>
      <c r="BA96" s="191">
        <v>0</v>
      </c>
      <c r="BB96" s="191">
        <v>0</v>
      </c>
      <c r="BC96" s="191">
        <v>2.86</v>
      </c>
      <c r="BD96" s="191">
        <v>7.14</v>
      </c>
      <c r="BE96" s="191">
        <v>0</v>
      </c>
      <c r="BF96" s="191">
        <v>0</v>
      </c>
      <c r="BG96" s="191">
        <v>0</v>
      </c>
      <c r="BH96" s="191">
        <v>5.71</v>
      </c>
      <c r="BI96" s="191">
        <v>0</v>
      </c>
      <c r="BJ96" s="191">
        <v>14.28</v>
      </c>
      <c r="BK96" s="191">
        <v>-0.1</v>
      </c>
      <c r="BL96" s="191">
        <v>-2.5</v>
      </c>
      <c r="BM96" s="191">
        <v>0</v>
      </c>
      <c r="BN96" s="191">
        <v>14.28</v>
      </c>
      <c r="BO96" s="191">
        <v>0</v>
      </c>
      <c r="BP96" s="191">
        <v>0</v>
      </c>
      <c r="BQ96" s="191">
        <v>0</v>
      </c>
      <c r="BR96" s="191">
        <v>2.38</v>
      </c>
      <c r="BS96" s="192">
        <v>0</v>
      </c>
      <c r="BT96" s="180"/>
      <c r="BU96" s="191" t="s">
        <v>501</v>
      </c>
      <c r="BV96" s="191">
        <v>-7.79</v>
      </c>
      <c r="BW96" s="191">
        <v>0</v>
      </c>
      <c r="BX96" s="191">
        <v>0</v>
      </c>
      <c r="BY96" s="191">
        <v>0</v>
      </c>
      <c r="BZ96" s="191">
        <v>0</v>
      </c>
      <c r="CA96" s="191">
        <v>0</v>
      </c>
      <c r="CB96" s="191">
        <v>0</v>
      </c>
      <c r="CC96" s="191">
        <v>0</v>
      </c>
      <c r="CD96" s="191">
        <v>2.51</v>
      </c>
      <c r="CE96" s="191">
        <v>0</v>
      </c>
      <c r="CF96" s="191">
        <v>0</v>
      </c>
      <c r="CG96" s="191">
        <v>0</v>
      </c>
      <c r="CH96" s="191">
        <v>0</v>
      </c>
      <c r="CI96" s="191">
        <v>0</v>
      </c>
      <c r="CJ96" s="191">
        <v>0</v>
      </c>
      <c r="CK96" s="191">
        <v>0</v>
      </c>
      <c r="CL96" s="191">
        <v>23.67</v>
      </c>
      <c r="CM96" s="191">
        <v>0</v>
      </c>
      <c r="CN96" s="191">
        <v>5.57</v>
      </c>
      <c r="CO96" s="191">
        <v>0</v>
      </c>
      <c r="CP96" s="191">
        <v>0</v>
      </c>
      <c r="CQ96" s="191">
        <v>0</v>
      </c>
      <c r="CR96" s="191">
        <v>0</v>
      </c>
      <c r="CS96" s="191">
        <v>0</v>
      </c>
      <c r="CT96" s="191">
        <v>0</v>
      </c>
      <c r="CU96" s="191">
        <v>4.17</v>
      </c>
      <c r="CV96" s="191">
        <v>1.02</v>
      </c>
      <c r="CW96" s="191">
        <v>-0.21</v>
      </c>
      <c r="CX96" s="191">
        <v>0</v>
      </c>
      <c r="CY96" s="191">
        <v>0</v>
      </c>
      <c r="CZ96" s="191">
        <v>0</v>
      </c>
      <c r="DA96" s="191">
        <v>0</v>
      </c>
      <c r="DB96" s="191">
        <v>0</v>
      </c>
      <c r="DC96" s="191">
        <v>9.29</v>
      </c>
      <c r="DD96" s="191">
        <v>4.64</v>
      </c>
      <c r="DE96" s="191">
        <v>1.11</v>
      </c>
      <c r="DF96" s="191">
        <v>0</v>
      </c>
      <c r="DG96" s="191">
        <v>0</v>
      </c>
      <c r="DH96" s="191">
        <v>0</v>
      </c>
      <c r="DI96" s="191">
        <v>0</v>
      </c>
      <c r="DJ96" s="191">
        <v>0</v>
      </c>
      <c r="DK96" s="191">
        <v>-5.02</v>
      </c>
      <c r="DL96" s="191">
        <v>-4.92</v>
      </c>
      <c r="DM96" s="191">
        <v>-2.36</v>
      </c>
      <c r="DN96" s="191">
        <v>0</v>
      </c>
      <c r="DO96" s="191">
        <v>0</v>
      </c>
      <c r="DP96" s="191">
        <v>0</v>
      </c>
      <c r="DQ96" s="191">
        <v>0</v>
      </c>
      <c r="DR96" s="191">
        <v>0</v>
      </c>
      <c r="DS96" s="191">
        <v>2.79</v>
      </c>
      <c r="DT96" s="191">
        <v>6.96</v>
      </c>
      <c r="DU96" s="191">
        <v>0</v>
      </c>
      <c r="DV96" s="191">
        <v>0</v>
      </c>
      <c r="DW96" s="191">
        <v>0</v>
      </c>
      <c r="DX96" s="191">
        <v>5.57</v>
      </c>
      <c r="DY96" s="191">
        <v>0</v>
      </c>
      <c r="DZ96" s="191">
        <v>13.93</v>
      </c>
      <c r="EA96" s="191">
        <v>-0.1</v>
      </c>
      <c r="EB96" s="191">
        <v>-2.56</v>
      </c>
      <c r="EC96" s="191">
        <v>0</v>
      </c>
      <c r="ED96" s="191">
        <v>13.93</v>
      </c>
      <c r="EE96" s="191">
        <v>0</v>
      </c>
      <c r="EF96" s="191">
        <v>0</v>
      </c>
      <c r="EG96" s="191">
        <v>0</v>
      </c>
      <c r="EH96" s="191">
        <v>2.32</v>
      </c>
      <c r="EI96" s="192">
        <v>0</v>
      </c>
      <c r="EJ96" s="180"/>
      <c r="EK96" s="191" t="s">
        <v>501</v>
      </c>
      <c r="EL96" s="191">
        <v>-8.03</v>
      </c>
      <c r="EM96" s="191">
        <v>0</v>
      </c>
      <c r="EN96" s="191">
        <v>0</v>
      </c>
      <c r="EO96" s="191">
        <v>0</v>
      </c>
      <c r="EP96" s="191">
        <v>0</v>
      </c>
      <c r="EQ96" s="191">
        <v>0</v>
      </c>
      <c r="ER96" s="191">
        <v>0</v>
      </c>
      <c r="ES96" s="191">
        <v>0</v>
      </c>
      <c r="ET96" s="191">
        <v>5.42</v>
      </c>
      <c r="EU96" s="191">
        <v>0</v>
      </c>
      <c r="EV96" s="191">
        <v>0</v>
      </c>
      <c r="EW96" s="191">
        <v>0</v>
      </c>
      <c r="EX96" s="191">
        <v>0</v>
      </c>
      <c r="EY96" s="191">
        <v>0.99</v>
      </c>
      <c r="EZ96" s="191">
        <v>0</v>
      </c>
      <c r="FA96" s="191">
        <v>4.51</v>
      </c>
      <c r="FB96" s="191">
        <v>1.08</v>
      </c>
      <c r="FC96" s="191">
        <v>0</v>
      </c>
      <c r="FD96" s="191">
        <v>0</v>
      </c>
      <c r="FE96" s="191">
        <v>-5.17</v>
      </c>
      <c r="FF96" s="191">
        <v>-5.07</v>
      </c>
      <c r="FG96" s="191">
        <v>-2.43</v>
      </c>
      <c r="FH96" s="191">
        <v>0</v>
      </c>
      <c r="FI96" s="191">
        <v>0</v>
      </c>
      <c r="FJ96" s="191">
        <v>0</v>
      </c>
      <c r="FK96" s="191">
        <v>-0.1</v>
      </c>
      <c r="FL96" s="192">
        <v>2.25</v>
      </c>
    </row>
    <row r="97" s="180" customFormat="1" spans="1:168">
      <c r="A97" s="190" t="s">
        <v>502</v>
      </c>
      <c r="B97" s="191">
        <v>-22.4</v>
      </c>
      <c r="C97" s="192">
        <v>214.84</v>
      </c>
      <c r="E97" s="191" t="s">
        <v>502</v>
      </c>
      <c r="F97" s="191">
        <v>-7.6</v>
      </c>
      <c r="G97" s="191">
        <v>0</v>
      </c>
      <c r="H97" s="191">
        <v>0</v>
      </c>
      <c r="I97" s="191">
        <v>0</v>
      </c>
      <c r="J97" s="191">
        <v>8.38</v>
      </c>
      <c r="K97" s="191">
        <v>5.05</v>
      </c>
      <c r="L97" s="191">
        <v>2.67</v>
      </c>
      <c r="M97" s="191">
        <v>0.95</v>
      </c>
      <c r="N97" s="191">
        <v>2.57</v>
      </c>
      <c r="O97" s="191">
        <v>0</v>
      </c>
      <c r="P97" s="191">
        <v>0</v>
      </c>
      <c r="Q97" s="191">
        <v>0</v>
      </c>
      <c r="R97" s="191">
        <v>5.71</v>
      </c>
      <c r="S97" s="191">
        <v>8.57</v>
      </c>
      <c r="T97" s="191">
        <v>0</v>
      </c>
      <c r="U97" s="191">
        <v>0</v>
      </c>
      <c r="V97" s="191">
        <v>24.27</v>
      </c>
      <c r="W97" s="191">
        <v>7.14</v>
      </c>
      <c r="X97" s="191">
        <v>5.71</v>
      </c>
      <c r="Y97" s="191">
        <v>0</v>
      </c>
      <c r="Z97" s="191">
        <v>1.9</v>
      </c>
      <c r="AA97" s="191">
        <v>0</v>
      </c>
      <c r="AB97" s="191">
        <v>0</v>
      </c>
      <c r="AC97" s="191">
        <v>3.05</v>
      </c>
      <c r="AD97" s="191">
        <v>0</v>
      </c>
      <c r="AE97" s="191">
        <v>4.28</v>
      </c>
      <c r="AF97" s="191">
        <v>1.05</v>
      </c>
      <c r="AG97" s="191">
        <v>-0.2</v>
      </c>
      <c r="AH97" s="191">
        <v>0</v>
      </c>
      <c r="AI97" s="191">
        <v>0</v>
      </c>
      <c r="AJ97" s="191">
        <v>1.43</v>
      </c>
      <c r="AK97" s="191">
        <v>0</v>
      </c>
      <c r="AL97" s="191">
        <v>0</v>
      </c>
      <c r="AM97" s="191">
        <v>9.52</v>
      </c>
      <c r="AN97" s="191">
        <v>4.76</v>
      </c>
      <c r="AO97" s="191">
        <v>1.14</v>
      </c>
      <c r="AP97" s="191">
        <v>0</v>
      </c>
      <c r="AQ97" s="191">
        <v>15.23</v>
      </c>
      <c r="AR97" s="191">
        <v>26.63</v>
      </c>
      <c r="AS97" s="191">
        <v>0</v>
      </c>
      <c r="AT97" s="191">
        <v>0</v>
      </c>
      <c r="AU97" s="191">
        <v>-4.9</v>
      </c>
      <c r="AV97" s="191">
        <v>-4.8</v>
      </c>
      <c r="AW97" s="191">
        <v>-2.3</v>
      </c>
      <c r="AX97" s="191">
        <v>0</v>
      </c>
      <c r="AY97" s="191">
        <v>0</v>
      </c>
      <c r="AZ97" s="191">
        <v>0</v>
      </c>
      <c r="BA97" s="191">
        <v>7.14</v>
      </c>
      <c r="BB97" s="191">
        <v>0</v>
      </c>
      <c r="BC97" s="191">
        <v>2.86</v>
      </c>
      <c r="BD97" s="191">
        <v>7.14</v>
      </c>
      <c r="BE97" s="191">
        <v>0</v>
      </c>
      <c r="BF97" s="191">
        <v>19.04</v>
      </c>
      <c r="BG97" s="191">
        <v>0</v>
      </c>
      <c r="BH97" s="191">
        <v>5.71</v>
      </c>
      <c r="BI97" s="191">
        <v>2</v>
      </c>
      <c r="BJ97" s="191">
        <v>14.28</v>
      </c>
      <c r="BK97" s="191">
        <v>-0.1</v>
      </c>
      <c r="BL97" s="191">
        <v>-2.5</v>
      </c>
      <c r="BM97" s="191">
        <v>0</v>
      </c>
      <c r="BN97" s="191">
        <v>14.28</v>
      </c>
      <c r="BO97" s="191">
        <v>0</v>
      </c>
      <c r="BP97" s="191">
        <v>0</v>
      </c>
      <c r="BQ97" s="191">
        <v>0</v>
      </c>
      <c r="BR97" s="191">
        <v>2.38</v>
      </c>
      <c r="BS97" s="192">
        <v>0</v>
      </c>
      <c r="BT97" s="180"/>
      <c r="BU97" s="191" t="s">
        <v>502</v>
      </c>
      <c r="BV97" s="191">
        <v>-7.79</v>
      </c>
      <c r="BW97" s="191">
        <v>0</v>
      </c>
      <c r="BX97" s="191">
        <v>0</v>
      </c>
      <c r="BY97" s="191">
        <v>0</v>
      </c>
      <c r="BZ97" s="191">
        <v>8.17</v>
      </c>
      <c r="CA97" s="191">
        <v>4.93</v>
      </c>
      <c r="CB97" s="191">
        <v>2.6</v>
      </c>
      <c r="CC97" s="191">
        <v>0.93</v>
      </c>
      <c r="CD97" s="191">
        <v>2.51</v>
      </c>
      <c r="CE97" s="191">
        <v>0</v>
      </c>
      <c r="CF97" s="191">
        <v>0</v>
      </c>
      <c r="CG97" s="191">
        <v>0</v>
      </c>
      <c r="CH97" s="191">
        <v>5.57</v>
      </c>
      <c r="CI97" s="191">
        <v>8.36</v>
      </c>
      <c r="CJ97" s="191">
        <v>0</v>
      </c>
      <c r="CK97" s="191">
        <v>0</v>
      </c>
      <c r="CL97" s="191">
        <v>23.67</v>
      </c>
      <c r="CM97" s="191">
        <v>6.96</v>
      </c>
      <c r="CN97" s="191">
        <v>5.57</v>
      </c>
      <c r="CO97" s="191">
        <v>0</v>
      </c>
      <c r="CP97" s="191">
        <v>1.85</v>
      </c>
      <c r="CQ97" s="191">
        <v>0</v>
      </c>
      <c r="CR97" s="191">
        <v>0</v>
      </c>
      <c r="CS97" s="191">
        <v>2.97</v>
      </c>
      <c r="CT97" s="191">
        <v>0</v>
      </c>
      <c r="CU97" s="191">
        <v>4.17</v>
      </c>
      <c r="CV97" s="191">
        <v>1.02</v>
      </c>
      <c r="CW97" s="191">
        <v>-0.21</v>
      </c>
      <c r="CX97" s="191">
        <v>0</v>
      </c>
      <c r="CY97" s="191">
        <v>0</v>
      </c>
      <c r="CZ97" s="191">
        <v>1.39</v>
      </c>
      <c r="DA97" s="191">
        <v>0</v>
      </c>
      <c r="DB97" s="191">
        <v>0</v>
      </c>
      <c r="DC97" s="191">
        <v>9.29</v>
      </c>
      <c r="DD97" s="191">
        <v>4.64</v>
      </c>
      <c r="DE97" s="191">
        <v>1.11</v>
      </c>
      <c r="DF97" s="191">
        <v>0</v>
      </c>
      <c r="DG97" s="191">
        <v>14.86</v>
      </c>
      <c r="DH97" s="191">
        <v>25.97</v>
      </c>
      <c r="DI97" s="191">
        <v>0</v>
      </c>
      <c r="DJ97" s="191">
        <v>0</v>
      </c>
      <c r="DK97" s="191">
        <v>-5.02</v>
      </c>
      <c r="DL97" s="191">
        <v>-4.92</v>
      </c>
      <c r="DM97" s="191">
        <v>-2.36</v>
      </c>
      <c r="DN97" s="191">
        <v>0</v>
      </c>
      <c r="DO97" s="191">
        <v>0</v>
      </c>
      <c r="DP97" s="191">
        <v>0</v>
      </c>
      <c r="DQ97" s="191">
        <v>6.96</v>
      </c>
      <c r="DR97" s="191">
        <v>0</v>
      </c>
      <c r="DS97" s="191">
        <v>2.79</v>
      </c>
      <c r="DT97" s="191">
        <v>6.96</v>
      </c>
      <c r="DU97" s="191">
        <v>0</v>
      </c>
      <c r="DV97" s="191">
        <v>18.57</v>
      </c>
      <c r="DW97" s="191">
        <v>0</v>
      </c>
      <c r="DX97" s="191">
        <v>5.57</v>
      </c>
      <c r="DY97" s="191">
        <v>1.95</v>
      </c>
      <c r="DZ97" s="191">
        <v>13.93</v>
      </c>
      <c r="EA97" s="191">
        <v>-0.1</v>
      </c>
      <c r="EB97" s="191">
        <v>-2.56</v>
      </c>
      <c r="EC97" s="191">
        <v>0</v>
      </c>
      <c r="ED97" s="191">
        <v>13.93</v>
      </c>
      <c r="EE97" s="191">
        <v>0</v>
      </c>
      <c r="EF97" s="191">
        <v>0</v>
      </c>
      <c r="EG97" s="191">
        <v>0</v>
      </c>
      <c r="EH97" s="191">
        <v>2.32</v>
      </c>
      <c r="EI97" s="192">
        <v>0</v>
      </c>
      <c r="EJ97" s="180"/>
      <c r="EK97" s="191" t="s">
        <v>502</v>
      </c>
      <c r="EL97" s="191">
        <v>-8.03</v>
      </c>
      <c r="EM97" s="191">
        <v>0</v>
      </c>
      <c r="EN97" s="191">
        <v>7.93</v>
      </c>
      <c r="EO97" s="191">
        <v>2.52</v>
      </c>
      <c r="EP97" s="191">
        <v>0.9</v>
      </c>
      <c r="EQ97" s="191">
        <v>0</v>
      </c>
      <c r="ER97" s="191">
        <v>0</v>
      </c>
      <c r="ES97" s="191">
        <v>6.77</v>
      </c>
      <c r="ET97" s="191">
        <v>5.42</v>
      </c>
      <c r="EU97" s="191">
        <v>1.8</v>
      </c>
      <c r="EV97" s="191">
        <v>0</v>
      </c>
      <c r="EW97" s="191">
        <v>0</v>
      </c>
      <c r="EX97" s="191">
        <v>2.89</v>
      </c>
      <c r="EY97" s="191">
        <v>0.99</v>
      </c>
      <c r="EZ97" s="191">
        <v>1.35</v>
      </c>
      <c r="FA97" s="191">
        <v>4.51</v>
      </c>
      <c r="FB97" s="191">
        <v>1.08</v>
      </c>
      <c r="FC97" s="191">
        <v>0</v>
      </c>
      <c r="FD97" s="191">
        <v>0</v>
      </c>
      <c r="FE97" s="191">
        <v>-5.17</v>
      </c>
      <c r="FF97" s="191">
        <v>-5.07</v>
      </c>
      <c r="FG97" s="191">
        <v>-2.43</v>
      </c>
      <c r="FH97" s="191">
        <v>0</v>
      </c>
      <c r="FI97" s="191">
        <v>0</v>
      </c>
      <c r="FJ97" s="191">
        <v>1.89</v>
      </c>
      <c r="FK97" s="191">
        <v>-0.1</v>
      </c>
      <c r="FL97" s="192">
        <v>2.25</v>
      </c>
    </row>
    <row r="98" s="180" customFormat="1" spans="1:168">
      <c r="A98" s="190" t="s">
        <v>503</v>
      </c>
      <c r="B98" s="191">
        <v>-22.4</v>
      </c>
      <c r="C98" s="192">
        <v>273.86</v>
      </c>
      <c r="E98" s="191" t="s">
        <v>503</v>
      </c>
      <c r="F98" s="191">
        <v>-7.6</v>
      </c>
      <c r="G98" s="191">
        <v>0</v>
      </c>
      <c r="H98" s="191">
        <v>0</v>
      </c>
      <c r="I98" s="191">
        <v>0</v>
      </c>
      <c r="J98" s="191">
        <v>8.38</v>
      </c>
      <c r="K98" s="191">
        <v>5.05</v>
      </c>
      <c r="L98" s="191">
        <v>2.67</v>
      </c>
      <c r="M98" s="191">
        <v>0.95</v>
      </c>
      <c r="N98" s="191">
        <v>2.57</v>
      </c>
      <c r="O98" s="191">
        <v>8.57</v>
      </c>
      <c r="P98" s="191">
        <v>0</v>
      </c>
      <c r="Q98" s="191">
        <v>0</v>
      </c>
      <c r="R98" s="191">
        <v>5.71</v>
      </c>
      <c r="S98" s="191">
        <v>8.57</v>
      </c>
      <c r="T98" s="191">
        <v>0</v>
      </c>
      <c r="U98" s="191">
        <v>0</v>
      </c>
      <c r="V98" s="191">
        <v>24.27</v>
      </c>
      <c r="W98" s="191">
        <v>7.14</v>
      </c>
      <c r="X98" s="191">
        <v>5.71</v>
      </c>
      <c r="Y98" s="191">
        <v>6.66</v>
      </c>
      <c r="Z98" s="191">
        <v>1.9</v>
      </c>
      <c r="AA98" s="191">
        <v>0</v>
      </c>
      <c r="AB98" s="191">
        <v>0</v>
      </c>
      <c r="AC98" s="191">
        <v>3.05</v>
      </c>
      <c r="AD98" s="191">
        <v>0</v>
      </c>
      <c r="AE98" s="191">
        <v>4.28</v>
      </c>
      <c r="AF98" s="191">
        <v>1.05</v>
      </c>
      <c r="AG98" s="191">
        <v>-0.2</v>
      </c>
      <c r="AH98" s="191">
        <v>0</v>
      </c>
      <c r="AI98" s="191">
        <v>0</v>
      </c>
      <c r="AJ98" s="191">
        <v>1.43</v>
      </c>
      <c r="AK98" s="191">
        <v>0</v>
      </c>
      <c r="AL98" s="191">
        <v>0</v>
      </c>
      <c r="AM98" s="191">
        <v>9.52</v>
      </c>
      <c r="AN98" s="191">
        <v>4.76</v>
      </c>
      <c r="AO98" s="191">
        <v>1.14</v>
      </c>
      <c r="AP98" s="191">
        <v>0</v>
      </c>
      <c r="AQ98" s="191">
        <v>15.23</v>
      </c>
      <c r="AR98" s="191">
        <v>26.62</v>
      </c>
      <c r="AS98" s="191">
        <v>0</v>
      </c>
      <c r="AT98" s="191">
        <v>0</v>
      </c>
      <c r="AU98" s="191">
        <v>-4.9</v>
      </c>
      <c r="AV98" s="191">
        <v>-4.8</v>
      </c>
      <c r="AW98" s="191">
        <v>-2.3</v>
      </c>
      <c r="AX98" s="191">
        <v>0</v>
      </c>
      <c r="AY98" s="191">
        <v>0</v>
      </c>
      <c r="AZ98" s="191">
        <v>7.62</v>
      </c>
      <c r="BA98" s="191">
        <v>7.14</v>
      </c>
      <c r="BB98" s="191">
        <v>9.52</v>
      </c>
      <c r="BC98" s="191">
        <v>2.86</v>
      </c>
      <c r="BD98" s="191">
        <v>7.14</v>
      </c>
      <c r="BE98" s="191">
        <v>19.04</v>
      </c>
      <c r="BF98" s="191">
        <v>19.04</v>
      </c>
      <c r="BG98" s="191">
        <v>7.62</v>
      </c>
      <c r="BH98" s="191">
        <v>5.71</v>
      </c>
      <c r="BI98" s="191">
        <v>2</v>
      </c>
      <c r="BJ98" s="191">
        <v>14.28</v>
      </c>
      <c r="BK98" s="191">
        <v>-0.1</v>
      </c>
      <c r="BL98" s="191">
        <v>-2.5</v>
      </c>
      <c r="BM98" s="191">
        <v>0</v>
      </c>
      <c r="BN98" s="191">
        <v>14.28</v>
      </c>
      <c r="BO98" s="191">
        <v>0</v>
      </c>
      <c r="BP98" s="191">
        <v>0</v>
      </c>
      <c r="BQ98" s="191">
        <v>0</v>
      </c>
      <c r="BR98" s="191">
        <v>2.38</v>
      </c>
      <c r="BS98" s="192">
        <v>0</v>
      </c>
      <c r="BT98" s="180"/>
      <c r="BU98" s="191" t="s">
        <v>503</v>
      </c>
      <c r="BV98" s="191">
        <v>-7.79</v>
      </c>
      <c r="BW98" s="191">
        <v>0</v>
      </c>
      <c r="BX98" s="191">
        <v>0</v>
      </c>
      <c r="BY98" s="191">
        <v>0</v>
      </c>
      <c r="BZ98" s="191">
        <v>8.17</v>
      </c>
      <c r="CA98" s="191">
        <v>4.93</v>
      </c>
      <c r="CB98" s="191">
        <v>2.6</v>
      </c>
      <c r="CC98" s="191">
        <v>0.93</v>
      </c>
      <c r="CD98" s="191">
        <v>2.51</v>
      </c>
      <c r="CE98" s="191">
        <v>8.36</v>
      </c>
      <c r="CF98" s="191">
        <v>0</v>
      </c>
      <c r="CG98" s="191">
        <v>0</v>
      </c>
      <c r="CH98" s="191">
        <v>5.57</v>
      </c>
      <c r="CI98" s="191">
        <v>8.36</v>
      </c>
      <c r="CJ98" s="191">
        <v>0</v>
      </c>
      <c r="CK98" s="191">
        <v>0</v>
      </c>
      <c r="CL98" s="191">
        <v>23.67</v>
      </c>
      <c r="CM98" s="191">
        <v>6.96</v>
      </c>
      <c r="CN98" s="191">
        <v>5.57</v>
      </c>
      <c r="CO98" s="191">
        <v>6.5</v>
      </c>
      <c r="CP98" s="191">
        <v>1.85</v>
      </c>
      <c r="CQ98" s="191">
        <v>0</v>
      </c>
      <c r="CR98" s="191">
        <v>0</v>
      </c>
      <c r="CS98" s="191">
        <v>2.97</v>
      </c>
      <c r="CT98" s="191">
        <v>0</v>
      </c>
      <c r="CU98" s="191">
        <v>4.17</v>
      </c>
      <c r="CV98" s="191">
        <v>1.02</v>
      </c>
      <c r="CW98" s="191">
        <v>-0.21</v>
      </c>
      <c r="CX98" s="191">
        <v>0</v>
      </c>
      <c r="CY98" s="191">
        <v>0</v>
      </c>
      <c r="CZ98" s="191">
        <v>1.39</v>
      </c>
      <c r="DA98" s="191">
        <v>0</v>
      </c>
      <c r="DB98" s="191">
        <v>0</v>
      </c>
      <c r="DC98" s="191">
        <v>9.29</v>
      </c>
      <c r="DD98" s="191">
        <v>4.64</v>
      </c>
      <c r="DE98" s="191">
        <v>1.11</v>
      </c>
      <c r="DF98" s="191">
        <v>0</v>
      </c>
      <c r="DG98" s="191">
        <v>14.86</v>
      </c>
      <c r="DH98" s="191">
        <v>25.97</v>
      </c>
      <c r="DI98" s="191">
        <v>0</v>
      </c>
      <c r="DJ98" s="191">
        <v>0</v>
      </c>
      <c r="DK98" s="191">
        <v>-5.02</v>
      </c>
      <c r="DL98" s="191">
        <v>-4.92</v>
      </c>
      <c r="DM98" s="191">
        <v>-2.36</v>
      </c>
      <c r="DN98" s="191">
        <v>0</v>
      </c>
      <c r="DO98" s="191">
        <v>0</v>
      </c>
      <c r="DP98" s="191">
        <v>7.43</v>
      </c>
      <c r="DQ98" s="191">
        <v>6.96</v>
      </c>
      <c r="DR98" s="191">
        <v>9.29</v>
      </c>
      <c r="DS98" s="191">
        <v>2.79</v>
      </c>
      <c r="DT98" s="191">
        <v>6.96</v>
      </c>
      <c r="DU98" s="191">
        <v>18.57</v>
      </c>
      <c r="DV98" s="191">
        <v>18.57</v>
      </c>
      <c r="DW98" s="191">
        <v>7.43</v>
      </c>
      <c r="DX98" s="191">
        <v>5.57</v>
      </c>
      <c r="DY98" s="191">
        <v>1.95</v>
      </c>
      <c r="DZ98" s="191">
        <v>13.93</v>
      </c>
      <c r="EA98" s="191">
        <v>-0.1</v>
      </c>
      <c r="EB98" s="191">
        <v>-2.56</v>
      </c>
      <c r="EC98" s="191">
        <v>0</v>
      </c>
      <c r="ED98" s="191">
        <v>13.93</v>
      </c>
      <c r="EE98" s="191">
        <v>0</v>
      </c>
      <c r="EF98" s="191">
        <v>0</v>
      </c>
      <c r="EG98" s="191">
        <v>0</v>
      </c>
      <c r="EH98" s="191">
        <v>2.32</v>
      </c>
      <c r="EI98" s="192">
        <v>0</v>
      </c>
      <c r="EJ98" s="180"/>
      <c r="EK98" s="191" t="s">
        <v>503</v>
      </c>
      <c r="EL98" s="191">
        <v>-8.03</v>
      </c>
      <c r="EM98" s="191">
        <v>0</v>
      </c>
      <c r="EN98" s="191">
        <v>7.93</v>
      </c>
      <c r="EO98" s="191">
        <v>2.52</v>
      </c>
      <c r="EP98" s="191">
        <v>0.9</v>
      </c>
      <c r="EQ98" s="191">
        <v>0</v>
      </c>
      <c r="ER98" s="191">
        <v>0</v>
      </c>
      <c r="ES98" s="191">
        <v>6.77</v>
      </c>
      <c r="ET98" s="191">
        <v>5.42</v>
      </c>
      <c r="EU98" s="191">
        <v>1.8</v>
      </c>
      <c r="EV98" s="191">
        <v>0</v>
      </c>
      <c r="EW98" s="191">
        <v>0</v>
      </c>
      <c r="EX98" s="191">
        <v>2.89</v>
      </c>
      <c r="EY98" s="191">
        <v>0.99</v>
      </c>
      <c r="EZ98" s="191">
        <v>1.35</v>
      </c>
      <c r="FA98" s="191">
        <v>4.51</v>
      </c>
      <c r="FB98" s="191">
        <v>1.08</v>
      </c>
      <c r="FC98" s="191">
        <v>0</v>
      </c>
      <c r="FD98" s="191">
        <v>0</v>
      </c>
      <c r="FE98" s="191">
        <v>-5.17</v>
      </c>
      <c r="FF98" s="191">
        <v>-5.07</v>
      </c>
      <c r="FG98" s="191">
        <v>-2.43</v>
      </c>
      <c r="FH98" s="191">
        <v>0</v>
      </c>
      <c r="FI98" s="191">
        <v>0</v>
      </c>
      <c r="FJ98" s="191">
        <v>1.89</v>
      </c>
      <c r="FK98" s="191">
        <v>-0.1</v>
      </c>
      <c r="FL98" s="192">
        <v>2.25</v>
      </c>
    </row>
    <row r="99" s="180" customFormat="1" spans="1:168">
      <c r="A99" s="190" t="s">
        <v>504</v>
      </c>
      <c r="B99" s="191">
        <v>-22.4</v>
      </c>
      <c r="C99" s="192">
        <v>326.88</v>
      </c>
      <c r="E99" s="191" t="s">
        <v>504</v>
      </c>
      <c r="F99" s="191">
        <v>-7.6</v>
      </c>
      <c r="G99" s="191">
        <v>0</v>
      </c>
      <c r="H99" s="191">
        <v>0</v>
      </c>
      <c r="I99" s="191">
        <v>0</v>
      </c>
      <c r="J99" s="191">
        <v>8.38</v>
      </c>
      <c r="K99" s="191">
        <v>5.05</v>
      </c>
      <c r="L99" s="191">
        <v>2.67</v>
      </c>
      <c r="M99" s="191">
        <v>0.95</v>
      </c>
      <c r="N99" s="191">
        <v>2.57</v>
      </c>
      <c r="O99" s="191">
        <v>8.57</v>
      </c>
      <c r="P99" s="191">
        <v>0</v>
      </c>
      <c r="Q99" s="191">
        <v>0</v>
      </c>
      <c r="R99" s="191">
        <v>5.71</v>
      </c>
      <c r="S99" s="191">
        <v>8.57</v>
      </c>
      <c r="T99" s="191">
        <v>0</v>
      </c>
      <c r="U99" s="191">
        <v>0</v>
      </c>
      <c r="V99" s="191">
        <v>24.27</v>
      </c>
      <c r="W99" s="191">
        <v>7.14</v>
      </c>
      <c r="X99" s="191">
        <v>5.71</v>
      </c>
      <c r="Y99" s="191">
        <v>6.66</v>
      </c>
      <c r="Z99" s="191">
        <v>1.9</v>
      </c>
      <c r="AA99" s="191">
        <v>3.81</v>
      </c>
      <c r="AB99" s="191">
        <v>0</v>
      </c>
      <c r="AC99" s="191">
        <v>3.05</v>
      </c>
      <c r="AD99" s="191">
        <v>5.52</v>
      </c>
      <c r="AE99" s="191">
        <v>4.28</v>
      </c>
      <c r="AF99" s="191">
        <v>1.05</v>
      </c>
      <c r="AG99" s="191">
        <v>-0.2</v>
      </c>
      <c r="AH99" s="191">
        <v>0</v>
      </c>
      <c r="AI99" s="191">
        <v>33.28</v>
      </c>
      <c r="AJ99" s="191">
        <v>1.43</v>
      </c>
      <c r="AK99" s="191">
        <v>0</v>
      </c>
      <c r="AL99" s="191">
        <v>0</v>
      </c>
      <c r="AM99" s="191">
        <v>9.52</v>
      </c>
      <c r="AN99" s="191">
        <v>4.76</v>
      </c>
      <c r="AO99" s="191">
        <v>1.14</v>
      </c>
      <c r="AP99" s="191">
        <v>0</v>
      </c>
      <c r="AQ99" s="191">
        <v>15.23</v>
      </c>
      <c r="AR99" s="191">
        <v>26.65</v>
      </c>
      <c r="AS99" s="191">
        <v>0</v>
      </c>
      <c r="AT99" s="191">
        <v>0</v>
      </c>
      <c r="AU99" s="191">
        <v>-4.9</v>
      </c>
      <c r="AV99" s="191">
        <v>-4.8</v>
      </c>
      <c r="AW99" s="191">
        <v>-2.3</v>
      </c>
      <c r="AX99" s="191">
        <v>0</v>
      </c>
      <c r="AY99" s="191">
        <v>0</v>
      </c>
      <c r="AZ99" s="191">
        <v>7.62</v>
      </c>
      <c r="BA99" s="191">
        <v>7.14</v>
      </c>
      <c r="BB99" s="191">
        <v>9.52</v>
      </c>
      <c r="BC99" s="191">
        <v>2.86</v>
      </c>
      <c r="BD99" s="191">
        <v>0</v>
      </c>
      <c r="BE99" s="191">
        <v>19.04</v>
      </c>
      <c r="BF99" s="191">
        <v>19.04</v>
      </c>
      <c r="BG99" s="191">
        <v>7.62</v>
      </c>
      <c r="BH99" s="191">
        <v>5.71</v>
      </c>
      <c r="BI99" s="191">
        <v>2</v>
      </c>
      <c r="BJ99" s="191">
        <v>14.28</v>
      </c>
      <c r="BK99" s="191">
        <v>-0.1</v>
      </c>
      <c r="BL99" s="191">
        <v>-2.5</v>
      </c>
      <c r="BM99" s="191">
        <v>0</v>
      </c>
      <c r="BN99" s="191">
        <v>14.28</v>
      </c>
      <c r="BO99" s="191">
        <v>0</v>
      </c>
      <c r="BP99" s="191">
        <v>13.33</v>
      </c>
      <c r="BQ99" s="191">
        <v>4.19</v>
      </c>
      <c r="BR99" s="191">
        <v>2.38</v>
      </c>
      <c r="BS99" s="192">
        <v>0</v>
      </c>
      <c r="BT99" s="180"/>
      <c r="BU99" s="191" t="s">
        <v>504</v>
      </c>
      <c r="BV99" s="191">
        <v>-7.79</v>
      </c>
      <c r="BW99" s="191">
        <v>0</v>
      </c>
      <c r="BX99" s="191">
        <v>0</v>
      </c>
      <c r="BY99" s="191">
        <v>0</v>
      </c>
      <c r="BZ99" s="191">
        <v>8.17</v>
      </c>
      <c r="CA99" s="191">
        <v>4.93</v>
      </c>
      <c r="CB99" s="191">
        <v>2.6</v>
      </c>
      <c r="CC99" s="191">
        <v>0.93</v>
      </c>
      <c r="CD99" s="191">
        <v>2.51</v>
      </c>
      <c r="CE99" s="191">
        <v>8.36</v>
      </c>
      <c r="CF99" s="191">
        <v>0</v>
      </c>
      <c r="CG99" s="191">
        <v>0</v>
      </c>
      <c r="CH99" s="191">
        <v>5.57</v>
      </c>
      <c r="CI99" s="191">
        <v>8.36</v>
      </c>
      <c r="CJ99" s="191">
        <v>0</v>
      </c>
      <c r="CK99" s="191">
        <v>0</v>
      </c>
      <c r="CL99" s="191">
        <v>23.67</v>
      </c>
      <c r="CM99" s="191">
        <v>6.96</v>
      </c>
      <c r="CN99" s="191">
        <v>5.57</v>
      </c>
      <c r="CO99" s="191">
        <v>6.5</v>
      </c>
      <c r="CP99" s="191">
        <v>1.85</v>
      </c>
      <c r="CQ99" s="191">
        <v>3.72</v>
      </c>
      <c r="CR99" s="191">
        <v>0</v>
      </c>
      <c r="CS99" s="191">
        <v>2.97</v>
      </c>
      <c r="CT99" s="191">
        <v>5.38</v>
      </c>
      <c r="CU99" s="191">
        <v>4.17</v>
      </c>
      <c r="CV99" s="191">
        <v>1.02</v>
      </c>
      <c r="CW99" s="191">
        <v>-0.21</v>
      </c>
      <c r="CX99" s="191">
        <v>0</v>
      </c>
      <c r="CY99" s="191">
        <v>32.46</v>
      </c>
      <c r="CZ99" s="191">
        <v>1.39</v>
      </c>
      <c r="DA99" s="191">
        <v>0</v>
      </c>
      <c r="DB99" s="191">
        <v>0</v>
      </c>
      <c r="DC99" s="191">
        <v>9.29</v>
      </c>
      <c r="DD99" s="191">
        <v>4.64</v>
      </c>
      <c r="DE99" s="191">
        <v>1.11</v>
      </c>
      <c r="DF99" s="191">
        <v>0</v>
      </c>
      <c r="DG99" s="191">
        <v>14.86</v>
      </c>
      <c r="DH99" s="191">
        <v>25.99</v>
      </c>
      <c r="DI99" s="191">
        <v>0</v>
      </c>
      <c r="DJ99" s="191">
        <v>0</v>
      </c>
      <c r="DK99" s="191">
        <v>-5.02</v>
      </c>
      <c r="DL99" s="191">
        <v>-4.92</v>
      </c>
      <c r="DM99" s="191">
        <v>-2.36</v>
      </c>
      <c r="DN99" s="191">
        <v>0</v>
      </c>
      <c r="DO99" s="191">
        <v>0</v>
      </c>
      <c r="DP99" s="191">
        <v>7.43</v>
      </c>
      <c r="DQ99" s="191">
        <v>6.96</v>
      </c>
      <c r="DR99" s="191">
        <v>9.29</v>
      </c>
      <c r="DS99" s="191">
        <v>2.79</v>
      </c>
      <c r="DT99" s="191">
        <v>0</v>
      </c>
      <c r="DU99" s="191">
        <v>18.57</v>
      </c>
      <c r="DV99" s="191">
        <v>18.57</v>
      </c>
      <c r="DW99" s="191">
        <v>7.43</v>
      </c>
      <c r="DX99" s="191">
        <v>5.57</v>
      </c>
      <c r="DY99" s="191">
        <v>1.95</v>
      </c>
      <c r="DZ99" s="191">
        <v>13.93</v>
      </c>
      <c r="EA99" s="191">
        <v>-0.1</v>
      </c>
      <c r="EB99" s="191">
        <v>-2.56</v>
      </c>
      <c r="EC99" s="191">
        <v>0</v>
      </c>
      <c r="ED99" s="191">
        <v>13.93</v>
      </c>
      <c r="EE99" s="191">
        <v>0</v>
      </c>
      <c r="EF99" s="191">
        <v>13</v>
      </c>
      <c r="EG99" s="191">
        <v>4.09</v>
      </c>
      <c r="EH99" s="191">
        <v>2.32</v>
      </c>
      <c r="EI99" s="192">
        <v>0</v>
      </c>
      <c r="EJ99" s="180"/>
      <c r="EK99" s="191" t="s">
        <v>504</v>
      </c>
      <c r="EL99" s="191">
        <v>-8.03</v>
      </c>
      <c r="EM99" s="191">
        <v>0</v>
      </c>
      <c r="EN99" s="191">
        <v>7.93</v>
      </c>
      <c r="EO99" s="191">
        <v>2.52</v>
      </c>
      <c r="EP99" s="191">
        <v>0.9</v>
      </c>
      <c r="EQ99" s="191">
        <v>0</v>
      </c>
      <c r="ER99" s="191">
        <v>0</v>
      </c>
      <c r="ES99" s="191">
        <v>6.77</v>
      </c>
      <c r="ET99" s="191">
        <v>5.42</v>
      </c>
      <c r="EU99" s="191">
        <v>1.8</v>
      </c>
      <c r="EV99" s="191">
        <v>3.62</v>
      </c>
      <c r="EW99" s="191">
        <v>0</v>
      </c>
      <c r="EX99" s="191">
        <v>2.89</v>
      </c>
      <c r="EY99" s="191">
        <v>0.99</v>
      </c>
      <c r="EZ99" s="191">
        <v>1.35</v>
      </c>
      <c r="FA99" s="191">
        <v>4.51</v>
      </c>
      <c r="FB99" s="191">
        <v>1.08</v>
      </c>
      <c r="FC99" s="191">
        <v>0</v>
      </c>
      <c r="FD99" s="191">
        <v>0</v>
      </c>
      <c r="FE99" s="191">
        <v>-5.17</v>
      </c>
      <c r="FF99" s="191">
        <v>-5.07</v>
      </c>
      <c r="FG99" s="191">
        <v>-2.43</v>
      </c>
      <c r="FH99" s="191">
        <v>0</v>
      </c>
      <c r="FI99" s="191">
        <v>0</v>
      </c>
      <c r="FJ99" s="191">
        <v>1.89</v>
      </c>
      <c r="FK99" s="191">
        <v>-0.1</v>
      </c>
      <c r="FL99" s="192">
        <v>2.25</v>
      </c>
    </row>
    <row r="100" s="180" customFormat="1" spans="1:168">
      <c r="A100" s="190" t="s">
        <v>505</v>
      </c>
      <c r="B100" s="191">
        <v>-22.4</v>
      </c>
      <c r="C100" s="192">
        <v>138.41</v>
      </c>
      <c r="E100" s="191" t="s">
        <v>505</v>
      </c>
      <c r="F100" s="191">
        <v>-7.6</v>
      </c>
      <c r="G100" s="191">
        <v>0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2.57</v>
      </c>
      <c r="O100" s="191">
        <v>0</v>
      </c>
      <c r="P100" s="191">
        <v>0</v>
      </c>
      <c r="Q100" s="191">
        <v>0</v>
      </c>
      <c r="R100" s="191">
        <v>0</v>
      </c>
      <c r="S100" s="191">
        <v>0</v>
      </c>
      <c r="T100" s="191">
        <v>0</v>
      </c>
      <c r="U100" s="191">
        <v>0</v>
      </c>
      <c r="V100" s="191">
        <v>24.27</v>
      </c>
      <c r="W100" s="191">
        <v>0</v>
      </c>
      <c r="X100" s="191">
        <v>5.71</v>
      </c>
      <c r="Y100" s="191">
        <v>0</v>
      </c>
      <c r="Z100" s="191">
        <v>0</v>
      </c>
      <c r="AA100" s="191">
        <v>0</v>
      </c>
      <c r="AB100" s="191">
        <v>0</v>
      </c>
      <c r="AC100" s="191">
        <v>0</v>
      </c>
      <c r="AD100" s="191">
        <v>0</v>
      </c>
      <c r="AE100" s="191">
        <v>4.28</v>
      </c>
      <c r="AF100" s="191">
        <v>1.05</v>
      </c>
      <c r="AG100" s="191">
        <v>-0.2</v>
      </c>
      <c r="AH100" s="191">
        <v>0</v>
      </c>
      <c r="AI100" s="191">
        <v>33.32</v>
      </c>
      <c r="AJ100" s="191">
        <v>0</v>
      </c>
      <c r="AK100" s="191">
        <v>0</v>
      </c>
      <c r="AL100" s="191">
        <v>0</v>
      </c>
      <c r="AM100" s="191">
        <v>0</v>
      </c>
      <c r="AN100" s="191">
        <v>4.76</v>
      </c>
      <c r="AO100" s="191">
        <v>1.14</v>
      </c>
      <c r="AP100" s="191">
        <v>7.04</v>
      </c>
      <c r="AQ100" s="191">
        <v>0</v>
      </c>
      <c r="AR100" s="191">
        <v>0</v>
      </c>
      <c r="AS100" s="191">
        <v>0</v>
      </c>
      <c r="AT100" s="191">
        <v>0</v>
      </c>
      <c r="AU100" s="191">
        <v>-4.9</v>
      </c>
      <c r="AV100" s="191">
        <v>-4.8</v>
      </c>
      <c r="AW100" s="191">
        <v>-2.3</v>
      </c>
      <c r="AX100" s="191">
        <v>0</v>
      </c>
      <c r="AY100" s="191">
        <v>0</v>
      </c>
      <c r="AZ100" s="191">
        <v>7.62</v>
      </c>
      <c r="BA100" s="191">
        <v>0</v>
      </c>
      <c r="BB100" s="191">
        <v>0</v>
      </c>
      <c r="BC100" s="191">
        <v>2.86</v>
      </c>
      <c r="BD100" s="191">
        <v>7.14</v>
      </c>
      <c r="BE100" s="191">
        <v>0</v>
      </c>
      <c r="BF100" s="191">
        <v>0</v>
      </c>
      <c r="BG100" s="191">
        <v>0</v>
      </c>
      <c r="BH100" s="191">
        <v>5.71</v>
      </c>
      <c r="BI100" s="191">
        <v>0</v>
      </c>
      <c r="BJ100" s="191">
        <v>14.28</v>
      </c>
      <c r="BK100" s="191">
        <v>-0.1</v>
      </c>
      <c r="BL100" s="191">
        <v>-2.5</v>
      </c>
      <c r="BM100" s="191">
        <v>0</v>
      </c>
      <c r="BN100" s="191">
        <v>14.28</v>
      </c>
      <c r="BO100" s="191">
        <v>0</v>
      </c>
      <c r="BP100" s="191">
        <v>0</v>
      </c>
      <c r="BQ100" s="191">
        <v>0</v>
      </c>
      <c r="BR100" s="191">
        <v>2.38</v>
      </c>
      <c r="BS100" s="192">
        <v>0</v>
      </c>
      <c r="BT100" s="180"/>
      <c r="BU100" s="191" t="s">
        <v>505</v>
      </c>
      <c r="BV100" s="191">
        <v>-7.79</v>
      </c>
      <c r="BW100" s="191">
        <v>0</v>
      </c>
      <c r="BX100" s="191">
        <v>0</v>
      </c>
      <c r="BY100" s="191">
        <v>0</v>
      </c>
      <c r="BZ100" s="191">
        <v>0</v>
      </c>
      <c r="CA100" s="191">
        <v>0</v>
      </c>
      <c r="CB100" s="191">
        <v>0</v>
      </c>
      <c r="CC100" s="191">
        <v>0</v>
      </c>
      <c r="CD100" s="191">
        <v>2.51</v>
      </c>
      <c r="CE100" s="191">
        <v>0</v>
      </c>
      <c r="CF100" s="191">
        <v>0</v>
      </c>
      <c r="CG100" s="191">
        <v>0</v>
      </c>
      <c r="CH100" s="191">
        <v>0</v>
      </c>
      <c r="CI100" s="191">
        <v>0</v>
      </c>
      <c r="CJ100" s="191">
        <v>0</v>
      </c>
      <c r="CK100" s="191">
        <v>0</v>
      </c>
      <c r="CL100" s="191">
        <v>23.67</v>
      </c>
      <c r="CM100" s="191">
        <v>0</v>
      </c>
      <c r="CN100" s="191">
        <v>5.57</v>
      </c>
      <c r="CO100" s="191">
        <v>0</v>
      </c>
      <c r="CP100" s="191">
        <v>0</v>
      </c>
      <c r="CQ100" s="191">
        <v>0</v>
      </c>
      <c r="CR100" s="191">
        <v>0</v>
      </c>
      <c r="CS100" s="191">
        <v>0</v>
      </c>
      <c r="CT100" s="191">
        <v>0</v>
      </c>
      <c r="CU100" s="191">
        <v>4.17</v>
      </c>
      <c r="CV100" s="191">
        <v>1.02</v>
      </c>
      <c r="CW100" s="191">
        <v>-0.21</v>
      </c>
      <c r="CX100" s="191">
        <v>0</v>
      </c>
      <c r="CY100" s="191">
        <v>32.5</v>
      </c>
      <c r="CZ100" s="191">
        <v>0</v>
      </c>
      <c r="DA100" s="191">
        <v>0</v>
      </c>
      <c r="DB100" s="191">
        <v>0</v>
      </c>
      <c r="DC100" s="191">
        <v>0</v>
      </c>
      <c r="DD100" s="191">
        <v>4.64</v>
      </c>
      <c r="DE100" s="191">
        <v>1.11</v>
      </c>
      <c r="DF100" s="191">
        <v>6.87</v>
      </c>
      <c r="DG100" s="191">
        <v>0</v>
      </c>
      <c r="DH100" s="191">
        <v>0</v>
      </c>
      <c r="DI100" s="191">
        <v>0</v>
      </c>
      <c r="DJ100" s="191">
        <v>0</v>
      </c>
      <c r="DK100" s="191">
        <v>-5.02</v>
      </c>
      <c r="DL100" s="191">
        <v>-4.92</v>
      </c>
      <c r="DM100" s="191">
        <v>-2.36</v>
      </c>
      <c r="DN100" s="191">
        <v>0</v>
      </c>
      <c r="DO100" s="191">
        <v>0</v>
      </c>
      <c r="DP100" s="191">
        <v>7.43</v>
      </c>
      <c r="DQ100" s="191">
        <v>0</v>
      </c>
      <c r="DR100" s="191">
        <v>0</v>
      </c>
      <c r="DS100" s="191">
        <v>2.79</v>
      </c>
      <c r="DT100" s="191">
        <v>6.96</v>
      </c>
      <c r="DU100" s="191">
        <v>0</v>
      </c>
      <c r="DV100" s="191">
        <v>0</v>
      </c>
      <c r="DW100" s="191">
        <v>0</v>
      </c>
      <c r="DX100" s="191">
        <v>5.57</v>
      </c>
      <c r="DY100" s="191">
        <v>0</v>
      </c>
      <c r="DZ100" s="191">
        <v>13.93</v>
      </c>
      <c r="EA100" s="191">
        <v>-0.1</v>
      </c>
      <c r="EB100" s="191">
        <v>-2.56</v>
      </c>
      <c r="EC100" s="191">
        <v>0</v>
      </c>
      <c r="ED100" s="191">
        <v>13.93</v>
      </c>
      <c r="EE100" s="191">
        <v>0</v>
      </c>
      <c r="EF100" s="191">
        <v>0</v>
      </c>
      <c r="EG100" s="191">
        <v>0</v>
      </c>
      <c r="EH100" s="191">
        <v>2.32</v>
      </c>
      <c r="EI100" s="192">
        <v>0</v>
      </c>
      <c r="EJ100" s="180"/>
      <c r="EK100" s="191" t="s">
        <v>505</v>
      </c>
      <c r="EL100" s="191">
        <v>-8.03</v>
      </c>
      <c r="EM100" s="191">
        <v>0</v>
      </c>
      <c r="EN100" s="191">
        <v>0</v>
      </c>
      <c r="EO100" s="191">
        <v>0</v>
      </c>
      <c r="EP100" s="191">
        <v>0</v>
      </c>
      <c r="EQ100" s="191">
        <v>0</v>
      </c>
      <c r="ER100" s="191">
        <v>0</v>
      </c>
      <c r="ES100" s="191">
        <v>0</v>
      </c>
      <c r="ET100" s="191">
        <v>5.42</v>
      </c>
      <c r="EU100" s="191">
        <v>0</v>
      </c>
      <c r="EV100" s="191">
        <v>0</v>
      </c>
      <c r="EW100" s="191">
        <v>0</v>
      </c>
      <c r="EX100" s="191">
        <v>0</v>
      </c>
      <c r="EY100" s="191">
        <v>0.99</v>
      </c>
      <c r="EZ100" s="191">
        <v>0</v>
      </c>
      <c r="FA100" s="191">
        <v>4.51</v>
      </c>
      <c r="FB100" s="191">
        <v>1.08</v>
      </c>
      <c r="FC100" s="191">
        <v>6.67</v>
      </c>
      <c r="FD100" s="191">
        <v>0</v>
      </c>
      <c r="FE100" s="191">
        <v>-5.17</v>
      </c>
      <c r="FF100" s="191">
        <v>-5.07</v>
      </c>
      <c r="FG100" s="191">
        <v>-2.43</v>
      </c>
      <c r="FH100" s="191">
        <v>0</v>
      </c>
      <c r="FI100" s="191">
        <v>0</v>
      </c>
      <c r="FJ100" s="191">
        <v>0</v>
      </c>
      <c r="FK100" s="191">
        <v>-0.1</v>
      </c>
      <c r="FL100" s="192">
        <v>2.25</v>
      </c>
    </row>
    <row r="101" s="180" customFormat="1" spans="1:168">
      <c r="A101" s="190" t="s">
        <v>506</v>
      </c>
      <c r="B101" s="191">
        <v>-22.4</v>
      </c>
      <c r="C101" s="192">
        <v>190.48</v>
      </c>
      <c r="E101" s="191" t="s">
        <v>506</v>
      </c>
      <c r="F101" s="191">
        <v>-7.6</v>
      </c>
      <c r="G101" s="191">
        <v>0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2.57</v>
      </c>
      <c r="O101" s="191">
        <v>0</v>
      </c>
      <c r="P101" s="191">
        <v>0</v>
      </c>
      <c r="Q101" s="191">
        <v>0</v>
      </c>
      <c r="R101" s="191">
        <v>0</v>
      </c>
      <c r="S101" s="191">
        <v>0</v>
      </c>
      <c r="T101" s="191">
        <v>0</v>
      </c>
      <c r="U101" s="191">
        <v>0</v>
      </c>
      <c r="V101" s="191">
        <v>24.27</v>
      </c>
      <c r="W101" s="191">
        <v>0</v>
      </c>
      <c r="X101" s="191">
        <v>5.71</v>
      </c>
      <c r="Y101" s="191">
        <v>0</v>
      </c>
      <c r="Z101" s="191">
        <v>0</v>
      </c>
      <c r="AA101" s="191">
        <v>0</v>
      </c>
      <c r="AB101" s="191">
        <v>0</v>
      </c>
      <c r="AC101" s="191">
        <v>3.05</v>
      </c>
      <c r="AD101" s="191">
        <v>0</v>
      </c>
      <c r="AE101" s="191">
        <v>4.28</v>
      </c>
      <c r="AF101" s="191">
        <v>1.05</v>
      </c>
      <c r="AG101" s="191">
        <v>-0.2</v>
      </c>
      <c r="AH101" s="191">
        <v>0</v>
      </c>
      <c r="AI101" s="191">
        <v>33.32</v>
      </c>
      <c r="AJ101" s="191">
        <v>0</v>
      </c>
      <c r="AK101" s="191">
        <v>0</v>
      </c>
      <c r="AL101" s="191">
        <v>0</v>
      </c>
      <c r="AM101" s="191">
        <v>0</v>
      </c>
      <c r="AN101" s="191">
        <v>4.76</v>
      </c>
      <c r="AO101" s="191">
        <v>1.14</v>
      </c>
      <c r="AP101" s="191">
        <v>7.04</v>
      </c>
      <c r="AQ101" s="191">
        <v>15.23</v>
      </c>
      <c r="AR101" s="191">
        <v>26.65</v>
      </c>
      <c r="AS101" s="191">
        <v>0</v>
      </c>
      <c r="AT101" s="191">
        <v>0</v>
      </c>
      <c r="AU101" s="191">
        <v>-4.9</v>
      </c>
      <c r="AV101" s="191">
        <v>-4.8</v>
      </c>
      <c r="AW101" s="191">
        <v>-2.3</v>
      </c>
      <c r="AX101" s="191">
        <v>0</v>
      </c>
      <c r="AY101" s="191">
        <v>0</v>
      </c>
      <c r="AZ101" s="191">
        <v>7.62</v>
      </c>
      <c r="BA101" s="191">
        <v>7.14</v>
      </c>
      <c r="BB101" s="191">
        <v>0</v>
      </c>
      <c r="BC101" s="191">
        <v>2.86</v>
      </c>
      <c r="BD101" s="191">
        <v>7.14</v>
      </c>
      <c r="BE101" s="191">
        <v>0</v>
      </c>
      <c r="BF101" s="191">
        <v>0</v>
      </c>
      <c r="BG101" s="191">
        <v>0</v>
      </c>
      <c r="BH101" s="191">
        <v>5.71</v>
      </c>
      <c r="BI101" s="191">
        <v>0</v>
      </c>
      <c r="BJ101" s="191">
        <v>14.28</v>
      </c>
      <c r="BK101" s="191">
        <v>-0.1</v>
      </c>
      <c r="BL101" s="191">
        <v>-2.5</v>
      </c>
      <c r="BM101" s="191">
        <v>0</v>
      </c>
      <c r="BN101" s="191">
        <v>14.28</v>
      </c>
      <c r="BO101" s="191">
        <v>0</v>
      </c>
      <c r="BP101" s="191">
        <v>0</v>
      </c>
      <c r="BQ101" s="191">
        <v>0</v>
      </c>
      <c r="BR101" s="191">
        <v>2.38</v>
      </c>
      <c r="BS101" s="192">
        <v>0</v>
      </c>
      <c r="BT101" s="180"/>
      <c r="BU101" s="191" t="s">
        <v>506</v>
      </c>
      <c r="BV101" s="191">
        <v>-7.79</v>
      </c>
      <c r="BW101" s="191">
        <v>0</v>
      </c>
      <c r="BX101" s="191">
        <v>0</v>
      </c>
      <c r="BY101" s="191">
        <v>0</v>
      </c>
      <c r="BZ101" s="191">
        <v>0</v>
      </c>
      <c r="CA101" s="191">
        <v>0</v>
      </c>
      <c r="CB101" s="191">
        <v>0</v>
      </c>
      <c r="CC101" s="191">
        <v>0</v>
      </c>
      <c r="CD101" s="191">
        <v>2.51</v>
      </c>
      <c r="CE101" s="191">
        <v>0</v>
      </c>
      <c r="CF101" s="191">
        <v>0</v>
      </c>
      <c r="CG101" s="191">
        <v>0</v>
      </c>
      <c r="CH101" s="191">
        <v>0</v>
      </c>
      <c r="CI101" s="191">
        <v>0</v>
      </c>
      <c r="CJ101" s="191">
        <v>0</v>
      </c>
      <c r="CK101" s="191">
        <v>0</v>
      </c>
      <c r="CL101" s="191">
        <v>23.67</v>
      </c>
      <c r="CM101" s="191">
        <v>0</v>
      </c>
      <c r="CN101" s="191">
        <v>5.57</v>
      </c>
      <c r="CO101" s="191">
        <v>0</v>
      </c>
      <c r="CP101" s="191">
        <v>0</v>
      </c>
      <c r="CQ101" s="191">
        <v>0</v>
      </c>
      <c r="CR101" s="191">
        <v>0</v>
      </c>
      <c r="CS101" s="191">
        <v>2.97</v>
      </c>
      <c r="CT101" s="191">
        <v>0</v>
      </c>
      <c r="CU101" s="191">
        <v>4.17</v>
      </c>
      <c r="CV101" s="191">
        <v>1.02</v>
      </c>
      <c r="CW101" s="191">
        <v>-0.21</v>
      </c>
      <c r="CX101" s="191">
        <v>0</v>
      </c>
      <c r="CY101" s="191">
        <v>32.5</v>
      </c>
      <c r="CZ101" s="191">
        <v>0</v>
      </c>
      <c r="DA101" s="191">
        <v>0</v>
      </c>
      <c r="DB101" s="191">
        <v>0</v>
      </c>
      <c r="DC101" s="191">
        <v>0</v>
      </c>
      <c r="DD101" s="191">
        <v>4.64</v>
      </c>
      <c r="DE101" s="191">
        <v>1.11</v>
      </c>
      <c r="DF101" s="191">
        <v>6.87</v>
      </c>
      <c r="DG101" s="191">
        <v>14.86</v>
      </c>
      <c r="DH101" s="191">
        <v>25.99</v>
      </c>
      <c r="DI101" s="191">
        <v>0</v>
      </c>
      <c r="DJ101" s="191">
        <v>0</v>
      </c>
      <c r="DK101" s="191">
        <v>-5.02</v>
      </c>
      <c r="DL101" s="191">
        <v>-4.92</v>
      </c>
      <c r="DM101" s="191">
        <v>-2.36</v>
      </c>
      <c r="DN101" s="191">
        <v>0</v>
      </c>
      <c r="DO101" s="191">
        <v>0</v>
      </c>
      <c r="DP101" s="191">
        <v>7.43</v>
      </c>
      <c r="DQ101" s="191">
        <v>6.96</v>
      </c>
      <c r="DR101" s="191">
        <v>0</v>
      </c>
      <c r="DS101" s="191">
        <v>2.79</v>
      </c>
      <c r="DT101" s="191">
        <v>6.96</v>
      </c>
      <c r="DU101" s="191">
        <v>0</v>
      </c>
      <c r="DV101" s="191">
        <v>0</v>
      </c>
      <c r="DW101" s="191">
        <v>0</v>
      </c>
      <c r="DX101" s="191">
        <v>5.57</v>
      </c>
      <c r="DY101" s="191">
        <v>0</v>
      </c>
      <c r="DZ101" s="191">
        <v>13.93</v>
      </c>
      <c r="EA101" s="191">
        <v>-0.1</v>
      </c>
      <c r="EB101" s="191">
        <v>-2.56</v>
      </c>
      <c r="EC101" s="191">
        <v>0</v>
      </c>
      <c r="ED101" s="191">
        <v>13.93</v>
      </c>
      <c r="EE101" s="191">
        <v>0</v>
      </c>
      <c r="EF101" s="191">
        <v>0</v>
      </c>
      <c r="EG101" s="191">
        <v>0</v>
      </c>
      <c r="EH101" s="191">
        <v>2.32</v>
      </c>
      <c r="EI101" s="192">
        <v>0</v>
      </c>
      <c r="EJ101" s="180"/>
      <c r="EK101" s="191" t="s">
        <v>506</v>
      </c>
      <c r="EL101" s="191">
        <v>-8.03</v>
      </c>
      <c r="EM101" s="191">
        <v>0</v>
      </c>
      <c r="EN101" s="191">
        <v>0</v>
      </c>
      <c r="EO101" s="191">
        <v>0</v>
      </c>
      <c r="EP101" s="191">
        <v>0</v>
      </c>
      <c r="EQ101" s="191">
        <v>0</v>
      </c>
      <c r="ER101" s="191">
        <v>0</v>
      </c>
      <c r="ES101" s="191">
        <v>0</v>
      </c>
      <c r="ET101" s="191">
        <v>5.42</v>
      </c>
      <c r="EU101" s="191">
        <v>0</v>
      </c>
      <c r="EV101" s="191">
        <v>0</v>
      </c>
      <c r="EW101" s="191">
        <v>0</v>
      </c>
      <c r="EX101" s="191">
        <v>2.89</v>
      </c>
      <c r="EY101" s="191">
        <v>0.99</v>
      </c>
      <c r="EZ101" s="191">
        <v>0</v>
      </c>
      <c r="FA101" s="191">
        <v>4.51</v>
      </c>
      <c r="FB101" s="191">
        <v>1.08</v>
      </c>
      <c r="FC101" s="191">
        <v>6.67</v>
      </c>
      <c r="FD101" s="191">
        <v>0</v>
      </c>
      <c r="FE101" s="191">
        <v>-5.17</v>
      </c>
      <c r="FF101" s="191">
        <v>-5.07</v>
      </c>
      <c r="FG101" s="191">
        <v>-2.43</v>
      </c>
      <c r="FH101" s="191">
        <v>0</v>
      </c>
      <c r="FI101" s="191">
        <v>0</v>
      </c>
      <c r="FJ101" s="191">
        <v>0</v>
      </c>
      <c r="FK101" s="191">
        <v>-0.1</v>
      </c>
      <c r="FL101" s="192">
        <v>2.25</v>
      </c>
    </row>
    <row r="102" s="180" customFormat="1" spans="1:168">
      <c r="A102" s="190" t="s">
        <v>507</v>
      </c>
      <c r="B102" s="191">
        <v>-22.4</v>
      </c>
      <c r="C102" s="192">
        <v>256.63</v>
      </c>
      <c r="E102" s="191" t="s">
        <v>507</v>
      </c>
      <c r="F102" s="191">
        <v>-7.6</v>
      </c>
      <c r="G102" s="191">
        <v>0</v>
      </c>
      <c r="H102" s="191">
        <v>0</v>
      </c>
      <c r="I102" s="191">
        <v>0</v>
      </c>
      <c r="J102" s="191">
        <v>8.38</v>
      </c>
      <c r="K102" s="191">
        <v>5.05</v>
      </c>
      <c r="L102" s="191">
        <v>2.67</v>
      </c>
      <c r="M102" s="191">
        <v>0</v>
      </c>
      <c r="N102" s="191">
        <v>2.57</v>
      </c>
      <c r="O102" s="191">
        <v>0</v>
      </c>
      <c r="P102" s="191">
        <v>0</v>
      </c>
      <c r="Q102" s="191">
        <v>0</v>
      </c>
      <c r="R102" s="191">
        <v>0</v>
      </c>
      <c r="S102" s="191">
        <v>7.62</v>
      </c>
      <c r="T102" s="191">
        <v>0</v>
      </c>
      <c r="U102" s="191">
        <v>0</v>
      </c>
      <c r="V102" s="191">
        <v>24.27</v>
      </c>
      <c r="W102" s="191">
        <v>7.14</v>
      </c>
      <c r="X102" s="191">
        <v>5.71</v>
      </c>
      <c r="Y102" s="191">
        <v>0</v>
      </c>
      <c r="Z102" s="191">
        <v>1.9</v>
      </c>
      <c r="AA102" s="191">
        <v>0</v>
      </c>
      <c r="AB102" s="191">
        <v>0</v>
      </c>
      <c r="AC102" s="191">
        <v>3.05</v>
      </c>
      <c r="AD102" s="191">
        <v>0</v>
      </c>
      <c r="AE102" s="191">
        <v>4.28</v>
      </c>
      <c r="AF102" s="191">
        <v>1.05</v>
      </c>
      <c r="AG102" s="191">
        <v>-0.2</v>
      </c>
      <c r="AH102" s="191">
        <v>0</v>
      </c>
      <c r="AI102" s="191">
        <v>33.29</v>
      </c>
      <c r="AJ102" s="191">
        <v>0</v>
      </c>
      <c r="AK102" s="191">
        <v>0.38</v>
      </c>
      <c r="AL102" s="191">
        <v>0</v>
      </c>
      <c r="AM102" s="191">
        <v>9.52</v>
      </c>
      <c r="AN102" s="191">
        <v>4.76</v>
      </c>
      <c r="AO102" s="191">
        <v>1.14</v>
      </c>
      <c r="AP102" s="191">
        <v>0</v>
      </c>
      <c r="AQ102" s="191">
        <v>15.23</v>
      </c>
      <c r="AR102" s="191">
        <v>26.65</v>
      </c>
      <c r="AS102" s="191">
        <v>0</v>
      </c>
      <c r="AT102" s="191">
        <v>0</v>
      </c>
      <c r="AU102" s="191">
        <v>-4.9</v>
      </c>
      <c r="AV102" s="191">
        <v>-4.8</v>
      </c>
      <c r="AW102" s="191">
        <v>-2.3</v>
      </c>
      <c r="AX102" s="191">
        <v>0</v>
      </c>
      <c r="AY102" s="191">
        <v>0</v>
      </c>
      <c r="AZ102" s="191">
        <v>7.62</v>
      </c>
      <c r="BA102" s="191">
        <v>7.14</v>
      </c>
      <c r="BB102" s="191">
        <v>9.52</v>
      </c>
      <c r="BC102" s="191">
        <v>2.86</v>
      </c>
      <c r="BD102" s="191">
        <v>7.14</v>
      </c>
      <c r="BE102" s="191">
        <v>0</v>
      </c>
      <c r="BF102" s="191">
        <v>19.04</v>
      </c>
      <c r="BG102" s="191">
        <v>0</v>
      </c>
      <c r="BH102" s="191">
        <v>5.71</v>
      </c>
      <c r="BI102" s="191">
        <v>2</v>
      </c>
      <c r="BJ102" s="191">
        <v>14.28</v>
      </c>
      <c r="BK102" s="191">
        <v>-0.1</v>
      </c>
      <c r="BL102" s="191">
        <v>-2.5</v>
      </c>
      <c r="BM102" s="191">
        <v>0</v>
      </c>
      <c r="BN102" s="191">
        <v>14.28</v>
      </c>
      <c r="BO102" s="191">
        <v>0</v>
      </c>
      <c r="BP102" s="191">
        <v>0</v>
      </c>
      <c r="BQ102" s="191">
        <v>0</v>
      </c>
      <c r="BR102" s="191">
        <v>2.38</v>
      </c>
      <c r="BS102" s="192">
        <v>0</v>
      </c>
      <c r="BT102" s="180"/>
      <c r="BU102" s="191" t="s">
        <v>507</v>
      </c>
      <c r="BV102" s="191">
        <v>-7.79</v>
      </c>
      <c r="BW102" s="191">
        <v>0</v>
      </c>
      <c r="BX102" s="191">
        <v>0</v>
      </c>
      <c r="BY102" s="191">
        <v>0</v>
      </c>
      <c r="BZ102" s="191">
        <v>8.17</v>
      </c>
      <c r="CA102" s="191">
        <v>4.93</v>
      </c>
      <c r="CB102" s="191">
        <v>2.6</v>
      </c>
      <c r="CC102" s="191">
        <v>0</v>
      </c>
      <c r="CD102" s="191">
        <v>2.51</v>
      </c>
      <c r="CE102" s="191">
        <v>0</v>
      </c>
      <c r="CF102" s="191">
        <v>0</v>
      </c>
      <c r="CG102" s="191">
        <v>0</v>
      </c>
      <c r="CH102" s="191">
        <v>0</v>
      </c>
      <c r="CI102" s="191">
        <v>7.43</v>
      </c>
      <c r="CJ102" s="191">
        <v>0</v>
      </c>
      <c r="CK102" s="191">
        <v>0</v>
      </c>
      <c r="CL102" s="191">
        <v>23.67</v>
      </c>
      <c r="CM102" s="191">
        <v>6.96</v>
      </c>
      <c r="CN102" s="191">
        <v>5.57</v>
      </c>
      <c r="CO102" s="191">
        <v>0</v>
      </c>
      <c r="CP102" s="191">
        <v>1.85</v>
      </c>
      <c r="CQ102" s="191">
        <v>0</v>
      </c>
      <c r="CR102" s="191">
        <v>0</v>
      </c>
      <c r="CS102" s="191">
        <v>2.97</v>
      </c>
      <c r="CT102" s="191">
        <v>0</v>
      </c>
      <c r="CU102" s="191">
        <v>4.17</v>
      </c>
      <c r="CV102" s="191">
        <v>1.02</v>
      </c>
      <c r="CW102" s="191">
        <v>-0.21</v>
      </c>
      <c r="CX102" s="191">
        <v>0</v>
      </c>
      <c r="CY102" s="191">
        <v>32.47</v>
      </c>
      <c r="CZ102" s="191">
        <v>0</v>
      </c>
      <c r="DA102" s="191">
        <v>0.37</v>
      </c>
      <c r="DB102" s="191">
        <v>0</v>
      </c>
      <c r="DC102" s="191">
        <v>9.29</v>
      </c>
      <c r="DD102" s="191">
        <v>4.64</v>
      </c>
      <c r="DE102" s="191">
        <v>1.11</v>
      </c>
      <c r="DF102" s="191">
        <v>0</v>
      </c>
      <c r="DG102" s="191">
        <v>14.86</v>
      </c>
      <c r="DH102" s="191">
        <v>25.99</v>
      </c>
      <c r="DI102" s="191">
        <v>0</v>
      </c>
      <c r="DJ102" s="191">
        <v>0</v>
      </c>
      <c r="DK102" s="191">
        <v>-5.02</v>
      </c>
      <c r="DL102" s="191">
        <v>-4.92</v>
      </c>
      <c r="DM102" s="191">
        <v>-2.36</v>
      </c>
      <c r="DN102" s="191">
        <v>0</v>
      </c>
      <c r="DO102" s="191">
        <v>0</v>
      </c>
      <c r="DP102" s="191">
        <v>7.43</v>
      </c>
      <c r="DQ102" s="191">
        <v>6.96</v>
      </c>
      <c r="DR102" s="191">
        <v>9.29</v>
      </c>
      <c r="DS102" s="191">
        <v>2.79</v>
      </c>
      <c r="DT102" s="191">
        <v>6.96</v>
      </c>
      <c r="DU102" s="191">
        <v>0</v>
      </c>
      <c r="DV102" s="191">
        <v>18.57</v>
      </c>
      <c r="DW102" s="191">
        <v>0</v>
      </c>
      <c r="DX102" s="191">
        <v>5.57</v>
      </c>
      <c r="DY102" s="191">
        <v>1.95</v>
      </c>
      <c r="DZ102" s="191">
        <v>13.93</v>
      </c>
      <c r="EA102" s="191">
        <v>-0.1</v>
      </c>
      <c r="EB102" s="191">
        <v>-2.56</v>
      </c>
      <c r="EC102" s="191">
        <v>0</v>
      </c>
      <c r="ED102" s="191">
        <v>13.93</v>
      </c>
      <c r="EE102" s="191">
        <v>0</v>
      </c>
      <c r="EF102" s="191">
        <v>0</v>
      </c>
      <c r="EG102" s="191">
        <v>0</v>
      </c>
      <c r="EH102" s="191">
        <v>2.32</v>
      </c>
      <c r="EI102" s="192">
        <v>0</v>
      </c>
      <c r="EJ102" s="180"/>
      <c r="EK102" s="191" t="s">
        <v>507</v>
      </c>
      <c r="EL102" s="191">
        <v>-8.03</v>
      </c>
      <c r="EM102" s="191">
        <v>0</v>
      </c>
      <c r="EN102" s="191">
        <v>7.93</v>
      </c>
      <c r="EO102" s="191">
        <v>2.52</v>
      </c>
      <c r="EP102" s="191">
        <v>0</v>
      </c>
      <c r="EQ102" s="191">
        <v>0</v>
      </c>
      <c r="ER102" s="191">
        <v>0</v>
      </c>
      <c r="ES102" s="191">
        <v>6.77</v>
      </c>
      <c r="ET102" s="191">
        <v>5.42</v>
      </c>
      <c r="EU102" s="191">
        <v>1.8</v>
      </c>
      <c r="EV102" s="191">
        <v>0</v>
      </c>
      <c r="EW102" s="191">
        <v>0</v>
      </c>
      <c r="EX102" s="191">
        <v>2.89</v>
      </c>
      <c r="EY102" s="191">
        <v>0.99</v>
      </c>
      <c r="EZ102" s="191">
        <v>0</v>
      </c>
      <c r="FA102" s="191">
        <v>4.51</v>
      </c>
      <c r="FB102" s="191">
        <v>1.08</v>
      </c>
      <c r="FC102" s="191">
        <v>0</v>
      </c>
      <c r="FD102" s="191">
        <v>0</v>
      </c>
      <c r="FE102" s="191">
        <v>-5.17</v>
      </c>
      <c r="FF102" s="191">
        <v>-5.07</v>
      </c>
      <c r="FG102" s="191">
        <v>-2.43</v>
      </c>
      <c r="FH102" s="191">
        <v>0</v>
      </c>
      <c r="FI102" s="191">
        <v>0</v>
      </c>
      <c r="FJ102" s="191">
        <v>1.89</v>
      </c>
      <c r="FK102" s="191">
        <v>-0.1</v>
      </c>
      <c r="FL102" s="192">
        <v>2.25</v>
      </c>
    </row>
    <row r="103" s="180" customFormat="1" spans="1:168">
      <c r="A103" s="190" t="s">
        <v>508</v>
      </c>
      <c r="B103" s="191">
        <v>-22.4</v>
      </c>
      <c r="C103" s="192">
        <v>438.16</v>
      </c>
      <c r="E103" s="191" t="s">
        <v>508</v>
      </c>
      <c r="F103" s="191">
        <v>-7.6</v>
      </c>
      <c r="G103" s="191">
        <v>0</v>
      </c>
      <c r="H103" s="191">
        <v>4</v>
      </c>
      <c r="I103" s="191">
        <v>0</v>
      </c>
      <c r="J103" s="191">
        <v>8.38</v>
      </c>
      <c r="K103" s="191">
        <v>5.05</v>
      </c>
      <c r="L103" s="191">
        <v>2.67</v>
      </c>
      <c r="M103" s="191">
        <v>0.67</v>
      </c>
      <c r="N103" s="191">
        <v>2.38</v>
      </c>
      <c r="O103" s="191">
        <v>8.57</v>
      </c>
      <c r="P103" s="191">
        <v>2.67</v>
      </c>
      <c r="Q103" s="191">
        <v>2.67</v>
      </c>
      <c r="R103" s="191">
        <v>5.71</v>
      </c>
      <c r="S103" s="191">
        <v>7.62</v>
      </c>
      <c r="T103" s="191">
        <v>0</v>
      </c>
      <c r="U103" s="191">
        <v>19.7</v>
      </c>
      <c r="V103" s="191">
        <v>24.27</v>
      </c>
      <c r="W103" s="191">
        <v>7.14</v>
      </c>
      <c r="X103" s="191">
        <v>5.71</v>
      </c>
      <c r="Y103" s="191">
        <v>6.66</v>
      </c>
      <c r="Z103" s="191">
        <v>1.9</v>
      </c>
      <c r="AA103" s="191">
        <v>3.81</v>
      </c>
      <c r="AB103" s="191">
        <v>0</v>
      </c>
      <c r="AC103" s="191">
        <v>3.05</v>
      </c>
      <c r="AD103" s="191">
        <v>5.52</v>
      </c>
      <c r="AE103" s="191">
        <v>4.28</v>
      </c>
      <c r="AF103" s="191">
        <v>1.05</v>
      </c>
      <c r="AG103" s="191">
        <v>-0.2</v>
      </c>
      <c r="AH103" s="191">
        <v>0</v>
      </c>
      <c r="AI103" s="191">
        <v>33.32</v>
      </c>
      <c r="AJ103" s="191">
        <v>1.43</v>
      </c>
      <c r="AK103" s="191">
        <v>0.38</v>
      </c>
      <c r="AL103" s="191">
        <v>9.52</v>
      </c>
      <c r="AM103" s="191">
        <v>9.52</v>
      </c>
      <c r="AN103" s="191">
        <v>4.76</v>
      </c>
      <c r="AO103" s="191">
        <v>1.14</v>
      </c>
      <c r="AP103" s="191">
        <v>0</v>
      </c>
      <c r="AQ103" s="191">
        <v>15.23</v>
      </c>
      <c r="AR103" s="191">
        <v>26.65</v>
      </c>
      <c r="AS103" s="191">
        <v>4.28</v>
      </c>
      <c r="AT103" s="191">
        <v>9.52</v>
      </c>
      <c r="AU103" s="191">
        <v>-4.9</v>
      </c>
      <c r="AV103" s="191">
        <v>-4.8</v>
      </c>
      <c r="AW103" s="191">
        <v>-2.3</v>
      </c>
      <c r="AX103" s="191">
        <v>1.43</v>
      </c>
      <c r="AY103" s="191">
        <v>0</v>
      </c>
      <c r="AZ103" s="191">
        <v>7.62</v>
      </c>
      <c r="BA103" s="191">
        <v>7.14</v>
      </c>
      <c r="BB103" s="191">
        <v>9.52</v>
      </c>
      <c r="BC103" s="191">
        <v>2.86</v>
      </c>
      <c r="BD103" s="191">
        <v>7.14</v>
      </c>
      <c r="BE103" s="191">
        <v>19.04</v>
      </c>
      <c r="BF103" s="191">
        <v>19.04</v>
      </c>
      <c r="BG103" s="191">
        <v>7.62</v>
      </c>
      <c r="BH103" s="191">
        <v>5.71</v>
      </c>
      <c r="BI103" s="191">
        <v>2</v>
      </c>
      <c r="BJ103" s="191">
        <v>14.28</v>
      </c>
      <c r="BK103" s="191">
        <v>-0.1</v>
      </c>
      <c r="BL103" s="191">
        <v>-2.5</v>
      </c>
      <c r="BM103" s="191">
        <v>12.37</v>
      </c>
      <c r="BN103" s="191">
        <v>14.28</v>
      </c>
      <c r="BO103" s="191">
        <v>0</v>
      </c>
      <c r="BP103" s="191">
        <v>13.33</v>
      </c>
      <c r="BQ103" s="191">
        <v>4.19</v>
      </c>
      <c r="BR103" s="191">
        <v>2.38</v>
      </c>
      <c r="BS103" s="192">
        <v>38.98</v>
      </c>
      <c r="BT103" s="180"/>
      <c r="BU103" s="191" t="s">
        <v>508</v>
      </c>
      <c r="BV103" s="191">
        <v>-7.79</v>
      </c>
      <c r="BW103" s="191">
        <v>0</v>
      </c>
      <c r="BX103" s="191">
        <v>3.9</v>
      </c>
      <c r="BY103" s="191">
        <v>0</v>
      </c>
      <c r="BZ103" s="191">
        <v>8.17</v>
      </c>
      <c r="CA103" s="191">
        <v>4.93</v>
      </c>
      <c r="CB103" s="191">
        <v>2.6</v>
      </c>
      <c r="CC103" s="191">
        <v>0.65</v>
      </c>
      <c r="CD103" s="191">
        <v>2.32</v>
      </c>
      <c r="CE103" s="191">
        <v>8.36</v>
      </c>
      <c r="CF103" s="191">
        <v>2.6</v>
      </c>
      <c r="CG103" s="191">
        <v>2.6</v>
      </c>
      <c r="CH103" s="191">
        <v>5.57</v>
      </c>
      <c r="CI103" s="191">
        <v>7.43</v>
      </c>
      <c r="CJ103" s="191">
        <v>0</v>
      </c>
      <c r="CK103" s="191">
        <v>19.22</v>
      </c>
      <c r="CL103" s="191">
        <v>23.67</v>
      </c>
      <c r="CM103" s="191">
        <v>6.96</v>
      </c>
      <c r="CN103" s="191">
        <v>5.57</v>
      </c>
      <c r="CO103" s="191">
        <v>6.5</v>
      </c>
      <c r="CP103" s="191">
        <v>1.85</v>
      </c>
      <c r="CQ103" s="191">
        <v>3.72</v>
      </c>
      <c r="CR103" s="191">
        <v>0</v>
      </c>
      <c r="CS103" s="191">
        <v>2.97</v>
      </c>
      <c r="CT103" s="191">
        <v>5.38</v>
      </c>
      <c r="CU103" s="191">
        <v>4.17</v>
      </c>
      <c r="CV103" s="191">
        <v>1.02</v>
      </c>
      <c r="CW103" s="191">
        <v>-0.21</v>
      </c>
      <c r="CX103" s="191">
        <v>0</v>
      </c>
      <c r="CY103" s="191">
        <v>32.5</v>
      </c>
      <c r="CZ103" s="191">
        <v>1.39</v>
      </c>
      <c r="DA103" s="191">
        <v>0.37</v>
      </c>
      <c r="DB103" s="191">
        <v>9.29</v>
      </c>
      <c r="DC103" s="191">
        <v>9.29</v>
      </c>
      <c r="DD103" s="191">
        <v>4.64</v>
      </c>
      <c r="DE103" s="191">
        <v>1.11</v>
      </c>
      <c r="DF103" s="191">
        <v>0</v>
      </c>
      <c r="DG103" s="191">
        <v>14.86</v>
      </c>
      <c r="DH103" s="191">
        <v>25.99</v>
      </c>
      <c r="DI103" s="191">
        <v>4.17</v>
      </c>
      <c r="DJ103" s="191">
        <v>9.29</v>
      </c>
      <c r="DK103" s="191">
        <v>-5.02</v>
      </c>
      <c r="DL103" s="191">
        <v>-4.92</v>
      </c>
      <c r="DM103" s="191">
        <v>-2.36</v>
      </c>
      <c r="DN103" s="191">
        <v>1.39</v>
      </c>
      <c r="DO103" s="191">
        <v>0</v>
      </c>
      <c r="DP103" s="191">
        <v>7.43</v>
      </c>
      <c r="DQ103" s="191">
        <v>6.96</v>
      </c>
      <c r="DR103" s="191">
        <v>9.29</v>
      </c>
      <c r="DS103" s="191">
        <v>2.79</v>
      </c>
      <c r="DT103" s="191">
        <v>6.96</v>
      </c>
      <c r="DU103" s="191">
        <v>18.57</v>
      </c>
      <c r="DV103" s="191">
        <v>18.57</v>
      </c>
      <c r="DW103" s="191">
        <v>7.43</v>
      </c>
      <c r="DX103" s="191">
        <v>5.57</v>
      </c>
      <c r="DY103" s="191">
        <v>1.95</v>
      </c>
      <c r="DZ103" s="191">
        <v>13.93</v>
      </c>
      <c r="EA103" s="191">
        <v>-0.1</v>
      </c>
      <c r="EB103" s="191">
        <v>-2.56</v>
      </c>
      <c r="EC103" s="191">
        <v>12.07</v>
      </c>
      <c r="ED103" s="191">
        <v>13.93</v>
      </c>
      <c r="EE103" s="191">
        <v>0</v>
      </c>
      <c r="EF103" s="191">
        <v>13</v>
      </c>
      <c r="EG103" s="191">
        <v>4.09</v>
      </c>
      <c r="EH103" s="191">
        <v>2.32</v>
      </c>
      <c r="EI103" s="192">
        <v>38.02</v>
      </c>
      <c r="EJ103" s="180"/>
      <c r="EK103" s="191" t="s">
        <v>508</v>
      </c>
      <c r="EL103" s="191">
        <v>-8.03</v>
      </c>
      <c r="EM103" s="191">
        <v>3.78</v>
      </c>
      <c r="EN103" s="191">
        <v>7.93</v>
      </c>
      <c r="EO103" s="191">
        <v>2.52</v>
      </c>
      <c r="EP103" s="191">
        <v>0.63</v>
      </c>
      <c r="EQ103" s="191">
        <v>2.53</v>
      </c>
      <c r="ER103" s="191">
        <v>2.53</v>
      </c>
      <c r="ES103" s="191">
        <v>6.77</v>
      </c>
      <c r="ET103" s="191">
        <v>5.42</v>
      </c>
      <c r="EU103" s="191">
        <v>1.8</v>
      </c>
      <c r="EV103" s="191">
        <v>3.62</v>
      </c>
      <c r="EW103" s="191">
        <v>0</v>
      </c>
      <c r="EX103" s="191">
        <v>2.89</v>
      </c>
      <c r="EY103" s="191">
        <v>0.99</v>
      </c>
      <c r="EZ103" s="191">
        <v>1.35</v>
      </c>
      <c r="FA103" s="191">
        <v>4.51</v>
      </c>
      <c r="FB103" s="191">
        <v>1.08</v>
      </c>
      <c r="FC103" s="191">
        <v>0</v>
      </c>
      <c r="FD103" s="191">
        <v>4.05</v>
      </c>
      <c r="FE103" s="191">
        <v>-5.17</v>
      </c>
      <c r="FF103" s="191">
        <v>-5.07</v>
      </c>
      <c r="FG103" s="191">
        <v>-2.43</v>
      </c>
      <c r="FH103" s="191">
        <v>1.35</v>
      </c>
      <c r="FI103" s="191">
        <v>0</v>
      </c>
      <c r="FJ103" s="191">
        <v>1.89</v>
      </c>
      <c r="FK103" s="191">
        <v>-0.1</v>
      </c>
      <c r="FL103" s="192">
        <v>2.25</v>
      </c>
    </row>
    <row r="104" s="180" customFormat="1" spans="1:168">
      <c r="A104" s="190" t="s">
        <v>509</v>
      </c>
      <c r="B104" s="191">
        <v>-22.4</v>
      </c>
      <c r="C104" s="192">
        <v>480.65</v>
      </c>
      <c r="E104" s="191" t="s">
        <v>509</v>
      </c>
      <c r="F104" s="191">
        <v>-7.6</v>
      </c>
      <c r="G104" s="191">
        <v>190.33</v>
      </c>
      <c r="H104" s="191">
        <v>0</v>
      </c>
      <c r="I104" s="191">
        <v>0</v>
      </c>
      <c r="J104" s="191">
        <v>8.38</v>
      </c>
      <c r="K104" s="191">
        <v>5.05</v>
      </c>
      <c r="L104" s="191">
        <v>2.67</v>
      </c>
      <c r="M104" s="191">
        <v>0.67</v>
      </c>
      <c r="N104" s="191">
        <v>2.38</v>
      </c>
      <c r="O104" s="191">
        <v>8.57</v>
      </c>
      <c r="P104" s="191">
        <v>0</v>
      </c>
      <c r="Q104" s="191">
        <v>0</v>
      </c>
      <c r="R104" s="191">
        <v>2.24</v>
      </c>
      <c r="S104" s="191">
        <v>7.62</v>
      </c>
      <c r="T104" s="191">
        <v>0</v>
      </c>
      <c r="U104" s="191">
        <v>0</v>
      </c>
      <c r="V104" s="191">
        <v>24.27</v>
      </c>
      <c r="W104" s="191">
        <v>7.14</v>
      </c>
      <c r="X104" s="191">
        <v>5.71</v>
      </c>
      <c r="Y104" s="191">
        <v>6.66</v>
      </c>
      <c r="Z104" s="191">
        <v>0</v>
      </c>
      <c r="AA104" s="191">
        <v>0</v>
      </c>
      <c r="AB104" s="191">
        <v>0</v>
      </c>
      <c r="AC104" s="191">
        <v>3.05</v>
      </c>
      <c r="AD104" s="191">
        <v>2.16</v>
      </c>
      <c r="AE104" s="191">
        <v>4.28</v>
      </c>
      <c r="AF104" s="191">
        <v>1.05</v>
      </c>
      <c r="AG104" s="191">
        <v>-0.2</v>
      </c>
      <c r="AH104" s="191">
        <v>0</v>
      </c>
      <c r="AI104" s="191">
        <v>14.28</v>
      </c>
      <c r="AJ104" s="191">
        <v>0</v>
      </c>
      <c r="AK104" s="191">
        <v>0.38</v>
      </c>
      <c r="AL104" s="191">
        <v>0</v>
      </c>
      <c r="AM104" s="191">
        <v>9.52</v>
      </c>
      <c r="AN104" s="191">
        <v>4.76</v>
      </c>
      <c r="AO104" s="191">
        <v>1.14</v>
      </c>
      <c r="AP104" s="191">
        <v>0</v>
      </c>
      <c r="AQ104" s="191">
        <v>15.23</v>
      </c>
      <c r="AR104" s="191">
        <v>26.65</v>
      </c>
      <c r="AS104" s="191">
        <v>0</v>
      </c>
      <c r="AT104" s="191">
        <v>0</v>
      </c>
      <c r="AU104" s="191">
        <v>-4.9</v>
      </c>
      <c r="AV104" s="191">
        <v>-4.8</v>
      </c>
      <c r="AW104" s="191">
        <v>-2.3</v>
      </c>
      <c r="AX104" s="191">
        <v>0</v>
      </c>
      <c r="AY104" s="191">
        <v>0</v>
      </c>
      <c r="AZ104" s="191">
        <v>7.62</v>
      </c>
      <c r="BA104" s="191">
        <v>7.14</v>
      </c>
      <c r="BB104" s="191">
        <v>9.52</v>
      </c>
      <c r="BC104" s="191">
        <v>2.86</v>
      </c>
      <c r="BD104" s="191">
        <v>0</v>
      </c>
      <c r="BE104" s="191">
        <v>19.04</v>
      </c>
      <c r="BF104" s="191">
        <v>19.04</v>
      </c>
      <c r="BG104" s="191">
        <v>7.62</v>
      </c>
      <c r="BH104" s="191">
        <v>5.71</v>
      </c>
      <c r="BI104" s="191">
        <v>2</v>
      </c>
      <c r="BJ104" s="191">
        <v>14.28</v>
      </c>
      <c r="BK104" s="191">
        <v>-0.1</v>
      </c>
      <c r="BL104" s="191">
        <v>-2.5</v>
      </c>
      <c r="BM104" s="191">
        <v>0</v>
      </c>
      <c r="BN104" s="191">
        <v>14.28</v>
      </c>
      <c r="BO104" s="191">
        <v>0</v>
      </c>
      <c r="BP104" s="191">
        <v>13.33</v>
      </c>
      <c r="BQ104" s="191">
        <v>1.64</v>
      </c>
      <c r="BR104" s="191">
        <v>2.38</v>
      </c>
      <c r="BS104" s="192">
        <v>0</v>
      </c>
      <c r="BT104" s="180"/>
      <c r="BU104" s="191" t="s">
        <v>509</v>
      </c>
      <c r="BV104" s="191">
        <v>-7.79</v>
      </c>
      <c r="BW104" s="191">
        <v>185.65</v>
      </c>
      <c r="BX104" s="191">
        <v>0</v>
      </c>
      <c r="BY104" s="191">
        <v>0</v>
      </c>
      <c r="BZ104" s="191">
        <v>8.17</v>
      </c>
      <c r="CA104" s="191">
        <v>4.93</v>
      </c>
      <c r="CB104" s="191">
        <v>2.6</v>
      </c>
      <c r="CC104" s="191">
        <v>0.65</v>
      </c>
      <c r="CD104" s="191">
        <v>2.32</v>
      </c>
      <c r="CE104" s="191">
        <v>8.36</v>
      </c>
      <c r="CF104" s="191">
        <v>0</v>
      </c>
      <c r="CG104" s="191">
        <v>0</v>
      </c>
      <c r="CH104" s="191">
        <v>2.18</v>
      </c>
      <c r="CI104" s="191">
        <v>7.43</v>
      </c>
      <c r="CJ104" s="191">
        <v>0</v>
      </c>
      <c r="CK104" s="191">
        <v>0</v>
      </c>
      <c r="CL104" s="191">
        <v>23.67</v>
      </c>
      <c r="CM104" s="191">
        <v>6.96</v>
      </c>
      <c r="CN104" s="191">
        <v>5.57</v>
      </c>
      <c r="CO104" s="191">
        <v>6.5</v>
      </c>
      <c r="CP104" s="191">
        <v>0</v>
      </c>
      <c r="CQ104" s="191">
        <v>0</v>
      </c>
      <c r="CR104" s="191">
        <v>0</v>
      </c>
      <c r="CS104" s="191">
        <v>2.97</v>
      </c>
      <c r="CT104" s="191">
        <v>2.11</v>
      </c>
      <c r="CU104" s="191">
        <v>4.17</v>
      </c>
      <c r="CV104" s="191">
        <v>1.02</v>
      </c>
      <c r="CW104" s="191">
        <v>-0.21</v>
      </c>
      <c r="CX104" s="191">
        <v>0</v>
      </c>
      <c r="CY104" s="191">
        <v>13.93</v>
      </c>
      <c r="CZ104" s="191">
        <v>0</v>
      </c>
      <c r="DA104" s="191">
        <v>0.37</v>
      </c>
      <c r="DB104" s="191">
        <v>0</v>
      </c>
      <c r="DC104" s="191">
        <v>9.29</v>
      </c>
      <c r="DD104" s="191">
        <v>4.64</v>
      </c>
      <c r="DE104" s="191">
        <v>1.11</v>
      </c>
      <c r="DF104" s="191">
        <v>0</v>
      </c>
      <c r="DG104" s="191">
        <v>14.86</v>
      </c>
      <c r="DH104" s="191">
        <v>25.99</v>
      </c>
      <c r="DI104" s="191">
        <v>0</v>
      </c>
      <c r="DJ104" s="191">
        <v>0</v>
      </c>
      <c r="DK104" s="191">
        <v>-5.02</v>
      </c>
      <c r="DL104" s="191">
        <v>-4.92</v>
      </c>
      <c r="DM104" s="191">
        <v>-2.36</v>
      </c>
      <c r="DN104" s="191">
        <v>0</v>
      </c>
      <c r="DO104" s="191">
        <v>0</v>
      </c>
      <c r="DP104" s="191">
        <v>7.43</v>
      </c>
      <c r="DQ104" s="191">
        <v>6.96</v>
      </c>
      <c r="DR104" s="191">
        <v>9.29</v>
      </c>
      <c r="DS104" s="191">
        <v>2.79</v>
      </c>
      <c r="DT104" s="191">
        <v>0</v>
      </c>
      <c r="DU104" s="191">
        <v>18.57</v>
      </c>
      <c r="DV104" s="191">
        <v>18.57</v>
      </c>
      <c r="DW104" s="191">
        <v>7.43</v>
      </c>
      <c r="DX104" s="191">
        <v>5.57</v>
      </c>
      <c r="DY104" s="191">
        <v>1.95</v>
      </c>
      <c r="DZ104" s="191">
        <v>13.93</v>
      </c>
      <c r="EA104" s="191">
        <v>-0.1</v>
      </c>
      <c r="EB104" s="191">
        <v>-2.56</v>
      </c>
      <c r="EC104" s="191">
        <v>0</v>
      </c>
      <c r="ED104" s="191">
        <v>13.93</v>
      </c>
      <c r="EE104" s="191">
        <v>0</v>
      </c>
      <c r="EF104" s="191">
        <v>13</v>
      </c>
      <c r="EG104" s="191">
        <v>1.6</v>
      </c>
      <c r="EH104" s="191">
        <v>2.32</v>
      </c>
      <c r="EI104" s="192">
        <v>0</v>
      </c>
      <c r="EJ104" s="180"/>
      <c r="EK104" s="191" t="s">
        <v>509</v>
      </c>
      <c r="EL104" s="191">
        <v>-8.03</v>
      </c>
      <c r="EM104" s="191">
        <v>0</v>
      </c>
      <c r="EN104" s="191">
        <v>7.93</v>
      </c>
      <c r="EO104" s="191">
        <v>2.52</v>
      </c>
      <c r="EP104" s="191">
        <v>0.63</v>
      </c>
      <c r="EQ104" s="191">
        <v>0</v>
      </c>
      <c r="ER104" s="191">
        <v>0</v>
      </c>
      <c r="ES104" s="191">
        <v>6.77</v>
      </c>
      <c r="ET104" s="191">
        <v>5.42</v>
      </c>
      <c r="EU104" s="191">
        <v>0</v>
      </c>
      <c r="EV104" s="191">
        <v>0</v>
      </c>
      <c r="EW104" s="191">
        <v>0</v>
      </c>
      <c r="EX104" s="191">
        <v>2.89</v>
      </c>
      <c r="EY104" s="191">
        <v>0.99</v>
      </c>
      <c r="EZ104" s="191">
        <v>0</v>
      </c>
      <c r="FA104" s="191">
        <v>4.51</v>
      </c>
      <c r="FB104" s="191">
        <v>1.08</v>
      </c>
      <c r="FC104" s="191">
        <v>0</v>
      </c>
      <c r="FD104" s="191">
        <v>0</v>
      </c>
      <c r="FE104" s="191">
        <v>-5.17</v>
      </c>
      <c r="FF104" s="191">
        <v>-5.07</v>
      </c>
      <c r="FG104" s="191">
        <v>-2.43</v>
      </c>
      <c r="FH104" s="191">
        <v>0</v>
      </c>
      <c r="FI104" s="191">
        <v>0</v>
      </c>
      <c r="FJ104" s="191">
        <v>1.89</v>
      </c>
      <c r="FK104" s="191">
        <v>-0.1</v>
      </c>
      <c r="FL104" s="192">
        <v>2.25</v>
      </c>
    </row>
    <row r="105" s="180" customFormat="1" spans="1:168">
      <c r="A105" s="190" t="s">
        <v>510</v>
      </c>
      <c r="B105" s="191">
        <v>-22.4</v>
      </c>
      <c r="C105" s="192">
        <v>729.73</v>
      </c>
      <c r="E105" s="191" t="s">
        <v>510</v>
      </c>
      <c r="F105" s="191">
        <v>-7.6</v>
      </c>
      <c r="G105" s="191">
        <v>475.91</v>
      </c>
      <c r="H105" s="191">
        <v>0</v>
      </c>
      <c r="I105" s="191">
        <v>0</v>
      </c>
      <c r="J105" s="191">
        <v>8.38</v>
      </c>
      <c r="K105" s="191">
        <v>5.05</v>
      </c>
      <c r="L105" s="191">
        <v>2.67</v>
      </c>
      <c r="M105" s="191">
        <v>0.67</v>
      </c>
      <c r="N105" s="191">
        <v>2.38</v>
      </c>
      <c r="O105" s="191">
        <v>8.57</v>
      </c>
      <c r="P105" s="191">
        <v>0</v>
      </c>
      <c r="Q105" s="191">
        <v>0</v>
      </c>
      <c r="R105" s="191">
        <v>0</v>
      </c>
      <c r="S105" s="191">
        <v>7.62</v>
      </c>
      <c r="T105" s="191">
        <v>0</v>
      </c>
      <c r="U105" s="191">
        <v>0</v>
      </c>
      <c r="V105" s="191">
        <v>24.27</v>
      </c>
      <c r="W105" s="191">
        <v>7.14</v>
      </c>
      <c r="X105" s="191">
        <v>5.71</v>
      </c>
      <c r="Y105" s="191">
        <v>6.66</v>
      </c>
      <c r="Z105" s="191">
        <v>0</v>
      </c>
      <c r="AA105" s="191">
        <v>0</v>
      </c>
      <c r="AB105" s="191">
        <v>0</v>
      </c>
      <c r="AC105" s="191">
        <v>3.05</v>
      </c>
      <c r="AD105" s="191">
        <v>0</v>
      </c>
      <c r="AE105" s="191">
        <v>4.28</v>
      </c>
      <c r="AF105" s="191">
        <v>1.05</v>
      </c>
      <c r="AG105" s="191">
        <v>-0.2</v>
      </c>
      <c r="AH105" s="191">
        <v>0</v>
      </c>
      <c r="AI105" s="191">
        <v>14.28</v>
      </c>
      <c r="AJ105" s="191">
        <v>0</v>
      </c>
      <c r="AK105" s="191">
        <v>0.38</v>
      </c>
      <c r="AL105" s="191">
        <v>0</v>
      </c>
      <c r="AM105" s="191">
        <v>9.52</v>
      </c>
      <c r="AN105" s="191">
        <v>4.76</v>
      </c>
      <c r="AO105" s="191">
        <v>1.14</v>
      </c>
      <c r="AP105" s="191">
        <v>0</v>
      </c>
      <c r="AQ105" s="191">
        <v>11.61</v>
      </c>
      <c r="AR105" s="191">
        <v>13.14</v>
      </c>
      <c r="AS105" s="191">
        <v>0</v>
      </c>
      <c r="AT105" s="191">
        <v>0</v>
      </c>
      <c r="AU105" s="191">
        <v>-4.9</v>
      </c>
      <c r="AV105" s="191">
        <v>-4.8</v>
      </c>
      <c r="AW105" s="191">
        <v>-2.3</v>
      </c>
      <c r="AX105" s="191">
        <v>0</v>
      </c>
      <c r="AY105" s="191">
        <v>0</v>
      </c>
      <c r="AZ105" s="191">
        <v>7.62</v>
      </c>
      <c r="BA105" s="191">
        <v>7.14</v>
      </c>
      <c r="BB105" s="191">
        <v>9.52</v>
      </c>
      <c r="BC105" s="191">
        <v>2.86</v>
      </c>
      <c r="BD105" s="191">
        <v>0</v>
      </c>
      <c r="BE105" s="191">
        <v>19.04</v>
      </c>
      <c r="BF105" s="191">
        <v>19.04</v>
      </c>
      <c r="BG105" s="191">
        <v>7.62</v>
      </c>
      <c r="BH105" s="191">
        <v>5.71</v>
      </c>
      <c r="BI105" s="191">
        <v>2</v>
      </c>
      <c r="BJ105" s="191">
        <v>14.28</v>
      </c>
      <c r="BK105" s="191">
        <v>-0.1</v>
      </c>
      <c r="BL105" s="191">
        <v>-2.5</v>
      </c>
      <c r="BM105" s="191">
        <v>0</v>
      </c>
      <c r="BN105" s="191">
        <v>14.28</v>
      </c>
      <c r="BO105" s="191">
        <v>0</v>
      </c>
      <c r="BP105" s="191">
        <v>0</v>
      </c>
      <c r="BQ105" s="191">
        <v>0</v>
      </c>
      <c r="BR105" s="191">
        <v>2.38</v>
      </c>
      <c r="BS105" s="192">
        <v>0</v>
      </c>
      <c r="BT105" s="180"/>
      <c r="BU105" s="191" t="s">
        <v>510</v>
      </c>
      <c r="BV105" s="191">
        <v>-7.79</v>
      </c>
      <c r="BW105" s="191">
        <v>464.2</v>
      </c>
      <c r="BX105" s="191">
        <v>0</v>
      </c>
      <c r="BY105" s="191">
        <v>0</v>
      </c>
      <c r="BZ105" s="191">
        <v>8.17</v>
      </c>
      <c r="CA105" s="191">
        <v>4.93</v>
      </c>
      <c r="CB105" s="191">
        <v>2.6</v>
      </c>
      <c r="CC105" s="191">
        <v>0.65</v>
      </c>
      <c r="CD105" s="191">
        <v>2.32</v>
      </c>
      <c r="CE105" s="191">
        <v>8.36</v>
      </c>
      <c r="CF105" s="191">
        <v>0</v>
      </c>
      <c r="CG105" s="191">
        <v>0</v>
      </c>
      <c r="CH105" s="191">
        <v>0</v>
      </c>
      <c r="CI105" s="191">
        <v>7.43</v>
      </c>
      <c r="CJ105" s="191">
        <v>0</v>
      </c>
      <c r="CK105" s="191">
        <v>0</v>
      </c>
      <c r="CL105" s="191">
        <v>23.67</v>
      </c>
      <c r="CM105" s="191">
        <v>6.96</v>
      </c>
      <c r="CN105" s="191">
        <v>5.57</v>
      </c>
      <c r="CO105" s="191">
        <v>6.5</v>
      </c>
      <c r="CP105" s="191">
        <v>0</v>
      </c>
      <c r="CQ105" s="191">
        <v>0</v>
      </c>
      <c r="CR105" s="191">
        <v>0</v>
      </c>
      <c r="CS105" s="191">
        <v>2.97</v>
      </c>
      <c r="CT105" s="191">
        <v>0</v>
      </c>
      <c r="CU105" s="191">
        <v>4.17</v>
      </c>
      <c r="CV105" s="191">
        <v>1.02</v>
      </c>
      <c r="CW105" s="191">
        <v>-0.21</v>
      </c>
      <c r="CX105" s="191">
        <v>0</v>
      </c>
      <c r="CY105" s="191">
        <v>13.93</v>
      </c>
      <c r="CZ105" s="191">
        <v>0</v>
      </c>
      <c r="DA105" s="191">
        <v>0.37</v>
      </c>
      <c r="DB105" s="191">
        <v>0</v>
      </c>
      <c r="DC105" s="191">
        <v>9.29</v>
      </c>
      <c r="DD105" s="191">
        <v>4.64</v>
      </c>
      <c r="DE105" s="191">
        <v>1.11</v>
      </c>
      <c r="DF105" s="191">
        <v>0</v>
      </c>
      <c r="DG105" s="191">
        <v>11.32</v>
      </c>
      <c r="DH105" s="191">
        <v>12.82</v>
      </c>
      <c r="DI105" s="191">
        <v>0</v>
      </c>
      <c r="DJ105" s="191">
        <v>0</v>
      </c>
      <c r="DK105" s="191">
        <v>-5.02</v>
      </c>
      <c r="DL105" s="191">
        <v>-4.92</v>
      </c>
      <c r="DM105" s="191">
        <v>-2.36</v>
      </c>
      <c r="DN105" s="191">
        <v>0</v>
      </c>
      <c r="DO105" s="191">
        <v>0</v>
      </c>
      <c r="DP105" s="191">
        <v>7.43</v>
      </c>
      <c r="DQ105" s="191">
        <v>6.96</v>
      </c>
      <c r="DR105" s="191">
        <v>9.29</v>
      </c>
      <c r="DS105" s="191">
        <v>2.79</v>
      </c>
      <c r="DT105" s="191">
        <v>0</v>
      </c>
      <c r="DU105" s="191">
        <v>18.57</v>
      </c>
      <c r="DV105" s="191">
        <v>18.57</v>
      </c>
      <c r="DW105" s="191">
        <v>7.43</v>
      </c>
      <c r="DX105" s="191">
        <v>5.57</v>
      </c>
      <c r="DY105" s="191">
        <v>1.95</v>
      </c>
      <c r="DZ105" s="191">
        <v>13.93</v>
      </c>
      <c r="EA105" s="191">
        <v>-0.1</v>
      </c>
      <c r="EB105" s="191">
        <v>-2.56</v>
      </c>
      <c r="EC105" s="191">
        <v>0</v>
      </c>
      <c r="ED105" s="191">
        <v>13.93</v>
      </c>
      <c r="EE105" s="191">
        <v>0</v>
      </c>
      <c r="EF105" s="191">
        <v>0</v>
      </c>
      <c r="EG105" s="191">
        <v>0</v>
      </c>
      <c r="EH105" s="191">
        <v>2.32</v>
      </c>
      <c r="EI105" s="192">
        <v>0</v>
      </c>
      <c r="EJ105" s="180"/>
      <c r="EK105" s="191" t="s">
        <v>510</v>
      </c>
      <c r="EL105" s="191">
        <v>-8.03</v>
      </c>
      <c r="EM105" s="191">
        <v>0</v>
      </c>
      <c r="EN105" s="191">
        <v>7.93</v>
      </c>
      <c r="EO105" s="191">
        <v>2.52</v>
      </c>
      <c r="EP105" s="191">
        <v>0.63</v>
      </c>
      <c r="EQ105" s="191">
        <v>0</v>
      </c>
      <c r="ER105" s="191">
        <v>0</v>
      </c>
      <c r="ES105" s="191">
        <v>6.77</v>
      </c>
      <c r="ET105" s="191">
        <v>5.42</v>
      </c>
      <c r="EU105" s="191">
        <v>0</v>
      </c>
      <c r="EV105" s="191">
        <v>0</v>
      </c>
      <c r="EW105" s="191">
        <v>0</v>
      </c>
      <c r="EX105" s="191">
        <v>2.89</v>
      </c>
      <c r="EY105" s="191">
        <v>0.99</v>
      </c>
      <c r="EZ105" s="191">
        <v>0</v>
      </c>
      <c r="FA105" s="191">
        <v>4.51</v>
      </c>
      <c r="FB105" s="191">
        <v>1.08</v>
      </c>
      <c r="FC105" s="191">
        <v>0</v>
      </c>
      <c r="FD105" s="191">
        <v>0</v>
      </c>
      <c r="FE105" s="191">
        <v>-5.17</v>
      </c>
      <c r="FF105" s="191">
        <v>-5.07</v>
      </c>
      <c r="FG105" s="191">
        <v>-2.43</v>
      </c>
      <c r="FH105" s="191">
        <v>0</v>
      </c>
      <c r="FI105" s="191">
        <v>0</v>
      </c>
      <c r="FJ105" s="191">
        <v>1.89</v>
      </c>
      <c r="FK105" s="191">
        <v>-0.1</v>
      </c>
      <c r="FL105" s="192">
        <v>2.25</v>
      </c>
    </row>
    <row r="106" s="180" customFormat="1" spans="1:168">
      <c r="A106" s="190" t="s">
        <v>511</v>
      </c>
      <c r="B106" s="191">
        <v>-22.4</v>
      </c>
      <c r="C106" s="192">
        <v>916.3</v>
      </c>
      <c r="E106" s="191" t="s">
        <v>511</v>
      </c>
      <c r="F106" s="191">
        <v>-7.6</v>
      </c>
      <c r="G106" s="191">
        <v>666.29</v>
      </c>
      <c r="H106" s="191">
        <v>0</v>
      </c>
      <c r="I106" s="191">
        <v>0</v>
      </c>
      <c r="J106" s="191">
        <v>8.38</v>
      </c>
      <c r="K106" s="191">
        <v>5.05</v>
      </c>
      <c r="L106" s="191">
        <v>2.67</v>
      </c>
      <c r="M106" s="191">
        <v>0.67</v>
      </c>
      <c r="N106" s="191">
        <v>2.38</v>
      </c>
      <c r="O106" s="191">
        <v>8.57</v>
      </c>
      <c r="P106" s="191">
        <v>0</v>
      </c>
      <c r="Q106" s="191">
        <v>0</v>
      </c>
      <c r="R106" s="191">
        <v>0</v>
      </c>
      <c r="S106" s="191">
        <v>3.81</v>
      </c>
      <c r="T106" s="191">
        <v>0</v>
      </c>
      <c r="U106" s="191">
        <v>0</v>
      </c>
      <c r="V106" s="191">
        <v>24.27</v>
      </c>
      <c r="W106" s="191">
        <v>7.14</v>
      </c>
      <c r="X106" s="191">
        <v>5.71</v>
      </c>
      <c r="Y106" s="191">
        <v>6.66</v>
      </c>
      <c r="Z106" s="191">
        <v>0</v>
      </c>
      <c r="AA106" s="191">
        <v>0</v>
      </c>
      <c r="AB106" s="191">
        <v>0</v>
      </c>
      <c r="AC106" s="191">
        <v>3.05</v>
      </c>
      <c r="AD106" s="191">
        <v>0</v>
      </c>
      <c r="AE106" s="191">
        <v>4.28</v>
      </c>
      <c r="AF106" s="191">
        <v>1.05</v>
      </c>
      <c r="AG106" s="191">
        <v>-0.2</v>
      </c>
      <c r="AH106" s="191">
        <v>0</v>
      </c>
      <c r="AI106" s="191">
        <v>14.28</v>
      </c>
      <c r="AJ106" s="191">
        <v>0</v>
      </c>
      <c r="AK106" s="191">
        <v>0.38</v>
      </c>
      <c r="AL106" s="191">
        <v>0</v>
      </c>
      <c r="AM106" s="191">
        <v>9.52</v>
      </c>
      <c r="AN106" s="191">
        <v>4.76</v>
      </c>
      <c r="AO106" s="191">
        <v>1.14</v>
      </c>
      <c r="AP106" s="191">
        <v>0</v>
      </c>
      <c r="AQ106" s="191">
        <v>11.61</v>
      </c>
      <c r="AR106" s="191">
        <v>13.14</v>
      </c>
      <c r="AS106" s="191">
        <v>0</v>
      </c>
      <c r="AT106" s="191">
        <v>0</v>
      </c>
      <c r="AU106" s="191">
        <v>-4.9</v>
      </c>
      <c r="AV106" s="191">
        <v>-4.8</v>
      </c>
      <c r="AW106" s="191">
        <v>-2.3</v>
      </c>
      <c r="AX106" s="191">
        <v>0</v>
      </c>
      <c r="AY106" s="191">
        <v>0</v>
      </c>
      <c r="AZ106" s="191">
        <v>7.62</v>
      </c>
      <c r="BA106" s="191">
        <v>7.14</v>
      </c>
      <c r="BB106" s="191">
        <v>9.52</v>
      </c>
      <c r="BC106" s="191">
        <v>2.86</v>
      </c>
      <c r="BD106" s="191">
        <v>0</v>
      </c>
      <c r="BE106" s="191">
        <v>19.04</v>
      </c>
      <c r="BF106" s="191">
        <v>19.04</v>
      </c>
      <c r="BG106" s="191">
        <v>7.62</v>
      </c>
      <c r="BH106" s="191">
        <v>5.71</v>
      </c>
      <c r="BI106" s="191">
        <v>2</v>
      </c>
      <c r="BJ106" s="191">
        <v>14.28</v>
      </c>
      <c r="BK106" s="191">
        <v>-0.1</v>
      </c>
      <c r="BL106" s="191">
        <v>-2.5</v>
      </c>
      <c r="BM106" s="191">
        <v>0</v>
      </c>
      <c r="BN106" s="191">
        <v>14.28</v>
      </c>
      <c r="BO106" s="191">
        <v>0</v>
      </c>
      <c r="BP106" s="191">
        <v>0</v>
      </c>
      <c r="BQ106" s="191">
        <v>0</v>
      </c>
      <c r="BR106" s="191">
        <v>2.38</v>
      </c>
      <c r="BS106" s="192">
        <v>0</v>
      </c>
      <c r="BT106" s="180"/>
      <c r="BU106" s="191" t="s">
        <v>511</v>
      </c>
      <c r="BV106" s="191">
        <v>-7.79</v>
      </c>
      <c r="BW106" s="191">
        <v>649.9</v>
      </c>
      <c r="BX106" s="191">
        <v>0</v>
      </c>
      <c r="BY106" s="191">
        <v>0</v>
      </c>
      <c r="BZ106" s="191">
        <v>8.17</v>
      </c>
      <c r="CA106" s="191">
        <v>4.93</v>
      </c>
      <c r="CB106" s="191">
        <v>2.6</v>
      </c>
      <c r="CC106" s="191">
        <v>0.65</v>
      </c>
      <c r="CD106" s="191">
        <v>2.32</v>
      </c>
      <c r="CE106" s="191">
        <v>8.36</v>
      </c>
      <c r="CF106" s="191">
        <v>0</v>
      </c>
      <c r="CG106" s="191">
        <v>0</v>
      </c>
      <c r="CH106" s="191">
        <v>0</v>
      </c>
      <c r="CI106" s="191">
        <v>3.72</v>
      </c>
      <c r="CJ106" s="191">
        <v>0</v>
      </c>
      <c r="CK106" s="191">
        <v>0</v>
      </c>
      <c r="CL106" s="191">
        <v>23.67</v>
      </c>
      <c r="CM106" s="191">
        <v>6.96</v>
      </c>
      <c r="CN106" s="191">
        <v>5.57</v>
      </c>
      <c r="CO106" s="191">
        <v>6.5</v>
      </c>
      <c r="CP106" s="191">
        <v>0</v>
      </c>
      <c r="CQ106" s="191">
        <v>0</v>
      </c>
      <c r="CR106" s="191">
        <v>0</v>
      </c>
      <c r="CS106" s="191">
        <v>2.97</v>
      </c>
      <c r="CT106" s="191">
        <v>0</v>
      </c>
      <c r="CU106" s="191">
        <v>4.17</v>
      </c>
      <c r="CV106" s="191">
        <v>1.02</v>
      </c>
      <c r="CW106" s="191">
        <v>-0.21</v>
      </c>
      <c r="CX106" s="191">
        <v>0</v>
      </c>
      <c r="CY106" s="191">
        <v>13.93</v>
      </c>
      <c r="CZ106" s="191">
        <v>0</v>
      </c>
      <c r="DA106" s="191">
        <v>0.37</v>
      </c>
      <c r="DB106" s="191">
        <v>0</v>
      </c>
      <c r="DC106" s="191">
        <v>9.29</v>
      </c>
      <c r="DD106" s="191">
        <v>4.64</v>
      </c>
      <c r="DE106" s="191">
        <v>1.11</v>
      </c>
      <c r="DF106" s="191">
        <v>0</v>
      </c>
      <c r="DG106" s="191">
        <v>11.32</v>
      </c>
      <c r="DH106" s="191">
        <v>12.82</v>
      </c>
      <c r="DI106" s="191">
        <v>0</v>
      </c>
      <c r="DJ106" s="191">
        <v>0</v>
      </c>
      <c r="DK106" s="191">
        <v>-5.02</v>
      </c>
      <c r="DL106" s="191">
        <v>-4.92</v>
      </c>
      <c r="DM106" s="191">
        <v>-2.36</v>
      </c>
      <c r="DN106" s="191">
        <v>0</v>
      </c>
      <c r="DO106" s="191">
        <v>0</v>
      </c>
      <c r="DP106" s="191">
        <v>7.43</v>
      </c>
      <c r="DQ106" s="191">
        <v>6.96</v>
      </c>
      <c r="DR106" s="191">
        <v>9.29</v>
      </c>
      <c r="DS106" s="191">
        <v>2.79</v>
      </c>
      <c r="DT106" s="191">
        <v>0</v>
      </c>
      <c r="DU106" s="191">
        <v>18.57</v>
      </c>
      <c r="DV106" s="191">
        <v>18.57</v>
      </c>
      <c r="DW106" s="191">
        <v>7.43</v>
      </c>
      <c r="DX106" s="191">
        <v>5.57</v>
      </c>
      <c r="DY106" s="191">
        <v>1.95</v>
      </c>
      <c r="DZ106" s="191">
        <v>13.93</v>
      </c>
      <c r="EA106" s="191">
        <v>-0.1</v>
      </c>
      <c r="EB106" s="191">
        <v>-2.56</v>
      </c>
      <c r="EC106" s="191">
        <v>0</v>
      </c>
      <c r="ED106" s="191">
        <v>13.93</v>
      </c>
      <c r="EE106" s="191">
        <v>0</v>
      </c>
      <c r="EF106" s="191">
        <v>0</v>
      </c>
      <c r="EG106" s="191">
        <v>0</v>
      </c>
      <c r="EH106" s="191">
        <v>2.32</v>
      </c>
      <c r="EI106" s="192">
        <v>0</v>
      </c>
      <c r="EJ106" s="180"/>
      <c r="EK106" s="191" t="s">
        <v>511</v>
      </c>
      <c r="EL106" s="191">
        <v>-8.03</v>
      </c>
      <c r="EM106" s="191">
        <v>0</v>
      </c>
      <c r="EN106" s="191">
        <v>7.93</v>
      </c>
      <c r="EO106" s="191">
        <v>2.52</v>
      </c>
      <c r="EP106" s="191">
        <v>0.63</v>
      </c>
      <c r="EQ106" s="191">
        <v>0</v>
      </c>
      <c r="ER106" s="191">
        <v>0</v>
      </c>
      <c r="ES106" s="191">
        <v>6.77</v>
      </c>
      <c r="ET106" s="191">
        <v>5.42</v>
      </c>
      <c r="EU106" s="191">
        <v>0</v>
      </c>
      <c r="EV106" s="191">
        <v>0</v>
      </c>
      <c r="EW106" s="191">
        <v>0</v>
      </c>
      <c r="EX106" s="191">
        <v>2.89</v>
      </c>
      <c r="EY106" s="191">
        <v>0.99</v>
      </c>
      <c r="EZ106" s="191">
        <v>0</v>
      </c>
      <c r="FA106" s="191">
        <v>4.51</v>
      </c>
      <c r="FB106" s="191">
        <v>1.08</v>
      </c>
      <c r="FC106" s="191">
        <v>0</v>
      </c>
      <c r="FD106" s="191">
        <v>0</v>
      </c>
      <c r="FE106" s="191">
        <v>-5.17</v>
      </c>
      <c r="FF106" s="191">
        <v>-5.07</v>
      </c>
      <c r="FG106" s="191">
        <v>-2.43</v>
      </c>
      <c r="FH106" s="191">
        <v>0</v>
      </c>
      <c r="FI106" s="191">
        <v>0</v>
      </c>
      <c r="FJ106" s="191">
        <v>1.89</v>
      </c>
      <c r="FK106" s="191">
        <v>-0.1</v>
      </c>
      <c r="FL106" s="192">
        <v>2.25</v>
      </c>
    </row>
    <row r="107" s="180" customFormat="1" spans="1:168">
      <c r="A107" s="204" t="s">
        <v>512</v>
      </c>
      <c r="B107" s="205">
        <v>-22.4</v>
      </c>
      <c r="C107" s="206">
        <v>805.88</v>
      </c>
      <c r="E107" s="191" t="s">
        <v>512</v>
      </c>
      <c r="F107" s="191">
        <v>-7.6</v>
      </c>
      <c r="G107" s="191">
        <v>571.1</v>
      </c>
      <c r="H107" s="191">
        <v>0</v>
      </c>
      <c r="I107" s="191">
        <v>0</v>
      </c>
      <c r="J107" s="191">
        <v>8.38</v>
      </c>
      <c r="K107" s="191">
        <v>5.05</v>
      </c>
      <c r="L107" s="191">
        <v>2.67</v>
      </c>
      <c r="M107" s="191">
        <v>0.67</v>
      </c>
      <c r="N107" s="191">
        <v>2.38</v>
      </c>
      <c r="O107" s="191">
        <v>0</v>
      </c>
      <c r="P107" s="191">
        <v>0</v>
      </c>
      <c r="Q107" s="191">
        <v>0</v>
      </c>
      <c r="R107" s="191">
        <v>0</v>
      </c>
      <c r="S107" s="191">
        <v>3.81</v>
      </c>
      <c r="T107" s="191">
        <v>0</v>
      </c>
      <c r="U107" s="191">
        <v>0</v>
      </c>
      <c r="V107" s="191">
        <v>24.27</v>
      </c>
      <c r="W107" s="191">
        <v>7.14</v>
      </c>
      <c r="X107" s="191">
        <v>5.71</v>
      </c>
      <c r="Y107" s="191">
        <v>0</v>
      </c>
      <c r="Z107" s="191">
        <v>0</v>
      </c>
      <c r="AA107" s="191">
        <v>0</v>
      </c>
      <c r="AB107" s="191">
        <v>0</v>
      </c>
      <c r="AC107" s="191">
        <v>3.05</v>
      </c>
      <c r="AD107" s="191">
        <v>0</v>
      </c>
      <c r="AE107" s="191">
        <v>4.28</v>
      </c>
      <c r="AF107" s="191">
        <v>1.05</v>
      </c>
      <c r="AG107" s="191">
        <v>-0.2</v>
      </c>
      <c r="AH107" s="191">
        <v>0</v>
      </c>
      <c r="AI107" s="191">
        <v>14.28</v>
      </c>
      <c r="AJ107" s="191">
        <v>0</v>
      </c>
      <c r="AK107" s="191">
        <v>0.38</v>
      </c>
      <c r="AL107" s="191">
        <v>0</v>
      </c>
      <c r="AM107" s="191">
        <v>9.52</v>
      </c>
      <c r="AN107" s="191">
        <v>4.76</v>
      </c>
      <c r="AO107" s="191">
        <v>1.14</v>
      </c>
      <c r="AP107" s="191">
        <v>0</v>
      </c>
      <c r="AQ107" s="191">
        <v>11.61</v>
      </c>
      <c r="AR107" s="191">
        <v>13.14</v>
      </c>
      <c r="AS107" s="191">
        <v>0</v>
      </c>
      <c r="AT107" s="191">
        <v>0</v>
      </c>
      <c r="AU107" s="191">
        <v>-4.9</v>
      </c>
      <c r="AV107" s="191">
        <v>-4.8</v>
      </c>
      <c r="AW107" s="191">
        <v>-2.3</v>
      </c>
      <c r="AX107" s="191">
        <v>0</v>
      </c>
      <c r="AY107" s="191">
        <v>0</v>
      </c>
      <c r="AZ107" s="191">
        <v>7.62</v>
      </c>
      <c r="BA107" s="191">
        <v>7.14</v>
      </c>
      <c r="BB107" s="191">
        <v>9.52</v>
      </c>
      <c r="BC107" s="191">
        <v>2.86</v>
      </c>
      <c r="BD107" s="191">
        <v>0</v>
      </c>
      <c r="BE107" s="191">
        <v>19.04</v>
      </c>
      <c r="BF107" s="191">
        <v>19.04</v>
      </c>
      <c r="BG107" s="191">
        <v>7.62</v>
      </c>
      <c r="BH107" s="191">
        <v>5.71</v>
      </c>
      <c r="BI107" s="191">
        <v>2</v>
      </c>
      <c r="BJ107" s="191">
        <v>14.28</v>
      </c>
      <c r="BK107" s="191">
        <v>-0.1</v>
      </c>
      <c r="BL107" s="191">
        <v>-2.5</v>
      </c>
      <c r="BM107" s="191">
        <v>0</v>
      </c>
      <c r="BN107" s="191">
        <v>14.28</v>
      </c>
      <c r="BO107" s="191">
        <v>0</v>
      </c>
      <c r="BP107" s="191">
        <v>0</v>
      </c>
      <c r="BQ107" s="191">
        <v>0</v>
      </c>
      <c r="BR107" s="191">
        <v>2.38</v>
      </c>
      <c r="BS107" s="192">
        <v>0</v>
      </c>
      <c r="BT107" s="180"/>
      <c r="BU107" s="191" t="s">
        <v>512</v>
      </c>
      <c r="BV107" s="191">
        <v>-7.79</v>
      </c>
      <c r="BW107" s="191">
        <v>557.05</v>
      </c>
      <c r="BX107" s="191">
        <v>0</v>
      </c>
      <c r="BY107" s="191">
        <v>0</v>
      </c>
      <c r="BZ107" s="191">
        <v>8.17</v>
      </c>
      <c r="CA107" s="191">
        <v>4.93</v>
      </c>
      <c r="CB107" s="191">
        <v>2.6</v>
      </c>
      <c r="CC107" s="191">
        <v>0.65</v>
      </c>
      <c r="CD107" s="191">
        <v>2.32</v>
      </c>
      <c r="CE107" s="191">
        <v>0</v>
      </c>
      <c r="CF107" s="191">
        <v>0</v>
      </c>
      <c r="CG107" s="191">
        <v>0</v>
      </c>
      <c r="CH107" s="191">
        <v>0</v>
      </c>
      <c r="CI107" s="191">
        <v>3.72</v>
      </c>
      <c r="CJ107" s="191">
        <v>0</v>
      </c>
      <c r="CK107" s="191">
        <v>0</v>
      </c>
      <c r="CL107" s="191">
        <v>23.67</v>
      </c>
      <c r="CM107" s="191">
        <v>6.96</v>
      </c>
      <c r="CN107" s="191">
        <v>5.57</v>
      </c>
      <c r="CO107" s="191">
        <v>0</v>
      </c>
      <c r="CP107" s="191">
        <v>0</v>
      </c>
      <c r="CQ107" s="191">
        <v>0</v>
      </c>
      <c r="CR107" s="191">
        <v>0</v>
      </c>
      <c r="CS107" s="191">
        <v>2.97</v>
      </c>
      <c r="CT107" s="191">
        <v>0</v>
      </c>
      <c r="CU107" s="191">
        <v>4.17</v>
      </c>
      <c r="CV107" s="191">
        <v>1.02</v>
      </c>
      <c r="CW107" s="191">
        <v>-0.21</v>
      </c>
      <c r="CX107" s="191">
        <v>0</v>
      </c>
      <c r="CY107" s="191">
        <v>13.93</v>
      </c>
      <c r="CZ107" s="191">
        <v>0</v>
      </c>
      <c r="DA107" s="191">
        <v>0.37</v>
      </c>
      <c r="DB107" s="191">
        <v>0</v>
      </c>
      <c r="DC107" s="191">
        <v>9.29</v>
      </c>
      <c r="DD107" s="191">
        <v>4.64</v>
      </c>
      <c r="DE107" s="191">
        <v>1.11</v>
      </c>
      <c r="DF107" s="191">
        <v>0</v>
      </c>
      <c r="DG107" s="191">
        <v>11.32</v>
      </c>
      <c r="DH107" s="191">
        <v>12.82</v>
      </c>
      <c r="DI107" s="191">
        <v>0</v>
      </c>
      <c r="DJ107" s="191">
        <v>0</v>
      </c>
      <c r="DK107" s="191">
        <v>-5.02</v>
      </c>
      <c r="DL107" s="191">
        <v>-4.92</v>
      </c>
      <c r="DM107" s="191">
        <v>-2.36</v>
      </c>
      <c r="DN107" s="191">
        <v>0</v>
      </c>
      <c r="DO107" s="191">
        <v>0</v>
      </c>
      <c r="DP107" s="191">
        <v>7.43</v>
      </c>
      <c r="DQ107" s="191">
        <v>6.96</v>
      </c>
      <c r="DR107" s="191">
        <v>9.29</v>
      </c>
      <c r="DS107" s="191">
        <v>2.79</v>
      </c>
      <c r="DT107" s="191">
        <v>0</v>
      </c>
      <c r="DU107" s="191">
        <v>18.57</v>
      </c>
      <c r="DV107" s="191">
        <v>18.57</v>
      </c>
      <c r="DW107" s="191">
        <v>7.43</v>
      </c>
      <c r="DX107" s="191">
        <v>5.57</v>
      </c>
      <c r="DY107" s="191">
        <v>1.95</v>
      </c>
      <c r="DZ107" s="191">
        <v>13.93</v>
      </c>
      <c r="EA107" s="191">
        <v>-0.1</v>
      </c>
      <c r="EB107" s="191">
        <v>-2.56</v>
      </c>
      <c r="EC107" s="191">
        <v>0</v>
      </c>
      <c r="ED107" s="191">
        <v>13.93</v>
      </c>
      <c r="EE107" s="191">
        <v>0</v>
      </c>
      <c r="EF107" s="191">
        <v>0</v>
      </c>
      <c r="EG107" s="191">
        <v>0</v>
      </c>
      <c r="EH107" s="191">
        <v>2.32</v>
      </c>
      <c r="EI107" s="192">
        <v>0</v>
      </c>
      <c r="EJ107" s="180"/>
      <c r="EK107" s="191" t="s">
        <v>512</v>
      </c>
      <c r="EL107" s="191">
        <v>-8.03</v>
      </c>
      <c r="EM107" s="191">
        <v>0</v>
      </c>
      <c r="EN107" s="191">
        <v>7.93</v>
      </c>
      <c r="EO107" s="191">
        <v>2.52</v>
      </c>
      <c r="EP107" s="191">
        <v>0.63</v>
      </c>
      <c r="EQ107" s="191">
        <v>0</v>
      </c>
      <c r="ER107" s="191">
        <v>0</v>
      </c>
      <c r="ES107" s="191">
        <v>6.77</v>
      </c>
      <c r="ET107" s="191">
        <v>5.42</v>
      </c>
      <c r="EU107" s="191">
        <v>0</v>
      </c>
      <c r="EV107" s="191">
        <v>0</v>
      </c>
      <c r="EW107" s="191">
        <v>0</v>
      </c>
      <c r="EX107" s="191">
        <v>2.89</v>
      </c>
      <c r="EY107" s="191">
        <v>0.99</v>
      </c>
      <c r="EZ107" s="191">
        <v>0</v>
      </c>
      <c r="FA107" s="191">
        <v>4.51</v>
      </c>
      <c r="FB107" s="191">
        <v>1.08</v>
      </c>
      <c r="FC107" s="191">
        <v>0</v>
      </c>
      <c r="FD107" s="191">
        <v>0</v>
      </c>
      <c r="FE107" s="191">
        <v>-5.17</v>
      </c>
      <c r="FF107" s="191">
        <v>-5.07</v>
      </c>
      <c r="FG107" s="191">
        <v>-2.43</v>
      </c>
      <c r="FH107" s="191">
        <v>0</v>
      </c>
      <c r="FI107" s="191">
        <v>0</v>
      </c>
      <c r="FJ107" s="191">
        <v>1.89</v>
      </c>
      <c r="FK107" s="191">
        <v>-0.1</v>
      </c>
      <c r="FL107" s="192">
        <v>2.25</v>
      </c>
    </row>
    <row r="108" s="180" customFormat="1" ht="30" spans="1:168">
      <c r="A108" s="193" t="s">
        <v>513</v>
      </c>
      <c r="B108" s="194">
        <v>-1441.25</v>
      </c>
      <c r="C108" s="195">
        <v>11963.6525</v>
      </c>
      <c r="E108" s="196" t="s">
        <v>514</v>
      </c>
      <c r="F108" s="196">
        <v>0</v>
      </c>
      <c r="G108" s="196">
        <v>9375.805</v>
      </c>
      <c r="H108" s="196">
        <v>11</v>
      </c>
      <c r="I108" s="196">
        <v>0</v>
      </c>
      <c r="J108" s="196">
        <v>50.28</v>
      </c>
      <c r="K108" s="196">
        <v>32.825</v>
      </c>
      <c r="L108" s="196">
        <v>16.02</v>
      </c>
      <c r="M108" s="196">
        <v>4.21</v>
      </c>
      <c r="N108" s="196">
        <v>21.6275</v>
      </c>
      <c r="O108" s="196">
        <v>38.565</v>
      </c>
      <c r="P108" s="196">
        <v>0.6675</v>
      </c>
      <c r="Q108" s="196">
        <v>5.34</v>
      </c>
      <c r="R108" s="196">
        <v>21.9725</v>
      </c>
      <c r="S108" s="196">
        <v>42.835</v>
      </c>
      <c r="T108" s="196">
        <v>0</v>
      </c>
      <c r="U108" s="196">
        <v>4.925</v>
      </c>
      <c r="V108" s="196">
        <v>292.5525</v>
      </c>
      <c r="W108" s="196">
        <v>57.12</v>
      </c>
      <c r="X108" s="196">
        <v>74.0925</v>
      </c>
      <c r="Y108" s="196">
        <v>29.97</v>
      </c>
      <c r="Z108" s="196">
        <v>11.5675</v>
      </c>
      <c r="AA108" s="196">
        <v>13.335</v>
      </c>
      <c r="AB108" s="196">
        <v>0</v>
      </c>
      <c r="AC108" s="196">
        <v>30.795</v>
      </c>
      <c r="AD108" s="196">
        <v>18.48</v>
      </c>
      <c r="AE108" s="196">
        <v>46.01</v>
      </c>
      <c r="AF108" s="196">
        <v>13.885</v>
      </c>
      <c r="AG108" s="196">
        <v>0</v>
      </c>
      <c r="AH108" s="196">
        <v>0</v>
      </c>
      <c r="AI108" s="196">
        <v>181.5825</v>
      </c>
      <c r="AJ108" s="196">
        <v>4.29</v>
      </c>
      <c r="AK108" s="196">
        <v>1.9</v>
      </c>
      <c r="AL108" s="196">
        <v>19.04</v>
      </c>
      <c r="AM108" s="196">
        <v>61.88</v>
      </c>
      <c r="AN108" s="196">
        <v>77.935</v>
      </c>
      <c r="AO108" s="196">
        <v>9.1725</v>
      </c>
      <c r="AP108" s="196">
        <v>10.56</v>
      </c>
      <c r="AQ108" s="196">
        <v>108.6275</v>
      </c>
      <c r="AR108" s="196">
        <v>154.47</v>
      </c>
      <c r="AS108" s="196">
        <v>2.0225</v>
      </c>
      <c r="AT108" s="196">
        <v>2.38</v>
      </c>
      <c r="AU108" s="196">
        <v>0</v>
      </c>
      <c r="AV108" s="196">
        <v>0</v>
      </c>
      <c r="AW108" s="196">
        <v>0</v>
      </c>
      <c r="AX108" s="196">
        <v>3.9325</v>
      </c>
      <c r="AY108" s="196">
        <v>5.265</v>
      </c>
      <c r="AZ108" s="196">
        <v>112.215</v>
      </c>
      <c r="BA108" s="196">
        <v>52.47</v>
      </c>
      <c r="BB108" s="196">
        <v>61.88</v>
      </c>
      <c r="BC108" s="196">
        <v>36.5825</v>
      </c>
      <c r="BD108" s="196">
        <v>17.5875</v>
      </c>
      <c r="BE108" s="196">
        <v>92.5775</v>
      </c>
      <c r="BF108" s="196">
        <v>110.195</v>
      </c>
      <c r="BG108" s="196">
        <v>38.1</v>
      </c>
      <c r="BH108" s="196">
        <v>69.545</v>
      </c>
      <c r="BI108" s="196">
        <v>12</v>
      </c>
      <c r="BJ108" s="196">
        <v>139.23</v>
      </c>
      <c r="BK108" s="196">
        <v>0</v>
      </c>
      <c r="BL108" s="196">
        <v>0</v>
      </c>
      <c r="BM108" s="196">
        <v>37.11</v>
      </c>
      <c r="BN108" s="196">
        <v>234.125</v>
      </c>
      <c r="BO108" s="196">
        <v>0</v>
      </c>
      <c r="BP108" s="196">
        <v>49.9875</v>
      </c>
      <c r="BQ108" s="196">
        <v>6.9525</v>
      </c>
      <c r="BR108" s="196">
        <v>26.4125</v>
      </c>
      <c r="BS108" s="197">
        <v>9.745</v>
      </c>
      <c r="BT108" s="180"/>
      <c r="BU108" s="196" t="s">
        <v>514</v>
      </c>
      <c r="BV108" s="196">
        <v>0</v>
      </c>
      <c r="BW108" s="196">
        <v>9145.155</v>
      </c>
      <c r="BX108" s="196">
        <v>10.725</v>
      </c>
      <c r="BY108" s="196">
        <v>0</v>
      </c>
      <c r="BZ108" s="196">
        <v>49.02</v>
      </c>
      <c r="CA108" s="196">
        <v>32.045</v>
      </c>
      <c r="CB108" s="196">
        <v>15.6</v>
      </c>
      <c r="CC108" s="196">
        <v>4.1</v>
      </c>
      <c r="CD108" s="196">
        <v>21.1</v>
      </c>
      <c r="CE108" s="196">
        <v>37.62</v>
      </c>
      <c r="CF108" s="196">
        <v>0.65</v>
      </c>
      <c r="CG108" s="196">
        <v>5.2</v>
      </c>
      <c r="CH108" s="196">
        <v>21.4325</v>
      </c>
      <c r="CI108" s="196">
        <v>41.7775</v>
      </c>
      <c r="CJ108" s="196">
        <v>0</v>
      </c>
      <c r="CK108" s="196">
        <v>4.805</v>
      </c>
      <c r="CL108" s="196">
        <v>285.3225</v>
      </c>
      <c r="CM108" s="196">
        <v>55.68</v>
      </c>
      <c r="CN108" s="196">
        <v>72.275</v>
      </c>
      <c r="CO108" s="196">
        <v>29.25</v>
      </c>
      <c r="CP108" s="196">
        <v>11.265</v>
      </c>
      <c r="CQ108" s="196">
        <v>13.02</v>
      </c>
      <c r="CR108" s="196">
        <v>0</v>
      </c>
      <c r="CS108" s="196">
        <v>30.0375</v>
      </c>
      <c r="CT108" s="196">
        <v>18.0125</v>
      </c>
      <c r="CU108" s="196">
        <v>44.8275</v>
      </c>
      <c r="CV108" s="196">
        <v>13.49</v>
      </c>
      <c r="CW108" s="196">
        <v>0</v>
      </c>
      <c r="CX108" s="196">
        <v>0</v>
      </c>
      <c r="CY108" s="196">
        <v>177.14</v>
      </c>
      <c r="CZ108" s="196">
        <v>4.17</v>
      </c>
      <c r="DA108" s="196">
        <v>1.85</v>
      </c>
      <c r="DB108" s="196">
        <v>18.58</v>
      </c>
      <c r="DC108" s="196">
        <v>60.385</v>
      </c>
      <c r="DD108" s="196">
        <v>75.97</v>
      </c>
      <c r="DE108" s="196">
        <v>8.9375</v>
      </c>
      <c r="DF108" s="196">
        <v>10.305</v>
      </c>
      <c r="DG108" s="196">
        <v>105.9725</v>
      </c>
      <c r="DH108" s="196">
        <v>150.68</v>
      </c>
      <c r="DI108" s="196">
        <v>1.9725</v>
      </c>
      <c r="DJ108" s="196">
        <v>2.3225</v>
      </c>
      <c r="DK108" s="196">
        <v>0</v>
      </c>
      <c r="DL108" s="196">
        <v>0</v>
      </c>
      <c r="DM108" s="196">
        <v>0</v>
      </c>
      <c r="DN108" s="196">
        <v>3.8225</v>
      </c>
      <c r="DO108" s="196">
        <v>5.135</v>
      </c>
      <c r="DP108" s="196">
        <v>109.465</v>
      </c>
      <c r="DQ108" s="196">
        <v>51.165</v>
      </c>
      <c r="DR108" s="196">
        <v>60.385</v>
      </c>
      <c r="DS108" s="196">
        <v>35.665</v>
      </c>
      <c r="DT108" s="196">
        <v>17.145</v>
      </c>
      <c r="DU108" s="196">
        <v>90.2925</v>
      </c>
      <c r="DV108" s="196">
        <v>107.475</v>
      </c>
      <c r="DW108" s="196">
        <v>37.15</v>
      </c>
      <c r="DX108" s="196">
        <v>67.84</v>
      </c>
      <c r="DY108" s="196">
        <v>11.7</v>
      </c>
      <c r="DZ108" s="196">
        <v>135.8175</v>
      </c>
      <c r="EA108" s="196">
        <v>0</v>
      </c>
      <c r="EB108" s="196">
        <v>0</v>
      </c>
      <c r="EC108" s="196">
        <v>36.21</v>
      </c>
      <c r="ED108" s="196">
        <v>228.37</v>
      </c>
      <c r="EE108" s="196">
        <v>0</v>
      </c>
      <c r="EF108" s="196">
        <v>48.75</v>
      </c>
      <c r="EG108" s="196">
        <v>6.7825</v>
      </c>
      <c r="EH108" s="196">
        <v>25.7525</v>
      </c>
      <c r="EI108" s="197">
        <v>9.505</v>
      </c>
      <c r="EJ108" s="180"/>
      <c r="EK108" s="196" t="s">
        <v>514</v>
      </c>
      <c r="EL108" s="196">
        <v>0</v>
      </c>
      <c r="EM108" s="196">
        <v>10.395</v>
      </c>
      <c r="EN108" s="196">
        <v>47.58</v>
      </c>
      <c r="EO108" s="196">
        <v>15.12</v>
      </c>
      <c r="EP108" s="196">
        <v>3.9825</v>
      </c>
      <c r="EQ108" s="196">
        <v>0.6325</v>
      </c>
      <c r="ER108" s="196">
        <v>5.06</v>
      </c>
      <c r="ES108" s="196">
        <v>54.16</v>
      </c>
      <c r="ET108" s="196">
        <v>70.3275</v>
      </c>
      <c r="EU108" s="196">
        <v>10.96</v>
      </c>
      <c r="EV108" s="196">
        <v>12.67</v>
      </c>
      <c r="EW108" s="196">
        <v>0</v>
      </c>
      <c r="EX108" s="196">
        <v>29.2025</v>
      </c>
      <c r="EY108" s="196">
        <v>13.0925</v>
      </c>
      <c r="EZ108" s="196">
        <v>4.05</v>
      </c>
      <c r="FA108" s="196">
        <v>73.8425</v>
      </c>
      <c r="FB108" s="196">
        <v>8.695</v>
      </c>
      <c r="FC108" s="196">
        <v>10.005</v>
      </c>
      <c r="FD108" s="196">
        <v>1.915</v>
      </c>
      <c r="FE108" s="196">
        <v>0</v>
      </c>
      <c r="FF108" s="196">
        <v>0</v>
      </c>
      <c r="FG108" s="196">
        <v>0</v>
      </c>
      <c r="FH108" s="196">
        <v>3.7125</v>
      </c>
      <c r="FI108" s="196">
        <v>4.9725</v>
      </c>
      <c r="FJ108" s="196">
        <v>11.34</v>
      </c>
      <c r="FK108" s="196">
        <v>0</v>
      </c>
      <c r="FL108" s="197">
        <v>24.985</v>
      </c>
    </row>
    <row r="109" s="180" customFormat="1" ht="30" spans="3:168">
      <c r="C109" s="180" t="s">
        <v>114</v>
      </c>
      <c r="E109" s="194" t="s">
        <v>515</v>
      </c>
      <c r="F109" s="194">
        <v>-182.4</v>
      </c>
      <c r="G109" s="194">
        <v>-875</v>
      </c>
      <c r="H109" s="194">
        <v>0</v>
      </c>
      <c r="I109" s="194">
        <v>-14.05</v>
      </c>
      <c r="J109" s="194">
        <v>0</v>
      </c>
      <c r="K109" s="194">
        <v>0</v>
      </c>
      <c r="L109" s="194">
        <v>0</v>
      </c>
      <c r="M109" s="194">
        <v>0</v>
      </c>
      <c r="N109" s="194">
        <v>0</v>
      </c>
      <c r="O109" s="194">
        <v>0</v>
      </c>
      <c r="P109" s="194">
        <v>0</v>
      </c>
      <c r="Q109" s="194">
        <v>0</v>
      </c>
      <c r="R109" s="194">
        <v>0</v>
      </c>
      <c r="S109" s="194">
        <v>0</v>
      </c>
      <c r="T109" s="194">
        <v>-0.25</v>
      </c>
      <c r="U109" s="194">
        <v>0</v>
      </c>
      <c r="V109" s="194">
        <v>0</v>
      </c>
      <c r="W109" s="194">
        <v>0</v>
      </c>
      <c r="X109" s="194">
        <v>0</v>
      </c>
      <c r="Y109" s="194">
        <v>0</v>
      </c>
      <c r="Z109" s="194">
        <v>0</v>
      </c>
      <c r="AA109" s="194">
        <v>0</v>
      </c>
      <c r="AB109" s="194">
        <v>-7.925</v>
      </c>
      <c r="AC109" s="194">
        <v>0</v>
      </c>
      <c r="AD109" s="194">
        <v>0</v>
      </c>
      <c r="AE109" s="194">
        <v>0</v>
      </c>
      <c r="AF109" s="194">
        <v>0</v>
      </c>
      <c r="AG109" s="194">
        <v>-11.15</v>
      </c>
      <c r="AH109" s="194">
        <v>-11.7</v>
      </c>
      <c r="AI109" s="194">
        <v>0</v>
      </c>
      <c r="AJ109" s="194">
        <v>0</v>
      </c>
      <c r="AK109" s="194">
        <v>0</v>
      </c>
      <c r="AL109" s="194">
        <v>0</v>
      </c>
      <c r="AM109" s="194">
        <v>0</v>
      </c>
      <c r="AN109" s="194">
        <v>0</v>
      </c>
      <c r="AO109" s="194">
        <v>0</v>
      </c>
      <c r="AP109" s="194">
        <v>0</v>
      </c>
      <c r="AQ109" s="194">
        <v>0</v>
      </c>
      <c r="AR109" s="194">
        <v>0</v>
      </c>
      <c r="AS109" s="194">
        <v>0</v>
      </c>
      <c r="AT109" s="194">
        <v>0</v>
      </c>
      <c r="AU109" s="194">
        <v>-117.6</v>
      </c>
      <c r="AV109" s="194">
        <v>-115.2</v>
      </c>
      <c r="AW109" s="194">
        <v>-55.2</v>
      </c>
      <c r="AX109" s="194">
        <v>0</v>
      </c>
      <c r="AY109" s="194">
        <v>0</v>
      </c>
      <c r="AZ109" s="194">
        <v>0</v>
      </c>
      <c r="BA109" s="194">
        <v>0</v>
      </c>
      <c r="BB109" s="194">
        <v>0</v>
      </c>
      <c r="BC109" s="194">
        <v>0</v>
      </c>
      <c r="BD109" s="194">
        <v>0</v>
      </c>
      <c r="BE109" s="194">
        <v>0</v>
      </c>
      <c r="BF109" s="194">
        <v>0</v>
      </c>
      <c r="BG109" s="194">
        <v>0</v>
      </c>
      <c r="BH109" s="194">
        <v>0</v>
      </c>
      <c r="BI109" s="194">
        <v>0</v>
      </c>
      <c r="BJ109" s="194">
        <v>0</v>
      </c>
      <c r="BK109" s="194">
        <v>-0.6</v>
      </c>
      <c r="BL109" s="194">
        <v>-33.75</v>
      </c>
      <c r="BM109" s="194">
        <v>0</v>
      </c>
      <c r="BN109" s="194">
        <v>0</v>
      </c>
      <c r="BO109" s="194">
        <v>-16.425</v>
      </c>
      <c r="BP109" s="194">
        <v>0</v>
      </c>
      <c r="BQ109" s="194">
        <v>0</v>
      </c>
      <c r="BR109" s="194">
        <v>0</v>
      </c>
      <c r="BS109" s="195">
        <v>0</v>
      </c>
      <c r="BT109" s="180"/>
      <c r="BU109" s="194" t="s">
        <v>515</v>
      </c>
      <c r="BV109" s="194">
        <v>-186.96</v>
      </c>
      <c r="BW109" s="194">
        <v>-897.0675</v>
      </c>
      <c r="BX109" s="194">
        <v>0</v>
      </c>
      <c r="BY109" s="194">
        <v>-14.4075</v>
      </c>
      <c r="BZ109" s="194">
        <v>0</v>
      </c>
      <c r="CA109" s="194">
        <v>0</v>
      </c>
      <c r="CB109" s="194">
        <v>0</v>
      </c>
      <c r="CC109" s="194">
        <v>0</v>
      </c>
      <c r="CD109" s="194">
        <v>0</v>
      </c>
      <c r="CE109" s="194">
        <v>0</v>
      </c>
      <c r="CF109" s="194">
        <v>0</v>
      </c>
      <c r="CG109" s="194">
        <v>0</v>
      </c>
      <c r="CH109" s="194">
        <v>0</v>
      </c>
      <c r="CI109" s="194">
        <v>0</v>
      </c>
      <c r="CJ109" s="194">
        <v>-0.2625</v>
      </c>
      <c r="CK109" s="194">
        <v>0</v>
      </c>
      <c r="CL109" s="194">
        <v>0</v>
      </c>
      <c r="CM109" s="194">
        <v>0</v>
      </c>
      <c r="CN109" s="194">
        <v>0</v>
      </c>
      <c r="CO109" s="194">
        <v>0</v>
      </c>
      <c r="CP109" s="194">
        <v>0</v>
      </c>
      <c r="CQ109" s="194">
        <v>0</v>
      </c>
      <c r="CR109" s="194">
        <v>-8.1325</v>
      </c>
      <c r="CS109" s="194">
        <v>0</v>
      </c>
      <c r="CT109" s="194">
        <v>0</v>
      </c>
      <c r="CU109" s="194">
        <v>0</v>
      </c>
      <c r="CV109" s="194">
        <v>0</v>
      </c>
      <c r="CW109" s="194">
        <v>-11.495</v>
      </c>
      <c r="CX109" s="194">
        <v>-12</v>
      </c>
      <c r="CY109" s="194">
        <v>0</v>
      </c>
      <c r="CZ109" s="194">
        <v>0</v>
      </c>
      <c r="DA109" s="194">
        <v>0</v>
      </c>
      <c r="DB109" s="194">
        <v>0</v>
      </c>
      <c r="DC109" s="194">
        <v>0</v>
      </c>
      <c r="DD109" s="194">
        <v>0</v>
      </c>
      <c r="DE109" s="194">
        <v>0</v>
      </c>
      <c r="DF109" s="194">
        <v>0</v>
      </c>
      <c r="DG109" s="194">
        <v>0</v>
      </c>
      <c r="DH109" s="194">
        <v>0</v>
      </c>
      <c r="DI109" s="194">
        <v>0</v>
      </c>
      <c r="DJ109" s="194">
        <v>0</v>
      </c>
      <c r="DK109" s="194">
        <v>-120.48</v>
      </c>
      <c r="DL109" s="194">
        <v>-118.08</v>
      </c>
      <c r="DM109" s="194">
        <v>-56.64</v>
      </c>
      <c r="DN109" s="194">
        <v>0</v>
      </c>
      <c r="DO109" s="194">
        <v>0</v>
      </c>
      <c r="DP109" s="194">
        <v>0</v>
      </c>
      <c r="DQ109" s="194">
        <v>0</v>
      </c>
      <c r="DR109" s="194">
        <v>0</v>
      </c>
      <c r="DS109" s="194">
        <v>0</v>
      </c>
      <c r="DT109" s="194">
        <v>0</v>
      </c>
      <c r="DU109" s="194">
        <v>0</v>
      </c>
      <c r="DV109" s="194">
        <v>0</v>
      </c>
      <c r="DW109" s="194">
        <v>0</v>
      </c>
      <c r="DX109" s="194">
        <v>0</v>
      </c>
      <c r="DY109" s="194">
        <v>0</v>
      </c>
      <c r="DZ109" s="194">
        <v>0</v>
      </c>
      <c r="EA109" s="194">
        <v>-0.6</v>
      </c>
      <c r="EB109" s="194">
        <v>-34.56</v>
      </c>
      <c r="EC109" s="194">
        <v>0</v>
      </c>
      <c r="ED109" s="194">
        <v>0</v>
      </c>
      <c r="EE109" s="194">
        <v>-16.85</v>
      </c>
      <c r="EF109" s="194">
        <v>0</v>
      </c>
      <c r="EG109" s="194">
        <v>0</v>
      </c>
      <c r="EH109" s="194">
        <v>0</v>
      </c>
      <c r="EI109" s="195">
        <v>0</v>
      </c>
      <c r="EJ109" s="180"/>
      <c r="EK109" s="194" t="s">
        <v>515</v>
      </c>
      <c r="EL109" s="194">
        <v>-192.72</v>
      </c>
      <c r="EM109" s="194">
        <v>0</v>
      </c>
      <c r="EN109" s="194">
        <v>0</v>
      </c>
      <c r="EO109" s="194">
        <v>0</v>
      </c>
      <c r="EP109" s="194">
        <v>0</v>
      </c>
      <c r="EQ109" s="194">
        <v>0</v>
      </c>
      <c r="ER109" s="194">
        <v>0</v>
      </c>
      <c r="ES109" s="194">
        <v>0</v>
      </c>
      <c r="ET109" s="194">
        <v>0</v>
      </c>
      <c r="EU109" s="194">
        <v>0</v>
      </c>
      <c r="EV109" s="194">
        <v>0</v>
      </c>
      <c r="EW109" s="194">
        <v>-8.355</v>
      </c>
      <c r="EX109" s="194">
        <v>0</v>
      </c>
      <c r="EY109" s="194">
        <v>0</v>
      </c>
      <c r="EZ109" s="194">
        <v>0</v>
      </c>
      <c r="FA109" s="194">
        <v>0</v>
      </c>
      <c r="FB109" s="194">
        <v>0</v>
      </c>
      <c r="FC109" s="194">
        <v>0</v>
      </c>
      <c r="FD109" s="194">
        <v>0</v>
      </c>
      <c r="FE109" s="194">
        <v>-124.08</v>
      </c>
      <c r="FF109" s="194">
        <v>-121.68</v>
      </c>
      <c r="FG109" s="194">
        <v>-58.32</v>
      </c>
      <c r="FH109" s="194">
        <v>0</v>
      </c>
      <c r="FI109" s="194">
        <v>0</v>
      </c>
      <c r="FJ109" s="194">
        <v>0</v>
      </c>
      <c r="FK109" s="194">
        <v>-0.6</v>
      </c>
      <c r="FL109" s="195">
        <v>0</v>
      </c>
    </row>
    <row r="110" s="180" customFormat="1" ht="30" spans="3:168">
      <c r="C110" s="180" t="s">
        <v>114</v>
      </c>
      <c r="E110" s="194" t="s">
        <v>516</v>
      </c>
      <c r="F110" s="194" t="s">
        <v>517</v>
      </c>
      <c r="G110" s="194" t="s">
        <v>517</v>
      </c>
      <c r="H110" s="194" t="s">
        <v>517</v>
      </c>
      <c r="I110" s="194" t="s">
        <v>517</v>
      </c>
      <c r="J110" s="194" t="s">
        <v>517</v>
      </c>
      <c r="K110" s="194" t="s">
        <v>517</v>
      </c>
      <c r="L110" s="194" t="s">
        <v>517</v>
      </c>
      <c r="M110" s="194" t="s">
        <v>517</v>
      </c>
      <c r="N110" s="194" t="s">
        <v>517</v>
      </c>
      <c r="O110" s="194" t="s">
        <v>517</v>
      </c>
      <c r="P110" s="194" t="s">
        <v>517</v>
      </c>
      <c r="Q110" s="194" t="s">
        <v>517</v>
      </c>
      <c r="R110" s="194" t="s">
        <v>517</v>
      </c>
      <c r="S110" s="194" t="s">
        <v>517</v>
      </c>
      <c r="T110" s="194" t="s">
        <v>517</v>
      </c>
      <c r="U110" s="194" t="s">
        <v>517</v>
      </c>
      <c r="V110" s="194" t="s">
        <v>517</v>
      </c>
      <c r="W110" s="194" t="s">
        <v>517</v>
      </c>
      <c r="X110" s="194" t="s">
        <v>517</v>
      </c>
      <c r="Y110" s="194" t="s">
        <v>517</v>
      </c>
      <c r="Z110" s="194" t="s">
        <v>517</v>
      </c>
      <c r="AA110" s="194" t="s">
        <v>517</v>
      </c>
      <c r="AB110" s="194" t="s">
        <v>517</v>
      </c>
      <c r="AC110" s="194" t="s">
        <v>517</v>
      </c>
      <c r="AD110" s="194" t="s">
        <v>517</v>
      </c>
      <c r="AE110" s="194" t="s">
        <v>517</v>
      </c>
      <c r="AF110" s="194" t="s">
        <v>517</v>
      </c>
      <c r="AG110" s="194" t="s">
        <v>517</v>
      </c>
      <c r="AH110" s="194" t="s">
        <v>517</v>
      </c>
      <c r="AI110" s="194" t="s">
        <v>517</v>
      </c>
      <c r="AJ110" s="194" t="s">
        <v>517</v>
      </c>
      <c r="AK110" s="194" t="s">
        <v>517</v>
      </c>
      <c r="AL110" s="194" t="s">
        <v>517</v>
      </c>
      <c r="AM110" s="194" t="s">
        <v>517</v>
      </c>
      <c r="AN110" s="194" t="s">
        <v>517</v>
      </c>
      <c r="AO110" s="194" t="s">
        <v>517</v>
      </c>
      <c r="AP110" s="194" t="s">
        <v>517</v>
      </c>
      <c r="AQ110" s="194" t="s">
        <v>517</v>
      </c>
      <c r="AR110" s="194" t="s">
        <v>517</v>
      </c>
      <c r="AS110" s="194" t="s">
        <v>517</v>
      </c>
      <c r="AT110" s="194" t="s">
        <v>517</v>
      </c>
      <c r="AU110" s="194" t="s">
        <v>517</v>
      </c>
      <c r="AV110" s="194" t="s">
        <v>517</v>
      </c>
      <c r="AW110" s="194" t="s">
        <v>517</v>
      </c>
      <c r="AX110" s="194" t="s">
        <v>517</v>
      </c>
      <c r="AY110" s="194" t="s">
        <v>517</v>
      </c>
      <c r="AZ110" s="194" t="s">
        <v>517</v>
      </c>
      <c r="BA110" s="194" t="s">
        <v>517</v>
      </c>
      <c r="BB110" s="194" t="s">
        <v>517</v>
      </c>
      <c r="BC110" s="194" t="s">
        <v>517</v>
      </c>
      <c r="BD110" s="194" t="s">
        <v>517</v>
      </c>
      <c r="BE110" s="194" t="s">
        <v>517</v>
      </c>
      <c r="BF110" s="194" t="s">
        <v>517</v>
      </c>
      <c r="BG110" s="194" t="s">
        <v>517</v>
      </c>
      <c r="BH110" s="194" t="s">
        <v>517</v>
      </c>
      <c r="BI110" s="194" t="s">
        <v>517</v>
      </c>
      <c r="BJ110" s="194" t="s">
        <v>517</v>
      </c>
      <c r="BK110" s="194" t="s">
        <v>517</v>
      </c>
      <c r="BL110" s="194" t="s">
        <v>517</v>
      </c>
      <c r="BM110" s="194" t="s">
        <v>517</v>
      </c>
      <c r="BN110" s="194" t="s">
        <v>517</v>
      </c>
      <c r="BO110" s="194" t="s">
        <v>517</v>
      </c>
      <c r="BP110" s="194" t="s">
        <v>517</v>
      </c>
      <c r="BQ110" s="194" t="s">
        <v>517</v>
      </c>
      <c r="BR110" s="194" t="s">
        <v>517</v>
      </c>
      <c r="BS110" s="195" t="s">
        <v>518</v>
      </c>
      <c r="BT110" s="180"/>
      <c r="BU110" s="194" t="s">
        <v>519</v>
      </c>
      <c r="BV110" s="194" t="s">
        <v>520</v>
      </c>
      <c r="BW110" s="194" t="s">
        <v>520</v>
      </c>
      <c r="BX110" s="194" t="s">
        <v>520</v>
      </c>
      <c r="BY110" s="194" t="s">
        <v>520</v>
      </c>
      <c r="BZ110" s="194" t="s">
        <v>520</v>
      </c>
      <c r="CA110" s="194" t="s">
        <v>520</v>
      </c>
      <c r="CB110" s="194" t="s">
        <v>520</v>
      </c>
      <c r="CC110" s="194" t="s">
        <v>520</v>
      </c>
      <c r="CD110" s="194" t="s">
        <v>520</v>
      </c>
      <c r="CE110" s="194" t="s">
        <v>520</v>
      </c>
      <c r="CF110" s="194" t="s">
        <v>520</v>
      </c>
      <c r="CG110" s="194" t="s">
        <v>520</v>
      </c>
      <c r="CH110" s="194" t="s">
        <v>520</v>
      </c>
      <c r="CI110" s="194" t="s">
        <v>520</v>
      </c>
      <c r="CJ110" s="194" t="s">
        <v>520</v>
      </c>
      <c r="CK110" s="194" t="s">
        <v>520</v>
      </c>
      <c r="CL110" s="194" t="s">
        <v>520</v>
      </c>
      <c r="CM110" s="194" t="s">
        <v>520</v>
      </c>
      <c r="CN110" s="194" t="s">
        <v>520</v>
      </c>
      <c r="CO110" s="194" t="s">
        <v>520</v>
      </c>
      <c r="CP110" s="194" t="s">
        <v>520</v>
      </c>
      <c r="CQ110" s="194" t="s">
        <v>520</v>
      </c>
      <c r="CR110" s="194" t="s">
        <v>520</v>
      </c>
      <c r="CS110" s="194" t="s">
        <v>520</v>
      </c>
      <c r="CT110" s="194" t="s">
        <v>520</v>
      </c>
      <c r="CU110" s="194" t="s">
        <v>520</v>
      </c>
      <c r="CV110" s="194" t="s">
        <v>520</v>
      </c>
      <c r="CW110" s="194" t="s">
        <v>520</v>
      </c>
      <c r="CX110" s="194" t="s">
        <v>520</v>
      </c>
      <c r="CY110" s="194" t="s">
        <v>520</v>
      </c>
      <c r="CZ110" s="194" t="s">
        <v>520</v>
      </c>
      <c r="DA110" s="194" t="s">
        <v>520</v>
      </c>
      <c r="DB110" s="194" t="s">
        <v>520</v>
      </c>
      <c r="DC110" s="194" t="s">
        <v>520</v>
      </c>
      <c r="DD110" s="194" t="s">
        <v>520</v>
      </c>
      <c r="DE110" s="194" t="s">
        <v>520</v>
      </c>
      <c r="DF110" s="194" t="s">
        <v>520</v>
      </c>
      <c r="DG110" s="194" t="s">
        <v>520</v>
      </c>
      <c r="DH110" s="194" t="s">
        <v>520</v>
      </c>
      <c r="DI110" s="194" t="s">
        <v>520</v>
      </c>
      <c r="DJ110" s="194" t="s">
        <v>520</v>
      </c>
      <c r="DK110" s="194" t="s">
        <v>520</v>
      </c>
      <c r="DL110" s="194" t="s">
        <v>520</v>
      </c>
      <c r="DM110" s="194" t="s">
        <v>520</v>
      </c>
      <c r="DN110" s="194" t="s">
        <v>520</v>
      </c>
      <c r="DO110" s="194" t="s">
        <v>520</v>
      </c>
      <c r="DP110" s="194" t="s">
        <v>520</v>
      </c>
      <c r="DQ110" s="194" t="s">
        <v>520</v>
      </c>
      <c r="DR110" s="194" t="s">
        <v>520</v>
      </c>
      <c r="DS110" s="194" t="s">
        <v>520</v>
      </c>
      <c r="DT110" s="194" t="s">
        <v>520</v>
      </c>
      <c r="DU110" s="194" t="s">
        <v>520</v>
      </c>
      <c r="DV110" s="194" t="s">
        <v>520</v>
      </c>
      <c r="DW110" s="194" t="s">
        <v>520</v>
      </c>
      <c r="DX110" s="194" t="s">
        <v>520</v>
      </c>
      <c r="DY110" s="194" t="s">
        <v>520</v>
      </c>
      <c r="DZ110" s="194" t="s">
        <v>520</v>
      </c>
      <c r="EA110" s="194" t="s">
        <v>520</v>
      </c>
      <c r="EB110" s="194" t="s">
        <v>520</v>
      </c>
      <c r="EC110" s="194" t="s">
        <v>520</v>
      </c>
      <c r="ED110" s="194" t="s">
        <v>520</v>
      </c>
      <c r="EE110" s="194" t="s">
        <v>520</v>
      </c>
      <c r="EF110" s="194" t="s">
        <v>520</v>
      </c>
      <c r="EG110" s="194" t="s">
        <v>520</v>
      </c>
      <c r="EH110" s="194" t="s">
        <v>520</v>
      </c>
      <c r="EI110" s="195" t="s">
        <v>521</v>
      </c>
      <c r="EJ110" s="180"/>
      <c r="EK110" s="194" t="s">
        <v>522</v>
      </c>
      <c r="EL110" s="194" t="s">
        <v>523</v>
      </c>
      <c r="EM110" s="194" t="s">
        <v>523</v>
      </c>
      <c r="EN110" s="194" t="s">
        <v>523</v>
      </c>
      <c r="EO110" s="194" t="s">
        <v>523</v>
      </c>
      <c r="EP110" s="194" t="s">
        <v>523</v>
      </c>
      <c r="EQ110" s="194" t="s">
        <v>524</v>
      </c>
      <c r="ER110" s="194" t="s">
        <v>524</v>
      </c>
      <c r="ES110" s="194" t="s">
        <v>524</v>
      </c>
      <c r="ET110" s="194" t="s">
        <v>524</v>
      </c>
      <c r="EU110" s="194" t="s">
        <v>524</v>
      </c>
      <c r="EV110" s="194" t="s">
        <v>524</v>
      </c>
      <c r="EW110" s="194" t="s">
        <v>524</v>
      </c>
      <c r="EX110" s="194" t="s">
        <v>524</v>
      </c>
      <c r="EY110" s="194" t="s">
        <v>524</v>
      </c>
      <c r="EZ110" s="194" t="s">
        <v>524</v>
      </c>
      <c r="FA110" s="194" t="s">
        <v>524</v>
      </c>
      <c r="FB110" s="194" t="s">
        <v>523</v>
      </c>
      <c r="FC110" s="194" t="s">
        <v>523</v>
      </c>
      <c r="FD110" s="194" t="s">
        <v>523</v>
      </c>
      <c r="FE110" s="194" t="s">
        <v>523</v>
      </c>
      <c r="FF110" s="194" t="s">
        <v>523</v>
      </c>
      <c r="FG110" s="194" t="s">
        <v>523</v>
      </c>
      <c r="FH110" s="194" t="s">
        <v>523</v>
      </c>
      <c r="FI110" s="194" t="s">
        <v>523</v>
      </c>
      <c r="FJ110" s="194" t="s">
        <v>523</v>
      </c>
      <c r="FK110" s="194" t="s">
        <v>523</v>
      </c>
      <c r="FL110" s="195" t="s">
        <v>523</v>
      </c>
    </row>
    <row r="111" s="180" customFormat="1" ht="30" spans="3:168">
      <c r="C111" s="180" t="s">
        <v>114</v>
      </c>
      <c r="E111" s="188" t="s">
        <v>525</v>
      </c>
      <c r="F111" s="188" t="s">
        <v>526</v>
      </c>
      <c r="G111" s="188" t="s">
        <v>526</v>
      </c>
      <c r="H111" s="188" t="s">
        <v>526</v>
      </c>
      <c r="I111" s="188" t="s">
        <v>526</v>
      </c>
      <c r="J111" s="188" t="s">
        <v>526</v>
      </c>
      <c r="K111" s="188" t="s">
        <v>526</v>
      </c>
      <c r="L111" s="188" t="s">
        <v>526</v>
      </c>
      <c r="M111" s="188" t="s">
        <v>526</v>
      </c>
      <c r="N111" s="188" t="s">
        <v>526</v>
      </c>
      <c r="O111" s="188" t="s">
        <v>526</v>
      </c>
      <c r="P111" s="188" t="s">
        <v>526</v>
      </c>
      <c r="Q111" s="188" t="s">
        <v>526</v>
      </c>
      <c r="R111" s="188" t="s">
        <v>526</v>
      </c>
      <c r="S111" s="188" t="s">
        <v>526</v>
      </c>
      <c r="T111" s="188" t="s">
        <v>526</v>
      </c>
      <c r="U111" s="188" t="s">
        <v>526</v>
      </c>
      <c r="V111" s="188" t="s">
        <v>526</v>
      </c>
      <c r="W111" s="188" t="s">
        <v>526</v>
      </c>
      <c r="X111" s="188" t="s">
        <v>526</v>
      </c>
      <c r="Y111" s="188" t="s">
        <v>526</v>
      </c>
      <c r="Z111" s="188" t="s">
        <v>526</v>
      </c>
      <c r="AA111" s="188" t="s">
        <v>526</v>
      </c>
      <c r="AB111" s="188" t="s">
        <v>526</v>
      </c>
      <c r="AC111" s="188" t="s">
        <v>526</v>
      </c>
      <c r="AD111" s="188" t="s">
        <v>526</v>
      </c>
      <c r="AE111" s="188" t="s">
        <v>526</v>
      </c>
      <c r="AF111" s="188" t="s">
        <v>526</v>
      </c>
      <c r="AG111" s="188" t="s">
        <v>526</v>
      </c>
      <c r="AH111" s="188" t="s">
        <v>526</v>
      </c>
      <c r="AI111" s="188" t="s">
        <v>526</v>
      </c>
      <c r="AJ111" s="188" t="s">
        <v>526</v>
      </c>
      <c r="AK111" s="188" t="s">
        <v>526</v>
      </c>
      <c r="AL111" s="188" t="s">
        <v>526</v>
      </c>
      <c r="AM111" s="188" t="s">
        <v>526</v>
      </c>
      <c r="AN111" s="188" t="s">
        <v>526</v>
      </c>
      <c r="AO111" s="188" t="s">
        <v>526</v>
      </c>
      <c r="AP111" s="188" t="s">
        <v>526</v>
      </c>
      <c r="AQ111" s="188" t="s">
        <v>526</v>
      </c>
      <c r="AR111" s="188" t="s">
        <v>526</v>
      </c>
      <c r="AS111" s="188" t="s">
        <v>526</v>
      </c>
      <c r="AT111" s="188" t="s">
        <v>526</v>
      </c>
      <c r="AU111" s="188" t="s">
        <v>526</v>
      </c>
      <c r="AV111" s="188" t="s">
        <v>526</v>
      </c>
      <c r="AW111" s="188" t="s">
        <v>526</v>
      </c>
      <c r="AX111" s="188" t="s">
        <v>526</v>
      </c>
      <c r="AY111" s="188" t="s">
        <v>526</v>
      </c>
      <c r="AZ111" s="188" t="s">
        <v>526</v>
      </c>
      <c r="BA111" s="188" t="s">
        <v>526</v>
      </c>
      <c r="BB111" s="188" t="s">
        <v>526</v>
      </c>
      <c r="BC111" s="188" t="s">
        <v>526</v>
      </c>
      <c r="BD111" s="188" t="s">
        <v>526</v>
      </c>
      <c r="BE111" s="188" t="s">
        <v>526</v>
      </c>
      <c r="BF111" s="188" t="s">
        <v>526</v>
      </c>
      <c r="BG111" s="188" t="s">
        <v>526</v>
      </c>
      <c r="BH111" s="188" t="s">
        <v>526</v>
      </c>
      <c r="BI111" s="188" t="s">
        <v>526</v>
      </c>
      <c r="BJ111" s="188" t="s">
        <v>526</v>
      </c>
      <c r="BK111" s="188" t="s">
        <v>526</v>
      </c>
      <c r="BL111" s="188" t="s">
        <v>526</v>
      </c>
      <c r="BM111" s="188" t="s">
        <v>526</v>
      </c>
      <c r="BN111" s="188" t="s">
        <v>526</v>
      </c>
      <c r="BO111" s="188" t="s">
        <v>526</v>
      </c>
      <c r="BP111" s="188" t="s">
        <v>526</v>
      </c>
      <c r="BQ111" s="188" t="s">
        <v>526</v>
      </c>
      <c r="BR111" s="188" t="s">
        <v>526</v>
      </c>
      <c r="BS111" s="189" t="s">
        <v>527</v>
      </c>
      <c r="BT111" s="180"/>
      <c r="BU111" s="198" t="s">
        <v>528</v>
      </c>
      <c r="BV111" s="198" t="s">
        <v>520</v>
      </c>
      <c r="BW111" s="198" t="s">
        <v>520</v>
      </c>
      <c r="BX111" s="198" t="s">
        <v>520</v>
      </c>
      <c r="BY111" s="198" t="s">
        <v>520</v>
      </c>
      <c r="BZ111" s="198" t="s">
        <v>520</v>
      </c>
      <c r="CA111" s="198" t="s">
        <v>520</v>
      </c>
      <c r="CB111" s="198" t="s">
        <v>520</v>
      </c>
      <c r="CC111" s="198" t="s">
        <v>520</v>
      </c>
      <c r="CD111" s="198" t="s">
        <v>520</v>
      </c>
      <c r="CE111" s="198" t="s">
        <v>520</v>
      </c>
      <c r="CF111" s="198" t="s">
        <v>520</v>
      </c>
      <c r="CG111" s="198" t="s">
        <v>520</v>
      </c>
      <c r="CH111" s="198" t="s">
        <v>520</v>
      </c>
      <c r="CI111" s="198" t="s">
        <v>520</v>
      </c>
      <c r="CJ111" s="198" t="s">
        <v>520</v>
      </c>
      <c r="CK111" s="198" t="s">
        <v>520</v>
      </c>
      <c r="CL111" s="198" t="s">
        <v>520</v>
      </c>
      <c r="CM111" s="198" t="s">
        <v>520</v>
      </c>
      <c r="CN111" s="198" t="s">
        <v>520</v>
      </c>
      <c r="CO111" s="198" t="s">
        <v>520</v>
      </c>
      <c r="CP111" s="198" t="s">
        <v>520</v>
      </c>
      <c r="CQ111" s="198" t="s">
        <v>520</v>
      </c>
      <c r="CR111" s="198" t="s">
        <v>520</v>
      </c>
      <c r="CS111" s="198" t="s">
        <v>520</v>
      </c>
      <c r="CT111" s="198" t="s">
        <v>520</v>
      </c>
      <c r="CU111" s="198" t="s">
        <v>520</v>
      </c>
      <c r="CV111" s="198" t="s">
        <v>520</v>
      </c>
      <c r="CW111" s="198" t="s">
        <v>520</v>
      </c>
      <c r="CX111" s="198" t="s">
        <v>520</v>
      </c>
      <c r="CY111" s="198" t="s">
        <v>520</v>
      </c>
      <c r="CZ111" s="198" t="s">
        <v>520</v>
      </c>
      <c r="DA111" s="198" t="s">
        <v>520</v>
      </c>
      <c r="DB111" s="198" t="s">
        <v>520</v>
      </c>
      <c r="DC111" s="198" t="s">
        <v>520</v>
      </c>
      <c r="DD111" s="198" t="s">
        <v>520</v>
      </c>
      <c r="DE111" s="198" t="s">
        <v>520</v>
      </c>
      <c r="DF111" s="198" t="s">
        <v>520</v>
      </c>
      <c r="DG111" s="198" t="s">
        <v>520</v>
      </c>
      <c r="DH111" s="198" t="s">
        <v>520</v>
      </c>
      <c r="DI111" s="198" t="s">
        <v>520</v>
      </c>
      <c r="DJ111" s="198" t="s">
        <v>520</v>
      </c>
      <c r="DK111" s="198" t="s">
        <v>520</v>
      </c>
      <c r="DL111" s="198" t="s">
        <v>520</v>
      </c>
      <c r="DM111" s="198" t="s">
        <v>520</v>
      </c>
      <c r="DN111" s="198" t="s">
        <v>520</v>
      </c>
      <c r="DO111" s="198" t="s">
        <v>520</v>
      </c>
      <c r="DP111" s="198" t="s">
        <v>520</v>
      </c>
      <c r="DQ111" s="198" t="s">
        <v>520</v>
      </c>
      <c r="DR111" s="198" t="s">
        <v>520</v>
      </c>
      <c r="DS111" s="198" t="s">
        <v>520</v>
      </c>
      <c r="DT111" s="198" t="s">
        <v>520</v>
      </c>
      <c r="DU111" s="198" t="s">
        <v>520</v>
      </c>
      <c r="DV111" s="198" t="s">
        <v>520</v>
      </c>
      <c r="DW111" s="198" t="s">
        <v>520</v>
      </c>
      <c r="DX111" s="198" t="s">
        <v>520</v>
      </c>
      <c r="DY111" s="198" t="s">
        <v>520</v>
      </c>
      <c r="DZ111" s="198" t="s">
        <v>520</v>
      </c>
      <c r="EA111" s="198" t="s">
        <v>520</v>
      </c>
      <c r="EB111" s="198" t="s">
        <v>520</v>
      </c>
      <c r="EC111" s="198" t="s">
        <v>520</v>
      </c>
      <c r="ED111" s="198" t="s">
        <v>520</v>
      </c>
      <c r="EE111" s="198" t="s">
        <v>520</v>
      </c>
      <c r="EF111" s="198" t="s">
        <v>520</v>
      </c>
      <c r="EG111" s="198" t="s">
        <v>520</v>
      </c>
      <c r="EH111" s="198" t="s">
        <v>520</v>
      </c>
      <c r="EI111" s="199" t="s">
        <v>521</v>
      </c>
      <c r="EJ111" s="180"/>
      <c r="EK111" s="200" t="s">
        <v>529</v>
      </c>
      <c r="EL111" s="201" t="s">
        <v>523</v>
      </c>
      <c r="EM111" s="201" t="s">
        <v>523</v>
      </c>
      <c r="EN111" s="201" t="s">
        <v>523</v>
      </c>
      <c r="EO111" s="201" t="s">
        <v>523</v>
      </c>
      <c r="EP111" s="201" t="s">
        <v>523</v>
      </c>
      <c r="EQ111" s="201" t="s">
        <v>524</v>
      </c>
      <c r="ER111" s="201" t="s">
        <v>524</v>
      </c>
      <c r="ES111" s="201" t="s">
        <v>524</v>
      </c>
      <c r="ET111" s="201" t="s">
        <v>524</v>
      </c>
      <c r="EU111" s="201" t="s">
        <v>524</v>
      </c>
      <c r="EV111" s="201" t="s">
        <v>524</v>
      </c>
      <c r="EW111" s="201" t="s">
        <v>524</v>
      </c>
      <c r="EX111" s="201" t="s">
        <v>524</v>
      </c>
      <c r="EY111" s="201" t="s">
        <v>524</v>
      </c>
      <c r="EZ111" s="201" t="s">
        <v>524</v>
      </c>
      <c r="FA111" s="201" t="s">
        <v>524</v>
      </c>
      <c r="FB111" s="201" t="s">
        <v>523</v>
      </c>
      <c r="FC111" s="201" t="s">
        <v>523</v>
      </c>
      <c r="FD111" s="201" t="s">
        <v>523</v>
      </c>
      <c r="FE111" s="201" t="s">
        <v>523</v>
      </c>
      <c r="FF111" s="201" t="s">
        <v>523</v>
      </c>
      <c r="FG111" s="201" t="s">
        <v>523</v>
      </c>
      <c r="FH111" s="201" t="s">
        <v>523</v>
      </c>
      <c r="FI111" s="201" t="s">
        <v>523</v>
      </c>
      <c r="FJ111" s="201" t="s">
        <v>523</v>
      </c>
      <c r="FK111" s="201" t="s">
        <v>523</v>
      </c>
      <c r="FL111" s="202" t="s">
        <v>523</v>
      </c>
    </row>
    <row r="112" s="180" customFormat="1" spans="1:141">
      <c r="A112" s="180" t="s">
        <v>114</v>
      </c>
      <c r="BU112" s="180" t="s">
        <v>530</v>
      </c>
      <c r="EK112" s="207" t="s">
        <v>531</v>
      </c>
    </row>
    <row r="113" s="180" customFormat="1" spans="1:1">
      <c r="A113" s="180" t="s">
        <v>532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S10"/>
    <mergeCell ref="BU10:EI10"/>
    <mergeCell ref="EK10:FL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Y113"/>
  <sheetViews>
    <sheetView zoomScale="90" zoomScaleNormal="90" topLeftCell="A11" workbookViewId="0">
      <selection activeCell="G47" sqref="G47"/>
    </sheetView>
  </sheetViews>
  <sheetFormatPr defaultColWidth="9" defaultRowHeight="15"/>
  <cols>
    <col min="1" max="3" width="13.7142857142857" style="180" customWidth="1"/>
    <col min="4" max="4" width="9" style="180"/>
    <col min="5" max="57" width="13.7142857142857" style="180" customWidth="1"/>
    <col min="58" max="58" width="9" style="180"/>
    <col min="59" max="111" width="13.7142857142857" style="180" customWidth="1"/>
    <col min="112" max="112" width="9" style="180"/>
    <col min="113" max="129" width="13.7142857142857" style="180" customWidth="1"/>
    <col min="130" max="16384" width="9" style="180"/>
  </cols>
  <sheetData>
    <row r="1" s="180" customFormat="1" ht="30" spans="1:3">
      <c r="A1" s="181" t="s">
        <v>335</v>
      </c>
      <c r="B1" s="181"/>
      <c r="C1" s="181" t="s">
        <v>336</v>
      </c>
    </row>
    <row r="2" s="180" customFormat="1" spans="1:3">
      <c r="A2" s="181" t="s">
        <v>337</v>
      </c>
      <c r="B2" s="181"/>
      <c r="C2" s="181" t="s">
        <v>338</v>
      </c>
    </row>
    <row r="3" s="180" customFormat="1" spans="1:3">
      <c r="A3" s="181"/>
      <c r="B3" s="181"/>
      <c r="C3" s="181"/>
    </row>
    <row r="4" s="180" customFormat="1" spans="1:3">
      <c r="A4" s="181" t="s">
        <v>339</v>
      </c>
      <c r="B4" s="181"/>
      <c r="C4" s="182">
        <v>46033</v>
      </c>
    </row>
    <row r="5" s="180" customFormat="1" spans="1:3">
      <c r="A5" s="181" t="s">
        <v>340</v>
      </c>
      <c r="B5" s="181"/>
      <c r="C5" s="183">
        <v>0.513194444444444</v>
      </c>
    </row>
    <row r="6" s="180" customFormat="1" spans="1:3">
      <c r="A6" s="181" t="s">
        <v>341</v>
      </c>
      <c r="B6" s="181"/>
      <c r="C6" s="182">
        <v>46034</v>
      </c>
    </row>
    <row r="7" s="180" customFormat="1" spans="1:1">
      <c r="A7" s="180" t="s">
        <v>343</v>
      </c>
    </row>
    <row r="9" s="180" customFormat="1" ht="30" customHeight="1" spans="1:129">
      <c r="A9" s="184" t="s">
        <v>344</v>
      </c>
      <c r="B9" s="185"/>
      <c r="C9" s="186"/>
      <c r="E9" s="184" t="s">
        <v>345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6"/>
      <c r="BF9" s="180"/>
      <c r="BG9" s="184" t="s">
        <v>346</v>
      </c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6"/>
      <c r="DH9" s="180"/>
      <c r="DI9" s="184" t="s">
        <v>347</v>
      </c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6"/>
    </row>
    <row r="10" s="180" customFormat="1" ht="75" spans="1:129">
      <c r="A10" s="187" t="s">
        <v>348</v>
      </c>
      <c r="B10" s="188" t="s">
        <v>349</v>
      </c>
      <c r="C10" s="189" t="s">
        <v>350</v>
      </c>
      <c r="E10" s="188" t="s">
        <v>348</v>
      </c>
      <c r="F10" s="188" t="s">
        <v>533</v>
      </c>
      <c r="G10" s="188" t="s">
        <v>352</v>
      </c>
      <c r="H10" s="188" t="s">
        <v>534</v>
      </c>
      <c r="I10" s="188" t="s">
        <v>535</v>
      </c>
      <c r="J10" s="188" t="s">
        <v>536</v>
      </c>
      <c r="K10" s="188" t="s">
        <v>537</v>
      </c>
      <c r="L10" s="188" t="s">
        <v>360</v>
      </c>
      <c r="M10" s="188" t="s">
        <v>363</v>
      </c>
      <c r="N10" s="188" t="s">
        <v>364</v>
      </c>
      <c r="O10" s="188" t="s">
        <v>538</v>
      </c>
      <c r="P10" s="188" t="s">
        <v>539</v>
      </c>
      <c r="Q10" s="188" t="s">
        <v>540</v>
      </c>
      <c r="R10" s="188" t="s">
        <v>541</v>
      </c>
      <c r="S10" s="188" t="s">
        <v>370</v>
      </c>
      <c r="T10" s="188" t="s">
        <v>542</v>
      </c>
      <c r="U10" s="188" t="s">
        <v>543</v>
      </c>
      <c r="V10" s="188" t="s">
        <v>544</v>
      </c>
      <c r="W10" s="188" t="s">
        <v>545</v>
      </c>
      <c r="X10" s="188" t="s">
        <v>378</v>
      </c>
      <c r="Y10" s="188" t="s">
        <v>379</v>
      </c>
      <c r="Z10" s="188" t="s">
        <v>546</v>
      </c>
      <c r="AA10" s="188" t="s">
        <v>380</v>
      </c>
      <c r="AB10" s="188" t="s">
        <v>381</v>
      </c>
      <c r="AC10" s="188" t="s">
        <v>387</v>
      </c>
      <c r="AD10" s="188" t="s">
        <v>388</v>
      </c>
      <c r="AE10" s="188" t="s">
        <v>389</v>
      </c>
      <c r="AF10" s="188" t="s">
        <v>397</v>
      </c>
      <c r="AG10" s="188" t="s">
        <v>398</v>
      </c>
      <c r="AH10" s="188" t="s">
        <v>400</v>
      </c>
      <c r="AI10" s="188" t="s">
        <v>547</v>
      </c>
      <c r="AJ10" s="188" t="s">
        <v>401</v>
      </c>
      <c r="AK10" s="188" t="s">
        <v>548</v>
      </c>
      <c r="AL10" s="188" t="s">
        <v>549</v>
      </c>
      <c r="AM10" s="188" t="s">
        <v>550</v>
      </c>
      <c r="AN10" s="188" t="s">
        <v>551</v>
      </c>
      <c r="AO10" s="188" t="s">
        <v>411</v>
      </c>
      <c r="AP10" s="188" t="s">
        <v>552</v>
      </c>
      <c r="AQ10" s="188" t="s">
        <v>553</v>
      </c>
      <c r="AR10" s="188" t="s">
        <v>412</v>
      </c>
      <c r="AS10" s="188" t="s">
        <v>554</v>
      </c>
      <c r="AT10" s="188" t="s">
        <v>555</v>
      </c>
      <c r="AU10" s="188" t="s">
        <v>556</v>
      </c>
      <c r="AV10" s="188" t="s">
        <v>557</v>
      </c>
      <c r="AW10" s="188" t="s">
        <v>558</v>
      </c>
      <c r="AX10" s="188" t="s">
        <v>559</v>
      </c>
      <c r="AY10" s="188" t="s">
        <v>560</v>
      </c>
      <c r="AZ10" s="188" t="s">
        <v>561</v>
      </c>
      <c r="BA10" s="188" t="s">
        <v>562</v>
      </c>
      <c r="BB10" s="188" t="s">
        <v>563</v>
      </c>
      <c r="BC10" s="188" t="s">
        <v>564</v>
      </c>
      <c r="BD10" s="188" t="s">
        <v>565</v>
      </c>
      <c r="BE10" s="189" t="s">
        <v>566</v>
      </c>
      <c r="BF10" s="180"/>
      <c r="BG10" s="188" t="s">
        <v>348</v>
      </c>
      <c r="BH10" s="188" t="s">
        <v>533</v>
      </c>
      <c r="BI10" s="188" t="s">
        <v>352</v>
      </c>
      <c r="BJ10" s="188" t="s">
        <v>534</v>
      </c>
      <c r="BK10" s="188" t="s">
        <v>535</v>
      </c>
      <c r="BL10" s="188" t="s">
        <v>536</v>
      </c>
      <c r="BM10" s="188" t="s">
        <v>537</v>
      </c>
      <c r="BN10" s="188" t="s">
        <v>360</v>
      </c>
      <c r="BO10" s="188" t="s">
        <v>363</v>
      </c>
      <c r="BP10" s="188" t="s">
        <v>364</v>
      </c>
      <c r="BQ10" s="188" t="s">
        <v>538</v>
      </c>
      <c r="BR10" s="188" t="s">
        <v>539</v>
      </c>
      <c r="BS10" s="188" t="s">
        <v>540</v>
      </c>
      <c r="BT10" s="188" t="s">
        <v>541</v>
      </c>
      <c r="BU10" s="188" t="s">
        <v>370</v>
      </c>
      <c r="BV10" s="188" t="s">
        <v>542</v>
      </c>
      <c r="BW10" s="188" t="s">
        <v>543</v>
      </c>
      <c r="BX10" s="188" t="s">
        <v>544</v>
      </c>
      <c r="BY10" s="188" t="s">
        <v>545</v>
      </c>
      <c r="BZ10" s="188" t="s">
        <v>378</v>
      </c>
      <c r="CA10" s="188" t="s">
        <v>379</v>
      </c>
      <c r="CB10" s="188" t="s">
        <v>546</v>
      </c>
      <c r="CC10" s="188" t="s">
        <v>380</v>
      </c>
      <c r="CD10" s="188" t="s">
        <v>381</v>
      </c>
      <c r="CE10" s="188" t="s">
        <v>387</v>
      </c>
      <c r="CF10" s="188" t="s">
        <v>388</v>
      </c>
      <c r="CG10" s="188" t="s">
        <v>389</v>
      </c>
      <c r="CH10" s="188" t="s">
        <v>397</v>
      </c>
      <c r="CI10" s="188" t="s">
        <v>398</v>
      </c>
      <c r="CJ10" s="188" t="s">
        <v>400</v>
      </c>
      <c r="CK10" s="188" t="s">
        <v>547</v>
      </c>
      <c r="CL10" s="188" t="s">
        <v>401</v>
      </c>
      <c r="CM10" s="188" t="s">
        <v>548</v>
      </c>
      <c r="CN10" s="188" t="s">
        <v>549</v>
      </c>
      <c r="CO10" s="188" t="s">
        <v>550</v>
      </c>
      <c r="CP10" s="188" t="s">
        <v>551</v>
      </c>
      <c r="CQ10" s="188" t="s">
        <v>411</v>
      </c>
      <c r="CR10" s="188" t="s">
        <v>552</v>
      </c>
      <c r="CS10" s="188" t="s">
        <v>553</v>
      </c>
      <c r="CT10" s="188" t="s">
        <v>412</v>
      </c>
      <c r="CU10" s="188" t="s">
        <v>554</v>
      </c>
      <c r="CV10" s="188" t="s">
        <v>555</v>
      </c>
      <c r="CW10" s="188" t="s">
        <v>556</v>
      </c>
      <c r="CX10" s="188" t="s">
        <v>557</v>
      </c>
      <c r="CY10" s="188" t="s">
        <v>558</v>
      </c>
      <c r="CZ10" s="188" t="s">
        <v>559</v>
      </c>
      <c r="DA10" s="188" t="s">
        <v>560</v>
      </c>
      <c r="DB10" s="188" t="s">
        <v>561</v>
      </c>
      <c r="DC10" s="188" t="s">
        <v>562</v>
      </c>
      <c r="DD10" s="188" t="s">
        <v>563</v>
      </c>
      <c r="DE10" s="188" t="s">
        <v>564</v>
      </c>
      <c r="DF10" s="188" t="s">
        <v>565</v>
      </c>
      <c r="DG10" s="189" t="s">
        <v>566</v>
      </c>
      <c r="DH10" s="180"/>
      <c r="DI10" s="188" t="s">
        <v>348</v>
      </c>
      <c r="DJ10" s="188" t="s">
        <v>534</v>
      </c>
      <c r="DK10" s="188" t="s">
        <v>535</v>
      </c>
      <c r="DL10" s="188" t="s">
        <v>537</v>
      </c>
      <c r="DM10" s="188" t="s">
        <v>538</v>
      </c>
      <c r="DN10" s="188" t="s">
        <v>539</v>
      </c>
      <c r="DO10" s="188" t="s">
        <v>540</v>
      </c>
      <c r="DP10" s="188" t="s">
        <v>541</v>
      </c>
      <c r="DQ10" s="188" t="s">
        <v>542</v>
      </c>
      <c r="DR10" s="188" t="s">
        <v>543</v>
      </c>
      <c r="DS10" s="188" t="s">
        <v>544</v>
      </c>
      <c r="DT10" s="188" t="s">
        <v>381</v>
      </c>
      <c r="DU10" s="188" t="s">
        <v>387</v>
      </c>
      <c r="DV10" s="188" t="s">
        <v>549</v>
      </c>
      <c r="DW10" s="188" t="s">
        <v>551</v>
      </c>
      <c r="DX10" s="188" t="s">
        <v>552</v>
      </c>
      <c r="DY10" s="189" t="s">
        <v>553</v>
      </c>
    </row>
    <row r="11" s="180" customFormat="1" spans="1:129">
      <c r="A11" s="190" t="s">
        <v>417</v>
      </c>
      <c r="B11" s="191">
        <v>-31.4</v>
      </c>
      <c r="C11" s="192">
        <v>206.66</v>
      </c>
      <c r="E11" s="191" t="s">
        <v>417</v>
      </c>
      <c r="F11" s="191">
        <v>11.42</v>
      </c>
      <c r="G11" s="191">
        <v>0</v>
      </c>
      <c r="H11" s="191">
        <v>2.86</v>
      </c>
      <c r="I11" s="191">
        <v>1.14</v>
      </c>
      <c r="J11" s="191">
        <v>0</v>
      </c>
      <c r="K11" s="191">
        <v>0</v>
      </c>
      <c r="L11" s="191">
        <v>0</v>
      </c>
      <c r="M11" s="191">
        <v>0</v>
      </c>
      <c r="N11" s="191">
        <v>3.81</v>
      </c>
      <c r="O11" s="191">
        <v>0</v>
      </c>
      <c r="P11" s="191">
        <v>2.19</v>
      </c>
      <c r="Q11" s="191">
        <v>5.52</v>
      </c>
      <c r="R11" s="191">
        <v>5.71</v>
      </c>
      <c r="S11" s="191">
        <v>0</v>
      </c>
      <c r="T11" s="191">
        <v>0.67</v>
      </c>
      <c r="U11" s="191">
        <v>2.19</v>
      </c>
      <c r="V11" s="191">
        <v>2.67</v>
      </c>
      <c r="W11" s="191">
        <v>-0.9</v>
      </c>
      <c r="X11" s="191">
        <v>-5.5</v>
      </c>
      <c r="Y11" s="191">
        <v>-2.4</v>
      </c>
      <c r="Z11" s="191">
        <v>-3</v>
      </c>
      <c r="AA11" s="191">
        <v>19.04</v>
      </c>
      <c r="AB11" s="191">
        <v>0</v>
      </c>
      <c r="AC11" s="191">
        <v>7.04</v>
      </c>
      <c r="AD11" s="191">
        <v>3.62</v>
      </c>
      <c r="AE11" s="191">
        <v>13.52</v>
      </c>
      <c r="AF11" s="191">
        <v>0</v>
      </c>
      <c r="AG11" s="191">
        <v>0</v>
      </c>
      <c r="AH11" s="191">
        <v>3.33</v>
      </c>
      <c r="AI11" s="191">
        <v>38.55</v>
      </c>
      <c r="AJ11" s="191">
        <v>7.14</v>
      </c>
      <c r="AK11" s="191">
        <v>0.95</v>
      </c>
      <c r="AL11" s="191">
        <v>0.57</v>
      </c>
      <c r="AM11" s="191">
        <v>0</v>
      </c>
      <c r="AN11" s="191">
        <v>0</v>
      </c>
      <c r="AO11" s="191">
        <v>71.39</v>
      </c>
      <c r="AP11" s="191">
        <v>3.33</v>
      </c>
      <c r="AQ11" s="191">
        <v>0</v>
      </c>
      <c r="AR11" s="191">
        <v>-9.7</v>
      </c>
      <c r="AS11" s="191">
        <v>-0.5</v>
      </c>
      <c r="AT11" s="191">
        <v>-0.5</v>
      </c>
      <c r="AU11" s="191">
        <v>-0.5</v>
      </c>
      <c r="AV11" s="191">
        <v>-1.3</v>
      </c>
      <c r="AW11" s="191">
        <v>-0.5</v>
      </c>
      <c r="AX11" s="191">
        <v>-1.1</v>
      </c>
      <c r="AY11" s="191">
        <v>-1.5</v>
      </c>
      <c r="AZ11" s="191">
        <v>-2.3</v>
      </c>
      <c r="BA11" s="191">
        <v>-0.7</v>
      </c>
      <c r="BB11" s="191">
        <v>-0.2</v>
      </c>
      <c r="BC11" s="191">
        <v>-0.2</v>
      </c>
      <c r="BD11" s="191">
        <v>-0.4</v>
      </c>
      <c r="BE11" s="192">
        <v>-0.2</v>
      </c>
      <c r="BF11" s="180"/>
      <c r="BG11" s="191" t="s">
        <v>417</v>
      </c>
      <c r="BH11" s="191">
        <v>11.14</v>
      </c>
      <c r="BI11" s="191">
        <v>0</v>
      </c>
      <c r="BJ11" s="191">
        <v>2.79</v>
      </c>
      <c r="BK11" s="191">
        <v>1.11</v>
      </c>
      <c r="BL11" s="191">
        <v>0</v>
      </c>
      <c r="BM11" s="191">
        <v>0</v>
      </c>
      <c r="BN11" s="191">
        <v>0</v>
      </c>
      <c r="BO11" s="191">
        <v>0</v>
      </c>
      <c r="BP11" s="191">
        <v>3.72</v>
      </c>
      <c r="BQ11" s="191">
        <v>0</v>
      </c>
      <c r="BR11" s="191">
        <v>2.14</v>
      </c>
      <c r="BS11" s="191">
        <v>5.38</v>
      </c>
      <c r="BT11" s="191">
        <v>5.57</v>
      </c>
      <c r="BU11" s="191">
        <v>0</v>
      </c>
      <c r="BV11" s="191">
        <v>0.65</v>
      </c>
      <c r="BW11" s="191">
        <v>2.14</v>
      </c>
      <c r="BX11" s="191">
        <v>2.6</v>
      </c>
      <c r="BY11" s="191">
        <v>-0.92</v>
      </c>
      <c r="BZ11" s="191">
        <v>-5.64</v>
      </c>
      <c r="CA11" s="191">
        <v>-2.46</v>
      </c>
      <c r="CB11" s="191">
        <v>-3.08</v>
      </c>
      <c r="CC11" s="191">
        <v>18.57</v>
      </c>
      <c r="CD11" s="191">
        <v>0</v>
      </c>
      <c r="CE11" s="191">
        <v>6.87</v>
      </c>
      <c r="CF11" s="191">
        <v>3.53</v>
      </c>
      <c r="CG11" s="191">
        <v>13.19</v>
      </c>
      <c r="CH11" s="191">
        <v>0</v>
      </c>
      <c r="CI11" s="191">
        <v>0</v>
      </c>
      <c r="CJ11" s="191">
        <v>3.25</v>
      </c>
      <c r="CK11" s="191">
        <v>37.6</v>
      </c>
      <c r="CL11" s="191">
        <v>6.96</v>
      </c>
      <c r="CM11" s="191">
        <v>0.93</v>
      </c>
      <c r="CN11" s="191">
        <v>0.56</v>
      </c>
      <c r="CO11" s="191">
        <v>0</v>
      </c>
      <c r="CP11" s="191">
        <v>0</v>
      </c>
      <c r="CQ11" s="191">
        <v>69.63</v>
      </c>
      <c r="CR11" s="191">
        <v>3.25</v>
      </c>
      <c r="CS11" s="191">
        <v>0</v>
      </c>
      <c r="CT11" s="191">
        <v>-9.94</v>
      </c>
      <c r="CU11" s="191">
        <v>-0.51</v>
      </c>
      <c r="CV11" s="191">
        <v>-0.51</v>
      </c>
      <c r="CW11" s="191">
        <v>-0.51</v>
      </c>
      <c r="CX11" s="191">
        <v>-1.33</v>
      </c>
      <c r="CY11" s="191">
        <v>-0.51</v>
      </c>
      <c r="CZ11" s="191">
        <v>-1.13</v>
      </c>
      <c r="DA11" s="191">
        <v>-1.54</v>
      </c>
      <c r="DB11" s="191">
        <v>-2.36</v>
      </c>
      <c r="DC11" s="191">
        <v>-0.72</v>
      </c>
      <c r="DD11" s="191">
        <v>-0.21</v>
      </c>
      <c r="DE11" s="191">
        <v>-0.21</v>
      </c>
      <c r="DF11" s="191">
        <v>-0.41</v>
      </c>
      <c r="DG11" s="192">
        <v>-0.21</v>
      </c>
      <c r="DH11" s="180"/>
      <c r="DI11" s="191" t="s">
        <v>417</v>
      </c>
      <c r="DJ11" s="191">
        <v>2.71</v>
      </c>
      <c r="DK11" s="191">
        <v>1.08</v>
      </c>
      <c r="DL11" s="191">
        <v>0</v>
      </c>
      <c r="DM11" s="191">
        <v>0</v>
      </c>
      <c r="DN11" s="191">
        <v>2.08</v>
      </c>
      <c r="DO11" s="191">
        <v>5.23</v>
      </c>
      <c r="DP11" s="191">
        <v>5.42</v>
      </c>
      <c r="DQ11" s="191">
        <v>0.63</v>
      </c>
      <c r="DR11" s="191">
        <v>2.08</v>
      </c>
      <c r="DS11" s="191">
        <v>2.53</v>
      </c>
      <c r="DT11" s="191">
        <v>0</v>
      </c>
      <c r="DU11" s="191">
        <v>6.67</v>
      </c>
      <c r="DV11" s="191">
        <v>0.54</v>
      </c>
      <c r="DW11" s="191">
        <v>0</v>
      </c>
      <c r="DX11" s="191">
        <v>3.15</v>
      </c>
      <c r="DY11" s="192">
        <v>0</v>
      </c>
    </row>
    <row r="12" s="180" customFormat="1" spans="1:129">
      <c r="A12" s="190" t="s">
        <v>418</v>
      </c>
      <c r="B12" s="191">
        <v>-30.3</v>
      </c>
      <c r="C12" s="192">
        <v>206.66</v>
      </c>
      <c r="E12" s="191" t="s">
        <v>418</v>
      </c>
      <c r="F12" s="191">
        <v>11.42</v>
      </c>
      <c r="G12" s="191">
        <v>0</v>
      </c>
      <c r="H12" s="191">
        <v>2.86</v>
      </c>
      <c r="I12" s="191">
        <v>1.14</v>
      </c>
      <c r="J12" s="191">
        <v>0</v>
      </c>
      <c r="K12" s="191">
        <v>0</v>
      </c>
      <c r="L12" s="191">
        <v>0</v>
      </c>
      <c r="M12" s="191">
        <v>0</v>
      </c>
      <c r="N12" s="191">
        <v>3.81</v>
      </c>
      <c r="O12" s="191">
        <v>0</v>
      </c>
      <c r="P12" s="191">
        <v>2.19</v>
      </c>
      <c r="Q12" s="191">
        <v>5.52</v>
      </c>
      <c r="R12" s="191">
        <v>5.71</v>
      </c>
      <c r="S12" s="191">
        <v>0</v>
      </c>
      <c r="T12" s="191">
        <v>0.67</v>
      </c>
      <c r="U12" s="191">
        <v>2.19</v>
      </c>
      <c r="V12" s="191">
        <v>2.67</v>
      </c>
      <c r="W12" s="191">
        <v>-0.9</v>
      </c>
      <c r="X12" s="191">
        <v>-5.5</v>
      </c>
      <c r="Y12" s="191">
        <v>-2.4</v>
      </c>
      <c r="Z12" s="191">
        <v>-3</v>
      </c>
      <c r="AA12" s="191">
        <v>19.04</v>
      </c>
      <c r="AB12" s="191">
        <v>0</v>
      </c>
      <c r="AC12" s="191">
        <v>7.04</v>
      </c>
      <c r="AD12" s="191">
        <v>3.62</v>
      </c>
      <c r="AE12" s="191">
        <v>13.52</v>
      </c>
      <c r="AF12" s="191">
        <v>0</v>
      </c>
      <c r="AG12" s="191">
        <v>0</v>
      </c>
      <c r="AH12" s="191">
        <v>3.33</v>
      </c>
      <c r="AI12" s="191">
        <v>38.55</v>
      </c>
      <c r="AJ12" s="191">
        <v>7.14</v>
      </c>
      <c r="AK12" s="191">
        <v>0.95</v>
      </c>
      <c r="AL12" s="191">
        <v>0.57</v>
      </c>
      <c r="AM12" s="191">
        <v>0</v>
      </c>
      <c r="AN12" s="191">
        <v>0</v>
      </c>
      <c r="AO12" s="191">
        <v>71.39</v>
      </c>
      <c r="AP12" s="191">
        <v>3.33</v>
      </c>
      <c r="AQ12" s="191">
        <v>0</v>
      </c>
      <c r="AR12" s="191">
        <v>-9</v>
      </c>
      <c r="AS12" s="191">
        <v>-0.5</v>
      </c>
      <c r="AT12" s="191">
        <v>-0.5</v>
      </c>
      <c r="AU12" s="191">
        <v>-0.5</v>
      </c>
      <c r="AV12" s="191">
        <v>-1.2</v>
      </c>
      <c r="AW12" s="191">
        <v>-0.5</v>
      </c>
      <c r="AX12" s="191">
        <v>-1</v>
      </c>
      <c r="AY12" s="191">
        <v>-1.4</v>
      </c>
      <c r="AZ12" s="191">
        <v>-2.2</v>
      </c>
      <c r="BA12" s="191">
        <v>-0.7</v>
      </c>
      <c r="BB12" s="191">
        <v>-0.2</v>
      </c>
      <c r="BC12" s="191">
        <v>-0.2</v>
      </c>
      <c r="BD12" s="191">
        <v>-0.4</v>
      </c>
      <c r="BE12" s="192">
        <v>-0.2</v>
      </c>
      <c r="BF12" s="180"/>
      <c r="BG12" s="191" t="s">
        <v>418</v>
      </c>
      <c r="BH12" s="191">
        <v>11.14</v>
      </c>
      <c r="BI12" s="191">
        <v>0</v>
      </c>
      <c r="BJ12" s="191">
        <v>2.79</v>
      </c>
      <c r="BK12" s="191">
        <v>1.11</v>
      </c>
      <c r="BL12" s="191">
        <v>0</v>
      </c>
      <c r="BM12" s="191">
        <v>0</v>
      </c>
      <c r="BN12" s="191">
        <v>0</v>
      </c>
      <c r="BO12" s="191">
        <v>0</v>
      </c>
      <c r="BP12" s="191">
        <v>3.72</v>
      </c>
      <c r="BQ12" s="191">
        <v>0</v>
      </c>
      <c r="BR12" s="191">
        <v>2.14</v>
      </c>
      <c r="BS12" s="191">
        <v>5.38</v>
      </c>
      <c r="BT12" s="191">
        <v>5.57</v>
      </c>
      <c r="BU12" s="191">
        <v>0</v>
      </c>
      <c r="BV12" s="191">
        <v>0.65</v>
      </c>
      <c r="BW12" s="191">
        <v>2.14</v>
      </c>
      <c r="BX12" s="191">
        <v>2.6</v>
      </c>
      <c r="BY12" s="191">
        <v>-0.92</v>
      </c>
      <c r="BZ12" s="191">
        <v>-5.64</v>
      </c>
      <c r="CA12" s="191">
        <v>-2.46</v>
      </c>
      <c r="CB12" s="191">
        <v>-3.08</v>
      </c>
      <c r="CC12" s="191">
        <v>18.57</v>
      </c>
      <c r="CD12" s="191">
        <v>0</v>
      </c>
      <c r="CE12" s="191">
        <v>6.87</v>
      </c>
      <c r="CF12" s="191">
        <v>3.53</v>
      </c>
      <c r="CG12" s="191">
        <v>13.19</v>
      </c>
      <c r="CH12" s="191">
        <v>0</v>
      </c>
      <c r="CI12" s="191">
        <v>0</v>
      </c>
      <c r="CJ12" s="191">
        <v>3.25</v>
      </c>
      <c r="CK12" s="191">
        <v>37.6</v>
      </c>
      <c r="CL12" s="191">
        <v>6.96</v>
      </c>
      <c r="CM12" s="191">
        <v>0.93</v>
      </c>
      <c r="CN12" s="191">
        <v>0.56</v>
      </c>
      <c r="CO12" s="191">
        <v>0</v>
      </c>
      <c r="CP12" s="191">
        <v>0</v>
      </c>
      <c r="CQ12" s="191">
        <v>69.63</v>
      </c>
      <c r="CR12" s="191">
        <v>3.25</v>
      </c>
      <c r="CS12" s="191">
        <v>0</v>
      </c>
      <c r="CT12" s="191">
        <v>-9.23</v>
      </c>
      <c r="CU12" s="191">
        <v>-0.51</v>
      </c>
      <c r="CV12" s="191">
        <v>-0.51</v>
      </c>
      <c r="CW12" s="191">
        <v>-0.51</v>
      </c>
      <c r="CX12" s="191">
        <v>-1.23</v>
      </c>
      <c r="CY12" s="191">
        <v>-0.51</v>
      </c>
      <c r="CZ12" s="191">
        <v>-1.03</v>
      </c>
      <c r="DA12" s="191">
        <v>-1.44</v>
      </c>
      <c r="DB12" s="191">
        <v>-2.26</v>
      </c>
      <c r="DC12" s="191">
        <v>-0.72</v>
      </c>
      <c r="DD12" s="191">
        <v>-0.21</v>
      </c>
      <c r="DE12" s="191">
        <v>-0.21</v>
      </c>
      <c r="DF12" s="191">
        <v>-0.41</v>
      </c>
      <c r="DG12" s="192">
        <v>-0.21</v>
      </c>
      <c r="DH12" s="180"/>
      <c r="DI12" s="191" t="s">
        <v>418</v>
      </c>
      <c r="DJ12" s="191">
        <v>2.71</v>
      </c>
      <c r="DK12" s="191">
        <v>1.08</v>
      </c>
      <c r="DL12" s="191">
        <v>0</v>
      </c>
      <c r="DM12" s="191">
        <v>0</v>
      </c>
      <c r="DN12" s="191">
        <v>2.08</v>
      </c>
      <c r="DO12" s="191">
        <v>5.23</v>
      </c>
      <c r="DP12" s="191">
        <v>5.42</v>
      </c>
      <c r="DQ12" s="191">
        <v>0.63</v>
      </c>
      <c r="DR12" s="191">
        <v>2.08</v>
      </c>
      <c r="DS12" s="191">
        <v>2.53</v>
      </c>
      <c r="DT12" s="191">
        <v>0</v>
      </c>
      <c r="DU12" s="191">
        <v>6.67</v>
      </c>
      <c r="DV12" s="191">
        <v>0.54</v>
      </c>
      <c r="DW12" s="191">
        <v>0</v>
      </c>
      <c r="DX12" s="191">
        <v>3.15</v>
      </c>
      <c r="DY12" s="192">
        <v>0</v>
      </c>
    </row>
    <row r="13" s="180" customFormat="1" spans="1:129">
      <c r="A13" s="190" t="s">
        <v>419</v>
      </c>
      <c r="B13" s="191">
        <v>-28.5</v>
      </c>
      <c r="C13" s="192">
        <v>204.47</v>
      </c>
      <c r="E13" s="191" t="s">
        <v>419</v>
      </c>
      <c r="F13" s="191">
        <v>11.42</v>
      </c>
      <c r="G13" s="191">
        <v>0</v>
      </c>
      <c r="H13" s="191">
        <v>2.86</v>
      </c>
      <c r="I13" s="191">
        <v>1.14</v>
      </c>
      <c r="J13" s="191">
        <v>0</v>
      </c>
      <c r="K13" s="191">
        <v>0</v>
      </c>
      <c r="L13" s="191">
        <v>0</v>
      </c>
      <c r="M13" s="191">
        <v>0</v>
      </c>
      <c r="N13" s="191">
        <v>3.81</v>
      </c>
      <c r="O13" s="191">
        <v>0</v>
      </c>
      <c r="P13" s="191">
        <v>0</v>
      </c>
      <c r="Q13" s="191">
        <v>5.52</v>
      </c>
      <c r="R13" s="191">
        <v>5.71</v>
      </c>
      <c r="S13" s="191">
        <v>0</v>
      </c>
      <c r="T13" s="191">
        <v>0.67</v>
      </c>
      <c r="U13" s="191">
        <v>2.19</v>
      </c>
      <c r="V13" s="191">
        <v>2.67</v>
      </c>
      <c r="W13" s="191">
        <v>-0.9</v>
      </c>
      <c r="X13" s="191">
        <v>-5.5</v>
      </c>
      <c r="Y13" s="191">
        <v>-2.4</v>
      </c>
      <c r="Z13" s="191">
        <v>-3</v>
      </c>
      <c r="AA13" s="191">
        <v>19.04</v>
      </c>
      <c r="AB13" s="191">
        <v>0</v>
      </c>
      <c r="AC13" s="191">
        <v>7.04</v>
      </c>
      <c r="AD13" s="191">
        <v>3.62</v>
      </c>
      <c r="AE13" s="191">
        <v>13.52</v>
      </c>
      <c r="AF13" s="191">
        <v>0</v>
      </c>
      <c r="AG13" s="191">
        <v>0</v>
      </c>
      <c r="AH13" s="191">
        <v>3.33</v>
      </c>
      <c r="AI13" s="191">
        <v>38.55</v>
      </c>
      <c r="AJ13" s="191">
        <v>7.14</v>
      </c>
      <c r="AK13" s="191">
        <v>0.95</v>
      </c>
      <c r="AL13" s="191">
        <v>0.57</v>
      </c>
      <c r="AM13" s="191">
        <v>0</v>
      </c>
      <c r="AN13" s="191">
        <v>0</v>
      </c>
      <c r="AO13" s="191">
        <v>71.39</v>
      </c>
      <c r="AP13" s="191">
        <v>3.33</v>
      </c>
      <c r="AQ13" s="191">
        <v>0</v>
      </c>
      <c r="AR13" s="191">
        <v>-7.4</v>
      </c>
      <c r="AS13" s="191">
        <v>-0.5</v>
      </c>
      <c r="AT13" s="191">
        <v>-0.5</v>
      </c>
      <c r="AU13" s="191">
        <v>-0.5</v>
      </c>
      <c r="AV13" s="191">
        <v>-1.2</v>
      </c>
      <c r="AW13" s="191">
        <v>-0.5</v>
      </c>
      <c r="AX13" s="191">
        <v>-1</v>
      </c>
      <c r="AY13" s="191">
        <v>-1.3</v>
      </c>
      <c r="AZ13" s="191">
        <v>-2.2</v>
      </c>
      <c r="BA13" s="191">
        <v>-0.6</v>
      </c>
      <c r="BB13" s="191">
        <v>-0.2</v>
      </c>
      <c r="BC13" s="191">
        <v>-0.2</v>
      </c>
      <c r="BD13" s="191">
        <v>-0.4</v>
      </c>
      <c r="BE13" s="192">
        <v>-0.2</v>
      </c>
      <c r="BF13" s="180"/>
      <c r="BG13" s="191" t="s">
        <v>419</v>
      </c>
      <c r="BH13" s="191">
        <v>11.14</v>
      </c>
      <c r="BI13" s="191">
        <v>0</v>
      </c>
      <c r="BJ13" s="191">
        <v>2.79</v>
      </c>
      <c r="BK13" s="191">
        <v>1.11</v>
      </c>
      <c r="BL13" s="191">
        <v>0</v>
      </c>
      <c r="BM13" s="191">
        <v>0</v>
      </c>
      <c r="BN13" s="191">
        <v>0</v>
      </c>
      <c r="BO13" s="191">
        <v>0</v>
      </c>
      <c r="BP13" s="191">
        <v>3.72</v>
      </c>
      <c r="BQ13" s="191">
        <v>0</v>
      </c>
      <c r="BR13" s="191">
        <v>0</v>
      </c>
      <c r="BS13" s="191">
        <v>5.38</v>
      </c>
      <c r="BT13" s="191">
        <v>5.57</v>
      </c>
      <c r="BU13" s="191">
        <v>0</v>
      </c>
      <c r="BV13" s="191">
        <v>0.65</v>
      </c>
      <c r="BW13" s="191">
        <v>2.14</v>
      </c>
      <c r="BX13" s="191">
        <v>2.6</v>
      </c>
      <c r="BY13" s="191">
        <v>-0.92</v>
      </c>
      <c r="BZ13" s="191">
        <v>-5.64</v>
      </c>
      <c r="CA13" s="191">
        <v>-2.46</v>
      </c>
      <c r="CB13" s="191">
        <v>-3.08</v>
      </c>
      <c r="CC13" s="191">
        <v>18.57</v>
      </c>
      <c r="CD13" s="191">
        <v>0</v>
      </c>
      <c r="CE13" s="191">
        <v>6.87</v>
      </c>
      <c r="CF13" s="191">
        <v>3.53</v>
      </c>
      <c r="CG13" s="191">
        <v>13.19</v>
      </c>
      <c r="CH13" s="191">
        <v>0</v>
      </c>
      <c r="CI13" s="191">
        <v>0</v>
      </c>
      <c r="CJ13" s="191">
        <v>3.25</v>
      </c>
      <c r="CK13" s="191">
        <v>37.6</v>
      </c>
      <c r="CL13" s="191">
        <v>6.96</v>
      </c>
      <c r="CM13" s="191">
        <v>0.93</v>
      </c>
      <c r="CN13" s="191">
        <v>0.56</v>
      </c>
      <c r="CO13" s="191">
        <v>0</v>
      </c>
      <c r="CP13" s="191">
        <v>0</v>
      </c>
      <c r="CQ13" s="191">
        <v>69.63</v>
      </c>
      <c r="CR13" s="191">
        <v>3.25</v>
      </c>
      <c r="CS13" s="191">
        <v>0</v>
      </c>
      <c r="CT13" s="191">
        <v>-7.59</v>
      </c>
      <c r="CU13" s="191">
        <v>-0.51</v>
      </c>
      <c r="CV13" s="191">
        <v>-0.51</v>
      </c>
      <c r="CW13" s="191">
        <v>-0.51</v>
      </c>
      <c r="CX13" s="191">
        <v>-1.23</v>
      </c>
      <c r="CY13" s="191">
        <v>-0.51</v>
      </c>
      <c r="CZ13" s="191">
        <v>-1.03</v>
      </c>
      <c r="DA13" s="191">
        <v>-1.33</v>
      </c>
      <c r="DB13" s="191">
        <v>-2.26</v>
      </c>
      <c r="DC13" s="191">
        <v>-0.62</v>
      </c>
      <c r="DD13" s="191">
        <v>-0.21</v>
      </c>
      <c r="DE13" s="191">
        <v>-0.21</v>
      </c>
      <c r="DF13" s="191">
        <v>-0.41</v>
      </c>
      <c r="DG13" s="192">
        <v>-0.21</v>
      </c>
      <c r="DH13" s="180"/>
      <c r="DI13" s="191" t="s">
        <v>419</v>
      </c>
      <c r="DJ13" s="191">
        <v>2.71</v>
      </c>
      <c r="DK13" s="191">
        <v>1.08</v>
      </c>
      <c r="DL13" s="191">
        <v>0</v>
      </c>
      <c r="DM13" s="191">
        <v>0</v>
      </c>
      <c r="DN13" s="191">
        <v>0</v>
      </c>
      <c r="DO13" s="191">
        <v>5.23</v>
      </c>
      <c r="DP13" s="191">
        <v>5.42</v>
      </c>
      <c r="DQ13" s="191">
        <v>0.63</v>
      </c>
      <c r="DR13" s="191">
        <v>2.08</v>
      </c>
      <c r="DS13" s="191">
        <v>2.53</v>
      </c>
      <c r="DT13" s="191">
        <v>0</v>
      </c>
      <c r="DU13" s="191">
        <v>6.67</v>
      </c>
      <c r="DV13" s="191">
        <v>0.54</v>
      </c>
      <c r="DW13" s="191">
        <v>0</v>
      </c>
      <c r="DX13" s="191">
        <v>3.15</v>
      </c>
      <c r="DY13" s="192">
        <v>0</v>
      </c>
    </row>
    <row r="14" s="180" customFormat="1" spans="1:129">
      <c r="A14" s="190" t="s">
        <v>420</v>
      </c>
      <c r="B14" s="191">
        <v>-28.1</v>
      </c>
      <c r="C14" s="192">
        <v>206.66</v>
      </c>
      <c r="E14" s="191" t="s">
        <v>420</v>
      </c>
      <c r="F14" s="191">
        <v>11.42</v>
      </c>
      <c r="G14" s="191">
        <v>0</v>
      </c>
      <c r="H14" s="191">
        <v>2.86</v>
      </c>
      <c r="I14" s="191">
        <v>1.14</v>
      </c>
      <c r="J14" s="191">
        <v>0</v>
      </c>
      <c r="K14" s="191">
        <v>0</v>
      </c>
      <c r="L14" s="191">
        <v>0</v>
      </c>
      <c r="M14" s="191">
        <v>0</v>
      </c>
      <c r="N14" s="191">
        <v>3.81</v>
      </c>
      <c r="O14" s="191">
        <v>0</v>
      </c>
      <c r="P14" s="191">
        <v>2.19</v>
      </c>
      <c r="Q14" s="191">
        <v>5.52</v>
      </c>
      <c r="R14" s="191">
        <v>5.71</v>
      </c>
      <c r="S14" s="191">
        <v>0</v>
      </c>
      <c r="T14" s="191">
        <v>0.67</v>
      </c>
      <c r="U14" s="191">
        <v>2.19</v>
      </c>
      <c r="V14" s="191">
        <v>2.67</v>
      </c>
      <c r="W14" s="191">
        <v>-0.9</v>
      </c>
      <c r="X14" s="191">
        <v>-5.5</v>
      </c>
      <c r="Y14" s="191">
        <v>-2.4</v>
      </c>
      <c r="Z14" s="191">
        <v>-3</v>
      </c>
      <c r="AA14" s="191">
        <v>19.04</v>
      </c>
      <c r="AB14" s="191">
        <v>0</v>
      </c>
      <c r="AC14" s="191">
        <v>7.04</v>
      </c>
      <c r="AD14" s="191">
        <v>3.62</v>
      </c>
      <c r="AE14" s="191">
        <v>13.52</v>
      </c>
      <c r="AF14" s="191">
        <v>0</v>
      </c>
      <c r="AG14" s="191">
        <v>0</v>
      </c>
      <c r="AH14" s="191">
        <v>3.33</v>
      </c>
      <c r="AI14" s="191">
        <v>38.55</v>
      </c>
      <c r="AJ14" s="191">
        <v>7.14</v>
      </c>
      <c r="AK14" s="191">
        <v>0.95</v>
      </c>
      <c r="AL14" s="191">
        <v>0.57</v>
      </c>
      <c r="AM14" s="191">
        <v>0</v>
      </c>
      <c r="AN14" s="191">
        <v>0</v>
      </c>
      <c r="AO14" s="191">
        <v>71.39</v>
      </c>
      <c r="AP14" s="191">
        <v>3.33</v>
      </c>
      <c r="AQ14" s="191">
        <v>0</v>
      </c>
      <c r="AR14" s="191">
        <v>-7</v>
      </c>
      <c r="AS14" s="191">
        <v>-0.5</v>
      </c>
      <c r="AT14" s="191">
        <v>-0.5</v>
      </c>
      <c r="AU14" s="191">
        <v>-0.5</v>
      </c>
      <c r="AV14" s="191">
        <v>-1.2</v>
      </c>
      <c r="AW14" s="191">
        <v>-0.5</v>
      </c>
      <c r="AX14" s="191">
        <v>-1.1</v>
      </c>
      <c r="AY14" s="191">
        <v>-1.3</v>
      </c>
      <c r="AZ14" s="191">
        <v>-2.1</v>
      </c>
      <c r="BA14" s="191">
        <v>-0.6</v>
      </c>
      <c r="BB14" s="191">
        <v>-0.2</v>
      </c>
      <c r="BC14" s="191">
        <v>-0.2</v>
      </c>
      <c r="BD14" s="191">
        <v>-0.4</v>
      </c>
      <c r="BE14" s="192">
        <v>-0.2</v>
      </c>
      <c r="BF14" s="180"/>
      <c r="BG14" s="191" t="s">
        <v>420</v>
      </c>
      <c r="BH14" s="191">
        <v>11.14</v>
      </c>
      <c r="BI14" s="191">
        <v>0</v>
      </c>
      <c r="BJ14" s="191">
        <v>2.79</v>
      </c>
      <c r="BK14" s="191">
        <v>1.11</v>
      </c>
      <c r="BL14" s="191">
        <v>0</v>
      </c>
      <c r="BM14" s="191">
        <v>0</v>
      </c>
      <c r="BN14" s="191">
        <v>0</v>
      </c>
      <c r="BO14" s="191">
        <v>0</v>
      </c>
      <c r="BP14" s="191">
        <v>3.72</v>
      </c>
      <c r="BQ14" s="191">
        <v>0</v>
      </c>
      <c r="BR14" s="191">
        <v>2.14</v>
      </c>
      <c r="BS14" s="191">
        <v>5.38</v>
      </c>
      <c r="BT14" s="191">
        <v>5.57</v>
      </c>
      <c r="BU14" s="191">
        <v>0</v>
      </c>
      <c r="BV14" s="191">
        <v>0.65</v>
      </c>
      <c r="BW14" s="191">
        <v>2.14</v>
      </c>
      <c r="BX14" s="191">
        <v>2.6</v>
      </c>
      <c r="BY14" s="191">
        <v>-0.92</v>
      </c>
      <c r="BZ14" s="191">
        <v>-5.64</v>
      </c>
      <c r="CA14" s="191">
        <v>-2.46</v>
      </c>
      <c r="CB14" s="191">
        <v>-3.08</v>
      </c>
      <c r="CC14" s="191">
        <v>18.57</v>
      </c>
      <c r="CD14" s="191">
        <v>0</v>
      </c>
      <c r="CE14" s="191">
        <v>6.87</v>
      </c>
      <c r="CF14" s="191">
        <v>3.53</v>
      </c>
      <c r="CG14" s="191">
        <v>13.19</v>
      </c>
      <c r="CH14" s="191">
        <v>0</v>
      </c>
      <c r="CI14" s="191">
        <v>0</v>
      </c>
      <c r="CJ14" s="191">
        <v>3.25</v>
      </c>
      <c r="CK14" s="191">
        <v>37.6</v>
      </c>
      <c r="CL14" s="191">
        <v>6.96</v>
      </c>
      <c r="CM14" s="191">
        <v>0.93</v>
      </c>
      <c r="CN14" s="191">
        <v>0.56</v>
      </c>
      <c r="CO14" s="191">
        <v>0</v>
      </c>
      <c r="CP14" s="191">
        <v>0</v>
      </c>
      <c r="CQ14" s="191">
        <v>69.63</v>
      </c>
      <c r="CR14" s="191">
        <v>3.25</v>
      </c>
      <c r="CS14" s="191">
        <v>0</v>
      </c>
      <c r="CT14" s="191">
        <v>-7.18</v>
      </c>
      <c r="CU14" s="191">
        <v>-0.51</v>
      </c>
      <c r="CV14" s="191">
        <v>-0.51</v>
      </c>
      <c r="CW14" s="191">
        <v>-0.51</v>
      </c>
      <c r="CX14" s="191">
        <v>-1.23</v>
      </c>
      <c r="CY14" s="191">
        <v>-0.51</v>
      </c>
      <c r="CZ14" s="191">
        <v>-1.13</v>
      </c>
      <c r="DA14" s="191">
        <v>-1.33</v>
      </c>
      <c r="DB14" s="191">
        <v>-2.15</v>
      </c>
      <c r="DC14" s="191">
        <v>-0.62</v>
      </c>
      <c r="DD14" s="191">
        <v>-0.21</v>
      </c>
      <c r="DE14" s="191">
        <v>-0.21</v>
      </c>
      <c r="DF14" s="191">
        <v>-0.41</v>
      </c>
      <c r="DG14" s="192">
        <v>-0.21</v>
      </c>
      <c r="DH14" s="180"/>
      <c r="DI14" s="191" t="s">
        <v>420</v>
      </c>
      <c r="DJ14" s="191">
        <v>2.71</v>
      </c>
      <c r="DK14" s="191">
        <v>1.08</v>
      </c>
      <c r="DL14" s="191">
        <v>0</v>
      </c>
      <c r="DM14" s="191">
        <v>0</v>
      </c>
      <c r="DN14" s="191">
        <v>2.08</v>
      </c>
      <c r="DO14" s="191">
        <v>5.23</v>
      </c>
      <c r="DP14" s="191">
        <v>5.42</v>
      </c>
      <c r="DQ14" s="191">
        <v>0.63</v>
      </c>
      <c r="DR14" s="191">
        <v>2.08</v>
      </c>
      <c r="DS14" s="191">
        <v>2.53</v>
      </c>
      <c r="DT14" s="191">
        <v>0</v>
      </c>
      <c r="DU14" s="191">
        <v>6.67</v>
      </c>
      <c r="DV14" s="191">
        <v>0.54</v>
      </c>
      <c r="DW14" s="191">
        <v>0</v>
      </c>
      <c r="DX14" s="191">
        <v>3.15</v>
      </c>
      <c r="DY14" s="192">
        <v>0</v>
      </c>
    </row>
    <row r="15" s="180" customFormat="1" spans="1:129">
      <c r="A15" s="190" t="s">
        <v>421</v>
      </c>
      <c r="B15" s="191">
        <v>-27.6</v>
      </c>
      <c r="C15" s="192">
        <v>206.66</v>
      </c>
      <c r="E15" s="191" t="s">
        <v>421</v>
      </c>
      <c r="F15" s="191">
        <v>11.42</v>
      </c>
      <c r="G15" s="191">
        <v>0</v>
      </c>
      <c r="H15" s="191">
        <v>2.86</v>
      </c>
      <c r="I15" s="191">
        <v>1.14</v>
      </c>
      <c r="J15" s="191">
        <v>0</v>
      </c>
      <c r="K15" s="191">
        <v>0</v>
      </c>
      <c r="L15" s="191">
        <v>0</v>
      </c>
      <c r="M15" s="191">
        <v>0</v>
      </c>
      <c r="N15" s="191">
        <v>3.81</v>
      </c>
      <c r="O15" s="191">
        <v>0</v>
      </c>
      <c r="P15" s="191">
        <v>2.19</v>
      </c>
      <c r="Q15" s="191">
        <v>5.52</v>
      </c>
      <c r="R15" s="191">
        <v>5.71</v>
      </c>
      <c r="S15" s="191">
        <v>0</v>
      </c>
      <c r="T15" s="191">
        <v>0.67</v>
      </c>
      <c r="U15" s="191">
        <v>2.19</v>
      </c>
      <c r="V15" s="191">
        <v>2.67</v>
      </c>
      <c r="W15" s="191">
        <v>-0.9</v>
      </c>
      <c r="X15" s="191">
        <v>-5.5</v>
      </c>
      <c r="Y15" s="191">
        <v>-2.4</v>
      </c>
      <c r="Z15" s="191">
        <v>-3</v>
      </c>
      <c r="AA15" s="191">
        <v>19.04</v>
      </c>
      <c r="AB15" s="191">
        <v>0</v>
      </c>
      <c r="AC15" s="191">
        <v>7.04</v>
      </c>
      <c r="AD15" s="191">
        <v>3.62</v>
      </c>
      <c r="AE15" s="191">
        <v>13.52</v>
      </c>
      <c r="AF15" s="191">
        <v>0</v>
      </c>
      <c r="AG15" s="191">
        <v>0</v>
      </c>
      <c r="AH15" s="191">
        <v>3.33</v>
      </c>
      <c r="AI15" s="191">
        <v>38.55</v>
      </c>
      <c r="AJ15" s="191">
        <v>7.14</v>
      </c>
      <c r="AK15" s="191">
        <v>0.95</v>
      </c>
      <c r="AL15" s="191">
        <v>0.57</v>
      </c>
      <c r="AM15" s="191">
        <v>0</v>
      </c>
      <c r="AN15" s="191">
        <v>0</v>
      </c>
      <c r="AO15" s="191">
        <v>71.39</v>
      </c>
      <c r="AP15" s="191">
        <v>3.33</v>
      </c>
      <c r="AQ15" s="191">
        <v>0</v>
      </c>
      <c r="AR15" s="191">
        <v>-6.8</v>
      </c>
      <c r="AS15" s="191">
        <v>-0.5</v>
      </c>
      <c r="AT15" s="191">
        <v>-0.5</v>
      </c>
      <c r="AU15" s="191">
        <v>-0.5</v>
      </c>
      <c r="AV15" s="191">
        <v>-1.1</v>
      </c>
      <c r="AW15" s="191">
        <v>-0.5</v>
      </c>
      <c r="AX15" s="191">
        <v>-1</v>
      </c>
      <c r="AY15" s="191">
        <v>-1.2</v>
      </c>
      <c r="AZ15" s="191">
        <v>-2.1</v>
      </c>
      <c r="BA15" s="191">
        <v>-0.6</v>
      </c>
      <c r="BB15" s="191">
        <v>-0.2</v>
      </c>
      <c r="BC15" s="191">
        <v>-0.2</v>
      </c>
      <c r="BD15" s="191">
        <v>-0.4</v>
      </c>
      <c r="BE15" s="192">
        <v>-0.2</v>
      </c>
      <c r="BF15" s="180"/>
      <c r="BG15" s="191" t="s">
        <v>421</v>
      </c>
      <c r="BH15" s="191">
        <v>11.14</v>
      </c>
      <c r="BI15" s="191">
        <v>0</v>
      </c>
      <c r="BJ15" s="191">
        <v>2.79</v>
      </c>
      <c r="BK15" s="191">
        <v>1.11</v>
      </c>
      <c r="BL15" s="191">
        <v>0</v>
      </c>
      <c r="BM15" s="191">
        <v>0</v>
      </c>
      <c r="BN15" s="191">
        <v>0</v>
      </c>
      <c r="BO15" s="191">
        <v>0</v>
      </c>
      <c r="BP15" s="191">
        <v>3.72</v>
      </c>
      <c r="BQ15" s="191">
        <v>0</v>
      </c>
      <c r="BR15" s="191">
        <v>2.14</v>
      </c>
      <c r="BS15" s="191">
        <v>5.38</v>
      </c>
      <c r="BT15" s="191">
        <v>5.57</v>
      </c>
      <c r="BU15" s="191">
        <v>0</v>
      </c>
      <c r="BV15" s="191">
        <v>0.65</v>
      </c>
      <c r="BW15" s="191">
        <v>2.14</v>
      </c>
      <c r="BX15" s="191">
        <v>2.6</v>
      </c>
      <c r="BY15" s="191">
        <v>-0.92</v>
      </c>
      <c r="BZ15" s="191">
        <v>-5.64</v>
      </c>
      <c r="CA15" s="191">
        <v>-2.46</v>
      </c>
      <c r="CB15" s="191">
        <v>-3.08</v>
      </c>
      <c r="CC15" s="191">
        <v>18.57</v>
      </c>
      <c r="CD15" s="191">
        <v>0</v>
      </c>
      <c r="CE15" s="191">
        <v>6.87</v>
      </c>
      <c r="CF15" s="191">
        <v>3.53</v>
      </c>
      <c r="CG15" s="191">
        <v>13.19</v>
      </c>
      <c r="CH15" s="191">
        <v>0</v>
      </c>
      <c r="CI15" s="191">
        <v>0</v>
      </c>
      <c r="CJ15" s="191">
        <v>3.25</v>
      </c>
      <c r="CK15" s="191">
        <v>37.6</v>
      </c>
      <c r="CL15" s="191">
        <v>6.96</v>
      </c>
      <c r="CM15" s="191">
        <v>0.93</v>
      </c>
      <c r="CN15" s="191">
        <v>0.56</v>
      </c>
      <c r="CO15" s="191">
        <v>0</v>
      </c>
      <c r="CP15" s="191">
        <v>0</v>
      </c>
      <c r="CQ15" s="191">
        <v>69.63</v>
      </c>
      <c r="CR15" s="191">
        <v>3.25</v>
      </c>
      <c r="CS15" s="191">
        <v>0</v>
      </c>
      <c r="CT15" s="191">
        <v>-6.97</v>
      </c>
      <c r="CU15" s="191">
        <v>-0.51</v>
      </c>
      <c r="CV15" s="191">
        <v>-0.51</v>
      </c>
      <c r="CW15" s="191">
        <v>-0.51</v>
      </c>
      <c r="CX15" s="191">
        <v>-1.13</v>
      </c>
      <c r="CY15" s="191">
        <v>-0.51</v>
      </c>
      <c r="CZ15" s="191">
        <v>-1.03</v>
      </c>
      <c r="DA15" s="191">
        <v>-1.23</v>
      </c>
      <c r="DB15" s="191">
        <v>-2.15</v>
      </c>
      <c r="DC15" s="191">
        <v>-0.62</v>
      </c>
      <c r="DD15" s="191">
        <v>-0.21</v>
      </c>
      <c r="DE15" s="191">
        <v>-0.21</v>
      </c>
      <c r="DF15" s="191">
        <v>-0.41</v>
      </c>
      <c r="DG15" s="192">
        <v>-0.21</v>
      </c>
      <c r="DH15" s="180"/>
      <c r="DI15" s="191" t="s">
        <v>421</v>
      </c>
      <c r="DJ15" s="191">
        <v>2.71</v>
      </c>
      <c r="DK15" s="191">
        <v>1.08</v>
      </c>
      <c r="DL15" s="191">
        <v>0</v>
      </c>
      <c r="DM15" s="191">
        <v>0</v>
      </c>
      <c r="DN15" s="191">
        <v>2.08</v>
      </c>
      <c r="DO15" s="191">
        <v>5.23</v>
      </c>
      <c r="DP15" s="191">
        <v>5.42</v>
      </c>
      <c r="DQ15" s="191">
        <v>0.63</v>
      </c>
      <c r="DR15" s="191">
        <v>2.08</v>
      </c>
      <c r="DS15" s="191">
        <v>2.53</v>
      </c>
      <c r="DT15" s="191">
        <v>0</v>
      </c>
      <c r="DU15" s="191">
        <v>6.67</v>
      </c>
      <c r="DV15" s="191">
        <v>0.54</v>
      </c>
      <c r="DW15" s="191">
        <v>0</v>
      </c>
      <c r="DX15" s="191">
        <v>3.15</v>
      </c>
      <c r="DY15" s="192">
        <v>0</v>
      </c>
    </row>
    <row r="16" s="180" customFormat="1" spans="1:129">
      <c r="A16" s="190" t="s">
        <v>422</v>
      </c>
      <c r="B16" s="191">
        <v>-27.9</v>
      </c>
      <c r="C16" s="192">
        <v>206.66</v>
      </c>
      <c r="E16" s="191" t="s">
        <v>422</v>
      </c>
      <c r="F16" s="191">
        <v>11.42</v>
      </c>
      <c r="G16" s="191">
        <v>0</v>
      </c>
      <c r="H16" s="191">
        <v>2.86</v>
      </c>
      <c r="I16" s="191">
        <v>1.14</v>
      </c>
      <c r="J16" s="191">
        <v>0</v>
      </c>
      <c r="K16" s="191">
        <v>0</v>
      </c>
      <c r="L16" s="191">
        <v>0</v>
      </c>
      <c r="M16" s="191">
        <v>0</v>
      </c>
      <c r="N16" s="191">
        <v>3.81</v>
      </c>
      <c r="O16" s="191">
        <v>0</v>
      </c>
      <c r="P16" s="191">
        <v>2.19</v>
      </c>
      <c r="Q16" s="191">
        <v>5.52</v>
      </c>
      <c r="R16" s="191">
        <v>5.71</v>
      </c>
      <c r="S16" s="191">
        <v>0</v>
      </c>
      <c r="T16" s="191">
        <v>0.67</v>
      </c>
      <c r="U16" s="191">
        <v>2.19</v>
      </c>
      <c r="V16" s="191">
        <v>2.67</v>
      </c>
      <c r="W16" s="191">
        <v>-0.9</v>
      </c>
      <c r="X16" s="191">
        <v>-5.5</v>
      </c>
      <c r="Y16" s="191">
        <v>-2.4</v>
      </c>
      <c r="Z16" s="191">
        <v>-3</v>
      </c>
      <c r="AA16" s="191">
        <v>19.04</v>
      </c>
      <c r="AB16" s="191">
        <v>0</v>
      </c>
      <c r="AC16" s="191">
        <v>7.04</v>
      </c>
      <c r="AD16" s="191">
        <v>3.62</v>
      </c>
      <c r="AE16" s="191">
        <v>13.52</v>
      </c>
      <c r="AF16" s="191">
        <v>0</v>
      </c>
      <c r="AG16" s="191">
        <v>0</v>
      </c>
      <c r="AH16" s="191">
        <v>3.33</v>
      </c>
      <c r="AI16" s="191">
        <v>38.55</v>
      </c>
      <c r="AJ16" s="191">
        <v>7.14</v>
      </c>
      <c r="AK16" s="191">
        <v>0.95</v>
      </c>
      <c r="AL16" s="191">
        <v>0.57</v>
      </c>
      <c r="AM16" s="191">
        <v>0</v>
      </c>
      <c r="AN16" s="191">
        <v>0</v>
      </c>
      <c r="AO16" s="191">
        <v>71.39</v>
      </c>
      <c r="AP16" s="191">
        <v>3.33</v>
      </c>
      <c r="AQ16" s="191">
        <v>0</v>
      </c>
      <c r="AR16" s="191">
        <v>-6.9</v>
      </c>
      <c r="AS16" s="191">
        <v>-0.5</v>
      </c>
      <c r="AT16" s="191">
        <v>-0.5</v>
      </c>
      <c r="AU16" s="191">
        <v>-0.5</v>
      </c>
      <c r="AV16" s="191">
        <v>-1.2</v>
      </c>
      <c r="AW16" s="191">
        <v>-0.5</v>
      </c>
      <c r="AX16" s="191">
        <v>-1</v>
      </c>
      <c r="AY16" s="191">
        <v>-1.2</v>
      </c>
      <c r="AZ16" s="191">
        <v>-2.2</v>
      </c>
      <c r="BA16" s="191">
        <v>-0.6</v>
      </c>
      <c r="BB16" s="191">
        <v>-0.2</v>
      </c>
      <c r="BC16" s="191">
        <v>-0.2</v>
      </c>
      <c r="BD16" s="191">
        <v>-0.4</v>
      </c>
      <c r="BE16" s="192">
        <v>-0.2</v>
      </c>
      <c r="BF16" s="180"/>
      <c r="BG16" s="191" t="s">
        <v>422</v>
      </c>
      <c r="BH16" s="191">
        <v>11.14</v>
      </c>
      <c r="BI16" s="191">
        <v>0</v>
      </c>
      <c r="BJ16" s="191">
        <v>2.79</v>
      </c>
      <c r="BK16" s="191">
        <v>1.11</v>
      </c>
      <c r="BL16" s="191">
        <v>0</v>
      </c>
      <c r="BM16" s="191">
        <v>0</v>
      </c>
      <c r="BN16" s="191">
        <v>0</v>
      </c>
      <c r="BO16" s="191">
        <v>0</v>
      </c>
      <c r="BP16" s="191">
        <v>3.72</v>
      </c>
      <c r="BQ16" s="191">
        <v>0</v>
      </c>
      <c r="BR16" s="191">
        <v>2.14</v>
      </c>
      <c r="BS16" s="191">
        <v>5.38</v>
      </c>
      <c r="BT16" s="191">
        <v>5.57</v>
      </c>
      <c r="BU16" s="191">
        <v>0</v>
      </c>
      <c r="BV16" s="191">
        <v>0.65</v>
      </c>
      <c r="BW16" s="191">
        <v>2.14</v>
      </c>
      <c r="BX16" s="191">
        <v>2.6</v>
      </c>
      <c r="BY16" s="191">
        <v>-0.92</v>
      </c>
      <c r="BZ16" s="191">
        <v>-5.64</v>
      </c>
      <c r="CA16" s="191">
        <v>-2.46</v>
      </c>
      <c r="CB16" s="191">
        <v>-3.08</v>
      </c>
      <c r="CC16" s="191">
        <v>18.57</v>
      </c>
      <c r="CD16" s="191">
        <v>0</v>
      </c>
      <c r="CE16" s="191">
        <v>6.87</v>
      </c>
      <c r="CF16" s="191">
        <v>3.53</v>
      </c>
      <c r="CG16" s="191">
        <v>13.19</v>
      </c>
      <c r="CH16" s="191">
        <v>0</v>
      </c>
      <c r="CI16" s="191">
        <v>0</v>
      </c>
      <c r="CJ16" s="191">
        <v>3.25</v>
      </c>
      <c r="CK16" s="191">
        <v>37.6</v>
      </c>
      <c r="CL16" s="191">
        <v>6.96</v>
      </c>
      <c r="CM16" s="191">
        <v>0.93</v>
      </c>
      <c r="CN16" s="191">
        <v>0.56</v>
      </c>
      <c r="CO16" s="191">
        <v>0</v>
      </c>
      <c r="CP16" s="191">
        <v>0</v>
      </c>
      <c r="CQ16" s="191">
        <v>69.63</v>
      </c>
      <c r="CR16" s="191">
        <v>3.25</v>
      </c>
      <c r="CS16" s="191">
        <v>0</v>
      </c>
      <c r="CT16" s="191">
        <v>-7.07</v>
      </c>
      <c r="CU16" s="191">
        <v>-0.51</v>
      </c>
      <c r="CV16" s="191">
        <v>-0.51</v>
      </c>
      <c r="CW16" s="191">
        <v>-0.51</v>
      </c>
      <c r="CX16" s="191">
        <v>-1.23</v>
      </c>
      <c r="CY16" s="191">
        <v>-0.51</v>
      </c>
      <c r="CZ16" s="191">
        <v>-1.03</v>
      </c>
      <c r="DA16" s="191">
        <v>-1.23</v>
      </c>
      <c r="DB16" s="191">
        <v>-2.26</v>
      </c>
      <c r="DC16" s="191">
        <v>-0.62</v>
      </c>
      <c r="DD16" s="191">
        <v>-0.21</v>
      </c>
      <c r="DE16" s="191">
        <v>-0.21</v>
      </c>
      <c r="DF16" s="191">
        <v>-0.41</v>
      </c>
      <c r="DG16" s="192">
        <v>-0.21</v>
      </c>
      <c r="DH16" s="180"/>
      <c r="DI16" s="191" t="s">
        <v>422</v>
      </c>
      <c r="DJ16" s="191">
        <v>2.71</v>
      </c>
      <c r="DK16" s="191">
        <v>1.08</v>
      </c>
      <c r="DL16" s="191">
        <v>0</v>
      </c>
      <c r="DM16" s="191">
        <v>0</v>
      </c>
      <c r="DN16" s="191">
        <v>2.08</v>
      </c>
      <c r="DO16" s="191">
        <v>5.23</v>
      </c>
      <c r="DP16" s="191">
        <v>5.42</v>
      </c>
      <c r="DQ16" s="191">
        <v>0.63</v>
      </c>
      <c r="DR16" s="191">
        <v>2.08</v>
      </c>
      <c r="DS16" s="191">
        <v>2.53</v>
      </c>
      <c r="DT16" s="191">
        <v>0</v>
      </c>
      <c r="DU16" s="191">
        <v>6.67</v>
      </c>
      <c r="DV16" s="191">
        <v>0.54</v>
      </c>
      <c r="DW16" s="191">
        <v>0</v>
      </c>
      <c r="DX16" s="191">
        <v>3.15</v>
      </c>
      <c r="DY16" s="192">
        <v>0</v>
      </c>
    </row>
    <row r="17" s="180" customFormat="1" spans="1:129">
      <c r="A17" s="190" t="s">
        <v>423</v>
      </c>
      <c r="B17" s="191">
        <v>-27.7</v>
      </c>
      <c r="C17" s="192">
        <v>206.66</v>
      </c>
      <c r="E17" s="191" t="s">
        <v>423</v>
      </c>
      <c r="F17" s="191">
        <v>11.42</v>
      </c>
      <c r="G17" s="191">
        <v>0</v>
      </c>
      <c r="H17" s="191">
        <v>2.86</v>
      </c>
      <c r="I17" s="191">
        <v>1.14</v>
      </c>
      <c r="J17" s="191">
        <v>0</v>
      </c>
      <c r="K17" s="191">
        <v>0</v>
      </c>
      <c r="L17" s="191">
        <v>0</v>
      </c>
      <c r="M17" s="191">
        <v>0</v>
      </c>
      <c r="N17" s="191">
        <v>3.81</v>
      </c>
      <c r="O17" s="191">
        <v>0</v>
      </c>
      <c r="P17" s="191">
        <v>2.19</v>
      </c>
      <c r="Q17" s="191">
        <v>5.52</v>
      </c>
      <c r="R17" s="191">
        <v>5.71</v>
      </c>
      <c r="S17" s="191">
        <v>0</v>
      </c>
      <c r="T17" s="191">
        <v>0.67</v>
      </c>
      <c r="U17" s="191">
        <v>2.19</v>
      </c>
      <c r="V17" s="191">
        <v>2.67</v>
      </c>
      <c r="W17" s="191">
        <v>-0.9</v>
      </c>
      <c r="X17" s="191">
        <v>-5.5</v>
      </c>
      <c r="Y17" s="191">
        <v>-2.4</v>
      </c>
      <c r="Z17" s="191">
        <v>-3</v>
      </c>
      <c r="AA17" s="191">
        <v>19.04</v>
      </c>
      <c r="AB17" s="191">
        <v>0</v>
      </c>
      <c r="AC17" s="191">
        <v>7.04</v>
      </c>
      <c r="AD17" s="191">
        <v>3.62</v>
      </c>
      <c r="AE17" s="191">
        <v>13.52</v>
      </c>
      <c r="AF17" s="191">
        <v>0</v>
      </c>
      <c r="AG17" s="191">
        <v>0</v>
      </c>
      <c r="AH17" s="191">
        <v>3.33</v>
      </c>
      <c r="AI17" s="191">
        <v>38.55</v>
      </c>
      <c r="AJ17" s="191">
        <v>7.14</v>
      </c>
      <c r="AK17" s="191">
        <v>0.95</v>
      </c>
      <c r="AL17" s="191">
        <v>0.57</v>
      </c>
      <c r="AM17" s="191">
        <v>0</v>
      </c>
      <c r="AN17" s="191">
        <v>0</v>
      </c>
      <c r="AO17" s="191">
        <v>71.39</v>
      </c>
      <c r="AP17" s="191">
        <v>3.33</v>
      </c>
      <c r="AQ17" s="191">
        <v>0</v>
      </c>
      <c r="AR17" s="191">
        <v>-6.6</v>
      </c>
      <c r="AS17" s="191">
        <v>-0.5</v>
      </c>
      <c r="AT17" s="191">
        <v>-0.5</v>
      </c>
      <c r="AU17" s="191">
        <v>-0.5</v>
      </c>
      <c r="AV17" s="191">
        <v>-1.2</v>
      </c>
      <c r="AW17" s="191">
        <v>-0.5</v>
      </c>
      <c r="AX17" s="191">
        <v>-1</v>
      </c>
      <c r="AY17" s="191">
        <v>-1.1</v>
      </c>
      <c r="AZ17" s="191">
        <v>-2.3</v>
      </c>
      <c r="BA17" s="191">
        <v>-0.7</v>
      </c>
      <c r="BB17" s="191">
        <v>-0.2</v>
      </c>
      <c r="BC17" s="191">
        <v>-0.2</v>
      </c>
      <c r="BD17" s="191">
        <v>-0.4</v>
      </c>
      <c r="BE17" s="192">
        <v>-0.2</v>
      </c>
      <c r="BF17" s="180"/>
      <c r="BG17" s="191" t="s">
        <v>423</v>
      </c>
      <c r="BH17" s="191">
        <v>11.14</v>
      </c>
      <c r="BI17" s="191">
        <v>0</v>
      </c>
      <c r="BJ17" s="191">
        <v>2.79</v>
      </c>
      <c r="BK17" s="191">
        <v>1.11</v>
      </c>
      <c r="BL17" s="191">
        <v>0</v>
      </c>
      <c r="BM17" s="191">
        <v>0</v>
      </c>
      <c r="BN17" s="191">
        <v>0</v>
      </c>
      <c r="BO17" s="191">
        <v>0</v>
      </c>
      <c r="BP17" s="191">
        <v>3.72</v>
      </c>
      <c r="BQ17" s="191">
        <v>0</v>
      </c>
      <c r="BR17" s="191">
        <v>2.14</v>
      </c>
      <c r="BS17" s="191">
        <v>5.38</v>
      </c>
      <c r="BT17" s="191">
        <v>5.57</v>
      </c>
      <c r="BU17" s="191">
        <v>0</v>
      </c>
      <c r="BV17" s="191">
        <v>0.65</v>
      </c>
      <c r="BW17" s="191">
        <v>2.14</v>
      </c>
      <c r="BX17" s="191">
        <v>2.6</v>
      </c>
      <c r="BY17" s="191">
        <v>-0.92</v>
      </c>
      <c r="BZ17" s="191">
        <v>-5.64</v>
      </c>
      <c r="CA17" s="191">
        <v>-2.46</v>
      </c>
      <c r="CB17" s="191">
        <v>-3.08</v>
      </c>
      <c r="CC17" s="191">
        <v>18.57</v>
      </c>
      <c r="CD17" s="191">
        <v>0</v>
      </c>
      <c r="CE17" s="191">
        <v>6.87</v>
      </c>
      <c r="CF17" s="191">
        <v>3.53</v>
      </c>
      <c r="CG17" s="191">
        <v>13.19</v>
      </c>
      <c r="CH17" s="191">
        <v>0</v>
      </c>
      <c r="CI17" s="191">
        <v>0</v>
      </c>
      <c r="CJ17" s="191">
        <v>3.25</v>
      </c>
      <c r="CK17" s="191">
        <v>37.6</v>
      </c>
      <c r="CL17" s="191">
        <v>6.96</v>
      </c>
      <c r="CM17" s="191">
        <v>0.93</v>
      </c>
      <c r="CN17" s="191">
        <v>0.56</v>
      </c>
      <c r="CO17" s="191">
        <v>0</v>
      </c>
      <c r="CP17" s="191">
        <v>0</v>
      </c>
      <c r="CQ17" s="191">
        <v>69.63</v>
      </c>
      <c r="CR17" s="191">
        <v>3.25</v>
      </c>
      <c r="CS17" s="191">
        <v>0</v>
      </c>
      <c r="CT17" s="191">
        <v>-6.77</v>
      </c>
      <c r="CU17" s="191">
        <v>-0.51</v>
      </c>
      <c r="CV17" s="191">
        <v>-0.51</v>
      </c>
      <c r="CW17" s="191">
        <v>-0.51</v>
      </c>
      <c r="CX17" s="191">
        <v>-1.23</v>
      </c>
      <c r="CY17" s="191">
        <v>-0.51</v>
      </c>
      <c r="CZ17" s="191">
        <v>-1.03</v>
      </c>
      <c r="DA17" s="191">
        <v>-1.13</v>
      </c>
      <c r="DB17" s="191">
        <v>-2.36</v>
      </c>
      <c r="DC17" s="191">
        <v>-0.72</v>
      </c>
      <c r="DD17" s="191">
        <v>-0.21</v>
      </c>
      <c r="DE17" s="191">
        <v>-0.21</v>
      </c>
      <c r="DF17" s="191">
        <v>-0.41</v>
      </c>
      <c r="DG17" s="192">
        <v>-0.21</v>
      </c>
      <c r="DH17" s="180"/>
      <c r="DI17" s="191" t="s">
        <v>423</v>
      </c>
      <c r="DJ17" s="191">
        <v>2.71</v>
      </c>
      <c r="DK17" s="191">
        <v>1.08</v>
      </c>
      <c r="DL17" s="191">
        <v>0</v>
      </c>
      <c r="DM17" s="191">
        <v>0</v>
      </c>
      <c r="DN17" s="191">
        <v>2.08</v>
      </c>
      <c r="DO17" s="191">
        <v>5.23</v>
      </c>
      <c r="DP17" s="191">
        <v>5.42</v>
      </c>
      <c r="DQ17" s="191">
        <v>0.63</v>
      </c>
      <c r="DR17" s="191">
        <v>2.08</v>
      </c>
      <c r="DS17" s="191">
        <v>2.53</v>
      </c>
      <c r="DT17" s="191">
        <v>0</v>
      </c>
      <c r="DU17" s="191">
        <v>6.67</v>
      </c>
      <c r="DV17" s="191">
        <v>0.54</v>
      </c>
      <c r="DW17" s="191">
        <v>0</v>
      </c>
      <c r="DX17" s="191">
        <v>3.15</v>
      </c>
      <c r="DY17" s="192">
        <v>0</v>
      </c>
    </row>
    <row r="18" s="180" customFormat="1" spans="1:129">
      <c r="A18" s="190" t="s">
        <v>424</v>
      </c>
      <c r="B18" s="191">
        <v>-27.3</v>
      </c>
      <c r="C18" s="192">
        <v>206.66</v>
      </c>
      <c r="E18" s="191" t="s">
        <v>424</v>
      </c>
      <c r="F18" s="191">
        <v>11.42</v>
      </c>
      <c r="G18" s="191">
        <v>0</v>
      </c>
      <c r="H18" s="191">
        <v>2.86</v>
      </c>
      <c r="I18" s="191">
        <v>1.14</v>
      </c>
      <c r="J18" s="191">
        <v>0</v>
      </c>
      <c r="K18" s="191">
        <v>0</v>
      </c>
      <c r="L18" s="191">
        <v>0</v>
      </c>
      <c r="M18" s="191">
        <v>0</v>
      </c>
      <c r="N18" s="191">
        <v>3.81</v>
      </c>
      <c r="O18" s="191">
        <v>0</v>
      </c>
      <c r="P18" s="191">
        <v>2.19</v>
      </c>
      <c r="Q18" s="191">
        <v>5.52</v>
      </c>
      <c r="R18" s="191">
        <v>5.71</v>
      </c>
      <c r="S18" s="191">
        <v>0</v>
      </c>
      <c r="T18" s="191">
        <v>0.67</v>
      </c>
      <c r="U18" s="191">
        <v>2.19</v>
      </c>
      <c r="V18" s="191">
        <v>2.67</v>
      </c>
      <c r="W18" s="191">
        <v>-0.9</v>
      </c>
      <c r="X18" s="191">
        <v>-5.5</v>
      </c>
      <c r="Y18" s="191">
        <v>-2.4</v>
      </c>
      <c r="Z18" s="191">
        <v>-3</v>
      </c>
      <c r="AA18" s="191">
        <v>19.04</v>
      </c>
      <c r="AB18" s="191">
        <v>0</v>
      </c>
      <c r="AC18" s="191">
        <v>7.04</v>
      </c>
      <c r="AD18" s="191">
        <v>3.62</v>
      </c>
      <c r="AE18" s="191">
        <v>13.52</v>
      </c>
      <c r="AF18" s="191">
        <v>0</v>
      </c>
      <c r="AG18" s="191">
        <v>0</v>
      </c>
      <c r="AH18" s="191">
        <v>3.33</v>
      </c>
      <c r="AI18" s="191">
        <v>38.55</v>
      </c>
      <c r="AJ18" s="191">
        <v>7.14</v>
      </c>
      <c r="AK18" s="191">
        <v>0.95</v>
      </c>
      <c r="AL18" s="191">
        <v>0.57</v>
      </c>
      <c r="AM18" s="191">
        <v>0</v>
      </c>
      <c r="AN18" s="191">
        <v>0</v>
      </c>
      <c r="AO18" s="191">
        <v>71.39</v>
      </c>
      <c r="AP18" s="191">
        <v>3.33</v>
      </c>
      <c r="AQ18" s="191">
        <v>0</v>
      </c>
      <c r="AR18" s="191">
        <v>-5.8</v>
      </c>
      <c r="AS18" s="191">
        <v>-0.6</v>
      </c>
      <c r="AT18" s="191">
        <v>-0.6</v>
      </c>
      <c r="AU18" s="191">
        <v>-0.6</v>
      </c>
      <c r="AV18" s="191">
        <v>-1.1</v>
      </c>
      <c r="AW18" s="191">
        <v>-0.6</v>
      </c>
      <c r="AX18" s="191">
        <v>-1</v>
      </c>
      <c r="AY18" s="191">
        <v>-1.1</v>
      </c>
      <c r="AZ18" s="191">
        <v>-2.4</v>
      </c>
      <c r="BA18" s="191">
        <v>-0.7</v>
      </c>
      <c r="BB18" s="191">
        <v>-0.2</v>
      </c>
      <c r="BC18" s="191">
        <v>-0.2</v>
      </c>
      <c r="BD18" s="191">
        <v>-0.4</v>
      </c>
      <c r="BE18" s="192">
        <v>-0.2</v>
      </c>
      <c r="BF18" s="180"/>
      <c r="BG18" s="191" t="s">
        <v>424</v>
      </c>
      <c r="BH18" s="191">
        <v>11.14</v>
      </c>
      <c r="BI18" s="191">
        <v>0</v>
      </c>
      <c r="BJ18" s="191">
        <v>2.79</v>
      </c>
      <c r="BK18" s="191">
        <v>1.11</v>
      </c>
      <c r="BL18" s="191">
        <v>0</v>
      </c>
      <c r="BM18" s="191">
        <v>0</v>
      </c>
      <c r="BN18" s="191">
        <v>0</v>
      </c>
      <c r="BO18" s="191">
        <v>0</v>
      </c>
      <c r="BP18" s="191">
        <v>3.72</v>
      </c>
      <c r="BQ18" s="191">
        <v>0</v>
      </c>
      <c r="BR18" s="191">
        <v>2.14</v>
      </c>
      <c r="BS18" s="191">
        <v>5.38</v>
      </c>
      <c r="BT18" s="191">
        <v>5.57</v>
      </c>
      <c r="BU18" s="191">
        <v>0</v>
      </c>
      <c r="BV18" s="191">
        <v>0.65</v>
      </c>
      <c r="BW18" s="191">
        <v>2.14</v>
      </c>
      <c r="BX18" s="191">
        <v>2.6</v>
      </c>
      <c r="BY18" s="191">
        <v>-0.92</v>
      </c>
      <c r="BZ18" s="191">
        <v>-5.64</v>
      </c>
      <c r="CA18" s="191">
        <v>-2.46</v>
      </c>
      <c r="CB18" s="191">
        <v>-3.08</v>
      </c>
      <c r="CC18" s="191">
        <v>18.57</v>
      </c>
      <c r="CD18" s="191">
        <v>0</v>
      </c>
      <c r="CE18" s="191">
        <v>6.87</v>
      </c>
      <c r="CF18" s="191">
        <v>3.53</v>
      </c>
      <c r="CG18" s="191">
        <v>13.19</v>
      </c>
      <c r="CH18" s="191">
        <v>0</v>
      </c>
      <c r="CI18" s="191">
        <v>0</v>
      </c>
      <c r="CJ18" s="191">
        <v>3.25</v>
      </c>
      <c r="CK18" s="191">
        <v>37.6</v>
      </c>
      <c r="CL18" s="191">
        <v>6.96</v>
      </c>
      <c r="CM18" s="191">
        <v>0.93</v>
      </c>
      <c r="CN18" s="191">
        <v>0.56</v>
      </c>
      <c r="CO18" s="191">
        <v>0</v>
      </c>
      <c r="CP18" s="191">
        <v>0</v>
      </c>
      <c r="CQ18" s="191">
        <v>69.63</v>
      </c>
      <c r="CR18" s="191">
        <v>3.25</v>
      </c>
      <c r="CS18" s="191">
        <v>0</v>
      </c>
      <c r="CT18" s="191">
        <v>-5.95</v>
      </c>
      <c r="CU18" s="191">
        <v>-0.62</v>
      </c>
      <c r="CV18" s="191">
        <v>-0.62</v>
      </c>
      <c r="CW18" s="191">
        <v>-0.62</v>
      </c>
      <c r="CX18" s="191">
        <v>-1.13</v>
      </c>
      <c r="CY18" s="191">
        <v>-0.62</v>
      </c>
      <c r="CZ18" s="191">
        <v>-1.03</v>
      </c>
      <c r="DA18" s="191">
        <v>-1.13</v>
      </c>
      <c r="DB18" s="191">
        <v>-2.46</v>
      </c>
      <c r="DC18" s="191">
        <v>-0.72</v>
      </c>
      <c r="DD18" s="191">
        <v>-0.21</v>
      </c>
      <c r="DE18" s="191">
        <v>-0.21</v>
      </c>
      <c r="DF18" s="191">
        <v>-0.41</v>
      </c>
      <c r="DG18" s="192">
        <v>-0.21</v>
      </c>
      <c r="DH18" s="180"/>
      <c r="DI18" s="191" t="s">
        <v>424</v>
      </c>
      <c r="DJ18" s="191">
        <v>2.71</v>
      </c>
      <c r="DK18" s="191">
        <v>1.08</v>
      </c>
      <c r="DL18" s="191">
        <v>0</v>
      </c>
      <c r="DM18" s="191">
        <v>0</v>
      </c>
      <c r="DN18" s="191">
        <v>2.08</v>
      </c>
      <c r="DO18" s="191">
        <v>5.23</v>
      </c>
      <c r="DP18" s="191">
        <v>5.42</v>
      </c>
      <c r="DQ18" s="191">
        <v>0.63</v>
      </c>
      <c r="DR18" s="191">
        <v>2.08</v>
      </c>
      <c r="DS18" s="191">
        <v>2.53</v>
      </c>
      <c r="DT18" s="191">
        <v>0</v>
      </c>
      <c r="DU18" s="191">
        <v>6.67</v>
      </c>
      <c r="DV18" s="191">
        <v>0.54</v>
      </c>
      <c r="DW18" s="191">
        <v>0</v>
      </c>
      <c r="DX18" s="191">
        <v>3.15</v>
      </c>
      <c r="DY18" s="192">
        <v>0</v>
      </c>
    </row>
    <row r="19" s="180" customFormat="1" spans="1:129">
      <c r="A19" s="190" t="s">
        <v>425</v>
      </c>
      <c r="B19" s="191">
        <v>-26.9</v>
      </c>
      <c r="C19" s="192">
        <v>206.47</v>
      </c>
      <c r="E19" s="191" t="s">
        <v>425</v>
      </c>
      <c r="F19" s="191">
        <v>11.42</v>
      </c>
      <c r="G19" s="191">
        <v>0</v>
      </c>
      <c r="H19" s="191">
        <v>2.86</v>
      </c>
      <c r="I19" s="191">
        <v>1.14</v>
      </c>
      <c r="J19" s="191">
        <v>0</v>
      </c>
      <c r="K19" s="191">
        <v>0</v>
      </c>
      <c r="L19" s="191">
        <v>0</v>
      </c>
      <c r="M19" s="191">
        <v>0</v>
      </c>
      <c r="N19" s="191">
        <v>3.81</v>
      </c>
      <c r="O19" s="191">
        <v>0</v>
      </c>
      <c r="P19" s="191">
        <v>2.19</v>
      </c>
      <c r="Q19" s="191">
        <v>5.52</v>
      </c>
      <c r="R19" s="191">
        <v>5.71</v>
      </c>
      <c r="S19" s="191">
        <v>0</v>
      </c>
      <c r="T19" s="191">
        <v>0.67</v>
      </c>
      <c r="U19" s="191">
        <v>2</v>
      </c>
      <c r="V19" s="191">
        <v>2.67</v>
      </c>
      <c r="W19" s="191">
        <v>-0.9</v>
      </c>
      <c r="X19" s="191">
        <v>-5.5</v>
      </c>
      <c r="Y19" s="191">
        <v>-2.4</v>
      </c>
      <c r="Z19" s="191">
        <v>-3</v>
      </c>
      <c r="AA19" s="191">
        <v>19.04</v>
      </c>
      <c r="AB19" s="191">
        <v>0</v>
      </c>
      <c r="AC19" s="191">
        <v>7.04</v>
      </c>
      <c r="AD19" s="191">
        <v>3.62</v>
      </c>
      <c r="AE19" s="191">
        <v>13.52</v>
      </c>
      <c r="AF19" s="191">
        <v>0</v>
      </c>
      <c r="AG19" s="191">
        <v>0</v>
      </c>
      <c r="AH19" s="191">
        <v>3.33</v>
      </c>
      <c r="AI19" s="191">
        <v>38.55</v>
      </c>
      <c r="AJ19" s="191">
        <v>7.14</v>
      </c>
      <c r="AK19" s="191">
        <v>0.95</v>
      </c>
      <c r="AL19" s="191">
        <v>0.57</v>
      </c>
      <c r="AM19" s="191">
        <v>0</v>
      </c>
      <c r="AN19" s="191">
        <v>0</v>
      </c>
      <c r="AO19" s="191">
        <v>71.39</v>
      </c>
      <c r="AP19" s="191">
        <v>3.33</v>
      </c>
      <c r="AQ19" s="191">
        <v>0</v>
      </c>
      <c r="AR19" s="191">
        <v>-5.3</v>
      </c>
      <c r="AS19" s="191">
        <v>-0.6</v>
      </c>
      <c r="AT19" s="191">
        <v>-0.6</v>
      </c>
      <c r="AU19" s="191">
        <v>-0.6</v>
      </c>
      <c r="AV19" s="191">
        <v>-1.1</v>
      </c>
      <c r="AW19" s="191">
        <v>-0.6</v>
      </c>
      <c r="AX19" s="191">
        <v>-0.9</v>
      </c>
      <c r="AY19" s="191">
        <v>-1.2</v>
      </c>
      <c r="AZ19" s="191">
        <v>-2.5</v>
      </c>
      <c r="BA19" s="191">
        <v>-0.7</v>
      </c>
      <c r="BB19" s="191">
        <v>-0.2</v>
      </c>
      <c r="BC19" s="191">
        <v>-0.2</v>
      </c>
      <c r="BD19" s="191">
        <v>-0.4</v>
      </c>
      <c r="BE19" s="192">
        <v>-0.2</v>
      </c>
      <c r="BF19" s="180"/>
      <c r="BG19" s="191" t="s">
        <v>425</v>
      </c>
      <c r="BH19" s="191">
        <v>11.14</v>
      </c>
      <c r="BI19" s="191">
        <v>0</v>
      </c>
      <c r="BJ19" s="191">
        <v>2.79</v>
      </c>
      <c r="BK19" s="191">
        <v>1.11</v>
      </c>
      <c r="BL19" s="191">
        <v>0</v>
      </c>
      <c r="BM19" s="191">
        <v>0</v>
      </c>
      <c r="BN19" s="191">
        <v>0</v>
      </c>
      <c r="BO19" s="191">
        <v>0</v>
      </c>
      <c r="BP19" s="191">
        <v>3.72</v>
      </c>
      <c r="BQ19" s="191">
        <v>0</v>
      </c>
      <c r="BR19" s="191">
        <v>2.14</v>
      </c>
      <c r="BS19" s="191">
        <v>5.38</v>
      </c>
      <c r="BT19" s="191">
        <v>5.57</v>
      </c>
      <c r="BU19" s="191">
        <v>0</v>
      </c>
      <c r="BV19" s="191">
        <v>0.65</v>
      </c>
      <c r="BW19" s="191">
        <v>1.95</v>
      </c>
      <c r="BX19" s="191">
        <v>2.6</v>
      </c>
      <c r="BY19" s="191">
        <v>-0.92</v>
      </c>
      <c r="BZ19" s="191">
        <v>-5.64</v>
      </c>
      <c r="CA19" s="191">
        <v>-2.46</v>
      </c>
      <c r="CB19" s="191">
        <v>-3.08</v>
      </c>
      <c r="CC19" s="191">
        <v>18.57</v>
      </c>
      <c r="CD19" s="191">
        <v>0</v>
      </c>
      <c r="CE19" s="191">
        <v>6.87</v>
      </c>
      <c r="CF19" s="191">
        <v>3.53</v>
      </c>
      <c r="CG19" s="191">
        <v>13.19</v>
      </c>
      <c r="CH19" s="191">
        <v>0</v>
      </c>
      <c r="CI19" s="191">
        <v>0</v>
      </c>
      <c r="CJ19" s="191">
        <v>3.25</v>
      </c>
      <c r="CK19" s="191">
        <v>37.6</v>
      </c>
      <c r="CL19" s="191">
        <v>6.96</v>
      </c>
      <c r="CM19" s="191">
        <v>0.93</v>
      </c>
      <c r="CN19" s="191">
        <v>0.56</v>
      </c>
      <c r="CO19" s="191">
        <v>0</v>
      </c>
      <c r="CP19" s="191">
        <v>0</v>
      </c>
      <c r="CQ19" s="191">
        <v>69.63</v>
      </c>
      <c r="CR19" s="191">
        <v>3.25</v>
      </c>
      <c r="CS19" s="191">
        <v>0</v>
      </c>
      <c r="CT19" s="191">
        <v>-5.43</v>
      </c>
      <c r="CU19" s="191">
        <v>-0.62</v>
      </c>
      <c r="CV19" s="191">
        <v>-0.62</v>
      </c>
      <c r="CW19" s="191">
        <v>-0.62</v>
      </c>
      <c r="CX19" s="191">
        <v>-1.13</v>
      </c>
      <c r="CY19" s="191">
        <v>-0.62</v>
      </c>
      <c r="CZ19" s="191">
        <v>-0.92</v>
      </c>
      <c r="DA19" s="191">
        <v>-1.23</v>
      </c>
      <c r="DB19" s="191">
        <v>-2.56</v>
      </c>
      <c r="DC19" s="191">
        <v>-0.72</v>
      </c>
      <c r="DD19" s="191">
        <v>-0.21</v>
      </c>
      <c r="DE19" s="191">
        <v>-0.21</v>
      </c>
      <c r="DF19" s="191">
        <v>-0.41</v>
      </c>
      <c r="DG19" s="192">
        <v>-0.21</v>
      </c>
      <c r="DH19" s="180"/>
      <c r="DI19" s="191" t="s">
        <v>425</v>
      </c>
      <c r="DJ19" s="191">
        <v>2.71</v>
      </c>
      <c r="DK19" s="191">
        <v>1.08</v>
      </c>
      <c r="DL19" s="191">
        <v>0</v>
      </c>
      <c r="DM19" s="191">
        <v>0</v>
      </c>
      <c r="DN19" s="191">
        <v>2.08</v>
      </c>
      <c r="DO19" s="191">
        <v>5.23</v>
      </c>
      <c r="DP19" s="191">
        <v>5.42</v>
      </c>
      <c r="DQ19" s="191">
        <v>0.63</v>
      </c>
      <c r="DR19" s="191">
        <v>1.9</v>
      </c>
      <c r="DS19" s="191">
        <v>2.53</v>
      </c>
      <c r="DT19" s="191">
        <v>0</v>
      </c>
      <c r="DU19" s="191">
        <v>6.67</v>
      </c>
      <c r="DV19" s="191">
        <v>0.54</v>
      </c>
      <c r="DW19" s="191">
        <v>0</v>
      </c>
      <c r="DX19" s="191">
        <v>3.15</v>
      </c>
      <c r="DY19" s="192">
        <v>0</v>
      </c>
    </row>
    <row r="20" s="180" customFormat="1" spans="1:129">
      <c r="A20" s="190" t="s">
        <v>426</v>
      </c>
      <c r="B20" s="191">
        <v>-26.8</v>
      </c>
      <c r="C20" s="192">
        <v>206.47</v>
      </c>
      <c r="E20" s="191" t="s">
        <v>426</v>
      </c>
      <c r="F20" s="191">
        <v>11.42</v>
      </c>
      <c r="G20" s="191">
        <v>0</v>
      </c>
      <c r="H20" s="191">
        <v>2.86</v>
      </c>
      <c r="I20" s="191">
        <v>1.14</v>
      </c>
      <c r="J20" s="191">
        <v>0</v>
      </c>
      <c r="K20" s="191">
        <v>0</v>
      </c>
      <c r="L20" s="191">
        <v>0</v>
      </c>
      <c r="M20" s="191">
        <v>0</v>
      </c>
      <c r="N20" s="191">
        <v>3.81</v>
      </c>
      <c r="O20" s="191">
        <v>0</v>
      </c>
      <c r="P20" s="191">
        <v>2.19</v>
      </c>
      <c r="Q20" s="191">
        <v>5.52</v>
      </c>
      <c r="R20" s="191">
        <v>5.71</v>
      </c>
      <c r="S20" s="191">
        <v>0</v>
      </c>
      <c r="T20" s="191">
        <v>0.67</v>
      </c>
      <c r="U20" s="191">
        <v>2</v>
      </c>
      <c r="V20" s="191">
        <v>2.67</v>
      </c>
      <c r="W20" s="191">
        <v>-0.9</v>
      </c>
      <c r="X20" s="191">
        <v>-5.5</v>
      </c>
      <c r="Y20" s="191">
        <v>-2.4</v>
      </c>
      <c r="Z20" s="191">
        <v>-3</v>
      </c>
      <c r="AA20" s="191">
        <v>19.04</v>
      </c>
      <c r="AB20" s="191">
        <v>0</v>
      </c>
      <c r="AC20" s="191">
        <v>7.04</v>
      </c>
      <c r="AD20" s="191">
        <v>3.62</v>
      </c>
      <c r="AE20" s="191">
        <v>13.52</v>
      </c>
      <c r="AF20" s="191">
        <v>0</v>
      </c>
      <c r="AG20" s="191">
        <v>0</v>
      </c>
      <c r="AH20" s="191">
        <v>3.33</v>
      </c>
      <c r="AI20" s="191">
        <v>38.55</v>
      </c>
      <c r="AJ20" s="191">
        <v>7.14</v>
      </c>
      <c r="AK20" s="191">
        <v>0.95</v>
      </c>
      <c r="AL20" s="191">
        <v>0.57</v>
      </c>
      <c r="AM20" s="191">
        <v>0</v>
      </c>
      <c r="AN20" s="191">
        <v>0</v>
      </c>
      <c r="AO20" s="191">
        <v>71.39</v>
      </c>
      <c r="AP20" s="191">
        <v>3.33</v>
      </c>
      <c r="AQ20" s="191">
        <v>0</v>
      </c>
      <c r="AR20" s="191">
        <v>-5.3</v>
      </c>
      <c r="AS20" s="191">
        <v>-0.6</v>
      </c>
      <c r="AT20" s="191">
        <v>-0.6</v>
      </c>
      <c r="AU20" s="191">
        <v>-0.6</v>
      </c>
      <c r="AV20" s="191">
        <v>-1.1</v>
      </c>
      <c r="AW20" s="191">
        <v>-0.6</v>
      </c>
      <c r="AX20" s="191">
        <v>-0.9</v>
      </c>
      <c r="AY20" s="191">
        <v>-1.1</v>
      </c>
      <c r="AZ20" s="191">
        <v>-2.4</v>
      </c>
      <c r="BA20" s="191">
        <v>-0.8</v>
      </c>
      <c r="BB20" s="191">
        <v>-0.2</v>
      </c>
      <c r="BC20" s="191">
        <v>-0.2</v>
      </c>
      <c r="BD20" s="191">
        <v>-0.4</v>
      </c>
      <c r="BE20" s="192">
        <v>-0.2</v>
      </c>
      <c r="BF20" s="180"/>
      <c r="BG20" s="191" t="s">
        <v>426</v>
      </c>
      <c r="BH20" s="191">
        <v>11.14</v>
      </c>
      <c r="BI20" s="191">
        <v>0</v>
      </c>
      <c r="BJ20" s="191">
        <v>2.79</v>
      </c>
      <c r="BK20" s="191">
        <v>1.11</v>
      </c>
      <c r="BL20" s="191">
        <v>0</v>
      </c>
      <c r="BM20" s="191">
        <v>0</v>
      </c>
      <c r="BN20" s="191">
        <v>0</v>
      </c>
      <c r="BO20" s="191">
        <v>0</v>
      </c>
      <c r="BP20" s="191">
        <v>3.72</v>
      </c>
      <c r="BQ20" s="191">
        <v>0</v>
      </c>
      <c r="BR20" s="191">
        <v>2.14</v>
      </c>
      <c r="BS20" s="191">
        <v>5.38</v>
      </c>
      <c r="BT20" s="191">
        <v>5.57</v>
      </c>
      <c r="BU20" s="191">
        <v>0</v>
      </c>
      <c r="BV20" s="191">
        <v>0.65</v>
      </c>
      <c r="BW20" s="191">
        <v>1.95</v>
      </c>
      <c r="BX20" s="191">
        <v>2.6</v>
      </c>
      <c r="BY20" s="191">
        <v>-0.92</v>
      </c>
      <c r="BZ20" s="191">
        <v>-5.64</v>
      </c>
      <c r="CA20" s="191">
        <v>-2.46</v>
      </c>
      <c r="CB20" s="191">
        <v>-3.08</v>
      </c>
      <c r="CC20" s="191">
        <v>18.57</v>
      </c>
      <c r="CD20" s="191">
        <v>0</v>
      </c>
      <c r="CE20" s="191">
        <v>6.87</v>
      </c>
      <c r="CF20" s="191">
        <v>3.53</v>
      </c>
      <c r="CG20" s="191">
        <v>13.19</v>
      </c>
      <c r="CH20" s="191">
        <v>0</v>
      </c>
      <c r="CI20" s="191">
        <v>0</v>
      </c>
      <c r="CJ20" s="191">
        <v>3.25</v>
      </c>
      <c r="CK20" s="191">
        <v>37.6</v>
      </c>
      <c r="CL20" s="191">
        <v>6.96</v>
      </c>
      <c r="CM20" s="191">
        <v>0.93</v>
      </c>
      <c r="CN20" s="191">
        <v>0.56</v>
      </c>
      <c r="CO20" s="191">
        <v>0</v>
      </c>
      <c r="CP20" s="191">
        <v>0</v>
      </c>
      <c r="CQ20" s="191">
        <v>69.63</v>
      </c>
      <c r="CR20" s="191">
        <v>3.25</v>
      </c>
      <c r="CS20" s="191">
        <v>0</v>
      </c>
      <c r="CT20" s="191">
        <v>-5.43</v>
      </c>
      <c r="CU20" s="191">
        <v>-0.62</v>
      </c>
      <c r="CV20" s="191">
        <v>-0.62</v>
      </c>
      <c r="CW20" s="191">
        <v>-0.62</v>
      </c>
      <c r="CX20" s="191">
        <v>-1.13</v>
      </c>
      <c r="CY20" s="191">
        <v>-0.62</v>
      </c>
      <c r="CZ20" s="191">
        <v>-0.92</v>
      </c>
      <c r="DA20" s="191">
        <v>-1.13</v>
      </c>
      <c r="DB20" s="191">
        <v>-2.46</v>
      </c>
      <c r="DC20" s="191">
        <v>-0.82</v>
      </c>
      <c r="DD20" s="191">
        <v>-0.21</v>
      </c>
      <c r="DE20" s="191">
        <v>-0.21</v>
      </c>
      <c r="DF20" s="191">
        <v>-0.41</v>
      </c>
      <c r="DG20" s="192">
        <v>-0.21</v>
      </c>
      <c r="DH20" s="180"/>
      <c r="DI20" s="191" t="s">
        <v>426</v>
      </c>
      <c r="DJ20" s="191">
        <v>2.71</v>
      </c>
      <c r="DK20" s="191">
        <v>1.08</v>
      </c>
      <c r="DL20" s="191">
        <v>0</v>
      </c>
      <c r="DM20" s="191">
        <v>0</v>
      </c>
      <c r="DN20" s="191">
        <v>2.08</v>
      </c>
      <c r="DO20" s="191">
        <v>5.23</v>
      </c>
      <c r="DP20" s="191">
        <v>5.42</v>
      </c>
      <c r="DQ20" s="191">
        <v>0.63</v>
      </c>
      <c r="DR20" s="191">
        <v>1.9</v>
      </c>
      <c r="DS20" s="191">
        <v>2.53</v>
      </c>
      <c r="DT20" s="191">
        <v>0</v>
      </c>
      <c r="DU20" s="191">
        <v>6.67</v>
      </c>
      <c r="DV20" s="191">
        <v>0.54</v>
      </c>
      <c r="DW20" s="191">
        <v>0</v>
      </c>
      <c r="DX20" s="191">
        <v>3.15</v>
      </c>
      <c r="DY20" s="192">
        <v>0</v>
      </c>
    </row>
    <row r="21" s="180" customFormat="1" spans="1:129">
      <c r="A21" s="190" t="s">
        <v>427</v>
      </c>
      <c r="B21" s="191">
        <v>-26.5</v>
      </c>
      <c r="C21" s="192">
        <v>206.47</v>
      </c>
      <c r="E21" s="191" t="s">
        <v>427</v>
      </c>
      <c r="F21" s="191">
        <v>11.42</v>
      </c>
      <c r="G21" s="191">
        <v>0</v>
      </c>
      <c r="H21" s="191">
        <v>2.86</v>
      </c>
      <c r="I21" s="191">
        <v>1.14</v>
      </c>
      <c r="J21" s="191">
        <v>0</v>
      </c>
      <c r="K21" s="191">
        <v>0</v>
      </c>
      <c r="L21" s="191">
        <v>0</v>
      </c>
      <c r="M21" s="191">
        <v>0</v>
      </c>
      <c r="N21" s="191">
        <v>3.81</v>
      </c>
      <c r="O21" s="191">
        <v>0</v>
      </c>
      <c r="P21" s="191">
        <v>2.19</v>
      </c>
      <c r="Q21" s="191">
        <v>5.52</v>
      </c>
      <c r="R21" s="191">
        <v>5.71</v>
      </c>
      <c r="S21" s="191">
        <v>0</v>
      </c>
      <c r="T21" s="191">
        <v>0.67</v>
      </c>
      <c r="U21" s="191">
        <v>2</v>
      </c>
      <c r="V21" s="191">
        <v>2.67</v>
      </c>
      <c r="W21" s="191">
        <v>-0.9</v>
      </c>
      <c r="X21" s="191">
        <v>-5.5</v>
      </c>
      <c r="Y21" s="191">
        <v>-2.4</v>
      </c>
      <c r="Z21" s="191">
        <v>-3</v>
      </c>
      <c r="AA21" s="191">
        <v>19.04</v>
      </c>
      <c r="AB21" s="191">
        <v>0</v>
      </c>
      <c r="AC21" s="191">
        <v>7.04</v>
      </c>
      <c r="AD21" s="191">
        <v>3.62</v>
      </c>
      <c r="AE21" s="191">
        <v>13.52</v>
      </c>
      <c r="AF21" s="191">
        <v>0</v>
      </c>
      <c r="AG21" s="191">
        <v>0</v>
      </c>
      <c r="AH21" s="191">
        <v>3.33</v>
      </c>
      <c r="AI21" s="191">
        <v>38.55</v>
      </c>
      <c r="AJ21" s="191">
        <v>7.14</v>
      </c>
      <c r="AK21" s="191">
        <v>0.95</v>
      </c>
      <c r="AL21" s="191">
        <v>0.57</v>
      </c>
      <c r="AM21" s="191">
        <v>0</v>
      </c>
      <c r="AN21" s="191">
        <v>0</v>
      </c>
      <c r="AO21" s="191">
        <v>71.39</v>
      </c>
      <c r="AP21" s="191">
        <v>3.33</v>
      </c>
      <c r="AQ21" s="191">
        <v>0</v>
      </c>
      <c r="AR21" s="191">
        <v>-5</v>
      </c>
      <c r="AS21" s="191">
        <v>-0.6</v>
      </c>
      <c r="AT21" s="191">
        <v>-0.6</v>
      </c>
      <c r="AU21" s="191">
        <v>-0.6</v>
      </c>
      <c r="AV21" s="191">
        <v>-1.1</v>
      </c>
      <c r="AW21" s="191">
        <v>-0.6</v>
      </c>
      <c r="AX21" s="191">
        <v>-0.9</v>
      </c>
      <c r="AY21" s="191">
        <v>-1.1</v>
      </c>
      <c r="AZ21" s="191">
        <v>-2.4</v>
      </c>
      <c r="BA21" s="191">
        <v>-0.8</v>
      </c>
      <c r="BB21" s="191">
        <v>-0.2</v>
      </c>
      <c r="BC21" s="191">
        <v>-0.2</v>
      </c>
      <c r="BD21" s="191">
        <v>-0.4</v>
      </c>
      <c r="BE21" s="192">
        <v>-0.2</v>
      </c>
      <c r="BF21" s="180"/>
      <c r="BG21" s="191" t="s">
        <v>427</v>
      </c>
      <c r="BH21" s="191">
        <v>11.14</v>
      </c>
      <c r="BI21" s="191">
        <v>0</v>
      </c>
      <c r="BJ21" s="191">
        <v>2.79</v>
      </c>
      <c r="BK21" s="191">
        <v>1.11</v>
      </c>
      <c r="BL21" s="191">
        <v>0</v>
      </c>
      <c r="BM21" s="191">
        <v>0</v>
      </c>
      <c r="BN21" s="191">
        <v>0</v>
      </c>
      <c r="BO21" s="191">
        <v>0</v>
      </c>
      <c r="BP21" s="191">
        <v>3.72</v>
      </c>
      <c r="BQ21" s="191">
        <v>0</v>
      </c>
      <c r="BR21" s="191">
        <v>2.14</v>
      </c>
      <c r="BS21" s="191">
        <v>5.38</v>
      </c>
      <c r="BT21" s="191">
        <v>5.57</v>
      </c>
      <c r="BU21" s="191">
        <v>0</v>
      </c>
      <c r="BV21" s="191">
        <v>0.65</v>
      </c>
      <c r="BW21" s="191">
        <v>1.95</v>
      </c>
      <c r="BX21" s="191">
        <v>2.6</v>
      </c>
      <c r="BY21" s="191">
        <v>-0.92</v>
      </c>
      <c r="BZ21" s="191">
        <v>-5.64</v>
      </c>
      <c r="CA21" s="191">
        <v>-2.46</v>
      </c>
      <c r="CB21" s="191">
        <v>-3.08</v>
      </c>
      <c r="CC21" s="191">
        <v>18.57</v>
      </c>
      <c r="CD21" s="191">
        <v>0</v>
      </c>
      <c r="CE21" s="191">
        <v>6.87</v>
      </c>
      <c r="CF21" s="191">
        <v>3.53</v>
      </c>
      <c r="CG21" s="191">
        <v>13.19</v>
      </c>
      <c r="CH21" s="191">
        <v>0</v>
      </c>
      <c r="CI21" s="191">
        <v>0</v>
      </c>
      <c r="CJ21" s="191">
        <v>3.25</v>
      </c>
      <c r="CK21" s="191">
        <v>37.6</v>
      </c>
      <c r="CL21" s="191">
        <v>6.96</v>
      </c>
      <c r="CM21" s="191">
        <v>0.93</v>
      </c>
      <c r="CN21" s="191">
        <v>0.56</v>
      </c>
      <c r="CO21" s="191">
        <v>0</v>
      </c>
      <c r="CP21" s="191">
        <v>0</v>
      </c>
      <c r="CQ21" s="191">
        <v>69.63</v>
      </c>
      <c r="CR21" s="191">
        <v>3.25</v>
      </c>
      <c r="CS21" s="191">
        <v>0</v>
      </c>
      <c r="CT21" s="191">
        <v>-5.13</v>
      </c>
      <c r="CU21" s="191">
        <v>-0.62</v>
      </c>
      <c r="CV21" s="191">
        <v>-0.62</v>
      </c>
      <c r="CW21" s="191">
        <v>-0.62</v>
      </c>
      <c r="CX21" s="191">
        <v>-1.13</v>
      </c>
      <c r="CY21" s="191">
        <v>-0.62</v>
      </c>
      <c r="CZ21" s="191">
        <v>-0.92</v>
      </c>
      <c r="DA21" s="191">
        <v>-1.13</v>
      </c>
      <c r="DB21" s="191">
        <v>-2.46</v>
      </c>
      <c r="DC21" s="191">
        <v>-0.82</v>
      </c>
      <c r="DD21" s="191">
        <v>-0.21</v>
      </c>
      <c r="DE21" s="191">
        <v>-0.21</v>
      </c>
      <c r="DF21" s="191">
        <v>-0.41</v>
      </c>
      <c r="DG21" s="192">
        <v>-0.21</v>
      </c>
      <c r="DH21" s="180"/>
      <c r="DI21" s="191" t="s">
        <v>427</v>
      </c>
      <c r="DJ21" s="191">
        <v>2.71</v>
      </c>
      <c r="DK21" s="191">
        <v>1.08</v>
      </c>
      <c r="DL21" s="191">
        <v>0</v>
      </c>
      <c r="DM21" s="191">
        <v>0</v>
      </c>
      <c r="DN21" s="191">
        <v>2.08</v>
      </c>
      <c r="DO21" s="191">
        <v>5.23</v>
      </c>
      <c r="DP21" s="191">
        <v>5.42</v>
      </c>
      <c r="DQ21" s="191">
        <v>0.63</v>
      </c>
      <c r="DR21" s="191">
        <v>1.9</v>
      </c>
      <c r="DS21" s="191">
        <v>2.53</v>
      </c>
      <c r="DT21" s="191">
        <v>0</v>
      </c>
      <c r="DU21" s="191">
        <v>6.67</v>
      </c>
      <c r="DV21" s="191">
        <v>0.54</v>
      </c>
      <c r="DW21" s="191">
        <v>0</v>
      </c>
      <c r="DX21" s="191">
        <v>3.15</v>
      </c>
      <c r="DY21" s="192">
        <v>0</v>
      </c>
    </row>
    <row r="22" s="180" customFormat="1" spans="1:129">
      <c r="A22" s="190" t="s">
        <v>428</v>
      </c>
      <c r="B22" s="191">
        <v>-26.1</v>
      </c>
      <c r="C22" s="192">
        <v>206.47</v>
      </c>
      <c r="E22" s="191" t="s">
        <v>428</v>
      </c>
      <c r="F22" s="191">
        <v>11.42</v>
      </c>
      <c r="G22" s="191">
        <v>0</v>
      </c>
      <c r="H22" s="191">
        <v>2.86</v>
      </c>
      <c r="I22" s="191">
        <v>1.14</v>
      </c>
      <c r="J22" s="191">
        <v>0</v>
      </c>
      <c r="K22" s="191">
        <v>0</v>
      </c>
      <c r="L22" s="191">
        <v>0</v>
      </c>
      <c r="M22" s="191">
        <v>0</v>
      </c>
      <c r="N22" s="191">
        <v>3.81</v>
      </c>
      <c r="O22" s="191">
        <v>0</v>
      </c>
      <c r="P22" s="191">
        <v>2.19</v>
      </c>
      <c r="Q22" s="191">
        <v>5.52</v>
      </c>
      <c r="R22" s="191">
        <v>5.71</v>
      </c>
      <c r="S22" s="191">
        <v>0</v>
      </c>
      <c r="T22" s="191">
        <v>0.67</v>
      </c>
      <c r="U22" s="191">
        <v>2</v>
      </c>
      <c r="V22" s="191">
        <v>2.67</v>
      </c>
      <c r="W22" s="191">
        <v>-0.9</v>
      </c>
      <c r="X22" s="191">
        <v>-5.5</v>
      </c>
      <c r="Y22" s="191">
        <v>-2.4</v>
      </c>
      <c r="Z22" s="191">
        <v>-3</v>
      </c>
      <c r="AA22" s="191">
        <v>19.04</v>
      </c>
      <c r="AB22" s="191">
        <v>0</v>
      </c>
      <c r="AC22" s="191">
        <v>7.04</v>
      </c>
      <c r="AD22" s="191">
        <v>3.62</v>
      </c>
      <c r="AE22" s="191">
        <v>13.52</v>
      </c>
      <c r="AF22" s="191">
        <v>0</v>
      </c>
      <c r="AG22" s="191">
        <v>0</v>
      </c>
      <c r="AH22" s="191">
        <v>3.33</v>
      </c>
      <c r="AI22" s="191">
        <v>38.55</v>
      </c>
      <c r="AJ22" s="191">
        <v>7.14</v>
      </c>
      <c r="AK22" s="191">
        <v>0.95</v>
      </c>
      <c r="AL22" s="191">
        <v>0.57</v>
      </c>
      <c r="AM22" s="191">
        <v>0</v>
      </c>
      <c r="AN22" s="191">
        <v>0</v>
      </c>
      <c r="AO22" s="191">
        <v>71.39</v>
      </c>
      <c r="AP22" s="191">
        <v>3.33</v>
      </c>
      <c r="AQ22" s="191">
        <v>0</v>
      </c>
      <c r="AR22" s="191">
        <v>-4.9</v>
      </c>
      <c r="AS22" s="191">
        <v>-0.5</v>
      </c>
      <c r="AT22" s="191">
        <v>-0.5</v>
      </c>
      <c r="AU22" s="191">
        <v>-0.5</v>
      </c>
      <c r="AV22" s="191">
        <v>-1.1</v>
      </c>
      <c r="AW22" s="191">
        <v>-0.5</v>
      </c>
      <c r="AX22" s="191">
        <v>-1</v>
      </c>
      <c r="AY22" s="191">
        <v>-1.1</v>
      </c>
      <c r="AZ22" s="191">
        <v>-2.3</v>
      </c>
      <c r="BA22" s="191">
        <v>-0.9</v>
      </c>
      <c r="BB22" s="191">
        <v>-0.2</v>
      </c>
      <c r="BC22" s="191">
        <v>-0.2</v>
      </c>
      <c r="BD22" s="191">
        <v>-0.4</v>
      </c>
      <c r="BE22" s="192">
        <v>-0.2</v>
      </c>
      <c r="BF22" s="180"/>
      <c r="BG22" s="191" t="s">
        <v>428</v>
      </c>
      <c r="BH22" s="191">
        <v>11.14</v>
      </c>
      <c r="BI22" s="191">
        <v>0</v>
      </c>
      <c r="BJ22" s="191">
        <v>2.79</v>
      </c>
      <c r="BK22" s="191">
        <v>1.11</v>
      </c>
      <c r="BL22" s="191">
        <v>0</v>
      </c>
      <c r="BM22" s="191">
        <v>0</v>
      </c>
      <c r="BN22" s="191">
        <v>0</v>
      </c>
      <c r="BO22" s="191">
        <v>0</v>
      </c>
      <c r="BP22" s="191">
        <v>3.72</v>
      </c>
      <c r="BQ22" s="191">
        <v>0</v>
      </c>
      <c r="BR22" s="191">
        <v>2.14</v>
      </c>
      <c r="BS22" s="191">
        <v>5.38</v>
      </c>
      <c r="BT22" s="191">
        <v>5.57</v>
      </c>
      <c r="BU22" s="191">
        <v>0</v>
      </c>
      <c r="BV22" s="191">
        <v>0.65</v>
      </c>
      <c r="BW22" s="191">
        <v>1.95</v>
      </c>
      <c r="BX22" s="191">
        <v>2.6</v>
      </c>
      <c r="BY22" s="191">
        <v>-0.92</v>
      </c>
      <c r="BZ22" s="191">
        <v>-5.64</v>
      </c>
      <c r="CA22" s="191">
        <v>-2.46</v>
      </c>
      <c r="CB22" s="191">
        <v>-3.08</v>
      </c>
      <c r="CC22" s="191">
        <v>18.57</v>
      </c>
      <c r="CD22" s="191">
        <v>0</v>
      </c>
      <c r="CE22" s="191">
        <v>6.87</v>
      </c>
      <c r="CF22" s="191">
        <v>3.53</v>
      </c>
      <c r="CG22" s="191">
        <v>13.19</v>
      </c>
      <c r="CH22" s="191">
        <v>0</v>
      </c>
      <c r="CI22" s="191">
        <v>0</v>
      </c>
      <c r="CJ22" s="191">
        <v>3.25</v>
      </c>
      <c r="CK22" s="191">
        <v>37.6</v>
      </c>
      <c r="CL22" s="191">
        <v>6.96</v>
      </c>
      <c r="CM22" s="191">
        <v>0.93</v>
      </c>
      <c r="CN22" s="191">
        <v>0.56</v>
      </c>
      <c r="CO22" s="191">
        <v>0</v>
      </c>
      <c r="CP22" s="191">
        <v>0</v>
      </c>
      <c r="CQ22" s="191">
        <v>69.63</v>
      </c>
      <c r="CR22" s="191">
        <v>3.25</v>
      </c>
      <c r="CS22" s="191">
        <v>0</v>
      </c>
      <c r="CT22" s="191">
        <v>-5.02</v>
      </c>
      <c r="CU22" s="191">
        <v>-0.51</v>
      </c>
      <c r="CV22" s="191">
        <v>-0.51</v>
      </c>
      <c r="CW22" s="191">
        <v>-0.51</v>
      </c>
      <c r="CX22" s="191">
        <v>-1.13</v>
      </c>
      <c r="CY22" s="191">
        <v>-0.51</v>
      </c>
      <c r="CZ22" s="191">
        <v>-1.03</v>
      </c>
      <c r="DA22" s="191">
        <v>-1.13</v>
      </c>
      <c r="DB22" s="191">
        <v>-2.36</v>
      </c>
      <c r="DC22" s="191">
        <v>-0.92</v>
      </c>
      <c r="DD22" s="191">
        <v>-0.21</v>
      </c>
      <c r="DE22" s="191">
        <v>-0.21</v>
      </c>
      <c r="DF22" s="191">
        <v>-0.41</v>
      </c>
      <c r="DG22" s="192">
        <v>-0.21</v>
      </c>
      <c r="DH22" s="180"/>
      <c r="DI22" s="191" t="s">
        <v>428</v>
      </c>
      <c r="DJ22" s="191">
        <v>2.71</v>
      </c>
      <c r="DK22" s="191">
        <v>1.08</v>
      </c>
      <c r="DL22" s="191">
        <v>0</v>
      </c>
      <c r="DM22" s="191">
        <v>0</v>
      </c>
      <c r="DN22" s="191">
        <v>2.08</v>
      </c>
      <c r="DO22" s="191">
        <v>5.23</v>
      </c>
      <c r="DP22" s="191">
        <v>5.42</v>
      </c>
      <c r="DQ22" s="191">
        <v>0.63</v>
      </c>
      <c r="DR22" s="191">
        <v>1.9</v>
      </c>
      <c r="DS22" s="191">
        <v>2.53</v>
      </c>
      <c r="DT22" s="191">
        <v>0</v>
      </c>
      <c r="DU22" s="191">
        <v>6.67</v>
      </c>
      <c r="DV22" s="191">
        <v>0.54</v>
      </c>
      <c r="DW22" s="191">
        <v>0</v>
      </c>
      <c r="DX22" s="191">
        <v>3.15</v>
      </c>
      <c r="DY22" s="192">
        <v>0</v>
      </c>
    </row>
    <row r="23" s="180" customFormat="1" spans="1:129">
      <c r="A23" s="190" t="s">
        <v>429</v>
      </c>
      <c r="B23" s="191">
        <v>-26.2</v>
      </c>
      <c r="C23" s="192">
        <v>206.66</v>
      </c>
      <c r="E23" s="191" t="s">
        <v>429</v>
      </c>
      <c r="F23" s="191">
        <v>11.42</v>
      </c>
      <c r="G23" s="191">
        <v>0</v>
      </c>
      <c r="H23" s="191">
        <v>2.86</v>
      </c>
      <c r="I23" s="191">
        <v>1.14</v>
      </c>
      <c r="J23" s="191">
        <v>0</v>
      </c>
      <c r="K23" s="191">
        <v>0</v>
      </c>
      <c r="L23" s="191">
        <v>0</v>
      </c>
      <c r="M23" s="191">
        <v>0</v>
      </c>
      <c r="N23" s="191">
        <v>3.81</v>
      </c>
      <c r="O23" s="191">
        <v>0</v>
      </c>
      <c r="P23" s="191">
        <v>2.19</v>
      </c>
      <c r="Q23" s="191">
        <v>5.52</v>
      </c>
      <c r="R23" s="191">
        <v>5.71</v>
      </c>
      <c r="S23" s="191">
        <v>0</v>
      </c>
      <c r="T23" s="191">
        <v>0.67</v>
      </c>
      <c r="U23" s="191">
        <v>2.19</v>
      </c>
      <c r="V23" s="191">
        <v>2.67</v>
      </c>
      <c r="W23" s="191">
        <v>-0.9</v>
      </c>
      <c r="X23" s="191">
        <v>-5.5</v>
      </c>
      <c r="Y23" s="191">
        <v>-2.4</v>
      </c>
      <c r="Z23" s="191">
        <v>-3</v>
      </c>
      <c r="AA23" s="191">
        <v>19.04</v>
      </c>
      <c r="AB23" s="191">
        <v>0</v>
      </c>
      <c r="AC23" s="191">
        <v>7.04</v>
      </c>
      <c r="AD23" s="191">
        <v>3.62</v>
      </c>
      <c r="AE23" s="191">
        <v>13.52</v>
      </c>
      <c r="AF23" s="191">
        <v>0</v>
      </c>
      <c r="AG23" s="191">
        <v>0</v>
      </c>
      <c r="AH23" s="191">
        <v>3.33</v>
      </c>
      <c r="AI23" s="191">
        <v>38.55</v>
      </c>
      <c r="AJ23" s="191">
        <v>7.14</v>
      </c>
      <c r="AK23" s="191">
        <v>0.95</v>
      </c>
      <c r="AL23" s="191">
        <v>0.57</v>
      </c>
      <c r="AM23" s="191">
        <v>0</v>
      </c>
      <c r="AN23" s="191">
        <v>0</v>
      </c>
      <c r="AO23" s="191">
        <v>71.39</v>
      </c>
      <c r="AP23" s="191">
        <v>3.33</v>
      </c>
      <c r="AQ23" s="191">
        <v>0</v>
      </c>
      <c r="AR23" s="191">
        <v>-4.7</v>
      </c>
      <c r="AS23" s="191">
        <v>-0.6</v>
      </c>
      <c r="AT23" s="191">
        <v>-0.6</v>
      </c>
      <c r="AU23" s="191">
        <v>-0.6</v>
      </c>
      <c r="AV23" s="191">
        <v>-1.1</v>
      </c>
      <c r="AW23" s="191">
        <v>-0.6</v>
      </c>
      <c r="AX23" s="191">
        <v>-1</v>
      </c>
      <c r="AY23" s="191">
        <v>-1.1</v>
      </c>
      <c r="AZ23" s="191">
        <v>-2.2</v>
      </c>
      <c r="BA23" s="191">
        <v>-0.9</v>
      </c>
      <c r="BB23" s="191">
        <v>-0.2</v>
      </c>
      <c r="BC23" s="191">
        <v>-0.2</v>
      </c>
      <c r="BD23" s="191">
        <v>-0.4</v>
      </c>
      <c r="BE23" s="192">
        <v>-0.2</v>
      </c>
      <c r="BF23" s="180"/>
      <c r="BG23" s="191" t="s">
        <v>429</v>
      </c>
      <c r="BH23" s="191">
        <v>11.14</v>
      </c>
      <c r="BI23" s="191">
        <v>0</v>
      </c>
      <c r="BJ23" s="191">
        <v>2.79</v>
      </c>
      <c r="BK23" s="191">
        <v>1.11</v>
      </c>
      <c r="BL23" s="191">
        <v>0</v>
      </c>
      <c r="BM23" s="191">
        <v>0</v>
      </c>
      <c r="BN23" s="191">
        <v>0</v>
      </c>
      <c r="BO23" s="191">
        <v>0</v>
      </c>
      <c r="BP23" s="191">
        <v>3.72</v>
      </c>
      <c r="BQ23" s="191">
        <v>0</v>
      </c>
      <c r="BR23" s="191">
        <v>2.14</v>
      </c>
      <c r="BS23" s="191">
        <v>5.38</v>
      </c>
      <c r="BT23" s="191">
        <v>5.57</v>
      </c>
      <c r="BU23" s="191">
        <v>0</v>
      </c>
      <c r="BV23" s="191">
        <v>0.65</v>
      </c>
      <c r="BW23" s="191">
        <v>2.14</v>
      </c>
      <c r="BX23" s="191">
        <v>2.6</v>
      </c>
      <c r="BY23" s="191">
        <v>-0.92</v>
      </c>
      <c r="BZ23" s="191">
        <v>-5.64</v>
      </c>
      <c r="CA23" s="191">
        <v>-2.46</v>
      </c>
      <c r="CB23" s="191">
        <v>-3.08</v>
      </c>
      <c r="CC23" s="191">
        <v>18.57</v>
      </c>
      <c r="CD23" s="191">
        <v>0</v>
      </c>
      <c r="CE23" s="191">
        <v>6.87</v>
      </c>
      <c r="CF23" s="191">
        <v>3.53</v>
      </c>
      <c r="CG23" s="191">
        <v>13.19</v>
      </c>
      <c r="CH23" s="191">
        <v>0</v>
      </c>
      <c r="CI23" s="191">
        <v>0</v>
      </c>
      <c r="CJ23" s="191">
        <v>3.25</v>
      </c>
      <c r="CK23" s="191">
        <v>37.6</v>
      </c>
      <c r="CL23" s="191">
        <v>6.96</v>
      </c>
      <c r="CM23" s="191">
        <v>0.93</v>
      </c>
      <c r="CN23" s="191">
        <v>0.56</v>
      </c>
      <c r="CO23" s="191">
        <v>0</v>
      </c>
      <c r="CP23" s="191">
        <v>0</v>
      </c>
      <c r="CQ23" s="191">
        <v>69.63</v>
      </c>
      <c r="CR23" s="191">
        <v>3.25</v>
      </c>
      <c r="CS23" s="191">
        <v>0</v>
      </c>
      <c r="CT23" s="191">
        <v>-4.82</v>
      </c>
      <c r="CU23" s="191">
        <v>-0.62</v>
      </c>
      <c r="CV23" s="191">
        <v>-0.62</v>
      </c>
      <c r="CW23" s="191">
        <v>-0.62</v>
      </c>
      <c r="CX23" s="191">
        <v>-1.13</v>
      </c>
      <c r="CY23" s="191">
        <v>-0.62</v>
      </c>
      <c r="CZ23" s="191">
        <v>-1.03</v>
      </c>
      <c r="DA23" s="191">
        <v>-1.13</v>
      </c>
      <c r="DB23" s="191">
        <v>-2.26</v>
      </c>
      <c r="DC23" s="191">
        <v>-0.92</v>
      </c>
      <c r="DD23" s="191">
        <v>-0.21</v>
      </c>
      <c r="DE23" s="191">
        <v>-0.21</v>
      </c>
      <c r="DF23" s="191">
        <v>-0.41</v>
      </c>
      <c r="DG23" s="192">
        <v>-0.21</v>
      </c>
      <c r="DH23" s="180"/>
      <c r="DI23" s="191" t="s">
        <v>429</v>
      </c>
      <c r="DJ23" s="191">
        <v>2.71</v>
      </c>
      <c r="DK23" s="191">
        <v>1.08</v>
      </c>
      <c r="DL23" s="191">
        <v>0</v>
      </c>
      <c r="DM23" s="191">
        <v>0</v>
      </c>
      <c r="DN23" s="191">
        <v>2.08</v>
      </c>
      <c r="DO23" s="191">
        <v>5.23</v>
      </c>
      <c r="DP23" s="191">
        <v>5.42</v>
      </c>
      <c r="DQ23" s="191">
        <v>0.63</v>
      </c>
      <c r="DR23" s="191">
        <v>2.08</v>
      </c>
      <c r="DS23" s="191">
        <v>2.53</v>
      </c>
      <c r="DT23" s="191">
        <v>0</v>
      </c>
      <c r="DU23" s="191">
        <v>6.67</v>
      </c>
      <c r="DV23" s="191">
        <v>0.54</v>
      </c>
      <c r="DW23" s="191">
        <v>0</v>
      </c>
      <c r="DX23" s="191">
        <v>3.15</v>
      </c>
      <c r="DY23" s="192">
        <v>0</v>
      </c>
    </row>
    <row r="24" s="180" customFormat="1" spans="1:129">
      <c r="A24" s="190" t="s">
        <v>430</v>
      </c>
      <c r="B24" s="191">
        <v>-25.9</v>
      </c>
      <c r="C24" s="192">
        <v>206.66</v>
      </c>
      <c r="E24" s="191" t="s">
        <v>430</v>
      </c>
      <c r="F24" s="191">
        <v>11.42</v>
      </c>
      <c r="G24" s="191">
        <v>0</v>
      </c>
      <c r="H24" s="191">
        <v>2.86</v>
      </c>
      <c r="I24" s="191">
        <v>1.14</v>
      </c>
      <c r="J24" s="191">
        <v>0</v>
      </c>
      <c r="K24" s="191">
        <v>0</v>
      </c>
      <c r="L24" s="191">
        <v>0</v>
      </c>
      <c r="M24" s="191">
        <v>0</v>
      </c>
      <c r="N24" s="191">
        <v>3.81</v>
      </c>
      <c r="O24" s="191">
        <v>0</v>
      </c>
      <c r="P24" s="191">
        <v>2.19</v>
      </c>
      <c r="Q24" s="191">
        <v>5.52</v>
      </c>
      <c r="R24" s="191">
        <v>5.71</v>
      </c>
      <c r="S24" s="191">
        <v>0</v>
      </c>
      <c r="T24" s="191">
        <v>0.67</v>
      </c>
      <c r="U24" s="191">
        <v>2.19</v>
      </c>
      <c r="V24" s="191">
        <v>2.67</v>
      </c>
      <c r="W24" s="191">
        <v>-0.9</v>
      </c>
      <c r="X24" s="191">
        <v>-5.5</v>
      </c>
      <c r="Y24" s="191">
        <v>-2.4</v>
      </c>
      <c r="Z24" s="191">
        <v>-3</v>
      </c>
      <c r="AA24" s="191">
        <v>19.04</v>
      </c>
      <c r="AB24" s="191">
        <v>0</v>
      </c>
      <c r="AC24" s="191">
        <v>7.04</v>
      </c>
      <c r="AD24" s="191">
        <v>3.62</v>
      </c>
      <c r="AE24" s="191">
        <v>13.52</v>
      </c>
      <c r="AF24" s="191">
        <v>0</v>
      </c>
      <c r="AG24" s="191">
        <v>0</v>
      </c>
      <c r="AH24" s="191">
        <v>3.33</v>
      </c>
      <c r="AI24" s="191">
        <v>38.55</v>
      </c>
      <c r="AJ24" s="191">
        <v>7.14</v>
      </c>
      <c r="AK24" s="191">
        <v>0.95</v>
      </c>
      <c r="AL24" s="191">
        <v>0.57</v>
      </c>
      <c r="AM24" s="191">
        <v>0</v>
      </c>
      <c r="AN24" s="191">
        <v>0</v>
      </c>
      <c r="AO24" s="191">
        <v>71.39</v>
      </c>
      <c r="AP24" s="191">
        <v>3.33</v>
      </c>
      <c r="AQ24" s="191">
        <v>0</v>
      </c>
      <c r="AR24" s="191">
        <v>-4.6</v>
      </c>
      <c r="AS24" s="191">
        <v>-0.6</v>
      </c>
      <c r="AT24" s="191">
        <v>-0.6</v>
      </c>
      <c r="AU24" s="191">
        <v>-0.6</v>
      </c>
      <c r="AV24" s="191">
        <v>-1</v>
      </c>
      <c r="AW24" s="191">
        <v>-0.6</v>
      </c>
      <c r="AX24" s="191">
        <v>-1</v>
      </c>
      <c r="AY24" s="191">
        <v>-1.1</v>
      </c>
      <c r="AZ24" s="191">
        <v>-2.1</v>
      </c>
      <c r="BA24" s="191">
        <v>-0.9</v>
      </c>
      <c r="BB24" s="191">
        <v>-0.2</v>
      </c>
      <c r="BC24" s="191">
        <v>-0.2</v>
      </c>
      <c r="BD24" s="191">
        <v>-0.4</v>
      </c>
      <c r="BE24" s="192">
        <v>-0.2</v>
      </c>
      <c r="BF24" s="180"/>
      <c r="BG24" s="191" t="s">
        <v>430</v>
      </c>
      <c r="BH24" s="191">
        <v>11.14</v>
      </c>
      <c r="BI24" s="191">
        <v>0</v>
      </c>
      <c r="BJ24" s="191">
        <v>2.79</v>
      </c>
      <c r="BK24" s="191">
        <v>1.11</v>
      </c>
      <c r="BL24" s="191">
        <v>0</v>
      </c>
      <c r="BM24" s="191">
        <v>0</v>
      </c>
      <c r="BN24" s="191">
        <v>0</v>
      </c>
      <c r="BO24" s="191">
        <v>0</v>
      </c>
      <c r="BP24" s="191">
        <v>3.72</v>
      </c>
      <c r="BQ24" s="191">
        <v>0</v>
      </c>
      <c r="BR24" s="191">
        <v>2.14</v>
      </c>
      <c r="BS24" s="191">
        <v>5.38</v>
      </c>
      <c r="BT24" s="191">
        <v>5.57</v>
      </c>
      <c r="BU24" s="191">
        <v>0</v>
      </c>
      <c r="BV24" s="191">
        <v>0.65</v>
      </c>
      <c r="BW24" s="191">
        <v>2.14</v>
      </c>
      <c r="BX24" s="191">
        <v>2.6</v>
      </c>
      <c r="BY24" s="191">
        <v>-0.92</v>
      </c>
      <c r="BZ24" s="191">
        <v>-5.64</v>
      </c>
      <c r="CA24" s="191">
        <v>-2.46</v>
      </c>
      <c r="CB24" s="191">
        <v>-3.08</v>
      </c>
      <c r="CC24" s="191">
        <v>18.57</v>
      </c>
      <c r="CD24" s="191">
        <v>0</v>
      </c>
      <c r="CE24" s="191">
        <v>6.87</v>
      </c>
      <c r="CF24" s="191">
        <v>3.53</v>
      </c>
      <c r="CG24" s="191">
        <v>13.19</v>
      </c>
      <c r="CH24" s="191">
        <v>0</v>
      </c>
      <c r="CI24" s="191">
        <v>0</v>
      </c>
      <c r="CJ24" s="191">
        <v>3.25</v>
      </c>
      <c r="CK24" s="191">
        <v>37.6</v>
      </c>
      <c r="CL24" s="191">
        <v>6.96</v>
      </c>
      <c r="CM24" s="191">
        <v>0.93</v>
      </c>
      <c r="CN24" s="191">
        <v>0.56</v>
      </c>
      <c r="CO24" s="191">
        <v>0</v>
      </c>
      <c r="CP24" s="191">
        <v>0</v>
      </c>
      <c r="CQ24" s="191">
        <v>69.63</v>
      </c>
      <c r="CR24" s="191">
        <v>3.25</v>
      </c>
      <c r="CS24" s="191">
        <v>0</v>
      </c>
      <c r="CT24" s="191">
        <v>-4.72</v>
      </c>
      <c r="CU24" s="191">
        <v>-0.62</v>
      </c>
      <c r="CV24" s="191">
        <v>-0.62</v>
      </c>
      <c r="CW24" s="191">
        <v>-0.62</v>
      </c>
      <c r="CX24" s="191">
        <v>-1.03</v>
      </c>
      <c r="CY24" s="191">
        <v>-0.62</v>
      </c>
      <c r="CZ24" s="191">
        <v>-1.03</v>
      </c>
      <c r="DA24" s="191">
        <v>-1.13</v>
      </c>
      <c r="DB24" s="191">
        <v>-2.15</v>
      </c>
      <c r="DC24" s="191">
        <v>-0.92</v>
      </c>
      <c r="DD24" s="191">
        <v>-0.21</v>
      </c>
      <c r="DE24" s="191">
        <v>-0.21</v>
      </c>
      <c r="DF24" s="191">
        <v>-0.41</v>
      </c>
      <c r="DG24" s="192">
        <v>-0.21</v>
      </c>
      <c r="DH24" s="180"/>
      <c r="DI24" s="191" t="s">
        <v>430</v>
      </c>
      <c r="DJ24" s="191">
        <v>2.71</v>
      </c>
      <c r="DK24" s="191">
        <v>1.08</v>
      </c>
      <c r="DL24" s="191">
        <v>0</v>
      </c>
      <c r="DM24" s="191">
        <v>0</v>
      </c>
      <c r="DN24" s="191">
        <v>2.08</v>
      </c>
      <c r="DO24" s="191">
        <v>5.23</v>
      </c>
      <c r="DP24" s="191">
        <v>5.42</v>
      </c>
      <c r="DQ24" s="191">
        <v>0.63</v>
      </c>
      <c r="DR24" s="191">
        <v>2.08</v>
      </c>
      <c r="DS24" s="191">
        <v>2.53</v>
      </c>
      <c r="DT24" s="191">
        <v>0</v>
      </c>
      <c r="DU24" s="191">
        <v>6.67</v>
      </c>
      <c r="DV24" s="191">
        <v>0.54</v>
      </c>
      <c r="DW24" s="191">
        <v>0</v>
      </c>
      <c r="DX24" s="191">
        <v>3.15</v>
      </c>
      <c r="DY24" s="192">
        <v>0</v>
      </c>
    </row>
    <row r="25" s="180" customFormat="1" spans="1:129">
      <c r="A25" s="190" t="s">
        <v>431</v>
      </c>
      <c r="B25" s="191">
        <v>-25.9</v>
      </c>
      <c r="C25" s="192">
        <v>204.47</v>
      </c>
      <c r="E25" s="191" t="s">
        <v>431</v>
      </c>
      <c r="F25" s="191">
        <v>11.42</v>
      </c>
      <c r="G25" s="191">
        <v>0</v>
      </c>
      <c r="H25" s="191">
        <v>2.86</v>
      </c>
      <c r="I25" s="191">
        <v>1.14</v>
      </c>
      <c r="J25" s="191">
        <v>0</v>
      </c>
      <c r="K25" s="191">
        <v>0</v>
      </c>
      <c r="L25" s="191">
        <v>0</v>
      </c>
      <c r="M25" s="191">
        <v>0</v>
      </c>
      <c r="N25" s="191">
        <v>3.81</v>
      </c>
      <c r="O25" s="191">
        <v>0</v>
      </c>
      <c r="P25" s="191">
        <v>0</v>
      </c>
      <c r="Q25" s="191">
        <v>5.52</v>
      </c>
      <c r="R25" s="191">
        <v>5.71</v>
      </c>
      <c r="S25" s="191">
        <v>0</v>
      </c>
      <c r="T25" s="191">
        <v>0.67</v>
      </c>
      <c r="U25" s="191">
        <v>2.19</v>
      </c>
      <c r="V25" s="191">
        <v>2.67</v>
      </c>
      <c r="W25" s="191">
        <v>-0.9</v>
      </c>
      <c r="X25" s="191">
        <v>-5.5</v>
      </c>
      <c r="Y25" s="191">
        <v>-2.4</v>
      </c>
      <c r="Z25" s="191">
        <v>-3</v>
      </c>
      <c r="AA25" s="191">
        <v>19.04</v>
      </c>
      <c r="AB25" s="191">
        <v>0</v>
      </c>
      <c r="AC25" s="191">
        <v>7.04</v>
      </c>
      <c r="AD25" s="191">
        <v>3.62</v>
      </c>
      <c r="AE25" s="191">
        <v>13.52</v>
      </c>
      <c r="AF25" s="191">
        <v>0</v>
      </c>
      <c r="AG25" s="191">
        <v>0</v>
      </c>
      <c r="AH25" s="191">
        <v>3.33</v>
      </c>
      <c r="AI25" s="191">
        <v>38.55</v>
      </c>
      <c r="AJ25" s="191">
        <v>7.14</v>
      </c>
      <c r="AK25" s="191">
        <v>0.95</v>
      </c>
      <c r="AL25" s="191">
        <v>0.57</v>
      </c>
      <c r="AM25" s="191">
        <v>0</v>
      </c>
      <c r="AN25" s="191">
        <v>0</v>
      </c>
      <c r="AO25" s="191">
        <v>71.39</v>
      </c>
      <c r="AP25" s="191">
        <v>3.33</v>
      </c>
      <c r="AQ25" s="191">
        <v>0</v>
      </c>
      <c r="AR25" s="191">
        <v>-4.4</v>
      </c>
      <c r="AS25" s="191">
        <v>-0.6</v>
      </c>
      <c r="AT25" s="191">
        <v>-0.6</v>
      </c>
      <c r="AU25" s="191">
        <v>-0.6</v>
      </c>
      <c r="AV25" s="191">
        <v>-1.3</v>
      </c>
      <c r="AW25" s="191">
        <v>-0.6</v>
      </c>
      <c r="AX25" s="191">
        <v>-1.1</v>
      </c>
      <c r="AY25" s="191">
        <v>-1</v>
      </c>
      <c r="AZ25" s="191">
        <v>-2</v>
      </c>
      <c r="BA25" s="191">
        <v>-0.9</v>
      </c>
      <c r="BB25" s="191">
        <v>-0.2</v>
      </c>
      <c r="BC25" s="191">
        <v>-0.2</v>
      </c>
      <c r="BD25" s="191">
        <v>-0.4</v>
      </c>
      <c r="BE25" s="192">
        <v>-0.2</v>
      </c>
      <c r="BF25" s="180"/>
      <c r="BG25" s="191" t="s">
        <v>431</v>
      </c>
      <c r="BH25" s="191">
        <v>11.14</v>
      </c>
      <c r="BI25" s="191">
        <v>0</v>
      </c>
      <c r="BJ25" s="191">
        <v>2.79</v>
      </c>
      <c r="BK25" s="191">
        <v>1.11</v>
      </c>
      <c r="BL25" s="191">
        <v>0</v>
      </c>
      <c r="BM25" s="191">
        <v>0</v>
      </c>
      <c r="BN25" s="191">
        <v>0</v>
      </c>
      <c r="BO25" s="191">
        <v>0</v>
      </c>
      <c r="BP25" s="191">
        <v>3.72</v>
      </c>
      <c r="BQ25" s="191">
        <v>0</v>
      </c>
      <c r="BR25" s="191">
        <v>0</v>
      </c>
      <c r="BS25" s="191">
        <v>5.38</v>
      </c>
      <c r="BT25" s="191">
        <v>5.57</v>
      </c>
      <c r="BU25" s="191">
        <v>0</v>
      </c>
      <c r="BV25" s="191">
        <v>0.65</v>
      </c>
      <c r="BW25" s="191">
        <v>2.14</v>
      </c>
      <c r="BX25" s="191">
        <v>2.6</v>
      </c>
      <c r="BY25" s="191">
        <v>-0.92</v>
      </c>
      <c r="BZ25" s="191">
        <v>-5.64</v>
      </c>
      <c r="CA25" s="191">
        <v>-2.46</v>
      </c>
      <c r="CB25" s="191">
        <v>-3.08</v>
      </c>
      <c r="CC25" s="191">
        <v>18.57</v>
      </c>
      <c r="CD25" s="191">
        <v>0</v>
      </c>
      <c r="CE25" s="191">
        <v>6.87</v>
      </c>
      <c r="CF25" s="191">
        <v>3.53</v>
      </c>
      <c r="CG25" s="191">
        <v>13.19</v>
      </c>
      <c r="CH25" s="191">
        <v>0</v>
      </c>
      <c r="CI25" s="191">
        <v>0</v>
      </c>
      <c r="CJ25" s="191">
        <v>3.25</v>
      </c>
      <c r="CK25" s="191">
        <v>37.6</v>
      </c>
      <c r="CL25" s="191">
        <v>6.96</v>
      </c>
      <c r="CM25" s="191">
        <v>0.93</v>
      </c>
      <c r="CN25" s="191">
        <v>0.56</v>
      </c>
      <c r="CO25" s="191">
        <v>0</v>
      </c>
      <c r="CP25" s="191">
        <v>0</v>
      </c>
      <c r="CQ25" s="191">
        <v>69.63</v>
      </c>
      <c r="CR25" s="191">
        <v>3.25</v>
      </c>
      <c r="CS25" s="191">
        <v>0</v>
      </c>
      <c r="CT25" s="191">
        <v>-4.51</v>
      </c>
      <c r="CU25" s="191">
        <v>-0.62</v>
      </c>
      <c r="CV25" s="191">
        <v>-0.62</v>
      </c>
      <c r="CW25" s="191">
        <v>-0.62</v>
      </c>
      <c r="CX25" s="191">
        <v>-1.33</v>
      </c>
      <c r="CY25" s="191">
        <v>-0.62</v>
      </c>
      <c r="CZ25" s="191">
        <v>-1.13</v>
      </c>
      <c r="DA25" s="191">
        <v>-1.03</v>
      </c>
      <c r="DB25" s="191">
        <v>-2.05</v>
      </c>
      <c r="DC25" s="191">
        <v>-0.92</v>
      </c>
      <c r="DD25" s="191">
        <v>-0.21</v>
      </c>
      <c r="DE25" s="191">
        <v>-0.21</v>
      </c>
      <c r="DF25" s="191">
        <v>-0.41</v>
      </c>
      <c r="DG25" s="192">
        <v>-0.21</v>
      </c>
      <c r="DH25" s="180"/>
      <c r="DI25" s="191" t="s">
        <v>431</v>
      </c>
      <c r="DJ25" s="191">
        <v>2.71</v>
      </c>
      <c r="DK25" s="191">
        <v>1.08</v>
      </c>
      <c r="DL25" s="191">
        <v>0</v>
      </c>
      <c r="DM25" s="191">
        <v>0</v>
      </c>
      <c r="DN25" s="191">
        <v>0</v>
      </c>
      <c r="DO25" s="191">
        <v>5.23</v>
      </c>
      <c r="DP25" s="191">
        <v>5.42</v>
      </c>
      <c r="DQ25" s="191">
        <v>0.63</v>
      </c>
      <c r="DR25" s="191">
        <v>2.08</v>
      </c>
      <c r="DS25" s="191">
        <v>2.53</v>
      </c>
      <c r="DT25" s="191">
        <v>0</v>
      </c>
      <c r="DU25" s="191">
        <v>6.67</v>
      </c>
      <c r="DV25" s="191">
        <v>0.54</v>
      </c>
      <c r="DW25" s="191">
        <v>0</v>
      </c>
      <c r="DX25" s="191">
        <v>3.15</v>
      </c>
      <c r="DY25" s="192">
        <v>0</v>
      </c>
    </row>
    <row r="26" s="180" customFormat="1" spans="1:129">
      <c r="A26" s="190" t="s">
        <v>432</v>
      </c>
      <c r="B26" s="191">
        <v>-25.1</v>
      </c>
      <c r="C26" s="192">
        <v>204.47</v>
      </c>
      <c r="E26" s="191" t="s">
        <v>432</v>
      </c>
      <c r="F26" s="191">
        <v>11.42</v>
      </c>
      <c r="G26" s="191">
        <v>0</v>
      </c>
      <c r="H26" s="191">
        <v>2.86</v>
      </c>
      <c r="I26" s="191">
        <v>1.14</v>
      </c>
      <c r="J26" s="191">
        <v>0</v>
      </c>
      <c r="K26" s="191">
        <v>0</v>
      </c>
      <c r="L26" s="191">
        <v>0</v>
      </c>
      <c r="M26" s="191">
        <v>0</v>
      </c>
      <c r="N26" s="191">
        <v>3.81</v>
      </c>
      <c r="O26" s="191">
        <v>0</v>
      </c>
      <c r="P26" s="191">
        <v>0</v>
      </c>
      <c r="Q26" s="191">
        <v>5.52</v>
      </c>
      <c r="R26" s="191">
        <v>5.71</v>
      </c>
      <c r="S26" s="191">
        <v>0</v>
      </c>
      <c r="T26" s="191">
        <v>0.67</v>
      </c>
      <c r="U26" s="191">
        <v>2.19</v>
      </c>
      <c r="V26" s="191">
        <v>2.67</v>
      </c>
      <c r="W26" s="191">
        <v>-0.9</v>
      </c>
      <c r="X26" s="191">
        <v>-5.5</v>
      </c>
      <c r="Y26" s="191">
        <v>-2.4</v>
      </c>
      <c r="Z26" s="191">
        <v>-3</v>
      </c>
      <c r="AA26" s="191">
        <v>19.04</v>
      </c>
      <c r="AB26" s="191">
        <v>0</v>
      </c>
      <c r="AC26" s="191">
        <v>7.04</v>
      </c>
      <c r="AD26" s="191">
        <v>3.62</v>
      </c>
      <c r="AE26" s="191">
        <v>13.52</v>
      </c>
      <c r="AF26" s="191">
        <v>0</v>
      </c>
      <c r="AG26" s="191">
        <v>0</v>
      </c>
      <c r="AH26" s="191">
        <v>3.33</v>
      </c>
      <c r="AI26" s="191">
        <v>38.55</v>
      </c>
      <c r="AJ26" s="191">
        <v>7.14</v>
      </c>
      <c r="AK26" s="191">
        <v>0.95</v>
      </c>
      <c r="AL26" s="191">
        <v>0.57</v>
      </c>
      <c r="AM26" s="191">
        <v>0</v>
      </c>
      <c r="AN26" s="191">
        <v>0</v>
      </c>
      <c r="AO26" s="191">
        <v>71.39</v>
      </c>
      <c r="AP26" s="191">
        <v>3.33</v>
      </c>
      <c r="AQ26" s="191">
        <v>0</v>
      </c>
      <c r="AR26" s="191">
        <v>-3.8</v>
      </c>
      <c r="AS26" s="191">
        <v>-0.6</v>
      </c>
      <c r="AT26" s="191">
        <v>-0.6</v>
      </c>
      <c r="AU26" s="191">
        <v>-0.6</v>
      </c>
      <c r="AV26" s="191">
        <v>-1.2</v>
      </c>
      <c r="AW26" s="191">
        <v>-0.6</v>
      </c>
      <c r="AX26" s="191">
        <v>-1</v>
      </c>
      <c r="AY26" s="191">
        <v>-1</v>
      </c>
      <c r="AZ26" s="191">
        <v>-2</v>
      </c>
      <c r="BA26" s="191">
        <v>-0.9</v>
      </c>
      <c r="BB26" s="191">
        <v>-0.2</v>
      </c>
      <c r="BC26" s="191">
        <v>-0.2</v>
      </c>
      <c r="BD26" s="191">
        <v>-0.4</v>
      </c>
      <c r="BE26" s="192">
        <v>-0.2</v>
      </c>
      <c r="BF26" s="180"/>
      <c r="BG26" s="191" t="s">
        <v>432</v>
      </c>
      <c r="BH26" s="191">
        <v>11.14</v>
      </c>
      <c r="BI26" s="191">
        <v>0</v>
      </c>
      <c r="BJ26" s="191">
        <v>2.79</v>
      </c>
      <c r="BK26" s="191">
        <v>1.11</v>
      </c>
      <c r="BL26" s="191">
        <v>0</v>
      </c>
      <c r="BM26" s="191">
        <v>0</v>
      </c>
      <c r="BN26" s="191">
        <v>0</v>
      </c>
      <c r="BO26" s="191">
        <v>0</v>
      </c>
      <c r="BP26" s="191">
        <v>3.72</v>
      </c>
      <c r="BQ26" s="191">
        <v>0</v>
      </c>
      <c r="BR26" s="191">
        <v>0</v>
      </c>
      <c r="BS26" s="191">
        <v>5.38</v>
      </c>
      <c r="BT26" s="191">
        <v>5.57</v>
      </c>
      <c r="BU26" s="191">
        <v>0</v>
      </c>
      <c r="BV26" s="191">
        <v>0.65</v>
      </c>
      <c r="BW26" s="191">
        <v>2.14</v>
      </c>
      <c r="BX26" s="191">
        <v>2.6</v>
      </c>
      <c r="BY26" s="191">
        <v>-0.92</v>
      </c>
      <c r="BZ26" s="191">
        <v>-5.64</v>
      </c>
      <c r="CA26" s="191">
        <v>-2.46</v>
      </c>
      <c r="CB26" s="191">
        <v>-3.08</v>
      </c>
      <c r="CC26" s="191">
        <v>18.57</v>
      </c>
      <c r="CD26" s="191">
        <v>0</v>
      </c>
      <c r="CE26" s="191">
        <v>6.87</v>
      </c>
      <c r="CF26" s="191">
        <v>3.53</v>
      </c>
      <c r="CG26" s="191">
        <v>13.19</v>
      </c>
      <c r="CH26" s="191">
        <v>0</v>
      </c>
      <c r="CI26" s="191">
        <v>0</v>
      </c>
      <c r="CJ26" s="191">
        <v>3.25</v>
      </c>
      <c r="CK26" s="191">
        <v>37.6</v>
      </c>
      <c r="CL26" s="191">
        <v>6.96</v>
      </c>
      <c r="CM26" s="191">
        <v>0.93</v>
      </c>
      <c r="CN26" s="191">
        <v>0.56</v>
      </c>
      <c r="CO26" s="191">
        <v>0</v>
      </c>
      <c r="CP26" s="191">
        <v>0</v>
      </c>
      <c r="CQ26" s="191">
        <v>69.63</v>
      </c>
      <c r="CR26" s="191">
        <v>3.25</v>
      </c>
      <c r="CS26" s="191">
        <v>0</v>
      </c>
      <c r="CT26" s="191">
        <v>-3.9</v>
      </c>
      <c r="CU26" s="191">
        <v>-0.62</v>
      </c>
      <c r="CV26" s="191">
        <v>-0.62</v>
      </c>
      <c r="CW26" s="191">
        <v>-0.62</v>
      </c>
      <c r="CX26" s="191">
        <v>-1.23</v>
      </c>
      <c r="CY26" s="191">
        <v>-0.62</v>
      </c>
      <c r="CZ26" s="191">
        <v>-1.03</v>
      </c>
      <c r="DA26" s="191">
        <v>-1.03</v>
      </c>
      <c r="DB26" s="191">
        <v>-2.05</v>
      </c>
      <c r="DC26" s="191">
        <v>-0.92</v>
      </c>
      <c r="DD26" s="191">
        <v>-0.21</v>
      </c>
      <c r="DE26" s="191">
        <v>-0.21</v>
      </c>
      <c r="DF26" s="191">
        <v>-0.41</v>
      </c>
      <c r="DG26" s="192">
        <v>-0.21</v>
      </c>
      <c r="DH26" s="180"/>
      <c r="DI26" s="191" t="s">
        <v>432</v>
      </c>
      <c r="DJ26" s="191">
        <v>2.71</v>
      </c>
      <c r="DK26" s="191">
        <v>1.08</v>
      </c>
      <c r="DL26" s="191">
        <v>0</v>
      </c>
      <c r="DM26" s="191">
        <v>0</v>
      </c>
      <c r="DN26" s="191">
        <v>0</v>
      </c>
      <c r="DO26" s="191">
        <v>5.23</v>
      </c>
      <c r="DP26" s="191">
        <v>5.42</v>
      </c>
      <c r="DQ26" s="191">
        <v>0.63</v>
      </c>
      <c r="DR26" s="191">
        <v>2.08</v>
      </c>
      <c r="DS26" s="191">
        <v>2.53</v>
      </c>
      <c r="DT26" s="191">
        <v>0</v>
      </c>
      <c r="DU26" s="191">
        <v>6.67</v>
      </c>
      <c r="DV26" s="191">
        <v>0.54</v>
      </c>
      <c r="DW26" s="191">
        <v>0</v>
      </c>
      <c r="DX26" s="191">
        <v>3.15</v>
      </c>
      <c r="DY26" s="192">
        <v>0</v>
      </c>
    </row>
    <row r="27" s="180" customFormat="1" spans="1:129">
      <c r="A27" s="190" t="s">
        <v>433</v>
      </c>
      <c r="B27" s="191">
        <v>-27.1</v>
      </c>
      <c r="C27" s="192">
        <v>204.28</v>
      </c>
      <c r="E27" s="191" t="s">
        <v>433</v>
      </c>
      <c r="F27" s="191">
        <v>11.42</v>
      </c>
      <c r="G27" s="191">
        <v>0</v>
      </c>
      <c r="H27" s="191">
        <v>2.86</v>
      </c>
      <c r="I27" s="191">
        <v>1.14</v>
      </c>
      <c r="J27" s="191">
        <v>0</v>
      </c>
      <c r="K27" s="191">
        <v>0</v>
      </c>
      <c r="L27" s="191">
        <v>0</v>
      </c>
      <c r="M27" s="191">
        <v>0</v>
      </c>
      <c r="N27" s="191">
        <v>3.81</v>
      </c>
      <c r="O27" s="191">
        <v>0</v>
      </c>
      <c r="P27" s="191">
        <v>0</v>
      </c>
      <c r="Q27" s="191">
        <v>5.52</v>
      </c>
      <c r="R27" s="191">
        <v>5.71</v>
      </c>
      <c r="S27" s="191">
        <v>0</v>
      </c>
      <c r="T27" s="191">
        <v>0.67</v>
      </c>
      <c r="U27" s="191">
        <v>2</v>
      </c>
      <c r="V27" s="191">
        <v>2.67</v>
      </c>
      <c r="W27" s="191">
        <v>-0.9</v>
      </c>
      <c r="X27" s="191">
        <v>-5.5</v>
      </c>
      <c r="Y27" s="191">
        <v>-2.4</v>
      </c>
      <c r="Z27" s="191">
        <v>-3</v>
      </c>
      <c r="AA27" s="191">
        <v>19.04</v>
      </c>
      <c r="AB27" s="191">
        <v>0</v>
      </c>
      <c r="AC27" s="191">
        <v>7.04</v>
      </c>
      <c r="AD27" s="191">
        <v>3.62</v>
      </c>
      <c r="AE27" s="191">
        <v>13.52</v>
      </c>
      <c r="AF27" s="191">
        <v>0</v>
      </c>
      <c r="AG27" s="191">
        <v>0</v>
      </c>
      <c r="AH27" s="191">
        <v>3.33</v>
      </c>
      <c r="AI27" s="191">
        <v>38.55</v>
      </c>
      <c r="AJ27" s="191">
        <v>7.14</v>
      </c>
      <c r="AK27" s="191">
        <v>0.95</v>
      </c>
      <c r="AL27" s="191">
        <v>0.57</v>
      </c>
      <c r="AM27" s="191">
        <v>0</v>
      </c>
      <c r="AN27" s="191">
        <v>0</v>
      </c>
      <c r="AO27" s="191">
        <v>71.39</v>
      </c>
      <c r="AP27" s="191">
        <v>3.33</v>
      </c>
      <c r="AQ27" s="191">
        <v>0</v>
      </c>
      <c r="AR27" s="191">
        <v>-4.8</v>
      </c>
      <c r="AS27" s="191">
        <v>-0.6</v>
      </c>
      <c r="AT27" s="191">
        <v>-0.6</v>
      </c>
      <c r="AU27" s="191">
        <v>-0.6</v>
      </c>
      <c r="AV27" s="191">
        <v>-1.9</v>
      </c>
      <c r="AW27" s="191">
        <v>-0.6</v>
      </c>
      <c r="AX27" s="191">
        <v>-1.1</v>
      </c>
      <c r="AY27" s="191">
        <v>-1.2</v>
      </c>
      <c r="AZ27" s="191">
        <v>-1.9</v>
      </c>
      <c r="BA27" s="191">
        <v>-0.9</v>
      </c>
      <c r="BB27" s="191">
        <v>-0.2</v>
      </c>
      <c r="BC27" s="191">
        <v>-0.2</v>
      </c>
      <c r="BD27" s="191">
        <v>-0.5</v>
      </c>
      <c r="BE27" s="192">
        <v>-0.2</v>
      </c>
      <c r="BF27" s="180"/>
      <c r="BG27" s="191" t="s">
        <v>433</v>
      </c>
      <c r="BH27" s="191">
        <v>11.14</v>
      </c>
      <c r="BI27" s="191">
        <v>0</v>
      </c>
      <c r="BJ27" s="191">
        <v>2.79</v>
      </c>
      <c r="BK27" s="191">
        <v>1.11</v>
      </c>
      <c r="BL27" s="191">
        <v>0</v>
      </c>
      <c r="BM27" s="191">
        <v>0</v>
      </c>
      <c r="BN27" s="191">
        <v>0</v>
      </c>
      <c r="BO27" s="191">
        <v>0</v>
      </c>
      <c r="BP27" s="191">
        <v>3.72</v>
      </c>
      <c r="BQ27" s="191">
        <v>0</v>
      </c>
      <c r="BR27" s="191">
        <v>0</v>
      </c>
      <c r="BS27" s="191">
        <v>5.38</v>
      </c>
      <c r="BT27" s="191">
        <v>5.57</v>
      </c>
      <c r="BU27" s="191">
        <v>0</v>
      </c>
      <c r="BV27" s="191">
        <v>0.65</v>
      </c>
      <c r="BW27" s="191">
        <v>1.95</v>
      </c>
      <c r="BX27" s="191">
        <v>2.6</v>
      </c>
      <c r="BY27" s="191">
        <v>-0.92</v>
      </c>
      <c r="BZ27" s="191">
        <v>-5.64</v>
      </c>
      <c r="CA27" s="191">
        <v>-2.46</v>
      </c>
      <c r="CB27" s="191">
        <v>-3.08</v>
      </c>
      <c r="CC27" s="191">
        <v>18.57</v>
      </c>
      <c r="CD27" s="191">
        <v>0</v>
      </c>
      <c r="CE27" s="191">
        <v>6.87</v>
      </c>
      <c r="CF27" s="191">
        <v>3.53</v>
      </c>
      <c r="CG27" s="191">
        <v>13.19</v>
      </c>
      <c r="CH27" s="191">
        <v>0</v>
      </c>
      <c r="CI27" s="191">
        <v>0</v>
      </c>
      <c r="CJ27" s="191">
        <v>3.25</v>
      </c>
      <c r="CK27" s="191">
        <v>37.6</v>
      </c>
      <c r="CL27" s="191">
        <v>6.96</v>
      </c>
      <c r="CM27" s="191">
        <v>0.93</v>
      </c>
      <c r="CN27" s="191">
        <v>0.56</v>
      </c>
      <c r="CO27" s="191">
        <v>0</v>
      </c>
      <c r="CP27" s="191">
        <v>0</v>
      </c>
      <c r="CQ27" s="191">
        <v>69.63</v>
      </c>
      <c r="CR27" s="191">
        <v>3.25</v>
      </c>
      <c r="CS27" s="191">
        <v>0</v>
      </c>
      <c r="CT27" s="191">
        <v>-4.92</v>
      </c>
      <c r="CU27" s="191">
        <v>-0.62</v>
      </c>
      <c r="CV27" s="191">
        <v>-0.62</v>
      </c>
      <c r="CW27" s="191">
        <v>-0.62</v>
      </c>
      <c r="CX27" s="191">
        <v>-1.95</v>
      </c>
      <c r="CY27" s="191">
        <v>-0.62</v>
      </c>
      <c r="CZ27" s="191">
        <v>-1.13</v>
      </c>
      <c r="DA27" s="191">
        <v>-1.23</v>
      </c>
      <c r="DB27" s="191">
        <v>-1.95</v>
      </c>
      <c r="DC27" s="191">
        <v>-0.92</v>
      </c>
      <c r="DD27" s="191">
        <v>-0.21</v>
      </c>
      <c r="DE27" s="191">
        <v>-0.21</v>
      </c>
      <c r="DF27" s="191">
        <v>-0.51</v>
      </c>
      <c r="DG27" s="192">
        <v>-0.21</v>
      </c>
      <c r="DH27" s="180"/>
      <c r="DI27" s="191" t="s">
        <v>433</v>
      </c>
      <c r="DJ27" s="191">
        <v>2.71</v>
      </c>
      <c r="DK27" s="191">
        <v>1.08</v>
      </c>
      <c r="DL27" s="191">
        <v>0</v>
      </c>
      <c r="DM27" s="191">
        <v>0</v>
      </c>
      <c r="DN27" s="191">
        <v>0</v>
      </c>
      <c r="DO27" s="191">
        <v>5.23</v>
      </c>
      <c r="DP27" s="191">
        <v>5.42</v>
      </c>
      <c r="DQ27" s="191">
        <v>0.63</v>
      </c>
      <c r="DR27" s="191">
        <v>1.9</v>
      </c>
      <c r="DS27" s="191">
        <v>2.53</v>
      </c>
      <c r="DT27" s="191">
        <v>0</v>
      </c>
      <c r="DU27" s="191">
        <v>6.67</v>
      </c>
      <c r="DV27" s="191">
        <v>0.54</v>
      </c>
      <c r="DW27" s="191">
        <v>0</v>
      </c>
      <c r="DX27" s="191">
        <v>3.15</v>
      </c>
      <c r="DY27" s="192">
        <v>0</v>
      </c>
    </row>
    <row r="28" s="180" customFormat="1" spans="1:129">
      <c r="A28" s="190" t="s">
        <v>434</v>
      </c>
      <c r="B28" s="191">
        <v>-27.6</v>
      </c>
      <c r="C28" s="192">
        <v>189.43</v>
      </c>
      <c r="E28" s="191" t="s">
        <v>434</v>
      </c>
      <c r="F28" s="191">
        <v>11.42</v>
      </c>
      <c r="G28" s="191">
        <v>0</v>
      </c>
      <c r="H28" s="191">
        <v>2.86</v>
      </c>
      <c r="I28" s="191">
        <v>1.14</v>
      </c>
      <c r="J28" s="191">
        <v>0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5.52</v>
      </c>
      <c r="R28" s="191">
        <v>5.71</v>
      </c>
      <c r="S28" s="191">
        <v>0</v>
      </c>
      <c r="T28" s="191">
        <v>0</v>
      </c>
      <c r="U28" s="191">
        <v>2</v>
      </c>
      <c r="V28" s="191">
        <v>2.67</v>
      </c>
      <c r="W28" s="191">
        <v>-0.9</v>
      </c>
      <c r="X28" s="191">
        <v>-5.5</v>
      </c>
      <c r="Y28" s="191">
        <v>-2.4</v>
      </c>
      <c r="Z28" s="191">
        <v>-3</v>
      </c>
      <c r="AA28" s="191">
        <v>19.04</v>
      </c>
      <c r="AB28" s="191">
        <v>0</v>
      </c>
      <c r="AC28" s="191">
        <v>0</v>
      </c>
      <c r="AD28" s="191">
        <v>3.62</v>
      </c>
      <c r="AE28" s="191">
        <v>13.52</v>
      </c>
      <c r="AF28" s="191">
        <v>0</v>
      </c>
      <c r="AG28" s="191">
        <v>0</v>
      </c>
      <c r="AH28" s="191">
        <v>3.33</v>
      </c>
      <c r="AI28" s="191">
        <v>38.55</v>
      </c>
      <c r="AJ28" s="191">
        <v>7.14</v>
      </c>
      <c r="AK28" s="191">
        <v>0.95</v>
      </c>
      <c r="AL28" s="191">
        <v>0.57</v>
      </c>
      <c r="AM28" s="191">
        <v>0</v>
      </c>
      <c r="AN28" s="191">
        <v>0</v>
      </c>
      <c r="AO28" s="191">
        <v>71.39</v>
      </c>
      <c r="AP28" s="191">
        <v>0</v>
      </c>
      <c r="AQ28" s="191">
        <v>0</v>
      </c>
      <c r="AR28" s="191">
        <v>-4.9</v>
      </c>
      <c r="AS28" s="191">
        <v>-0.7</v>
      </c>
      <c r="AT28" s="191">
        <v>-0.7</v>
      </c>
      <c r="AU28" s="191">
        <v>-0.7</v>
      </c>
      <c r="AV28" s="191">
        <v>-1.9</v>
      </c>
      <c r="AW28" s="191">
        <v>-0.7</v>
      </c>
      <c r="AX28" s="191">
        <v>-1.1</v>
      </c>
      <c r="AY28" s="191">
        <v>-1.2</v>
      </c>
      <c r="AZ28" s="191">
        <v>-1.8</v>
      </c>
      <c r="BA28" s="191">
        <v>-0.9</v>
      </c>
      <c r="BB28" s="191">
        <v>-0.3</v>
      </c>
      <c r="BC28" s="191">
        <v>-0.2</v>
      </c>
      <c r="BD28" s="191">
        <v>-0.5</v>
      </c>
      <c r="BE28" s="192">
        <v>-0.2</v>
      </c>
      <c r="BF28" s="180"/>
      <c r="BG28" s="191" t="s">
        <v>434</v>
      </c>
      <c r="BH28" s="191">
        <v>11.14</v>
      </c>
      <c r="BI28" s="191">
        <v>0</v>
      </c>
      <c r="BJ28" s="191">
        <v>2.79</v>
      </c>
      <c r="BK28" s="191">
        <v>1.11</v>
      </c>
      <c r="BL28" s="191">
        <v>0</v>
      </c>
      <c r="BM28" s="191">
        <v>0</v>
      </c>
      <c r="BN28" s="191">
        <v>0</v>
      </c>
      <c r="BO28" s="191">
        <v>0</v>
      </c>
      <c r="BP28" s="191">
        <v>0</v>
      </c>
      <c r="BQ28" s="191">
        <v>0</v>
      </c>
      <c r="BR28" s="191">
        <v>0</v>
      </c>
      <c r="BS28" s="191">
        <v>5.38</v>
      </c>
      <c r="BT28" s="191">
        <v>5.57</v>
      </c>
      <c r="BU28" s="191">
        <v>0</v>
      </c>
      <c r="BV28" s="191">
        <v>0</v>
      </c>
      <c r="BW28" s="191">
        <v>1.95</v>
      </c>
      <c r="BX28" s="191">
        <v>2.6</v>
      </c>
      <c r="BY28" s="191">
        <v>-0.92</v>
      </c>
      <c r="BZ28" s="191">
        <v>-5.64</v>
      </c>
      <c r="CA28" s="191">
        <v>-2.46</v>
      </c>
      <c r="CB28" s="191">
        <v>-3.08</v>
      </c>
      <c r="CC28" s="191">
        <v>18.57</v>
      </c>
      <c r="CD28" s="191">
        <v>0</v>
      </c>
      <c r="CE28" s="191">
        <v>0</v>
      </c>
      <c r="CF28" s="191">
        <v>3.53</v>
      </c>
      <c r="CG28" s="191">
        <v>13.19</v>
      </c>
      <c r="CH28" s="191">
        <v>0</v>
      </c>
      <c r="CI28" s="191">
        <v>0</v>
      </c>
      <c r="CJ28" s="191">
        <v>3.25</v>
      </c>
      <c r="CK28" s="191">
        <v>37.6</v>
      </c>
      <c r="CL28" s="191">
        <v>6.96</v>
      </c>
      <c r="CM28" s="191">
        <v>0.93</v>
      </c>
      <c r="CN28" s="191">
        <v>0.56</v>
      </c>
      <c r="CO28" s="191">
        <v>0</v>
      </c>
      <c r="CP28" s="191">
        <v>0</v>
      </c>
      <c r="CQ28" s="191">
        <v>69.63</v>
      </c>
      <c r="CR28" s="191">
        <v>0</v>
      </c>
      <c r="CS28" s="191">
        <v>0</v>
      </c>
      <c r="CT28" s="191">
        <v>-5.02</v>
      </c>
      <c r="CU28" s="191">
        <v>-0.72</v>
      </c>
      <c r="CV28" s="191">
        <v>-0.72</v>
      </c>
      <c r="CW28" s="191">
        <v>-0.72</v>
      </c>
      <c r="CX28" s="191">
        <v>-1.95</v>
      </c>
      <c r="CY28" s="191">
        <v>-0.72</v>
      </c>
      <c r="CZ28" s="191">
        <v>-1.13</v>
      </c>
      <c r="DA28" s="191">
        <v>-1.23</v>
      </c>
      <c r="DB28" s="191">
        <v>-1.85</v>
      </c>
      <c r="DC28" s="191">
        <v>-0.92</v>
      </c>
      <c r="DD28" s="191">
        <v>-0.31</v>
      </c>
      <c r="DE28" s="191">
        <v>-0.21</v>
      </c>
      <c r="DF28" s="191">
        <v>-0.51</v>
      </c>
      <c r="DG28" s="192">
        <v>-0.21</v>
      </c>
      <c r="DH28" s="180"/>
      <c r="DI28" s="191" t="s">
        <v>434</v>
      </c>
      <c r="DJ28" s="191">
        <v>2.71</v>
      </c>
      <c r="DK28" s="191">
        <v>1.08</v>
      </c>
      <c r="DL28" s="191">
        <v>0</v>
      </c>
      <c r="DM28" s="191">
        <v>0</v>
      </c>
      <c r="DN28" s="191">
        <v>0</v>
      </c>
      <c r="DO28" s="191">
        <v>5.23</v>
      </c>
      <c r="DP28" s="191">
        <v>5.42</v>
      </c>
      <c r="DQ28" s="191">
        <v>0</v>
      </c>
      <c r="DR28" s="191">
        <v>1.9</v>
      </c>
      <c r="DS28" s="191">
        <v>2.53</v>
      </c>
      <c r="DT28" s="191">
        <v>0</v>
      </c>
      <c r="DU28" s="191">
        <v>0</v>
      </c>
      <c r="DV28" s="191">
        <v>0.54</v>
      </c>
      <c r="DW28" s="191">
        <v>0</v>
      </c>
      <c r="DX28" s="191">
        <v>0</v>
      </c>
      <c r="DY28" s="192">
        <v>0</v>
      </c>
    </row>
    <row r="29" s="180" customFormat="1" spans="1:129">
      <c r="A29" s="190" t="s">
        <v>435</v>
      </c>
      <c r="B29" s="191">
        <v>-27.7</v>
      </c>
      <c r="C29" s="192">
        <v>156.23</v>
      </c>
      <c r="E29" s="191" t="s">
        <v>435</v>
      </c>
      <c r="F29" s="191">
        <v>1.53</v>
      </c>
      <c r="G29" s="191">
        <v>0</v>
      </c>
      <c r="H29" s="191">
        <v>2.86</v>
      </c>
      <c r="I29" s="191">
        <v>1.14</v>
      </c>
      <c r="J29" s="191">
        <v>0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5.52</v>
      </c>
      <c r="R29" s="191">
        <v>5.71</v>
      </c>
      <c r="S29" s="191">
        <v>0</v>
      </c>
      <c r="T29" s="191">
        <v>0</v>
      </c>
      <c r="U29" s="191">
        <v>2</v>
      </c>
      <c r="V29" s="191">
        <v>2.67</v>
      </c>
      <c r="W29" s="191">
        <v>-0.9</v>
      </c>
      <c r="X29" s="191">
        <v>-5.5</v>
      </c>
      <c r="Y29" s="191">
        <v>-2.4</v>
      </c>
      <c r="Z29" s="191">
        <v>-3</v>
      </c>
      <c r="AA29" s="191">
        <v>19.04</v>
      </c>
      <c r="AB29" s="191">
        <v>0</v>
      </c>
      <c r="AC29" s="191">
        <v>0</v>
      </c>
      <c r="AD29" s="191">
        <v>0</v>
      </c>
      <c r="AE29" s="191">
        <v>0</v>
      </c>
      <c r="AF29" s="191">
        <v>0</v>
      </c>
      <c r="AG29" s="191">
        <v>0</v>
      </c>
      <c r="AH29" s="191">
        <v>3.33</v>
      </c>
      <c r="AI29" s="191">
        <v>38.55</v>
      </c>
      <c r="AJ29" s="191">
        <v>0.96</v>
      </c>
      <c r="AK29" s="191">
        <v>0.95</v>
      </c>
      <c r="AL29" s="191">
        <v>0.57</v>
      </c>
      <c r="AM29" s="191">
        <v>0</v>
      </c>
      <c r="AN29" s="191">
        <v>0</v>
      </c>
      <c r="AO29" s="191">
        <v>71.4</v>
      </c>
      <c r="AP29" s="191">
        <v>0</v>
      </c>
      <c r="AQ29" s="191">
        <v>0</v>
      </c>
      <c r="AR29" s="191">
        <v>-4.7</v>
      </c>
      <c r="AS29" s="191">
        <v>-0.8</v>
      </c>
      <c r="AT29" s="191">
        <v>-0.8</v>
      </c>
      <c r="AU29" s="191">
        <v>-0.8</v>
      </c>
      <c r="AV29" s="191">
        <v>-1.8</v>
      </c>
      <c r="AW29" s="191">
        <v>-0.8</v>
      </c>
      <c r="AX29" s="191">
        <v>-1.2</v>
      </c>
      <c r="AY29" s="191">
        <v>-1.2</v>
      </c>
      <c r="AZ29" s="191">
        <v>-1.8</v>
      </c>
      <c r="BA29" s="191">
        <v>-0.9</v>
      </c>
      <c r="BB29" s="191">
        <v>-0.2</v>
      </c>
      <c r="BC29" s="191">
        <v>-0.2</v>
      </c>
      <c r="BD29" s="191">
        <v>-0.5</v>
      </c>
      <c r="BE29" s="192">
        <v>-0.2</v>
      </c>
      <c r="BF29" s="180"/>
      <c r="BG29" s="191" t="s">
        <v>435</v>
      </c>
      <c r="BH29" s="191">
        <v>1.49</v>
      </c>
      <c r="BI29" s="191">
        <v>0</v>
      </c>
      <c r="BJ29" s="191">
        <v>2.79</v>
      </c>
      <c r="BK29" s="191">
        <v>1.11</v>
      </c>
      <c r="BL29" s="191">
        <v>0</v>
      </c>
      <c r="BM29" s="191">
        <v>0</v>
      </c>
      <c r="BN29" s="191">
        <v>0</v>
      </c>
      <c r="BO29" s="191">
        <v>0</v>
      </c>
      <c r="BP29" s="191">
        <v>0</v>
      </c>
      <c r="BQ29" s="191">
        <v>0</v>
      </c>
      <c r="BR29" s="191">
        <v>0</v>
      </c>
      <c r="BS29" s="191">
        <v>5.38</v>
      </c>
      <c r="BT29" s="191">
        <v>5.57</v>
      </c>
      <c r="BU29" s="191">
        <v>0</v>
      </c>
      <c r="BV29" s="191">
        <v>0</v>
      </c>
      <c r="BW29" s="191">
        <v>1.95</v>
      </c>
      <c r="BX29" s="191">
        <v>2.6</v>
      </c>
      <c r="BY29" s="191">
        <v>-0.92</v>
      </c>
      <c r="BZ29" s="191">
        <v>-5.64</v>
      </c>
      <c r="CA29" s="191">
        <v>-2.46</v>
      </c>
      <c r="CB29" s="191">
        <v>-3.08</v>
      </c>
      <c r="CC29" s="191">
        <v>18.57</v>
      </c>
      <c r="CD29" s="191">
        <v>0</v>
      </c>
      <c r="CE29" s="191">
        <v>0</v>
      </c>
      <c r="CF29" s="191">
        <v>0</v>
      </c>
      <c r="CG29" s="191">
        <v>0</v>
      </c>
      <c r="CH29" s="191">
        <v>0</v>
      </c>
      <c r="CI29" s="191">
        <v>0</v>
      </c>
      <c r="CJ29" s="191">
        <v>3.25</v>
      </c>
      <c r="CK29" s="191">
        <v>37.6</v>
      </c>
      <c r="CL29" s="191">
        <v>0.94</v>
      </c>
      <c r="CM29" s="191">
        <v>0.93</v>
      </c>
      <c r="CN29" s="191">
        <v>0.56</v>
      </c>
      <c r="CO29" s="191">
        <v>0</v>
      </c>
      <c r="CP29" s="191">
        <v>0</v>
      </c>
      <c r="CQ29" s="191">
        <v>69.64</v>
      </c>
      <c r="CR29" s="191">
        <v>0</v>
      </c>
      <c r="CS29" s="191">
        <v>0</v>
      </c>
      <c r="CT29" s="191">
        <v>-4.82</v>
      </c>
      <c r="CU29" s="191">
        <v>-0.82</v>
      </c>
      <c r="CV29" s="191">
        <v>-0.82</v>
      </c>
      <c r="CW29" s="191">
        <v>-0.82</v>
      </c>
      <c r="CX29" s="191">
        <v>-1.85</v>
      </c>
      <c r="CY29" s="191">
        <v>-0.82</v>
      </c>
      <c r="CZ29" s="191">
        <v>-1.23</v>
      </c>
      <c r="DA29" s="191">
        <v>-1.23</v>
      </c>
      <c r="DB29" s="191">
        <v>-1.85</v>
      </c>
      <c r="DC29" s="191">
        <v>-0.92</v>
      </c>
      <c r="DD29" s="191">
        <v>-0.21</v>
      </c>
      <c r="DE29" s="191">
        <v>-0.21</v>
      </c>
      <c r="DF29" s="191">
        <v>-0.51</v>
      </c>
      <c r="DG29" s="192">
        <v>-0.21</v>
      </c>
      <c r="DH29" s="180"/>
      <c r="DI29" s="191" t="s">
        <v>435</v>
      </c>
      <c r="DJ29" s="191">
        <v>2.71</v>
      </c>
      <c r="DK29" s="191">
        <v>1.08</v>
      </c>
      <c r="DL29" s="191">
        <v>0</v>
      </c>
      <c r="DM29" s="191">
        <v>0</v>
      </c>
      <c r="DN29" s="191">
        <v>0</v>
      </c>
      <c r="DO29" s="191">
        <v>5.23</v>
      </c>
      <c r="DP29" s="191">
        <v>5.42</v>
      </c>
      <c r="DQ29" s="191">
        <v>0</v>
      </c>
      <c r="DR29" s="191">
        <v>1.9</v>
      </c>
      <c r="DS29" s="191">
        <v>2.53</v>
      </c>
      <c r="DT29" s="191">
        <v>0</v>
      </c>
      <c r="DU29" s="191">
        <v>0</v>
      </c>
      <c r="DV29" s="191">
        <v>0.54</v>
      </c>
      <c r="DW29" s="191">
        <v>0</v>
      </c>
      <c r="DX29" s="191">
        <v>0</v>
      </c>
      <c r="DY29" s="192">
        <v>0</v>
      </c>
    </row>
    <row r="30" s="180" customFormat="1" spans="1:129">
      <c r="A30" s="190" t="s">
        <v>436</v>
      </c>
      <c r="B30" s="191">
        <v>-28.1</v>
      </c>
      <c r="C30" s="192">
        <v>153.73</v>
      </c>
      <c r="E30" s="191" t="s">
        <v>436</v>
      </c>
      <c r="F30" s="191">
        <v>0</v>
      </c>
      <c r="G30" s="191">
        <v>0</v>
      </c>
      <c r="H30" s="191">
        <v>2.86</v>
      </c>
      <c r="I30" s="191">
        <v>1.14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5.52</v>
      </c>
      <c r="R30" s="191">
        <v>5.71</v>
      </c>
      <c r="S30" s="191">
        <v>0</v>
      </c>
      <c r="T30" s="191">
        <v>0</v>
      </c>
      <c r="U30" s="191">
        <v>2</v>
      </c>
      <c r="V30" s="191">
        <v>2.67</v>
      </c>
      <c r="W30" s="191">
        <v>-0.9</v>
      </c>
      <c r="X30" s="191">
        <v>-5.5</v>
      </c>
      <c r="Y30" s="191">
        <v>-2.4</v>
      </c>
      <c r="Z30" s="191">
        <v>-3</v>
      </c>
      <c r="AA30" s="191">
        <v>19.04</v>
      </c>
      <c r="AB30" s="191">
        <v>0</v>
      </c>
      <c r="AC30" s="191">
        <v>0</v>
      </c>
      <c r="AD30" s="191">
        <v>0</v>
      </c>
      <c r="AE30" s="191">
        <v>0</v>
      </c>
      <c r="AF30" s="191">
        <v>0</v>
      </c>
      <c r="AG30" s="191">
        <v>0</v>
      </c>
      <c r="AH30" s="191">
        <v>3.33</v>
      </c>
      <c r="AI30" s="191">
        <v>38.55</v>
      </c>
      <c r="AJ30" s="191">
        <v>0</v>
      </c>
      <c r="AK30" s="191">
        <v>0.95</v>
      </c>
      <c r="AL30" s="191">
        <v>0.57</v>
      </c>
      <c r="AM30" s="191">
        <v>0</v>
      </c>
      <c r="AN30" s="191">
        <v>0</v>
      </c>
      <c r="AO30" s="191">
        <v>71.39</v>
      </c>
      <c r="AP30" s="191">
        <v>0</v>
      </c>
      <c r="AQ30" s="191">
        <v>0</v>
      </c>
      <c r="AR30" s="191">
        <v>-4.8</v>
      </c>
      <c r="AS30" s="191">
        <v>-0.8</v>
      </c>
      <c r="AT30" s="191">
        <v>-0.8</v>
      </c>
      <c r="AU30" s="191">
        <v>-0.8</v>
      </c>
      <c r="AV30" s="191">
        <v>-1.8</v>
      </c>
      <c r="AW30" s="191">
        <v>-0.8</v>
      </c>
      <c r="AX30" s="191">
        <v>-1.2</v>
      </c>
      <c r="AY30" s="191">
        <v>-1.3</v>
      </c>
      <c r="AZ30" s="191">
        <v>-2</v>
      </c>
      <c r="BA30" s="191">
        <v>-0.9</v>
      </c>
      <c r="BB30" s="191">
        <v>-0.2</v>
      </c>
      <c r="BC30" s="191">
        <v>-0.2</v>
      </c>
      <c r="BD30" s="191">
        <v>-0.5</v>
      </c>
      <c r="BE30" s="192">
        <v>-0.2</v>
      </c>
      <c r="BF30" s="180"/>
      <c r="BG30" s="191" t="s">
        <v>436</v>
      </c>
      <c r="BH30" s="191">
        <v>0</v>
      </c>
      <c r="BI30" s="191">
        <v>0</v>
      </c>
      <c r="BJ30" s="191">
        <v>2.79</v>
      </c>
      <c r="BK30" s="191">
        <v>1.11</v>
      </c>
      <c r="BL30" s="191">
        <v>0</v>
      </c>
      <c r="BM30" s="191">
        <v>0</v>
      </c>
      <c r="BN30" s="191">
        <v>0</v>
      </c>
      <c r="BO30" s="191">
        <v>0</v>
      </c>
      <c r="BP30" s="191">
        <v>0</v>
      </c>
      <c r="BQ30" s="191">
        <v>0</v>
      </c>
      <c r="BR30" s="191">
        <v>0</v>
      </c>
      <c r="BS30" s="191">
        <v>5.38</v>
      </c>
      <c r="BT30" s="191">
        <v>5.57</v>
      </c>
      <c r="BU30" s="191">
        <v>0</v>
      </c>
      <c r="BV30" s="191">
        <v>0</v>
      </c>
      <c r="BW30" s="191">
        <v>1.95</v>
      </c>
      <c r="BX30" s="191">
        <v>2.6</v>
      </c>
      <c r="BY30" s="191">
        <v>-0.92</v>
      </c>
      <c r="BZ30" s="191">
        <v>-5.64</v>
      </c>
      <c r="CA30" s="191">
        <v>-2.46</v>
      </c>
      <c r="CB30" s="191">
        <v>-3.08</v>
      </c>
      <c r="CC30" s="191">
        <v>18.57</v>
      </c>
      <c r="CD30" s="191">
        <v>0</v>
      </c>
      <c r="CE30" s="191">
        <v>0</v>
      </c>
      <c r="CF30" s="191">
        <v>0</v>
      </c>
      <c r="CG30" s="191">
        <v>0</v>
      </c>
      <c r="CH30" s="191">
        <v>0</v>
      </c>
      <c r="CI30" s="191">
        <v>0</v>
      </c>
      <c r="CJ30" s="191">
        <v>3.25</v>
      </c>
      <c r="CK30" s="191">
        <v>37.6</v>
      </c>
      <c r="CL30" s="191">
        <v>0</v>
      </c>
      <c r="CM30" s="191">
        <v>0.93</v>
      </c>
      <c r="CN30" s="191">
        <v>0.56</v>
      </c>
      <c r="CO30" s="191">
        <v>0</v>
      </c>
      <c r="CP30" s="191">
        <v>0</v>
      </c>
      <c r="CQ30" s="191">
        <v>69.63</v>
      </c>
      <c r="CR30" s="191">
        <v>0</v>
      </c>
      <c r="CS30" s="191">
        <v>0</v>
      </c>
      <c r="CT30" s="191">
        <v>-4.92</v>
      </c>
      <c r="CU30" s="191">
        <v>-0.82</v>
      </c>
      <c r="CV30" s="191">
        <v>-0.82</v>
      </c>
      <c r="CW30" s="191">
        <v>-0.82</v>
      </c>
      <c r="CX30" s="191">
        <v>-1.85</v>
      </c>
      <c r="CY30" s="191">
        <v>-0.82</v>
      </c>
      <c r="CZ30" s="191">
        <v>-1.23</v>
      </c>
      <c r="DA30" s="191">
        <v>-1.33</v>
      </c>
      <c r="DB30" s="191">
        <v>-2.05</v>
      </c>
      <c r="DC30" s="191">
        <v>-0.92</v>
      </c>
      <c r="DD30" s="191">
        <v>-0.21</v>
      </c>
      <c r="DE30" s="191">
        <v>-0.21</v>
      </c>
      <c r="DF30" s="191">
        <v>-0.51</v>
      </c>
      <c r="DG30" s="192">
        <v>-0.21</v>
      </c>
      <c r="DH30" s="180"/>
      <c r="DI30" s="191" t="s">
        <v>436</v>
      </c>
      <c r="DJ30" s="191">
        <v>2.71</v>
      </c>
      <c r="DK30" s="191">
        <v>1.08</v>
      </c>
      <c r="DL30" s="191">
        <v>0</v>
      </c>
      <c r="DM30" s="191">
        <v>0</v>
      </c>
      <c r="DN30" s="191">
        <v>0</v>
      </c>
      <c r="DO30" s="191">
        <v>5.23</v>
      </c>
      <c r="DP30" s="191">
        <v>5.42</v>
      </c>
      <c r="DQ30" s="191">
        <v>0</v>
      </c>
      <c r="DR30" s="191">
        <v>1.9</v>
      </c>
      <c r="DS30" s="191">
        <v>2.53</v>
      </c>
      <c r="DT30" s="191">
        <v>0</v>
      </c>
      <c r="DU30" s="191">
        <v>0</v>
      </c>
      <c r="DV30" s="191">
        <v>0.54</v>
      </c>
      <c r="DW30" s="191">
        <v>0</v>
      </c>
      <c r="DX30" s="191">
        <v>0</v>
      </c>
      <c r="DY30" s="192">
        <v>0</v>
      </c>
    </row>
    <row r="31" s="180" customFormat="1" spans="1:129">
      <c r="A31" s="190" t="s">
        <v>437</v>
      </c>
      <c r="B31" s="191">
        <v>-28.8</v>
      </c>
      <c r="C31" s="192">
        <v>176.12</v>
      </c>
      <c r="E31" s="191" t="s">
        <v>437</v>
      </c>
      <c r="F31" s="191">
        <v>11.42</v>
      </c>
      <c r="G31" s="191">
        <v>0</v>
      </c>
      <c r="H31" s="191">
        <v>2.86</v>
      </c>
      <c r="I31" s="191">
        <v>1.14</v>
      </c>
      <c r="J31" s="191">
        <v>0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5.52</v>
      </c>
      <c r="R31" s="191">
        <v>5.71</v>
      </c>
      <c r="S31" s="191">
        <v>0</v>
      </c>
      <c r="T31" s="191">
        <v>0</v>
      </c>
      <c r="U31" s="191">
        <v>2.19</v>
      </c>
      <c r="V31" s="191">
        <v>2.67</v>
      </c>
      <c r="W31" s="191">
        <v>-0.9</v>
      </c>
      <c r="X31" s="191">
        <v>-5.5</v>
      </c>
      <c r="Y31" s="191">
        <v>-2.4</v>
      </c>
      <c r="Z31" s="191">
        <v>-3</v>
      </c>
      <c r="AA31" s="191">
        <v>19.04</v>
      </c>
      <c r="AB31" s="191">
        <v>0</v>
      </c>
      <c r="AC31" s="191">
        <v>0</v>
      </c>
      <c r="AD31" s="191">
        <v>0.16</v>
      </c>
      <c r="AE31" s="191">
        <v>0.62</v>
      </c>
      <c r="AF31" s="191">
        <v>0</v>
      </c>
      <c r="AG31" s="191">
        <v>0</v>
      </c>
      <c r="AH31" s="191">
        <v>6.19</v>
      </c>
      <c r="AI31" s="191">
        <v>38.55</v>
      </c>
      <c r="AJ31" s="191">
        <v>7.14</v>
      </c>
      <c r="AK31" s="191">
        <v>0.95</v>
      </c>
      <c r="AL31" s="191">
        <v>0.57</v>
      </c>
      <c r="AM31" s="191">
        <v>0</v>
      </c>
      <c r="AN31" s="191">
        <v>0</v>
      </c>
      <c r="AO31" s="191">
        <v>71.39</v>
      </c>
      <c r="AP31" s="191">
        <v>0</v>
      </c>
      <c r="AQ31" s="191">
        <v>0</v>
      </c>
      <c r="AR31" s="191">
        <v>-3.9</v>
      </c>
      <c r="AS31" s="191">
        <v>-0.9</v>
      </c>
      <c r="AT31" s="191">
        <v>-0.9</v>
      </c>
      <c r="AU31" s="191">
        <v>-0.9</v>
      </c>
      <c r="AV31" s="191">
        <v>-2.1</v>
      </c>
      <c r="AW31" s="191">
        <v>-0.9</v>
      </c>
      <c r="AX31" s="191">
        <v>-1.3</v>
      </c>
      <c r="AY31" s="191">
        <v>-1.5</v>
      </c>
      <c r="AZ31" s="191">
        <v>-2</v>
      </c>
      <c r="BA31" s="191">
        <v>-1.4</v>
      </c>
      <c r="BB31" s="191">
        <v>-0.3</v>
      </c>
      <c r="BC31" s="191">
        <v>-0.2</v>
      </c>
      <c r="BD31" s="191">
        <v>-0.5</v>
      </c>
      <c r="BE31" s="192">
        <v>-0.2</v>
      </c>
      <c r="BF31" s="180"/>
      <c r="BG31" s="191" t="s">
        <v>437</v>
      </c>
      <c r="BH31" s="191">
        <v>11.14</v>
      </c>
      <c r="BI31" s="191">
        <v>0</v>
      </c>
      <c r="BJ31" s="191">
        <v>2.79</v>
      </c>
      <c r="BK31" s="191">
        <v>1.11</v>
      </c>
      <c r="BL31" s="191">
        <v>0</v>
      </c>
      <c r="BM31" s="191">
        <v>0</v>
      </c>
      <c r="BN31" s="191">
        <v>0</v>
      </c>
      <c r="BO31" s="191">
        <v>0</v>
      </c>
      <c r="BP31" s="191">
        <v>0</v>
      </c>
      <c r="BQ31" s="191">
        <v>0</v>
      </c>
      <c r="BR31" s="191">
        <v>0</v>
      </c>
      <c r="BS31" s="191">
        <v>5.38</v>
      </c>
      <c r="BT31" s="191">
        <v>5.57</v>
      </c>
      <c r="BU31" s="191">
        <v>0</v>
      </c>
      <c r="BV31" s="191">
        <v>0</v>
      </c>
      <c r="BW31" s="191">
        <v>2.14</v>
      </c>
      <c r="BX31" s="191">
        <v>2.6</v>
      </c>
      <c r="BY31" s="191">
        <v>-0.92</v>
      </c>
      <c r="BZ31" s="191">
        <v>-5.64</v>
      </c>
      <c r="CA31" s="191">
        <v>-2.46</v>
      </c>
      <c r="CB31" s="191">
        <v>-3.08</v>
      </c>
      <c r="CC31" s="191">
        <v>18.57</v>
      </c>
      <c r="CD31" s="191">
        <v>0</v>
      </c>
      <c r="CE31" s="191">
        <v>0</v>
      </c>
      <c r="CF31" s="191">
        <v>0.16</v>
      </c>
      <c r="CG31" s="191">
        <v>0.6</v>
      </c>
      <c r="CH31" s="191">
        <v>0</v>
      </c>
      <c r="CI31" s="191">
        <v>0</v>
      </c>
      <c r="CJ31" s="191">
        <v>6.04</v>
      </c>
      <c r="CK31" s="191">
        <v>37.6</v>
      </c>
      <c r="CL31" s="191">
        <v>6.96</v>
      </c>
      <c r="CM31" s="191">
        <v>0.93</v>
      </c>
      <c r="CN31" s="191">
        <v>0.56</v>
      </c>
      <c r="CO31" s="191">
        <v>0</v>
      </c>
      <c r="CP31" s="191">
        <v>0</v>
      </c>
      <c r="CQ31" s="191">
        <v>69.63</v>
      </c>
      <c r="CR31" s="191">
        <v>0</v>
      </c>
      <c r="CS31" s="191">
        <v>0</v>
      </c>
      <c r="CT31" s="191">
        <v>-4</v>
      </c>
      <c r="CU31" s="191">
        <v>-0.92</v>
      </c>
      <c r="CV31" s="191">
        <v>-0.92</v>
      </c>
      <c r="CW31" s="191">
        <v>-0.92</v>
      </c>
      <c r="CX31" s="191">
        <v>-2.15</v>
      </c>
      <c r="CY31" s="191">
        <v>-0.92</v>
      </c>
      <c r="CZ31" s="191">
        <v>-1.33</v>
      </c>
      <c r="DA31" s="191">
        <v>-1.54</v>
      </c>
      <c r="DB31" s="191">
        <v>-2.05</v>
      </c>
      <c r="DC31" s="191">
        <v>-1.44</v>
      </c>
      <c r="DD31" s="191">
        <v>-0.31</v>
      </c>
      <c r="DE31" s="191">
        <v>-0.21</v>
      </c>
      <c r="DF31" s="191">
        <v>-0.51</v>
      </c>
      <c r="DG31" s="192">
        <v>-0.21</v>
      </c>
      <c r="DH31" s="180"/>
      <c r="DI31" s="191" t="s">
        <v>437</v>
      </c>
      <c r="DJ31" s="191">
        <v>2.71</v>
      </c>
      <c r="DK31" s="191">
        <v>1.08</v>
      </c>
      <c r="DL31" s="191">
        <v>0</v>
      </c>
      <c r="DM31" s="191">
        <v>0</v>
      </c>
      <c r="DN31" s="191">
        <v>0</v>
      </c>
      <c r="DO31" s="191">
        <v>5.23</v>
      </c>
      <c r="DP31" s="191">
        <v>5.42</v>
      </c>
      <c r="DQ31" s="191">
        <v>0</v>
      </c>
      <c r="DR31" s="191">
        <v>2.08</v>
      </c>
      <c r="DS31" s="191">
        <v>2.53</v>
      </c>
      <c r="DT31" s="191">
        <v>0</v>
      </c>
      <c r="DU31" s="191">
        <v>0</v>
      </c>
      <c r="DV31" s="191">
        <v>0.54</v>
      </c>
      <c r="DW31" s="191">
        <v>0</v>
      </c>
      <c r="DX31" s="191">
        <v>0</v>
      </c>
      <c r="DY31" s="192">
        <v>0</v>
      </c>
    </row>
    <row r="32" s="180" customFormat="1" spans="1:129">
      <c r="A32" s="190" t="s">
        <v>438</v>
      </c>
      <c r="B32" s="191">
        <v>-29.3</v>
      </c>
      <c r="C32" s="192">
        <v>316.99</v>
      </c>
      <c r="E32" s="191" t="s">
        <v>438</v>
      </c>
      <c r="F32" s="191">
        <v>0</v>
      </c>
      <c r="G32" s="191">
        <v>190.37</v>
      </c>
      <c r="H32" s="191">
        <v>2.86</v>
      </c>
      <c r="I32" s="191">
        <v>1.14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5.52</v>
      </c>
      <c r="R32" s="191">
        <v>5.71</v>
      </c>
      <c r="S32" s="191">
        <v>0</v>
      </c>
      <c r="T32" s="191">
        <v>0</v>
      </c>
      <c r="U32" s="191">
        <v>0</v>
      </c>
      <c r="V32" s="191">
        <v>2.67</v>
      </c>
      <c r="W32" s="191">
        <v>-0.9</v>
      </c>
      <c r="X32" s="191">
        <v>-5.5</v>
      </c>
      <c r="Y32" s="191">
        <v>-2.4</v>
      </c>
      <c r="Z32" s="191">
        <v>-3</v>
      </c>
      <c r="AA32" s="191">
        <v>19.04</v>
      </c>
      <c r="AB32" s="191">
        <v>0</v>
      </c>
      <c r="AC32" s="191">
        <v>0</v>
      </c>
      <c r="AD32" s="191">
        <v>0</v>
      </c>
      <c r="AE32" s="191">
        <v>0</v>
      </c>
      <c r="AF32" s="191">
        <v>0</v>
      </c>
      <c r="AG32" s="191">
        <v>0</v>
      </c>
      <c r="AH32" s="191">
        <v>6.19</v>
      </c>
      <c r="AI32" s="191">
        <v>10.58</v>
      </c>
      <c r="AJ32" s="191">
        <v>0</v>
      </c>
      <c r="AK32" s="191">
        <v>0.95</v>
      </c>
      <c r="AL32" s="191">
        <v>0.57</v>
      </c>
      <c r="AM32" s="191">
        <v>0</v>
      </c>
      <c r="AN32" s="191">
        <v>0</v>
      </c>
      <c r="AO32" s="191">
        <v>71.39</v>
      </c>
      <c r="AP32" s="191">
        <v>0</v>
      </c>
      <c r="AQ32" s="191">
        <v>0</v>
      </c>
      <c r="AR32" s="191">
        <v>-4.5</v>
      </c>
      <c r="AS32" s="191">
        <v>-0.8</v>
      </c>
      <c r="AT32" s="191">
        <v>-0.8</v>
      </c>
      <c r="AU32" s="191">
        <v>-0.8</v>
      </c>
      <c r="AV32" s="191">
        <v>-2.1</v>
      </c>
      <c r="AW32" s="191">
        <v>-0.8</v>
      </c>
      <c r="AX32" s="191">
        <v>-1.3</v>
      </c>
      <c r="AY32" s="191">
        <v>-1.5</v>
      </c>
      <c r="AZ32" s="191">
        <v>-2.3</v>
      </c>
      <c r="BA32" s="191">
        <v>-1.4</v>
      </c>
      <c r="BB32" s="191">
        <v>-0.3</v>
      </c>
      <c r="BC32" s="191">
        <v>-0.2</v>
      </c>
      <c r="BD32" s="191">
        <v>-0.5</v>
      </c>
      <c r="BE32" s="192">
        <v>-0.2</v>
      </c>
      <c r="BF32" s="180"/>
      <c r="BG32" s="191" t="s">
        <v>438</v>
      </c>
      <c r="BH32" s="191">
        <v>0</v>
      </c>
      <c r="BI32" s="191">
        <v>185.69</v>
      </c>
      <c r="BJ32" s="191">
        <v>2.79</v>
      </c>
      <c r="BK32" s="191">
        <v>1.11</v>
      </c>
      <c r="BL32" s="191">
        <v>0</v>
      </c>
      <c r="BM32" s="191">
        <v>0</v>
      </c>
      <c r="BN32" s="191">
        <v>0</v>
      </c>
      <c r="BO32" s="191">
        <v>0</v>
      </c>
      <c r="BP32" s="191">
        <v>0</v>
      </c>
      <c r="BQ32" s="191">
        <v>0</v>
      </c>
      <c r="BR32" s="191">
        <v>0</v>
      </c>
      <c r="BS32" s="191">
        <v>5.38</v>
      </c>
      <c r="BT32" s="191">
        <v>5.57</v>
      </c>
      <c r="BU32" s="191">
        <v>0</v>
      </c>
      <c r="BV32" s="191">
        <v>0</v>
      </c>
      <c r="BW32" s="191">
        <v>0</v>
      </c>
      <c r="BX32" s="191">
        <v>2.6</v>
      </c>
      <c r="BY32" s="191">
        <v>-0.92</v>
      </c>
      <c r="BZ32" s="191">
        <v>-5.64</v>
      </c>
      <c r="CA32" s="191">
        <v>-2.46</v>
      </c>
      <c r="CB32" s="191">
        <v>-3.08</v>
      </c>
      <c r="CC32" s="191">
        <v>18.57</v>
      </c>
      <c r="CD32" s="191">
        <v>0</v>
      </c>
      <c r="CE32" s="191">
        <v>0</v>
      </c>
      <c r="CF32" s="191">
        <v>0</v>
      </c>
      <c r="CG32" s="191">
        <v>0</v>
      </c>
      <c r="CH32" s="191">
        <v>0</v>
      </c>
      <c r="CI32" s="191">
        <v>0</v>
      </c>
      <c r="CJ32" s="191">
        <v>6.04</v>
      </c>
      <c r="CK32" s="191">
        <v>10.32</v>
      </c>
      <c r="CL32" s="191">
        <v>0</v>
      </c>
      <c r="CM32" s="191">
        <v>0.93</v>
      </c>
      <c r="CN32" s="191">
        <v>0.56</v>
      </c>
      <c r="CO32" s="191">
        <v>0</v>
      </c>
      <c r="CP32" s="191">
        <v>0</v>
      </c>
      <c r="CQ32" s="191">
        <v>69.63</v>
      </c>
      <c r="CR32" s="191">
        <v>0</v>
      </c>
      <c r="CS32" s="191">
        <v>0</v>
      </c>
      <c r="CT32" s="191">
        <v>-4.61</v>
      </c>
      <c r="CU32" s="191">
        <v>-0.82</v>
      </c>
      <c r="CV32" s="191">
        <v>-0.82</v>
      </c>
      <c r="CW32" s="191">
        <v>-0.82</v>
      </c>
      <c r="CX32" s="191">
        <v>-2.15</v>
      </c>
      <c r="CY32" s="191">
        <v>-0.82</v>
      </c>
      <c r="CZ32" s="191">
        <v>-1.33</v>
      </c>
      <c r="DA32" s="191">
        <v>-1.54</v>
      </c>
      <c r="DB32" s="191">
        <v>-2.36</v>
      </c>
      <c r="DC32" s="191">
        <v>-1.44</v>
      </c>
      <c r="DD32" s="191">
        <v>-0.31</v>
      </c>
      <c r="DE32" s="191">
        <v>-0.21</v>
      </c>
      <c r="DF32" s="191">
        <v>-0.51</v>
      </c>
      <c r="DG32" s="192">
        <v>-0.21</v>
      </c>
      <c r="DH32" s="180"/>
      <c r="DI32" s="191" t="s">
        <v>438</v>
      </c>
      <c r="DJ32" s="191">
        <v>2.71</v>
      </c>
      <c r="DK32" s="191">
        <v>1.08</v>
      </c>
      <c r="DL32" s="191">
        <v>0</v>
      </c>
      <c r="DM32" s="191">
        <v>0</v>
      </c>
      <c r="DN32" s="191">
        <v>0</v>
      </c>
      <c r="DO32" s="191">
        <v>5.23</v>
      </c>
      <c r="DP32" s="191">
        <v>5.42</v>
      </c>
      <c r="DQ32" s="191">
        <v>0</v>
      </c>
      <c r="DR32" s="191">
        <v>0</v>
      </c>
      <c r="DS32" s="191">
        <v>2.53</v>
      </c>
      <c r="DT32" s="191">
        <v>0</v>
      </c>
      <c r="DU32" s="191">
        <v>0</v>
      </c>
      <c r="DV32" s="191">
        <v>0.54</v>
      </c>
      <c r="DW32" s="191">
        <v>0</v>
      </c>
      <c r="DX32" s="191">
        <v>0</v>
      </c>
      <c r="DY32" s="192">
        <v>0</v>
      </c>
    </row>
    <row r="33" s="180" customFormat="1" spans="1:129">
      <c r="A33" s="190" t="s">
        <v>439</v>
      </c>
      <c r="B33" s="191">
        <v>-51.8</v>
      </c>
      <c r="C33" s="192">
        <v>393.99</v>
      </c>
      <c r="E33" s="191" t="s">
        <v>439</v>
      </c>
      <c r="F33" s="191">
        <v>0</v>
      </c>
      <c r="G33" s="191">
        <v>285.56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2.67</v>
      </c>
      <c r="W33" s="191">
        <v>-0.9</v>
      </c>
      <c r="X33" s="191">
        <v>-5.5</v>
      </c>
      <c r="Y33" s="191">
        <v>-2.4</v>
      </c>
      <c r="Z33" s="191">
        <v>-3</v>
      </c>
      <c r="AA33" s="191">
        <v>27.61</v>
      </c>
      <c r="AB33" s="191">
        <v>0</v>
      </c>
      <c r="AC33" s="191">
        <v>0</v>
      </c>
      <c r="AD33" s="191">
        <v>0</v>
      </c>
      <c r="AE33" s="191">
        <v>0</v>
      </c>
      <c r="AF33" s="191">
        <v>0</v>
      </c>
      <c r="AG33" s="191">
        <v>0</v>
      </c>
      <c r="AH33" s="191">
        <v>6.19</v>
      </c>
      <c r="AI33" s="191">
        <v>0</v>
      </c>
      <c r="AJ33" s="191">
        <v>0</v>
      </c>
      <c r="AK33" s="191">
        <v>0</v>
      </c>
      <c r="AL33" s="191">
        <v>0.57</v>
      </c>
      <c r="AM33" s="191">
        <v>-21.9</v>
      </c>
      <c r="AN33" s="191">
        <v>0</v>
      </c>
      <c r="AO33" s="191">
        <v>71.39</v>
      </c>
      <c r="AP33" s="191">
        <v>0</v>
      </c>
      <c r="AQ33" s="191">
        <v>0</v>
      </c>
      <c r="AR33" s="191">
        <v>-4.8</v>
      </c>
      <c r="AS33" s="191">
        <v>-0.8</v>
      </c>
      <c r="AT33" s="191">
        <v>-0.8</v>
      </c>
      <c r="AU33" s="191">
        <v>-0.8</v>
      </c>
      <c r="AV33" s="191">
        <v>-2.2</v>
      </c>
      <c r="AW33" s="191">
        <v>-0.8</v>
      </c>
      <c r="AX33" s="191">
        <v>-1.6</v>
      </c>
      <c r="AY33" s="191">
        <v>-1.5</v>
      </c>
      <c r="AZ33" s="191">
        <v>-2.3</v>
      </c>
      <c r="BA33" s="191">
        <v>-1.3</v>
      </c>
      <c r="BB33" s="191">
        <v>-0.3</v>
      </c>
      <c r="BC33" s="191">
        <v>-0.2</v>
      </c>
      <c r="BD33" s="191">
        <v>-0.5</v>
      </c>
      <c r="BE33" s="192">
        <v>-0.2</v>
      </c>
      <c r="BF33" s="180"/>
      <c r="BG33" s="191" t="s">
        <v>439</v>
      </c>
      <c r="BH33" s="191">
        <v>0</v>
      </c>
      <c r="BI33" s="191">
        <v>278.54</v>
      </c>
      <c r="BJ33" s="191">
        <v>0</v>
      </c>
      <c r="BK33" s="191">
        <v>0</v>
      </c>
      <c r="BL33" s="191">
        <v>0</v>
      </c>
      <c r="BM33" s="191">
        <v>0</v>
      </c>
      <c r="BN33" s="191">
        <v>0</v>
      </c>
      <c r="BO33" s="191">
        <v>0</v>
      </c>
      <c r="BP33" s="191">
        <v>0</v>
      </c>
      <c r="BQ33" s="191">
        <v>0</v>
      </c>
      <c r="BR33" s="191">
        <v>0</v>
      </c>
      <c r="BS33" s="191">
        <v>0</v>
      </c>
      <c r="BT33" s="191">
        <v>0</v>
      </c>
      <c r="BU33" s="191">
        <v>0</v>
      </c>
      <c r="BV33" s="191">
        <v>0</v>
      </c>
      <c r="BW33" s="191">
        <v>0</v>
      </c>
      <c r="BX33" s="191">
        <v>2.6</v>
      </c>
      <c r="BY33" s="191">
        <v>-0.92</v>
      </c>
      <c r="BZ33" s="191">
        <v>-5.64</v>
      </c>
      <c r="CA33" s="191">
        <v>-2.46</v>
      </c>
      <c r="CB33" s="191">
        <v>-3.08</v>
      </c>
      <c r="CC33" s="191">
        <v>26.93</v>
      </c>
      <c r="CD33" s="191">
        <v>0</v>
      </c>
      <c r="CE33" s="191">
        <v>0</v>
      </c>
      <c r="CF33" s="191">
        <v>0</v>
      </c>
      <c r="CG33" s="191">
        <v>0</v>
      </c>
      <c r="CH33" s="191">
        <v>0</v>
      </c>
      <c r="CI33" s="191">
        <v>0</v>
      </c>
      <c r="CJ33" s="191">
        <v>6.04</v>
      </c>
      <c r="CK33" s="191">
        <v>0</v>
      </c>
      <c r="CL33" s="191">
        <v>0</v>
      </c>
      <c r="CM33" s="191">
        <v>0</v>
      </c>
      <c r="CN33" s="191">
        <v>0.56</v>
      </c>
      <c r="CO33" s="191">
        <v>-22.45</v>
      </c>
      <c r="CP33" s="191">
        <v>0</v>
      </c>
      <c r="CQ33" s="191">
        <v>69.63</v>
      </c>
      <c r="CR33" s="191">
        <v>0</v>
      </c>
      <c r="CS33" s="191">
        <v>0</v>
      </c>
      <c r="CT33" s="191">
        <v>-4.92</v>
      </c>
      <c r="CU33" s="191">
        <v>-0.82</v>
      </c>
      <c r="CV33" s="191">
        <v>-0.82</v>
      </c>
      <c r="CW33" s="191">
        <v>-0.82</v>
      </c>
      <c r="CX33" s="191">
        <v>-2.26</v>
      </c>
      <c r="CY33" s="191">
        <v>-0.82</v>
      </c>
      <c r="CZ33" s="191">
        <v>-1.64</v>
      </c>
      <c r="DA33" s="191">
        <v>-1.54</v>
      </c>
      <c r="DB33" s="191">
        <v>-2.36</v>
      </c>
      <c r="DC33" s="191">
        <v>-1.33</v>
      </c>
      <c r="DD33" s="191">
        <v>-0.31</v>
      </c>
      <c r="DE33" s="191">
        <v>-0.21</v>
      </c>
      <c r="DF33" s="191">
        <v>-0.51</v>
      </c>
      <c r="DG33" s="192">
        <v>-0.21</v>
      </c>
      <c r="DH33" s="180"/>
      <c r="DI33" s="191" t="s">
        <v>439</v>
      </c>
      <c r="DJ33" s="191">
        <v>0</v>
      </c>
      <c r="DK33" s="191">
        <v>0</v>
      </c>
      <c r="DL33" s="191">
        <v>0</v>
      </c>
      <c r="DM33" s="191">
        <v>0</v>
      </c>
      <c r="DN33" s="191">
        <v>0</v>
      </c>
      <c r="DO33" s="191">
        <v>0</v>
      </c>
      <c r="DP33" s="191">
        <v>0</v>
      </c>
      <c r="DQ33" s="191">
        <v>0</v>
      </c>
      <c r="DR33" s="191">
        <v>0</v>
      </c>
      <c r="DS33" s="191">
        <v>2.53</v>
      </c>
      <c r="DT33" s="191">
        <v>0</v>
      </c>
      <c r="DU33" s="191">
        <v>0</v>
      </c>
      <c r="DV33" s="191">
        <v>0.54</v>
      </c>
      <c r="DW33" s="191">
        <v>0</v>
      </c>
      <c r="DX33" s="191">
        <v>0</v>
      </c>
      <c r="DY33" s="192">
        <v>0</v>
      </c>
    </row>
    <row r="34" s="180" customFormat="1" spans="1:129">
      <c r="A34" s="190" t="s">
        <v>440</v>
      </c>
      <c r="B34" s="191">
        <v>-101.5</v>
      </c>
      <c r="C34" s="192">
        <v>417.79</v>
      </c>
      <c r="E34" s="191" t="s">
        <v>440</v>
      </c>
      <c r="F34" s="191">
        <v>0</v>
      </c>
      <c r="G34" s="191">
        <v>380.75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  <c r="V34" s="191">
        <v>2.67</v>
      </c>
      <c r="W34" s="191">
        <v>-0.9</v>
      </c>
      <c r="X34" s="191">
        <v>-5.5</v>
      </c>
      <c r="Y34" s="191">
        <v>-2.4</v>
      </c>
      <c r="Z34" s="191">
        <v>-3</v>
      </c>
      <c r="AA34" s="191">
        <v>27.61</v>
      </c>
      <c r="AB34" s="191">
        <v>0</v>
      </c>
      <c r="AC34" s="191">
        <v>0</v>
      </c>
      <c r="AD34" s="191">
        <v>0</v>
      </c>
      <c r="AE34" s="191">
        <v>0</v>
      </c>
      <c r="AF34" s="191">
        <v>0</v>
      </c>
      <c r="AG34" s="191">
        <v>0</v>
      </c>
      <c r="AH34" s="191">
        <v>6.19</v>
      </c>
      <c r="AI34" s="191">
        <v>0</v>
      </c>
      <c r="AJ34" s="191">
        <v>0</v>
      </c>
      <c r="AK34" s="191">
        <v>0</v>
      </c>
      <c r="AL34" s="191">
        <v>0.57</v>
      </c>
      <c r="AM34" s="191">
        <v>-71.9</v>
      </c>
      <c r="AN34" s="191">
        <v>0</v>
      </c>
      <c r="AO34" s="191">
        <v>0</v>
      </c>
      <c r="AP34" s="191">
        <v>0</v>
      </c>
      <c r="AQ34" s="191">
        <v>0</v>
      </c>
      <c r="AR34" s="191">
        <v>-4.5</v>
      </c>
      <c r="AS34" s="191">
        <v>-0.8</v>
      </c>
      <c r="AT34" s="191">
        <v>-0.8</v>
      </c>
      <c r="AU34" s="191">
        <v>-0.8</v>
      </c>
      <c r="AV34" s="191">
        <v>-2.2</v>
      </c>
      <c r="AW34" s="191">
        <v>-0.8</v>
      </c>
      <c r="AX34" s="191">
        <v>-1.6</v>
      </c>
      <c r="AY34" s="191">
        <v>-1.5</v>
      </c>
      <c r="AZ34" s="191">
        <v>-2.3</v>
      </c>
      <c r="BA34" s="191">
        <v>-1.3</v>
      </c>
      <c r="BB34" s="191">
        <v>-0.3</v>
      </c>
      <c r="BC34" s="191">
        <v>-0.2</v>
      </c>
      <c r="BD34" s="191">
        <v>-0.5</v>
      </c>
      <c r="BE34" s="192">
        <v>-0.2</v>
      </c>
      <c r="BF34" s="180"/>
      <c r="BG34" s="191" t="s">
        <v>440</v>
      </c>
      <c r="BH34" s="191">
        <v>0</v>
      </c>
      <c r="BI34" s="191">
        <v>371.38</v>
      </c>
      <c r="BJ34" s="191">
        <v>0</v>
      </c>
      <c r="BK34" s="191">
        <v>0</v>
      </c>
      <c r="BL34" s="191">
        <v>0</v>
      </c>
      <c r="BM34" s="191">
        <v>0</v>
      </c>
      <c r="BN34" s="191">
        <v>0</v>
      </c>
      <c r="BO34" s="191">
        <v>0</v>
      </c>
      <c r="BP34" s="191">
        <v>0</v>
      </c>
      <c r="BQ34" s="191">
        <v>0</v>
      </c>
      <c r="BR34" s="191">
        <v>0</v>
      </c>
      <c r="BS34" s="191">
        <v>0</v>
      </c>
      <c r="BT34" s="191">
        <v>0</v>
      </c>
      <c r="BU34" s="191">
        <v>0</v>
      </c>
      <c r="BV34" s="191">
        <v>0</v>
      </c>
      <c r="BW34" s="191">
        <v>0</v>
      </c>
      <c r="BX34" s="191">
        <v>2.6</v>
      </c>
      <c r="BY34" s="191">
        <v>-0.92</v>
      </c>
      <c r="BZ34" s="191">
        <v>-5.64</v>
      </c>
      <c r="CA34" s="191">
        <v>-2.46</v>
      </c>
      <c r="CB34" s="191">
        <v>-3.08</v>
      </c>
      <c r="CC34" s="191">
        <v>26.93</v>
      </c>
      <c r="CD34" s="191">
        <v>0</v>
      </c>
      <c r="CE34" s="191">
        <v>0</v>
      </c>
      <c r="CF34" s="191">
        <v>0</v>
      </c>
      <c r="CG34" s="191">
        <v>0</v>
      </c>
      <c r="CH34" s="191">
        <v>0</v>
      </c>
      <c r="CI34" s="191">
        <v>0</v>
      </c>
      <c r="CJ34" s="191">
        <v>6.04</v>
      </c>
      <c r="CK34" s="191">
        <v>0</v>
      </c>
      <c r="CL34" s="191">
        <v>0</v>
      </c>
      <c r="CM34" s="191">
        <v>0</v>
      </c>
      <c r="CN34" s="191">
        <v>0.56</v>
      </c>
      <c r="CO34" s="191">
        <v>-73.71</v>
      </c>
      <c r="CP34" s="191">
        <v>0</v>
      </c>
      <c r="CQ34" s="191">
        <v>0</v>
      </c>
      <c r="CR34" s="191">
        <v>0</v>
      </c>
      <c r="CS34" s="191">
        <v>0</v>
      </c>
      <c r="CT34" s="191">
        <v>-4.61</v>
      </c>
      <c r="CU34" s="191">
        <v>-0.82</v>
      </c>
      <c r="CV34" s="191">
        <v>-0.82</v>
      </c>
      <c r="CW34" s="191">
        <v>-0.82</v>
      </c>
      <c r="CX34" s="191">
        <v>-2.26</v>
      </c>
      <c r="CY34" s="191">
        <v>-0.82</v>
      </c>
      <c r="CZ34" s="191">
        <v>-1.64</v>
      </c>
      <c r="DA34" s="191">
        <v>-1.54</v>
      </c>
      <c r="DB34" s="191">
        <v>-2.36</v>
      </c>
      <c r="DC34" s="191">
        <v>-1.33</v>
      </c>
      <c r="DD34" s="191">
        <v>-0.31</v>
      </c>
      <c r="DE34" s="191">
        <v>-0.21</v>
      </c>
      <c r="DF34" s="191">
        <v>-0.51</v>
      </c>
      <c r="DG34" s="192">
        <v>-0.21</v>
      </c>
      <c r="DH34" s="180"/>
      <c r="DI34" s="191" t="s">
        <v>440</v>
      </c>
      <c r="DJ34" s="191">
        <v>0</v>
      </c>
      <c r="DK34" s="191">
        <v>0</v>
      </c>
      <c r="DL34" s="191">
        <v>0</v>
      </c>
      <c r="DM34" s="191">
        <v>0</v>
      </c>
      <c r="DN34" s="191">
        <v>0</v>
      </c>
      <c r="DO34" s="191">
        <v>0</v>
      </c>
      <c r="DP34" s="191">
        <v>0</v>
      </c>
      <c r="DQ34" s="191">
        <v>0</v>
      </c>
      <c r="DR34" s="191">
        <v>0</v>
      </c>
      <c r="DS34" s="191">
        <v>2.53</v>
      </c>
      <c r="DT34" s="191">
        <v>0</v>
      </c>
      <c r="DU34" s="191">
        <v>0</v>
      </c>
      <c r="DV34" s="191">
        <v>0.54</v>
      </c>
      <c r="DW34" s="191">
        <v>0</v>
      </c>
      <c r="DX34" s="191">
        <v>0</v>
      </c>
      <c r="DY34" s="192">
        <v>0</v>
      </c>
    </row>
    <row r="35" s="180" customFormat="1" spans="1:129">
      <c r="A35" s="190" t="s">
        <v>441</v>
      </c>
      <c r="B35" s="191">
        <v>-32.5</v>
      </c>
      <c r="C35" s="192">
        <v>782.18</v>
      </c>
      <c r="E35" s="191" t="s">
        <v>441</v>
      </c>
      <c r="F35" s="191">
        <v>11.42</v>
      </c>
      <c r="G35" s="191">
        <v>571.16</v>
      </c>
      <c r="H35" s="191">
        <v>0</v>
      </c>
      <c r="I35" s="191">
        <v>1.14</v>
      </c>
      <c r="J35" s="191">
        <v>7.62</v>
      </c>
      <c r="K35" s="191">
        <v>0.76</v>
      </c>
      <c r="L35" s="191">
        <v>8.57</v>
      </c>
      <c r="M35" s="191">
        <v>5.71</v>
      </c>
      <c r="N35" s="191">
        <v>3.81</v>
      </c>
      <c r="O35" s="191">
        <v>1.14</v>
      </c>
      <c r="P35" s="191">
        <v>2.28</v>
      </c>
      <c r="Q35" s="191">
        <v>0</v>
      </c>
      <c r="R35" s="191">
        <v>5.71</v>
      </c>
      <c r="S35" s="191">
        <v>6.66</v>
      </c>
      <c r="T35" s="191">
        <v>0.67</v>
      </c>
      <c r="U35" s="191">
        <v>2.09</v>
      </c>
      <c r="V35" s="191">
        <v>2.67</v>
      </c>
      <c r="W35" s="191">
        <v>-0.9</v>
      </c>
      <c r="X35" s="191">
        <v>-5.5</v>
      </c>
      <c r="Y35" s="191">
        <v>-2.4</v>
      </c>
      <c r="Z35" s="191">
        <v>-3</v>
      </c>
      <c r="AA35" s="191">
        <v>0</v>
      </c>
      <c r="AB35" s="191">
        <v>1.43</v>
      </c>
      <c r="AC35" s="191">
        <v>7.04</v>
      </c>
      <c r="AD35" s="191">
        <v>3.52</v>
      </c>
      <c r="AE35" s="191">
        <v>13.42</v>
      </c>
      <c r="AF35" s="191">
        <v>0</v>
      </c>
      <c r="AG35" s="191">
        <v>0</v>
      </c>
      <c r="AH35" s="191">
        <v>6.19</v>
      </c>
      <c r="AI35" s="191">
        <v>38.55</v>
      </c>
      <c r="AJ35" s="191">
        <v>7.14</v>
      </c>
      <c r="AK35" s="191">
        <v>0.95</v>
      </c>
      <c r="AL35" s="191">
        <v>0</v>
      </c>
      <c r="AM35" s="191">
        <v>0</v>
      </c>
      <c r="AN35" s="191">
        <v>1.14</v>
      </c>
      <c r="AO35" s="191">
        <v>71.39</v>
      </c>
      <c r="AP35" s="191">
        <v>0</v>
      </c>
      <c r="AQ35" s="191">
        <v>0</v>
      </c>
      <c r="AR35" s="191">
        <v>-4.1</v>
      </c>
      <c r="AS35" s="191">
        <v>-1.1</v>
      </c>
      <c r="AT35" s="191">
        <v>-1.1</v>
      </c>
      <c r="AU35" s="191">
        <v>-1.1</v>
      </c>
      <c r="AV35" s="191">
        <v>-2.5</v>
      </c>
      <c r="AW35" s="191">
        <v>-1.1</v>
      </c>
      <c r="AX35" s="191">
        <v>-2.1</v>
      </c>
      <c r="AY35" s="191">
        <v>-1.7</v>
      </c>
      <c r="AZ35" s="191">
        <v>-2.6</v>
      </c>
      <c r="BA35" s="191">
        <v>-1.7</v>
      </c>
      <c r="BB35" s="191">
        <v>-0.4</v>
      </c>
      <c r="BC35" s="191">
        <v>-0.3</v>
      </c>
      <c r="BD35" s="191">
        <v>-0.6</v>
      </c>
      <c r="BE35" s="192">
        <v>-0.3</v>
      </c>
      <c r="BF35" s="180"/>
      <c r="BG35" s="191" t="s">
        <v>441</v>
      </c>
      <c r="BH35" s="191">
        <v>11.14</v>
      </c>
      <c r="BI35" s="191">
        <v>557.11</v>
      </c>
      <c r="BJ35" s="191">
        <v>0</v>
      </c>
      <c r="BK35" s="191">
        <v>1.11</v>
      </c>
      <c r="BL35" s="191">
        <v>7.43</v>
      </c>
      <c r="BM35" s="191">
        <v>0.74</v>
      </c>
      <c r="BN35" s="191">
        <v>8.36</v>
      </c>
      <c r="BO35" s="191">
        <v>5.57</v>
      </c>
      <c r="BP35" s="191">
        <v>3.72</v>
      </c>
      <c r="BQ35" s="191">
        <v>1.11</v>
      </c>
      <c r="BR35" s="191">
        <v>2.22</v>
      </c>
      <c r="BS35" s="191">
        <v>0</v>
      </c>
      <c r="BT35" s="191">
        <v>5.57</v>
      </c>
      <c r="BU35" s="191">
        <v>6.5</v>
      </c>
      <c r="BV35" s="191">
        <v>0.65</v>
      </c>
      <c r="BW35" s="191">
        <v>2.04</v>
      </c>
      <c r="BX35" s="191">
        <v>2.6</v>
      </c>
      <c r="BY35" s="191">
        <v>-0.92</v>
      </c>
      <c r="BZ35" s="191">
        <v>-5.64</v>
      </c>
      <c r="CA35" s="191">
        <v>-2.46</v>
      </c>
      <c r="CB35" s="191">
        <v>-3.08</v>
      </c>
      <c r="CC35" s="191">
        <v>0</v>
      </c>
      <c r="CD35" s="191">
        <v>1.39</v>
      </c>
      <c r="CE35" s="191">
        <v>6.87</v>
      </c>
      <c r="CF35" s="191">
        <v>3.43</v>
      </c>
      <c r="CG35" s="191">
        <v>13.09</v>
      </c>
      <c r="CH35" s="191">
        <v>0</v>
      </c>
      <c r="CI35" s="191">
        <v>0</v>
      </c>
      <c r="CJ35" s="191">
        <v>6.04</v>
      </c>
      <c r="CK35" s="191">
        <v>37.6</v>
      </c>
      <c r="CL35" s="191">
        <v>6.96</v>
      </c>
      <c r="CM35" s="191">
        <v>0.93</v>
      </c>
      <c r="CN35" s="191">
        <v>0</v>
      </c>
      <c r="CO35" s="191">
        <v>0</v>
      </c>
      <c r="CP35" s="191">
        <v>1.11</v>
      </c>
      <c r="CQ35" s="191">
        <v>69.63</v>
      </c>
      <c r="CR35" s="191">
        <v>0</v>
      </c>
      <c r="CS35" s="191">
        <v>0</v>
      </c>
      <c r="CT35" s="191">
        <v>-4.2</v>
      </c>
      <c r="CU35" s="191">
        <v>-1.13</v>
      </c>
      <c r="CV35" s="191">
        <v>-1.13</v>
      </c>
      <c r="CW35" s="191">
        <v>-1.13</v>
      </c>
      <c r="CX35" s="191">
        <v>-2.56</v>
      </c>
      <c r="CY35" s="191">
        <v>-1.13</v>
      </c>
      <c r="CZ35" s="191">
        <v>-2.15</v>
      </c>
      <c r="DA35" s="191">
        <v>-1.74</v>
      </c>
      <c r="DB35" s="191">
        <v>-2.67</v>
      </c>
      <c r="DC35" s="191">
        <v>-1.74</v>
      </c>
      <c r="DD35" s="191">
        <v>-0.41</v>
      </c>
      <c r="DE35" s="191">
        <v>-0.31</v>
      </c>
      <c r="DF35" s="191">
        <v>-0.62</v>
      </c>
      <c r="DG35" s="192">
        <v>-0.31</v>
      </c>
      <c r="DH35" s="180"/>
      <c r="DI35" s="191" t="s">
        <v>441</v>
      </c>
      <c r="DJ35" s="191">
        <v>0</v>
      </c>
      <c r="DK35" s="191">
        <v>1.08</v>
      </c>
      <c r="DL35" s="191">
        <v>0.72</v>
      </c>
      <c r="DM35" s="191">
        <v>1.08</v>
      </c>
      <c r="DN35" s="191">
        <v>2.16</v>
      </c>
      <c r="DO35" s="191">
        <v>0</v>
      </c>
      <c r="DP35" s="191">
        <v>5.42</v>
      </c>
      <c r="DQ35" s="191">
        <v>0.63</v>
      </c>
      <c r="DR35" s="191">
        <v>1.98</v>
      </c>
      <c r="DS35" s="191">
        <v>2.53</v>
      </c>
      <c r="DT35" s="191">
        <v>1.35</v>
      </c>
      <c r="DU35" s="191">
        <v>6.67</v>
      </c>
      <c r="DV35" s="191">
        <v>0</v>
      </c>
      <c r="DW35" s="191">
        <v>1.08</v>
      </c>
      <c r="DX35" s="191">
        <v>0</v>
      </c>
      <c r="DY35" s="192">
        <v>0</v>
      </c>
    </row>
    <row r="36" s="180" customFormat="1" spans="1:129">
      <c r="A36" s="190" t="s">
        <v>442</v>
      </c>
      <c r="B36" s="191">
        <v>-32.5</v>
      </c>
      <c r="C36" s="192">
        <v>1318.29</v>
      </c>
      <c r="E36" s="191" t="s">
        <v>442</v>
      </c>
      <c r="F36" s="191">
        <v>11.42</v>
      </c>
      <c r="G36" s="191">
        <v>1142.29</v>
      </c>
      <c r="H36" s="191">
        <v>0</v>
      </c>
      <c r="I36" s="191">
        <v>0</v>
      </c>
      <c r="J36" s="191">
        <v>0</v>
      </c>
      <c r="K36" s="191">
        <v>0</v>
      </c>
      <c r="L36" s="191">
        <v>0</v>
      </c>
      <c r="M36" s="191">
        <v>5.71</v>
      </c>
      <c r="N36" s="191">
        <v>0</v>
      </c>
      <c r="O36" s="191">
        <v>1.14</v>
      </c>
      <c r="P36" s="191">
        <v>0</v>
      </c>
      <c r="Q36" s="191">
        <v>5.52</v>
      </c>
      <c r="R36" s="191">
        <v>5.71</v>
      </c>
      <c r="S36" s="191">
        <v>0</v>
      </c>
      <c r="T36" s="191">
        <v>0.67</v>
      </c>
      <c r="U36" s="191">
        <v>2.09</v>
      </c>
      <c r="V36" s="191">
        <v>2.67</v>
      </c>
      <c r="W36" s="191">
        <v>-0.9</v>
      </c>
      <c r="X36" s="191">
        <v>-5.5</v>
      </c>
      <c r="Y36" s="191">
        <v>-2.4</v>
      </c>
      <c r="Z36" s="191">
        <v>-3</v>
      </c>
      <c r="AA36" s="191">
        <v>0</v>
      </c>
      <c r="AB36" s="191">
        <v>0</v>
      </c>
      <c r="AC36" s="191">
        <v>0</v>
      </c>
      <c r="AD36" s="191">
        <v>3.43</v>
      </c>
      <c r="AE36" s="191">
        <v>13.42</v>
      </c>
      <c r="AF36" s="191">
        <v>0</v>
      </c>
      <c r="AG36" s="191">
        <v>0</v>
      </c>
      <c r="AH36" s="191">
        <v>6.19</v>
      </c>
      <c r="AI36" s="191">
        <v>38.55</v>
      </c>
      <c r="AJ36" s="191">
        <v>7.14</v>
      </c>
      <c r="AK36" s="191">
        <v>0.95</v>
      </c>
      <c r="AL36" s="191">
        <v>0</v>
      </c>
      <c r="AM36" s="191">
        <v>0</v>
      </c>
      <c r="AN36" s="191">
        <v>0</v>
      </c>
      <c r="AO36" s="191">
        <v>71.39</v>
      </c>
      <c r="AP36" s="191">
        <v>0</v>
      </c>
      <c r="AQ36" s="191">
        <v>0</v>
      </c>
      <c r="AR36" s="191">
        <v>-3.6</v>
      </c>
      <c r="AS36" s="191">
        <v>-1.1</v>
      </c>
      <c r="AT36" s="191">
        <v>-1.1</v>
      </c>
      <c r="AU36" s="191">
        <v>-1.1</v>
      </c>
      <c r="AV36" s="191">
        <v>-2.7</v>
      </c>
      <c r="AW36" s="191">
        <v>-1.1</v>
      </c>
      <c r="AX36" s="191">
        <v>-2.1</v>
      </c>
      <c r="AY36" s="191">
        <v>-2</v>
      </c>
      <c r="AZ36" s="191">
        <v>-2.6</v>
      </c>
      <c r="BA36" s="191">
        <v>-1.7</v>
      </c>
      <c r="BB36" s="191">
        <v>-0.4</v>
      </c>
      <c r="BC36" s="191">
        <v>-0.3</v>
      </c>
      <c r="BD36" s="191">
        <v>-0.6</v>
      </c>
      <c r="BE36" s="192">
        <v>-0.3</v>
      </c>
      <c r="BF36" s="180"/>
      <c r="BG36" s="191" t="s">
        <v>442</v>
      </c>
      <c r="BH36" s="191">
        <v>11.14</v>
      </c>
      <c r="BI36" s="191">
        <v>1114.19</v>
      </c>
      <c r="BJ36" s="191">
        <v>0</v>
      </c>
      <c r="BK36" s="191">
        <v>0</v>
      </c>
      <c r="BL36" s="191">
        <v>0</v>
      </c>
      <c r="BM36" s="191">
        <v>0</v>
      </c>
      <c r="BN36" s="191">
        <v>0</v>
      </c>
      <c r="BO36" s="191">
        <v>5.57</v>
      </c>
      <c r="BP36" s="191">
        <v>0</v>
      </c>
      <c r="BQ36" s="191">
        <v>1.11</v>
      </c>
      <c r="BR36" s="191">
        <v>0</v>
      </c>
      <c r="BS36" s="191">
        <v>5.38</v>
      </c>
      <c r="BT36" s="191">
        <v>5.57</v>
      </c>
      <c r="BU36" s="191">
        <v>0</v>
      </c>
      <c r="BV36" s="191">
        <v>0.65</v>
      </c>
      <c r="BW36" s="191">
        <v>2.04</v>
      </c>
      <c r="BX36" s="191">
        <v>2.6</v>
      </c>
      <c r="BY36" s="191">
        <v>-0.92</v>
      </c>
      <c r="BZ36" s="191">
        <v>-5.64</v>
      </c>
      <c r="CA36" s="191">
        <v>-2.46</v>
      </c>
      <c r="CB36" s="191">
        <v>-3.08</v>
      </c>
      <c r="CC36" s="191">
        <v>0</v>
      </c>
      <c r="CD36" s="191">
        <v>0</v>
      </c>
      <c r="CE36" s="191">
        <v>0</v>
      </c>
      <c r="CF36" s="191">
        <v>3.35</v>
      </c>
      <c r="CG36" s="191">
        <v>13.09</v>
      </c>
      <c r="CH36" s="191">
        <v>0</v>
      </c>
      <c r="CI36" s="191">
        <v>0</v>
      </c>
      <c r="CJ36" s="191">
        <v>6.04</v>
      </c>
      <c r="CK36" s="191">
        <v>37.6</v>
      </c>
      <c r="CL36" s="191">
        <v>6.96</v>
      </c>
      <c r="CM36" s="191">
        <v>0.93</v>
      </c>
      <c r="CN36" s="191">
        <v>0</v>
      </c>
      <c r="CO36" s="191">
        <v>0</v>
      </c>
      <c r="CP36" s="191">
        <v>0</v>
      </c>
      <c r="CQ36" s="191">
        <v>69.63</v>
      </c>
      <c r="CR36" s="191">
        <v>0</v>
      </c>
      <c r="CS36" s="191">
        <v>0</v>
      </c>
      <c r="CT36" s="191">
        <v>-3.69</v>
      </c>
      <c r="CU36" s="191">
        <v>-1.13</v>
      </c>
      <c r="CV36" s="191">
        <v>-1.13</v>
      </c>
      <c r="CW36" s="191">
        <v>-1.13</v>
      </c>
      <c r="CX36" s="191">
        <v>-2.77</v>
      </c>
      <c r="CY36" s="191">
        <v>-1.13</v>
      </c>
      <c r="CZ36" s="191">
        <v>-2.15</v>
      </c>
      <c r="DA36" s="191">
        <v>-2.05</v>
      </c>
      <c r="DB36" s="191">
        <v>-2.67</v>
      </c>
      <c r="DC36" s="191">
        <v>-1.74</v>
      </c>
      <c r="DD36" s="191">
        <v>-0.41</v>
      </c>
      <c r="DE36" s="191">
        <v>-0.31</v>
      </c>
      <c r="DF36" s="191">
        <v>-0.62</v>
      </c>
      <c r="DG36" s="192">
        <v>-0.31</v>
      </c>
      <c r="DH36" s="180"/>
      <c r="DI36" s="191" t="s">
        <v>442</v>
      </c>
      <c r="DJ36" s="191">
        <v>0</v>
      </c>
      <c r="DK36" s="191">
        <v>0</v>
      </c>
      <c r="DL36" s="191">
        <v>0</v>
      </c>
      <c r="DM36" s="191">
        <v>1.08</v>
      </c>
      <c r="DN36" s="191">
        <v>0</v>
      </c>
      <c r="DO36" s="191">
        <v>5.23</v>
      </c>
      <c r="DP36" s="191">
        <v>5.42</v>
      </c>
      <c r="DQ36" s="191">
        <v>0.63</v>
      </c>
      <c r="DR36" s="191">
        <v>1.98</v>
      </c>
      <c r="DS36" s="191">
        <v>2.53</v>
      </c>
      <c r="DT36" s="191">
        <v>0</v>
      </c>
      <c r="DU36" s="191">
        <v>0</v>
      </c>
      <c r="DV36" s="191">
        <v>0</v>
      </c>
      <c r="DW36" s="191">
        <v>0</v>
      </c>
      <c r="DX36" s="191">
        <v>0</v>
      </c>
      <c r="DY36" s="192">
        <v>0</v>
      </c>
    </row>
    <row r="37" s="180" customFormat="1" spans="1:129">
      <c r="A37" s="190" t="s">
        <v>443</v>
      </c>
      <c r="B37" s="191">
        <v>-32.6</v>
      </c>
      <c r="C37" s="192">
        <v>1424.33</v>
      </c>
      <c r="E37" s="191" t="s">
        <v>443</v>
      </c>
      <c r="F37" s="191">
        <v>11.42</v>
      </c>
      <c r="G37" s="191">
        <v>1332.66</v>
      </c>
      <c r="H37" s="191">
        <v>0</v>
      </c>
      <c r="I37" s="191">
        <v>0</v>
      </c>
      <c r="J37" s="191">
        <v>0</v>
      </c>
      <c r="K37" s="191">
        <v>0</v>
      </c>
      <c r="L37" s="191">
        <v>0</v>
      </c>
      <c r="M37" s="191">
        <v>0</v>
      </c>
      <c r="N37" s="191">
        <v>0</v>
      </c>
      <c r="O37" s="191">
        <v>0</v>
      </c>
      <c r="P37" s="191">
        <v>0</v>
      </c>
      <c r="Q37" s="191">
        <v>0</v>
      </c>
      <c r="R37" s="191">
        <v>0</v>
      </c>
      <c r="S37" s="191">
        <v>0</v>
      </c>
      <c r="T37" s="191">
        <v>0</v>
      </c>
      <c r="U37" s="191">
        <v>0</v>
      </c>
      <c r="V37" s="191">
        <v>2.67</v>
      </c>
      <c r="W37" s="191">
        <v>-0.9</v>
      </c>
      <c r="X37" s="191">
        <v>-5.5</v>
      </c>
      <c r="Y37" s="191">
        <v>-2.4</v>
      </c>
      <c r="Z37" s="191">
        <v>-3</v>
      </c>
      <c r="AA37" s="191">
        <v>0</v>
      </c>
      <c r="AB37" s="191">
        <v>0</v>
      </c>
      <c r="AC37" s="191">
        <v>0</v>
      </c>
      <c r="AD37" s="191">
        <v>0</v>
      </c>
      <c r="AE37" s="191">
        <v>0</v>
      </c>
      <c r="AF37" s="191">
        <v>0</v>
      </c>
      <c r="AG37" s="191">
        <v>0</v>
      </c>
      <c r="AH37" s="191">
        <v>6.19</v>
      </c>
      <c r="AI37" s="191">
        <v>0</v>
      </c>
      <c r="AJ37" s="191">
        <v>0</v>
      </c>
      <c r="AK37" s="191">
        <v>0</v>
      </c>
      <c r="AL37" s="191">
        <v>0</v>
      </c>
      <c r="AM37" s="191">
        <v>0</v>
      </c>
      <c r="AN37" s="191">
        <v>0</v>
      </c>
      <c r="AO37" s="191">
        <v>71.39</v>
      </c>
      <c r="AP37" s="191">
        <v>0</v>
      </c>
      <c r="AQ37" s="191">
        <v>0</v>
      </c>
      <c r="AR37" s="191">
        <v>-4.1</v>
      </c>
      <c r="AS37" s="191">
        <v>-1.1</v>
      </c>
      <c r="AT37" s="191">
        <v>-1.1</v>
      </c>
      <c r="AU37" s="191">
        <v>-1.1</v>
      </c>
      <c r="AV37" s="191">
        <v>-2.4</v>
      </c>
      <c r="AW37" s="191">
        <v>-1.1</v>
      </c>
      <c r="AX37" s="191">
        <v>-2</v>
      </c>
      <c r="AY37" s="191">
        <v>-2.1</v>
      </c>
      <c r="AZ37" s="191">
        <v>-2.6</v>
      </c>
      <c r="BA37" s="191">
        <v>-1.6</v>
      </c>
      <c r="BB37" s="191">
        <v>-0.4</v>
      </c>
      <c r="BC37" s="191">
        <v>-0.3</v>
      </c>
      <c r="BD37" s="191">
        <v>-0.6</v>
      </c>
      <c r="BE37" s="192">
        <v>-0.3</v>
      </c>
      <c r="BF37" s="180"/>
      <c r="BG37" s="191" t="s">
        <v>443</v>
      </c>
      <c r="BH37" s="191">
        <v>11.14</v>
      </c>
      <c r="BI37" s="191">
        <v>1299.88</v>
      </c>
      <c r="BJ37" s="191">
        <v>0</v>
      </c>
      <c r="BK37" s="191">
        <v>0</v>
      </c>
      <c r="BL37" s="191">
        <v>0</v>
      </c>
      <c r="BM37" s="191">
        <v>0</v>
      </c>
      <c r="BN37" s="191">
        <v>0</v>
      </c>
      <c r="BO37" s="191">
        <v>0</v>
      </c>
      <c r="BP37" s="191">
        <v>0</v>
      </c>
      <c r="BQ37" s="191">
        <v>0</v>
      </c>
      <c r="BR37" s="191">
        <v>0</v>
      </c>
      <c r="BS37" s="191">
        <v>0</v>
      </c>
      <c r="BT37" s="191">
        <v>0</v>
      </c>
      <c r="BU37" s="191">
        <v>0</v>
      </c>
      <c r="BV37" s="191">
        <v>0</v>
      </c>
      <c r="BW37" s="191">
        <v>0</v>
      </c>
      <c r="BX37" s="191">
        <v>2.6</v>
      </c>
      <c r="BY37" s="191">
        <v>-0.92</v>
      </c>
      <c r="BZ37" s="191">
        <v>-5.64</v>
      </c>
      <c r="CA37" s="191">
        <v>-2.46</v>
      </c>
      <c r="CB37" s="191">
        <v>-3.08</v>
      </c>
      <c r="CC37" s="191">
        <v>0</v>
      </c>
      <c r="CD37" s="191">
        <v>0</v>
      </c>
      <c r="CE37" s="191">
        <v>0</v>
      </c>
      <c r="CF37" s="191">
        <v>0</v>
      </c>
      <c r="CG37" s="191">
        <v>0</v>
      </c>
      <c r="CH37" s="191">
        <v>0</v>
      </c>
      <c r="CI37" s="191">
        <v>0</v>
      </c>
      <c r="CJ37" s="191">
        <v>6.04</v>
      </c>
      <c r="CK37" s="191">
        <v>0</v>
      </c>
      <c r="CL37" s="191">
        <v>0</v>
      </c>
      <c r="CM37" s="191">
        <v>0</v>
      </c>
      <c r="CN37" s="191">
        <v>0</v>
      </c>
      <c r="CO37" s="191">
        <v>0</v>
      </c>
      <c r="CP37" s="191">
        <v>0</v>
      </c>
      <c r="CQ37" s="191">
        <v>69.63</v>
      </c>
      <c r="CR37" s="191">
        <v>0</v>
      </c>
      <c r="CS37" s="191">
        <v>0</v>
      </c>
      <c r="CT37" s="191">
        <v>-4.2</v>
      </c>
      <c r="CU37" s="191">
        <v>-1.13</v>
      </c>
      <c r="CV37" s="191">
        <v>-1.13</v>
      </c>
      <c r="CW37" s="191">
        <v>-1.13</v>
      </c>
      <c r="CX37" s="191">
        <v>-2.46</v>
      </c>
      <c r="CY37" s="191">
        <v>-1.13</v>
      </c>
      <c r="CZ37" s="191">
        <v>-2.05</v>
      </c>
      <c r="DA37" s="191">
        <v>-2.15</v>
      </c>
      <c r="DB37" s="191">
        <v>-2.67</v>
      </c>
      <c r="DC37" s="191">
        <v>-1.64</v>
      </c>
      <c r="DD37" s="191">
        <v>-0.41</v>
      </c>
      <c r="DE37" s="191">
        <v>-0.31</v>
      </c>
      <c r="DF37" s="191">
        <v>-0.62</v>
      </c>
      <c r="DG37" s="192">
        <v>-0.31</v>
      </c>
      <c r="DH37" s="180"/>
      <c r="DI37" s="191" t="s">
        <v>443</v>
      </c>
      <c r="DJ37" s="191">
        <v>0</v>
      </c>
      <c r="DK37" s="191">
        <v>0</v>
      </c>
      <c r="DL37" s="191">
        <v>0</v>
      </c>
      <c r="DM37" s="191">
        <v>0</v>
      </c>
      <c r="DN37" s="191">
        <v>0</v>
      </c>
      <c r="DO37" s="191">
        <v>0</v>
      </c>
      <c r="DP37" s="191">
        <v>0</v>
      </c>
      <c r="DQ37" s="191">
        <v>0</v>
      </c>
      <c r="DR37" s="191">
        <v>0</v>
      </c>
      <c r="DS37" s="191">
        <v>2.53</v>
      </c>
      <c r="DT37" s="191">
        <v>0</v>
      </c>
      <c r="DU37" s="191">
        <v>0</v>
      </c>
      <c r="DV37" s="191">
        <v>0</v>
      </c>
      <c r="DW37" s="191">
        <v>0</v>
      </c>
      <c r="DX37" s="191">
        <v>0</v>
      </c>
      <c r="DY37" s="192">
        <v>0</v>
      </c>
    </row>
    <row r="38" s="180" customFormat="1" spans="1:129">
      <c r="A38" s="190" t="s">
        <v>444</v>
      </c>
      <c r="B38" s="191">
        <v>-32.5</v>
      </c>
      <c r="C38" s="192">
        <v>1338.66</v>
      </c>
      <c r="E38" s="191" t="s">
        <v>444</v>
      </c>
      <c r="F38" s="191">
        <v>0</v>
      </c>
      <c r="G38" s="191">
        <v>1332.66</v>
      </c>
      <c r="H38" s="191">
        <v>0</v>
      </c>
      <c r="I38" s="191">
        <v>0</v>
      </c>
      <c r="J38" s="191">
        <v>0</v>
      </c>
      <c r="K38" s="191">
        <v>0</v>
      </c>
      <c r="L38" s="191">
        <v>0</v>
      </c>
      <c r="M38" s="191">
        <v>0</v>
      </c>
      <c r="N38" s="191">
        <v>0</v>
      </c>
      <c r="O38" s="191">
        <v>0</v>
      </c>
      <c r="P38" s="191">
        <v>0</v>
      </c>
      <c r="Q38" s="191">
        <v>0</v>
      </c>
      <c r="R38" s="191">
        <v>0</v>
      </c>
      <c r="S38" s="191">
        <v>0</v>
      </c>
      <c r="T38" s="191">
        <v>0</v>
      </c>
      <c r="U38" s="191">
        <v>0</v>
      </c>
      <c r="V38" s="191">
        <v>2.67</v>
      </c>
      <c r="W38" s="191">
        <v>-0.9</v>
      </c>
      <c r="X38" s="191">
        <v>-5.5</v>
      </c>
      <c r="Y38" s="191">
        <v>-2.4</v>
      </c>
      <c r="Z38" s="191">
        <v>-3</v>
      </c>
      <c r="AA38" s="191">
        <v>0</v>
      </c>
      <c r="AB38" s="191">
        <v>0</v>
      </c>
      <c r="AC38" s="191">
        <v>0</v>
      </c>
      <c r="AD38" s="191">
        <v>0</v>
      </c>
      <c r="AE38" s="191">
        <v>0</v>
      </c>
      <c r="AF38" s="191">
        <v>0</v>
      </c>
      <c r="AG38" s="191">
        <v>0</v>
      </c>
      <c r="AH38" s="191">
        <v>3.33</v>
      </c>
      <c r="AI38" s="191">
        <v>0</v>
      </c>
      <c r="AJ38" s="191">
        <v>0</v>
      </c>
      <c r="AK38" s="191">
        <v>0</v>
      </c>
      <c r="AL38" s="191">
        <v>0</v>
      </c>
      <c r="AM38" s="191">
        <v>0</v>
      </c>
      <c r="AN38" s="191">
        <v>0</v>
      </c>
      <c r="AO38" s="191">
        <v>0</v>
      </c>
      <c r="AP38" s="191">
        <v>0</v>
      </c>
      <c r="AQ38" s="191">
        <v>0</v>
      </c>
      <c r="AR38" s="191">
        <v>-4.4</v>
      </c>
      <c r="AS38" s="191">
        <v>-1</v>
      </c>
      <c r="AT38" s="191">
        <v>-1</v>
      </c>
      <c r="AU38" s="191">
        <v>-1</v>
      </c>
      <c r="AV38" s="191">
        <v>-2.4</v>
      </c>
      <c r="AW38" s="191">
        <v>-1</v>
      </c>
      <c r="AX38" s="191">
        <v>-2</v>
      </c>
      <c r="AY38" s="191">
        <v>-2.2</v>
      </c>
      <c r="AZ38" s="191">
        <v>-2.7</v>
      </c>
      <c r="BA38" s="191">
        <v>-1.4</v>
      </c>
      <c r="BB38" s="191">
        <v>-0.4</v>
      </c>
      <c r="BC38" s="191">
        <v>-0.3</v>
      </c>
      <c r="BD38" s="191">
        <v>-0.6</v>
      </c>
      <c r="BE38" s="192">
        <v>-0.3</v>
      </c>
      <c r="BF38" s="180"/>
      <c r="BG38" s="191" t="s">
        <v>444</v>
      </c>
      <c r="BH38" s="191">
        <v>0</v>
      </c>
      <c r="BI38" s="191">
        <v>1299.88</v>
      </c>
      <c r="BJ38" s="191">
        <v>0</v>
      </c>
      <c r="BK38" s="191">
        <v>0</v>
      </c>
      <c r="BL38" s="191">
        <v>0</v>
      </c>
      <c r="BM38" s="191">
        <v>0</v>
      </c>
      <c r="BN38" s="191">
        <v>0</v>
      </c>
      <c r="BO38" s="191">
        <v>0</v>
      </c>
      <c r="BP38" s="191">
        <v>0</v>
      </c>
      <c r="BQ38" s="191">
        <v>0</v>
      </c>
      <c r="BR38" s="191">
        <v>0</v>
      </c>
      <c r="BS38" s="191">
        <v>0</v>
      </c>
      <c r="BT38" s="191">
        <v>0</v>
      </c>
      <c r="BU38" s="191">
        <v>0</v>
      </c>
      <c r="BV38" s="191">
        <v>0</v>
      </c>
      <c r="BW38" s="191">
        <v>0</v>
      </c>
      <c r="BX38" s="191">
        <v>2.6</v>
      </c>
      <c r="BY38" s="191">
        <v>-0.92</v>
      </c>
      <c r="BZ38" s="191">
        <v>-5.64</v>
      </c>
      <c r="CA38" s="191">
        <v>-2.46</v>
      </c>
      <c r="CB38" s="191">
        <v>-3.08</v>
      </c>
      <c r="CC38" s="191">
        <v>0</v>
      </c>
      <c r="CD38" s="191">
        <v>0</v>
      </c>
      <c r="CE38" s="191">
        <v>0</v>
      </c>
      <c r="CF38" s="191">
        <v>0</v>
      </c>
      <c r="CG38" s="191">
        <v>0</v>
      </c>
      <c r="CH38" s="191">
        <v>0</v>
      </c>
      <c r="CI38" s="191">
        <v>0</v>
      </c>
      <c r="CJ38" s="191">
        <v>3.25</v>
      </c>
      <c r="CK38" s="191">
        <v>0</v>
      </c>
      <c r="CL38" s="191">
        <v>0</v>
      </c>
      <c r="CM38" s="191">
        <v>0</v>
      </c>
      <c r="CN38" s="191">
        <v>0</v>
      </c>
      <c r="CO38" s="191">
        <v>0</v>
      </c>
      <c r="CP38" s="191">
        <v>0</v>
      </c>
      <c r="CQ38" s="191">
        <v>0</v>
      </c>
      <c r="CR38" s="191">
        <v>0</v>
      </c>
      <c r="CS38" s="191">
        <v>0</v>
      </c>
      <c r="CT38" s="191">
        <v>-4.51</v>
      </c>
      <c r="CU38" s="191">
        <v>-1.03</v>
      </c>
      <c r="CV38" s="191">
        <v>-1.03</v>
      </c>
      <c r="CW38" s="191">
        <v>-1.03</v>
      </c>
      <c r="CX38" s="191">
        <v>-2.46</v>
      </c>
      <c r="CY38" s="191">
        <v>-1.03</v>
      </c>
      <c r="CZ38" s="191">
        <v>-2.05</v>
      </c>
      <c r="DA38" s="191">
        <v>-2.26</v>
      </c>
      <c r="DB38" s="191">
        <v>-2.77</v>
      </c>
      <c r="DC38" s="191">
        <v>-1.44</v>
      </c>
      <c r="DD38" s="191">
        <v>-0.41</v>
      </c>
      <c r="DE38" s="191">
        <v>-0.31</v>
      </c>
      <c r="DF38" s="191">
        <v>-0.62</v>
      </c>
      <c r="DG38" s="192">
        <v>-0.31</v>
      </c>
      <c r="DH38" s="180"/>
      <c r="DI38" s="191" t="s">
        <v>444</v>
      </c>
      <c r="DJ38" s="191">
        <v>0</v>
      </c>
      <c r="DK38" s="191">
        <v>0</v>
      </c>
      <c r="DL38" s="191">
        <v>0</v>
      </c>
      <c r="DM38" s="191">
        <v>0</v>
      </c>
      <c r="DN38" s="191">
        <v>0</v>
      </c>
      <c r="DO38" s="191">
        <v>0</v>
      </c>
      <c r="DP38" s="191">
        <v>0</v>
      </c>
      <c r="DQ38" s="191">
        <v>0</v>
      </c>
      <c r="DR38" s="191">
        <v>0</v>
      </c>
      <c r="DS38" s="191">
        <v>2.53</v>
      </c>
      <c r="DT38" s="191">
        <v>0</v>
      </c>
      <c r="DU38" s="191">
        <v>0</v>
      </c>
      <c r="DV38" s="191">
        <v>0</v>
      </c>
      <c r="DW38" s="191">
        <v>0</v>
      </c>
      <c r="DX38" s="191">
        <v>0</v>
      </c>
      <c r="DY38" s="192">
        <v>0</v>
      </c>
    </row>
    <row r="39" s="180" customFormat="1" spans="1:129">
      <c r="A39" s="190" t="s">
        <v>445</v>
      </c>
      <c r="B39" s="191">
        <v>-54.7</v>
      </c>
      <c r="C39" s="192">
        <v>1237.47</v>
      </c>
      <c r="E39" s="191" t="s">
        <v>445</v>
      </c>
      <c r="F39" s="191">
        <v>0</v>
      </c>
      <c r="G39" s="191">
        <v>1237.47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0</v>
      </c>
      <c r="W39" s="191">
        <v>-0.9</v>
      </c>
      <c r="X39" s="191">
        <v>-5.5</v>
      </c>
      <c r="Y39" s="191">
        <v>-21.9</v>
      </c>
      <c r="Z39" s="191">
        <v>-3</v>
      </c>
      <c r="AA39" s="191">
        <v>0</v>
      </c>
      <c r="AB39" s="191">
        <v>0</v>
      </c>
      <c r="AC39" s="191">
        <v>0</v>
      </c>
      <c r="AD39" s="191">
        <v>0</v>
      </c>
      <c r="AE39" s="191">
        <v>0</v>
      </c>
      <c r="AF39" s="191">
        <v>0</v>
      </c>
      <c r="AG39" s="191">
        <v>0</v>
      </c>
      <c r="AH39" s="191">
        <v>0</v>
      </c>
      <c r="AI39" s="191">
        <v>0</v>
      </c>
      <c r="AJ39" s="191">
        <v>0</v>
      </c>
      <c r="AK39" s="191">
        <v>0</v>
      </c>
      <c r="AL39" s="191">
        <v>0</v>
      </c>
      <c r="AM39" s="191">
        <v>0</v>
      </c>
      <c r="AN39" s="191">
        <v>0</v>
      </c>
      <c r="AO39" s="191">
        <v>0</v>
      </c>
      <c r="AP39" s="191">
        <v>0</v>
      </c>
      <c r="AQ39" s="191">
        <v>0</v>
      </c>
      <c r="AR39" s="191">
        <v>-5.2</v>
      </c>
      <c r="AS39" s="191">
        <v>-1.4</v>
      </c>
      <c r="AT39" s="191">
        <v>-1.4</v>
      </c>
      <c r="AU39" s="191">
        <v>-1.4</v>
      </c>
      <c r="AV39" s="191">
        <v>-2.7</v>
      </c>
      <c r="AW39" s="191">
        <v>-1.4</v>
      </c>
      <c r="AX39" s="191">
        <v>-2.1</v>
      </c>
      <c r="AY39" s="191">
        <v>-2</v>
      </c>
      <c r="AZ39" s="191">
        <v>-2.8</v>
      </c>
      <c r="BA39" s="191">
        <v>-1.4</v>
      </c>
      <c r="BB39" s="191">
        <v>-0.4</v>
      </c>
      <c r="BC39" s="191">
        <v>-0.3</v>
      </c>
      <c r="BD39" s="191">
        <v>-0.6</v>
      </c>
      <c r="BE39" s="192">
        <v>-0.3</v>
      </c>
      <c r="BF39" s="180"/>
      <c r="BG39" s="191" t="s">
        <v>445</v>
      </c>
      <c r="BH39" s="191">
        <v>0</v>
      </c>
      <c r="BI39" s="191">
        <v>1207.03</v>
      </c>
      <c r="BJ39" s="191">
        <v>0</v>
      </c>
      <c r="BK39" s="191">
        <v>0</v>
      </c>
      <c r="BL39" s="191">
        <v>0</v>
      </c>
      <c r="BM39" s="191">
        <v>0</v>
      </c>
      <c r="BN39" s="191">
        <v>0</v>
      </c>
      <c r="BO39" s="191">
        <v>0</v>
      </c>
      <c r="BP39" s="191">
        <v>0</v>
      </c>
      <c r="BQ39" s="191">
        <v>0</v>
      </c>
      <c r="BR39" s="191">
        <v>0</v>
      </c>
      <c r="BS39" s="191">
        <v>0</v>
      </c>
      <c r="BT39" s="191">
        <v>0</v>
      </c>
      <c r="BU39" s="191">
        <v>0</v>
      </c>
      <c r="BV39" s="191">
        <v>0</v>
      </c>
      <c r="BW39" s="191">
        <v>0</v>
      </c>
      <c r="BX39" s="191">
        <v>0</v>
      </c>
      <c r="BY39" s="191">
        <v>-0.92</v>
      </c>
      <c r="BZ39" s="191">
        <v>-5.64</v>
      </c>
      <c r="CA39" s="191">
        <v>-22.45</v>
      </c>
      <c r="CB39" s="191">
        <v>-3.08</v>
      </c>
      <c r="CC39" s="191">
        <v>0</v>
      </c>
      <c r="CD39" s="191">
        <v>0</v>
      </c>
      <c r="CE39" s="191">
        <v>0</v>
      </c>
      <c r="CF39" s="191">
        <v>0</v>
      </c>
      <c r="CG39" s="191">
        <v>0</v>
      </c>
      <c r="CH39" s="191">
        <v>0</v>
      </c>
      <c r="CI39" s="191">
        <v>0</v>
      </c>
      <c r="CJ39" s="191">
        <v>0</v>
      </c>
      <c r="CK39" s="191">
        <v>0</v>
      </c>
      <c r="CL39" s="191">
        <v>0</v>
      </c>
      <c r="CM39" s="191">
        <v>0</v>
      </c>
      <c r="CN39" s="191">
        <v>0</v>
      </c>
      <c r="CO39" s="191">
        <v>0</v>
      </c>
      <c r="CP39" s="191">
        <v>0</v>
      </c>
      <c r="CQ39" s="191">
        <v>0</v>
      </c>
      <c r="CR39" s="191">
        <v>0</v>
      </c>
      <c r="CS39" s="191">
        <v>0</v>
      </c>
      <c r="CT39" s="191">
        <v>-5.33</v>
      </c>
      <c r="CU39" s="191">
        <v>-1.44</v>
      </c>
      <c r="CV39" s="191">
        <v>-1.44</v>
      </c>
      <c r="CW39" s="191">
        <v>-1.44</v>
      </c>
      <c r="CX39" s="191">
        <v>-2.77</v>
      </c>
      <c r="CY39" s="191">
        <v>-1.44</v>
      </c>
      <c r="CZ39" s="191">
        <v>-2.15</v>
      </c>
      <c r="DA39" s="191">
        <v>-2.05</v>
      </c>
      <c r="DB39" s="191">
        <v>-2.87</v>
      </c>
      <c r="DC39" s="191">
        <v>-1.44</v>
      </c>
      <c r="DD39" s="191">
        <v>-0.41</v>
      </c>
      <c r="DE39" s="191">
        <v>-0.31</v>
      </c>
      <c r="DF39" s="191">
        <v>-0.62</v>
      </c>
      <c r="DG39" s="192">
        <v>-0.31</v>
      </c>
      <c r="DH39" s="180"/>
      <c r="DI39" s="191" t="s">
        <v>445</v>
      </c>
      <c r="DJ39" s="191">
        <v>0</v>
      </c>
      <c r="DK39" s="191">
        <v>0</v>
      </c>
      <c r="DL39" s="191">
        <v>0</v>
      </c>
      <c r="DM39" s="191">
        <v>0</v>
      </c>
      <c r="DN39" s="191">
        <v>0</v>
      </c>
      <c r="DO39" s="191">
        <v>0</v>
      </c>
      <c r="DP39" s="191">
        <v>0</v>
      </c>
      <c r="DQ39" s="191">
        <v>0</v>
      </c>
      <c r="DR39" s="191">
        <v>0</v>
      </c>
      <c r="DS39" s="191">
        <v>0</v>
      </c>
      <c r="DT39" s="191">
        <v>0</v>
      </c>
      <c r="DU39" s="191">
        <v>0</v>
      </c>
      <c r="DV39" s="191">
        <v>0</v>
      </c>
      <c r="DW39" s="191">
        <v>0</v>
      </c>
      <c r="DX39" s="191">
        <v>0</v>
      </c>
      <c r="DY39" s="192">
        <v>0</v>
      </c>
    </row>
    <row r="40" s="180" customFormat="1" spans="1:129">
      <c r="A40" s="190" t="s">
        <v>446</v>
      </c>
      <c r="B40" s="191">
        <v>-55.9</v>
      </c>
      <c r="C40" s="192">
        <v>1279.99</v>
      </c>
      <c r="E40" s="191" t="s">
        <v>446</v>
      </c>
      <c r="F40" s="191">
        <v>0</v>
      </c>
      <c r="G40" s="191">
        <v>1279.99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-0.9</v>
      </c>
      <c r="X40" s="191">
        <v>-5.5</v>
      </c>
      <c r="Y40" s="191">
        <v>-21.9</v>
      </c>
      <c r="Z40" s="191">
        <v>-3</v>
      </c>
      <c r="AA40" s="191">
        <v>0</v>
      </c>
      <c r="AB40" s="191">
        <v>0</v>
      </c>
      <c r="AC40" s="191">
        <v>0</v>
      </c>
      <c r="AD40" s="191">
        <v>0</v>
      </c>
      <c r="AE40" s="191">
        <v>0</v>
      </c>
      <c r="AF40" s="191">
        <v>0</v>
      </c>
      <c r="AG40" s="191">
        <v>0</v>
      </c>
      <c r="AH40" s="191">
        <v>0</v>
      </c>
      <c r="AI40" s="191">
        <v>0</v>
      </c>
      <c r="AJ40" s="191">
        <v>0</v>
      </c>
      <c r="AK40" s="191">
        <v>0</v>
      </c>
      <c r="AL40" s="191">
        <v>0</v>
      </c>
      <c r="AM40" s="191">
        <v>0</v>
      </c>
      <c r="AN40" s="191">
        <v>0</v>
      </c>
      <c r="AO40" s="191">
        <v>0</v>
      </c>
      <c r="AP40" s="191">
        <v>0</v>
      </c>
      <c r="AQ40" s="191">
        <v>0</v>
      </c>
      <c r="AR40" s="191">
        <v>-6.6</v>
      </c>
      <c r="AS40" s="191">
        <v>-1.4</v>
      </c>
      <c r="AT40" s="191">
        <v>-1.4</v>
      </c>
      <c r="AU40" s="191">
        <v>-1.4</v>
      </c>
      <c r="AV40" s="191">
        <v>-2.7</v>
      </c>
      <c r="AW40" s="191">
        <v>-1.4</v>
      </c>
      <c r="AX40" s="191">
        <v>-2.1</v>
      </c>
      <c r="AY40" s="191">
        <v>-2</v>
      </c>
      <c r="AZ40" s="191">
        <v>-2.6</v>
      </c>
      <c r="BA40" s="191">
        <v>-1.4</v>
      </c>
      <c r="BB40" s="191">
        <v>-0.4</v>
      </c>
      <c r="BC40" s="191">
        <v>-0.3</v>
      </c>
      <c r="BD40" s="191">
        <v>-0.6</v>
      </c>
      <c r="BE40" s="192">
        <v>-0.3</v>
      </c>
      <c r="BF40" s="180"/>
      <c r="BG40" s="191" t="s">
        <v>446</v>
      </c>
      <c r="BH40" s="191">
        <v>0</v>
      </c>
      <c r="BI40" s="191">
        <v>1248.5</v>
      </c>
      <c r="BJ40" s="191">
        <v>0</v>
      </c>
      <c r="BK40" s="191">
        <v>0</v>
      </c>
      <c r="BL40" s="191">
        <v>0</v>
      </c>
      <c r="BM40" s="191">
        <v>0</v>
      </c>
      <c r="BN40" s="191">
        <v>0</v>
      </c>
      <c r="BO40" s="191">
        <v>0</v>
      </c>
      <c r="BP40" s="191">
        <v>0</v>
      </c>
      <c r="BQ40" s="191">
        <v>0</v>
      </c>
      <c r="BR40" s="191">
        <v>0</v>
      </c>
      <c r="BS40" s="191">
        <v>0</v>
      </c>
      <c r="BT40" s="191">
        <v>0</v>
      </c>
      <c r="BU40" s="191">
        <v>0</v>
      </c>
      <c r="BV40" s="191">
        <v>0</v>
      </c>
      <c r="BW40" s="191">
        <v>0</v>
      </c>
      <c r="BX40" s="191">
        <v>0</v>
      </c>
      <c r="BY40" s="191">
        <v>-0.92</v>
      </c>
      <c r="BZ40" s="191">
        <v>-5.64</v>
      </c>
      <c r="CA40" s="191">
        <v>-22.45</v>
      </c>
      <c r="CB40" s="191">
        <v>-3.08</v>
      </c>
      <c r="CC40" s="191">
        <v>0</v>
      </c>
      <c r="CD40" s="191">
        <v>0</v>
      </c>
      <c r="CE40" s="191">
        <v>0</v>
      </c>
      <c r="CF40" s="191">
        <v>0</v>
      </c>
      <c r="CG40" s="191">
        <v>0</v>
      </c>
      <c r="CH40" s="191">
        <v>0</v>
      </c>
      <c r="CI40" s="191">
        <v>0</v>
      </c>
      <c r="CJ40" s="191">
        <v>0</v>
      </c>
      <c r="CK40" s="191">
        <v>0</v>
      </c>
      <c r="CL40" s="191">
        <v>0</v>
      </c>
      <c r="CM40" s="191">
        <v>0</v>
      </c>
      <c r="CN40" s="191">
        <v>0</v>
      </c>
      <c r="CO40" s="191">
        <v>0</v>
      </c>
      <c r="CP40" s="191">
        <v>0</v>
      </c>
      <c r="CQ40" s="191">
        <v>0</v>
      </c>
      <c r="CR40" s="191">
        <v>0</v>
      </c>
      <c r="CS40" s="191">
        <v>0</v>
      </c>
      <c r="CT40" s="191">
        <v>-6.77</v>
      </c>
      <c r="CU40" s="191">
        <v>-1.44</v>
      </c>
      <c r="CV40" s="191">
        <v>-1.44</v>
      </c>
      <c r="CW40" s="191">
        <v>-1.44</v>
      </c>
      <c r="CX40" s="191">
        <v>-2.77</v>
      </c>
      <c r="CY40" s="191">
        <v>-1.44</v>
      </c>
      <c r="CZ40" s="191">
        <v>-2.15</v>
      </c>
      <c r="DA40" s="191">
        <v>-2.05</v>
      </c>
      <c r="DB40" s="191">
        <v>-2.67</v>
      </c>
      <c r="DC40" s="191">
        <v>-1.44</v>
      </c>
      <c r="DD40" s="191">
        <v>-0.41</v>
      </c>
      <c r="DE40" s="191">
        <v>-0.31</v>
      </c>
      <c r="DF40" s="191">
        <v>-0.62</v>
      </c>
      <c r="DG40" s="192">
        <v>-0.31</v>
      </c>
      <c r="DH40" s="180"/>
      <c r="DI40" s="191" t="s">
        <v>446</v>
      </c>
      <c r="DJ40" s="191">
        <v>0</v>
      </c>
      <c r="DK40" s="191">
        <v>0</v>
      </c>
      <c r="DL40" s="191">
        <v>0</v>
      </c>
      <c r="DM40" s="191">
        <v>0</v>
      </c>
      <c r="DN40" s="191">
        <v>0</v>
      </c>
      <c r="DO40" s="191">
        <v>0</v>
      </c>
      <c r="DP40" s="191">
        <v>0</v>
      </c>
      <c r="DQ40" s="191">
        <v>0</v>
      </c>
      <c r="DR40" s="191">
        <v>0</v>
      </c>
      <c r="DS40" s="191">
        <v>0</v>
      </c>
      <c r="DT40" s="191">
        <v>0</v>
      </c>
      <c r="DU40" s="191">
        <v>0</v>
      </c>
      <c r="DV40" s="191">
        <v>0</v>
      </c>
      <c r="DW40" s="191">
        <v>0</v>
      </c>
      <c r="DX40" s="191">
        <v>0</v>
      </c>
      <c r="DY40" s="192">
        <v>0</v>
      </c>
    </row>
    <row r="41" s="180" customFormat="1" spans="1:129">
      <c r="A41" s="190" t="s">
        <v>447</v>
      </c>
      <c r="B41" s="191">
        <v>-57.5</v>
      </c>
      <c r="C41" s="192">
        <v>1188.56</v>
      </c>
      <c r="E41" s="191" t="s">
        <v>447</v>
      </c>
      <c r="F41" s="191">
        <v>0</v>
      </c>
      <c r="G41" s="191">
        <v>1188.56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0</v>
      </c>
      <c r="V41" s="191">
        <v>0</v>
      </c>
      <c r="W41" s="191">
        <v>-0.9</v>
      </c>
      <c r="X41" s="191">
        <v>-5.5</v>
      </c>
      <c r="Y41" s="191">
        <v>-21.9</v>
      </c>
      <c r="Z41" s="191">
        <v>-3</v>
      </c>
      <c r="AA41" s="191">
        <v>0</v>
      </c>
      <c r="AB41" s="191">
        <v>0</v>
      </c>
      <c r="AC41" s="191">
        <v>0</v>
      </c>
      <c r="AD41" s="191">
        <v>0</v>
      </c>
      <c r="AE41" s="191">
        <v>0</v>
      </c>
      <c r="AF41" s="191">
        <v>0</v>
      </c>
      <c r="AG41" s="191">
        <v>0</v>
      </c>
      <c r="AH41" s="191">
        <v>0</v>
      </c>
      <c r="AI41" s="191">
        <v>0</v>
      </c>
      <c r="AJ41" s="191">
        <v>0</v>
      </c>
      <c r="AK41" s="191">
        <v>0</v>
      </c>
      <c r="AL41" s="191">
        <v>0</v>
      </c>
      <c r="AM41" s="191">
        <v>0</v>
      </c>
      <c r="AN41" s="191">
        <v>0</v>
      </c>
      <c r="AO41" s="191">
        <v>0</v>
      </c>
      <c r="AP41" s="191">
        <v>0</v>
      </c>
      <c r="AQ41" s="191">
        <v>0</v>
      </c>
      <c r="AR41" s="191">
        <v>-8.3</v>
      </c>
      <c r="AS41" s="191">
        <v>-1.4</v>
      </c>
      <c r="AT41" s="191">
        <v>-1.4</v>
      </c>
      <c r="AU41" s="191">
        <v>-1.4</v>
      </c>
      <c r="AV41" s="191">
        <v>-2.9</v>
      </c>
      <c r="AW41" s="191">
        <v>-1.4</v>
      </c>
      <c r="AX41" s="191">
        <v>-2.1</v>
      </c>
      <c r="AY41" s="191">
        <v>-2</v>
      </c>
      <c r="AZ41" s="191">
        <v>-2.4</v>
      </c>
      <c r="BA41" s="191">
        <v>-1.4</v>
      </c>
      <c r="BB41" s="191">
        <v>-0.3</v>
      </c>
      <c r="BC41" s="191">
        <v>-0.3</v>
      </c>
      <c r="BD41" s="191">
        <v>-0.6</v>
      </c>
      <c r="BE41" s="192">
        <v>-0.3</v>
      </c>
      <c r="BF41" s="180"/>
      <c r="BG41" s="191" t="s">
        <v>447</v>
      </c>
      <c r="BH41" s="191">
        <v>0</v>
      </c>
      <c r="BI41" s="191">
        <v>1159.32</v>
      </c>
      <c r="BJ41" s="191">
        <v>0</v>
      </c>
      <c r="BK41" s="191">
        <v>0</v>
      </c>
      <c r="BL41" s="191">
        <v>0</v>
      </c>
      <c r="BM41" s="191">
        <v>0</v>
      </c>
      <c r="BN41" s="191">
        <v>0</v>
      </c>
      <c r="BO41" s="191">
        <v>0</v>
      </c>
      <c r="BP41" s="191">
        <v>0</v>
      </c>
      <c r="BQ41" s="191">
        <v>0</v>
      </c>
      <c r="BR41" s="191">
        <v>0</v>
      </c>
      <c r="BS41" s="191">
        <v>0</v>
      </c>
      <c r="BT41" s="191">
        <v>0</v>
      </c>
      <c r="BU41" s="191">
        <v>0</v>
      </c>
      <c r="BV41" s="191">
        <v>0</v>
      </c>
      <c r="BW41" s="191">
        <v>0</v>
      </c>
      <c r="BX41" s="191">
        <v>0</v>
      </c>
      <c r="BY41" s="191">
        <v>-0.92</v>
      </c>
      <c r="BZ41" s="191">
        <v>-5.64</v>
      </c>
      <c r="CA41" s="191">
        <v>-22.45</v>
      </c>
      <c r="CB41" s="191">
        <v>-3.08</v>
      </c>
      <c r="CC41" s="191">
        <v>0</v>
      </c>
      <c r="CD41" s="191">
        <v>0</v>
      </c>
      <c r="CE41" s="191">
        <v>0</v>
      </c>
      <c r="CF41" s="191">
        <v>0</v>
      </c>
      <c r="CG41" s="191">
        <v>0</v>
      </c>
      <c r="CH41" s="191">
        <v>0</v>
      </c>
      <c r="CI41" s="191">
        <v>0</v>
      </c>
      <c r="CJ41" s="191">
        <v>0</v>
      </c>
      <c r="CK41" s="191">
        <v>0</v>
      </c>
      <c r="CL41" s="191">
        <v>0</v>
      </c>
      <c r="CM41" s="191">
        <v>0</v>
      </c>
      <c r="CN41" s="191">
        <v>0</v>
      </c>
      <c r="CO41" s="191">
        <v>0</v>
      </c>
      <c r="CP41" s="191">
        <v>0</v>
      </c>
      <c r="CQ41" s="191">
        <v>0</v>
      </c>
      <c r="CR41" s="191">
        <v>0</v>
      </c>
      <c r="CS41" s="191">
        <v>0</v>
      </c>
      <c r="CT41" s="191">
        <v>-8.51</v>
      </c>
      <c r="CU41" s="191">
        <v>-1.44</v>
      </c>
      <c r="CV41" s="191">
        <v>-1.44</v>
      </c>
      <c r="CW41" s="191">
        <v>-1.44</v>
      </c>
      <c r="CX41" s="191">
        <v>-2.97</v>
      </c>
      <c r="CY41" s="191">
        <v>-1.44</v>
      </c>
      <c r="CZ41" s="191">
        <v>-2.15</v>
      </c>
      <c r="DA41" s="191">
        <v>-2.05</v>
      </c>
      <c r="DB41" s="191">
        <v>-2.46</v>
      </c>
      <c r="DC41" s="191">
        <v>-1.44</v>
      </c>
      <c r="DD41" s="191">
        <v>-0.31</v>
      </c>
      <c r="DE41" s="191">
        <v>-0.31</v>
      </c>
      <c r="DF41" s="191">
        <v>-0.62</v>
      </c>
      <c r="DG41" s="192">
        <v>-0.31</v>
      </c>
      <c r="DH41" s="180"/>
      <c r="DI41" s="191" t="s">
        <v>447</v>
      </c>
      <c r="DJ41" s="191">
        <v>0</v>
      </c>
      <c r="DK41" s="191">
        <v>0</v>
      </c>
      <c r="DL41" s="191">
        <v>0</v>
      </c>
      <c r="DM41" s="191">
        <v>0</v>
      </c>
      <c r="DN41" s="191">
        <v>0</v>
      </c>
      <c r="DO41" s="191">
        <v>0</v>
      </c>
      <c r="DP41" s="191">
        <v>0</v>
      </c>
      <c r="DQ41" s="191">
        <v>0</v>
      </c>
      <c r="DR41" s="191">
        <v>0</v>
      </c>
      <c r="DS41" s="191">
        <v>0</v>
      </c>
      <c r="DT41" s="191">
        <v>0</v>
      </c>
      <c r="DU41" s="191">
        <v>0</v>
      </c>
      <c r="DV41" s="191">
        <v>0</v>
      </c>
      <c r="DW41" s="191">
        <v>0</v>
      </c>
      <c r="DX41" s="191">
        <v>0</v>
      </c>
      <c r="DY41" s="192">
        <v>0</v>
      </c>
    </row>
    <row r="42" s="180" customFormat="1" spans="1:129">
      <c r="A42" s="190" t="s">
        <v>448</v>
      </c>
      <c r="B42" s="191">
        <v>-56.9</v>
      </c>
      <c r="C42" s="192">
        <v>1142.28</v>
      </c>
      <c r="E42" s="191" t="s">
        <v>448</v>
      </c>
      <c r="F42" s="191">
        <v>0</v>
      </c>
      <c r="G42" s="191">
        <v>1142.28</v>
      </c>
      <c r="H42" s="191">
        <v>0</v>
      </c>
      <c r="I42" s="191">
        <v>0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-0.9</v>
      </c>
      <c r="X42" s="191">
        <v>-5.5</v>
      </c>
      <c r="Y42" s="191">
        <v>-21.9</v>
      </c>
      <c r="Z42" s="191">
        <v>-3</v>
      </c>
      <c r="AA42" s="191">
        <v>0</v>
      </c>
      <c r="AB42" s="191">
        <v>0</v>
      </c>
      <c r="AC42" s="191">
        <v>0</v>
      </c>
      <c r="AD42" s="191">
        <v>0</v>
      </c>
      <c r="AE42" s="191">
        <v>0</v>
      </c>
      <c r="AF42" s="191">
        <v>0</v>
      </c>
      <c r="AG42" s="191">
        <v>0</v>
      </c>
      <c r="AH42" s="191">
        <v>0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0</v>
      </c>
      <c r="AO42" s="191">
        <v>0</v>
      </c>
      <c r="AP42" s="191">
        <v>0</v>
      </c>
      <c r="AQ42" s="191">
        <v>0</v>
      </c>
      <c r="AR42" s="191">
        <v>-7.6</v>
      </c>
      <c r="AS42" s="191">
        <v>-1.3</v>
      </c>
      <c r="AT42" s="191">
        <v>-1.3</v>
      </c>
      <c r="AU42" s="191">
        <v>-1.3</v>
      </c>
      <c r="AV42" s="191">
        <v>-3.2</v>
      </c>
      <c r="AW42" s="191">
        <v>-1.3</v>
      </c>
      <c r="AX42" s="191">
        <v>-2.1</v>
      </c>
      <c r="AY42" s="191">
        <v>-2</v>
      </c>
      <c r="AZ42" s="191">
        <v>-2.6</v>
      </c>
      <c r="BA42" s="191">
        <v>-1.4</v>
      </c>
      <c r="BB42" s="191">
        <v>-0.3</v>
      </c>
      <c r="BC42" s="191">
        <v>-0.3</v>
      </c>
      <c r="BD42" s="191">
        <v>-0.6</v>
      </c>
      <c r="BE42" s="192">
        <v>-0.3</v>
      </c>
      <c r="BF42" s="180"/>
      <c r="BG42" s="191" t="s">
        <v>448</v>
      </c>
      <c r="BH42" s="191">
        <v>0</v>
      </c>
      <c r="BI42" s="191">
        <v>1114.18</v>
      </c>
      <c r="BJ42" s="191">
        <v>0</v>
      </c>
      <c r="BK42" s="191">
        <v>0</v>
      </c>
      <c r="BL42" s="191">
        <v>0</v>
      </c>
      <c r="BM42" s="191">
        <v>0</v>
      </c>
      <c r="BN42" s="191">
        <v>0</v>
      </c>
      <c r="BO42" s="191">
        <v>0</v>
      </c>
      <c r="BP42" s="191">
        <v>0</v>
      </c>
      <c r="BQ42" s="191">
        <v>0</v>
      </c>
      <c r="BR42" s="191">
        <v>0</v>
      </c>
      <c r="BS42" s="191">
        <v>0</v>
      </c>
      <c r="BT42" s="191">
        <v>0</v>
      </c>
      <c r="BU42" s="191">
        <v>0</v>
      </c>
      <c r="BV42" s="191">
        <v>0</v>
      </c>
      <c r="BW42" s="191">
        <v>0</v>
      </c>
      <c r="BX42" s="191">
        <v>0</v>
      </c>
      <c r="BY42" s="191">
        <v>-0.92</v>
      </c>
      <c r="BZ42" s="191">
        <v>-5.64</v>
      </c>
      <c r="CA42" s="191">
        <v>-22.45</v>
      </c>
      <c r="CB42" s="191">
        <v>-3.08</v>
      </c>
      <c r="CC42" s="191">
        <v>0</v>
      </c>
      <c r="CD42" s="191">
        <v>0</v>
      </c>
      <c r="CE42" s="191">
        <v>0</v>
      </c>
      <c r="CF42" s="191">
        <v>0</v>
      </c>
      <c r="CG42" s="191">
        <v>0</v>
      </c>
      <c r="CH42" s="191">
        <v>0</v>
      </c>
      <c r="CI42" s="191">
        <v>0</v>
      </c>
      <c r="CJ42" s="191">
        <v>0</v>
      </c>
      <c r="CK42" s="191">
        <v>0</v>
      </c>
      <c r="CL42" s="191">
        <v>0</v>
      </c>
      <c r="CM42" s="191">
        <v>0</v>
      </c>
      <c r="CN42" s="191">
        <v>0</v>
      </c>
      <c r="CO42" s="191">
        <v>0</v>
      </c>
      <c r="CP42" s="191">
        <v>0</v>
      </c>
      <c r="CQ42" s="191">
        <v>0</v>
      </c>
      <c r="CR42" s="191">
        <v>0</v>
      </c>
      <c r="CS42" s="191">
        <v>0</v>
      </c>
      <c r="CT42" s="191">
        <v>-7.79</v>
      </c>
      <c r="CU42" s="191">
        <v>-1.33</v>
      </c>
      <c r="CV42" s="191">
        <v>-1.33</v>
      </c>
      <c r="CW42" s="191">
        <v>-1.33</v>
      </c>
      <c r="CX42" s="191">
        <v>-3.28</v>
      </c>
      <c r="CY42" s="191">
        <v>-1.33</v>
      </c>
      <c r="CZ42" s="191">
        <v>-2.15</v>
      </c>
      <c r="DA42" s="191">
        <v>-2.05</v>
      </c>
      <c r="DB42" s="191">
        <v>-2.67</v>
      </c>
      <c r="DC42" s="191">
        <v>-1.44</v>
      </c>
      <c r="DD42" s="191">
        <v>-0.31</v>
      </c>
      <c r="DE42" s="191">
        <v>-0.31</v>
      </c>
      <c r="DF42" s="191">
        <v>-0.62</v>
      </c>
      <c r="DG42" s="192">
        <v>-0.31</v>
      </c>
      <c r="DH42" s="180"/>
      <c r="DI42" s="191" t="s">
        <v>448</v>
      </c>
      <c r="DJ42" s="191">
        <v>0</v>
      </c>
      <c r="DK42" s="191">
        <v>0</v>
      </c>
      <c r="DL42" s="191">
        <v>0</v>
      </c>
      <c r="DM42" s="191">
        <v>0</v>
      </c>
      <c r="DN42" s="191">
        <v>0</v>
      </c>
      <c r="DO42" s="191">
        <v>0</v>
      </c>
      <c r="DP42" s="191">
        <v>0</v>
      </c>
      <c r="DQ42" s="191">
        <v>0</v>
      </c>
      <c r="DR42" s="191">
        <v>0</v>
      </c>
      <c r="DS42" s="191">
        <v>0</v>
      </c>
      <c r="DT42" s="191">
        <v>0</v>
      </c>
      <c r="DU42" s="191">
        <v>0</v>
      </c>
      <c r="DV42" s="191">
        <v>0</v>
      </c>
      <c r="DW42" s="191">
        <v>0</v>
      </c>
      <c r="DX42" s="191">
        <v>0</v>
      </c>
      <c r="DY42" s="192">
        <v>0</v>
      </c>
    </row>
    <row r="43" s="180" customFormat="1" spans="1:129">
      <c r="A43" s="190" t="s">
        <v>449</v>
      </c>
      <c r="B43" s="191">
        <v>-53.4</v>
      </c>
      <c r="C43" s="192">
        <v>1142.28</v>
      </c>
      <c r="E43" s="191" t="s">
        <v>449</v>
      </c>
      <c r="F43" s="191">
        <v>0</v>
      </c>
      <c r="G43" s="191">
        <v>1142.28</v>
      </c>
      <c r="H43" s="191">
        <v>0</v>
      </c>
      <c r="I43" s="191">
        <v>0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-0.9</v>
      </c>
      <c r="X43" s="191">
        <v>-5.5</v>
      </c>
      <c r="Y43" s="191">
        <v>-21.9</v>
      </c>
      <c r="Z43" s="191">
        <v>-3</v>
      </c>
      <c r="AA43" s="191">
        <v>0</v>
      </c>
      <c r="AB43" s="191">
        <v>0</v>
      </c>
      <c r="AC43" s="191">
        <v>0</v>
      </c>
      <c r="AD43" s="191">
        <v>0</v>
      </c>
      <c r="AE43" s="191">
        <v>0</v>
      </c>
      <c r="AF43" s="191">
        <v>0</v>
      </c>
      <c r="AG43" s="191">
        <v>0</v>
      </c>
      <c r="AH43" s="191">
        <v>0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0</v>
      </c>
      <c r="AO43" s="191">
        <v>0</v>
      </c>
      <c r="AP43" s="191">
        <v>0</v>
      </c>
      <c r="AQ43" s="191">
        <v>0</v>
      </c>
      <c r="AR43" s="191">
        <v>-6</v>
      </c>
      <c r="AS43" s="191">
        <v>-1</v>
      </c>
      <c r="AT43" s="191">
        <v>-1</v>
      </c>
      <c r="AU43" s="191">
        <v>-1</v>
      </c>
      <c r="AV43" s="191">
        <v>-2.7</v>
      </c>
      <c r="AW43" s="191">
        <v>-1</v>
      </c>
      <c r="AX43" s="191">
        <v>-1.8</v>
      </c>
      <c r="AY43" s="191">
        <v>-2</v>
      </c>
      <c r="AZ43" s="191">
        <v>-2.8</v>
      </c>
      <c r="BA43" s="191">
        <v>-1.4</v>
      </c>
      <c r="BB43" s="191">
        <v>-0.3</v>
      </c>
      <c r="BC43" s="191">
        <v>-0.3</v>
      </c>
      <c r="BD43" s="191">
        <v>-0.5</v>
      </c>
      <c r="BE43" s="192">
        <v>-0.3</v>
      </c>
      <c r="BF43" s="180"/>
      <c r="BG43" s="191" t="s">
        <v>449</v>
      </c>
      <c r="BH43" s="191">
        <v>0</v>
      </c>
      <c r="BI43" s="191">
        <v>1114.18</v>
      </c>
      <c r="BJ43" s="191">
        <v>0</v>
      </c>
      <c r="BK43" s="191">
        <v>0</v>
      </c>
      <c r="BL43" s="191">
        <v>0</v>
      </c>
      <c r="BM43" s="191">
        <v>0</v>
      </c>
      <c r="BN43" s="191">
        <v>0</v>
      </c>
      <c r="BO43" s="191">
        <v>0</v>
      </c>
      <c r="BP43" s="191">
        <v>0</v>
      </c>
      <c r="BQ43" s="191">
        <v>0</v>
      </c>
      <c r="BR43" s="191">
        <v>0</v>
      </c>
      <c r="BS43" s="191">
        <v>0</v>
      </c>
      <c r="BT43" s="191">
        <v>0</v>
      </c>
      <c r="BU43" s="191">
        <v>0</v>
      </c>
      <c r="BV43" s="191">
        <v>0</v>
      </c>
      <c r="BW43" s="191">
        <v>0</v>
      </c>
      <c r="BX43" s="191">
        <v>0</v>
      </c>
      <c r="BY43" s="191">
        <v>-0.92</v>
      </c>
      <c r="BZ43" s="191">
        <v>-5.64</v>
      </c>
      <c r="CA43" s="191">
        <v>-22.45</v>
      </c>
      <c r="CB43" s="191">
        <v>-3.08</v>
      </c>
      <c r="CC43" s="191">
        <v>0</v>
      </c>
      <c r="CD43" s="191">
        <v>0</v>
      </c>
      <c r="CE43" s="191">
        <v>0</v>
      </c>
      <c r="CF43" s="191">
        <v>0</v>
      </c>
      <c r="CG43" s="191">
        <v>0</v>
      </c>
      <c r="CH43" s="191">
        <v>0</v>
      </c>
      <c r="CI43" s="191">
        <v>0</v>
      </c>
      <c r="CJ43" s="191">
        <v>0</v>
      </c>
      <c r="CK43" s="191">
        <v>0</v>
      </c>
      <c r="CL43" s="191">
        <v>0</v>
      </c>
      <c r="CM43" s="191">
        <v>0</v>
      </c>
      <c r="CN43" s="191">
        <v>0</v>
      </c>
      <c r="CO43" s="191">
        <v>0</v>
      </c>
      <c r="CP43" s="191">
        <v>0</v>
      </c>
      <c r="CQ43" s="191">
        <v>0</v>
      </c>
      <c r="CR43" s="191">
        <v>0</v>
      </c>
      <c r="CS43" s="191">
        <v>0</v>
      </c>
      <c r="CT43" s="191">
        <v>-6.15</v>
      </c>
      <c r="CU43" s="191">
        <v>-1.03</v>
      </c>
      <c r="CV43" s="191">
        <v>-1.03</v>
      </c>
      <c r="CW43" s="191">
        <v>-1.03</v>
      </c>
      <c r="CX43" s="191">
        <v>-2.77</v>
      </c>
      <c r="CY43" s="191">
        <v>-1.03</v>
      </c>
      <c r="CZ43" s="191">
        <v>-1.85</v>
      </c>
      <c r="DA43" s="191">
        <v>-2.05</v>
      </c>
      <c r="DB43" s="191">
        <v>-2.87</v>
      </c>
      <c r="DC43" s="191">
        <v>-1.44</v>
      </c>
      <c r="DD43" s="191">
        <v>-0.31</v>
      </c>
      <c r="DE43" s="191">
        <v>-0.31</v>
      </c>
      <c r="DF43" s="191">
        <v>-0.51</v>
      </c>
      <c r="DG43" s="192">
        <v>-0.31</v>
      </c>
      <c r="DH43" s="180"/>
      <c r="DI43" s="191" t="s">
        <v>449</v>
      </c>
      <c r="DJ43" s="191">
        <v>0</v>
      </c>
      <c r="DK43" s="191">
        <v>0</v>
      </c>
      <c r="DL43" s="191">
        <v>0</v>
      </c>
      <c r="DM43" s="191">
        <v>0</v>
      </c>
      <c r="DN43" s="191">
        <v>0</v>
      </c>
      <c r="DO43" s="191">
        <v>0</v>
      </c>
      <c r="DP43" s="191">
        <v>0</v>
      </c>
      <c r="DQ43" s="191">
        <v>0</v>
      </c>
      <c r="DR43" s="191">
        <v>0</v>
      </c>
      <c r="DS43" s="191">
        <v>0</v>
      </c>
      <c r="DT43" s="191">
        <v>0</v>
      </c>
      <c r="DU43" s="191">
        <v>0</v>
      </c>
      <c r="DV43" s="191">
        <v>0</v>
      </c>
      <c r="DW43" s="191">
        <v>0</v>
      </c>
      <c r="DX43" s="191">
        <v>0</v>
      </c>
      <c r="DY43" s="192">
        <v>0</v>
      </c>
    </row>
    <row r="44" s="180" customFormat="1" spans="1:129">
      <c r="A44" s="190" t="s">
        <v>450</v>
      </c>
      <c r="B44" s="191">
        <v>-52.5</v>
      </c>
      <c r="C44" s="192">
        <v>1244.69</v>
      </c>
      <c r="E44" s="191" t="s">
        <v>450</v>
      </c>
      <c r="F44" s="191">
        <v>0</v>
      </c>
      <c r="G44" s="191">
        <v>1244.69</v>
      </c>
      <c r="H44" s="191">
        <v>0</v>
      </c>
      <c r="I44" s="191">
        <v>0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-0.9</v>
      </c>
      <c r="X44" s="191">
        <v>-5.5</v>
      </c>
      <c r="Y44" s="191">
        <v>-21.9</v>
      </c>
      <c r="Z44" s="191">
        <v>-3</v>
      </c>
      <c r="AA44" s="191">
        <v>0</v>
      </c>
      <c r="AB44" s="191">
        <v>0</v>
      </c>
      <c r="AC44" s="191">
        <v>0</v>
      </c>
      <c r="AD44" s="191">
        <v>0</v>
      </c>
      <c r="AE44" s="191">
        <v>0</v>
      </c>
      <c r="AF44" s="191">
        <v>0</v>
      </c>
      <c r="AG44" s="191">
        <v>0</v>
      </c>
      <c r="AH44" s="191">
        <v>0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0</v>
      </c>
      <c r="AO44" s="191">
        <v>0</v>
      </c>
      <c r="AP44" s="191">
        <v>0</v>
      </c>
      <c r="AQ44" s="191">
        <v>0</v>
      </c>
      <c r="AR44" s="191">
        <v>-4.8</v>
      </c>
      <c r="AS44" s="191">
        <v>-1</v>
      </c>
      <c r="AT44" s="191">
        <v>-1</v>
      </c>
      <c r="AU44" s="191">
        <v>-1</v>
      </c>
      <c r="AV44" s="191">
        <v>-3.2</v>
      </c>
      <c r="AW44" s="191">
        <v>-1</v>
      </c>
      <c r="AX44" s="191">
        <v>-1.8</v>
      </c>
      <c r="AY44" s="191">
        <v>-2.2</v>
      </c>
      <c r="AZ44" s="191">
        <v>-2.4</v>
      </c>
      <c r="BA44" s="191">
        <v>-1.4</v>
      </c>
      <c r="BB44" s="191">
        <v>-0.3</v>
      </c>
      <c r="BC44" s="191">
        <v>-0.3</v>
      </c>
      <c r="BD44" s="191">
        <v>-0.5</v>
      </c>
      <c r="BE44" s="192">
        <v>-0.3</v>
      </c>
      <c r="BF44" s="180"/>
      <c r="BG44" s="191" t="s">
        <v>450</v>
      </c>
      <c r="BH44" s="191">
        <v>0</v>
      </c>
      <c r="BI44" s="191">
        <v>1214.07</v>
      </c>
      <c r="BJ44" s="191">
        <v>0</v>
      </c>
      <c r="BK44" s="191">
        <v>0</v>
      </c>
      <c r="BL44" s="191">
        <v>0</v>
      </c>
      <c r="BM44" s="191">
        <v>0</v>
      </c>
      <c r="BN44" s="191">
        <v>0</v>
      </c>
      <c r="BO44" s="191">
        <v>0</v>
      </c>
      <c r="BP44" s="191">
        <v>0</v>
      </c>
      <c r="BQ44" s="191">
        <v>0</v>
      </c>
      <c r="BR44" s="191">
        <v>0</v>
      </c>
      <c r="BS44" s="191">
        <v>0</v>
      </c>
      <c r="BT44" s="191">
        <v>0</v>
      </c>
      <c r="BU44" s="191">
        <v>0</v>
      </c>
      <c r="BV44" s="191">
        <v>0</v>
      </c>
      <c r="BW44" s="191">
        <v>0</v>
      </c>
      <c r="BX44" s="191">
        <v>0</v>
      </c>
      <c r="BY44" s="191">
        <v>-0.92</v>
      </c>
      <c r="BZ44" s="191">
        <v>-5.64</v>
      </c>
      <c r="CA44" s="191">
        <v>-22.45</v>
      </c>
      <c r="CB44" s="191">
        <v>-3.08</v>
      </c>
      <c r="CC44" s="191">
        <v>0</v>
      </c>
      <c r="CD44" s="191">
        <v>0</v>
      </c>
      <c r="CE44" s="191">
        <v>0</v>
      </c>
      <c r="CF44" s="191">
        <v>0</v>
      </c>
      <c r="CG44" s="191">
        <v>0</v>
      </c>
      <c r="CH44" s="191">
        <v>0</v>
      </c>
      <c r="CI44" s="191">
        <v>0</v>
      </c>
      <c r="CJ44" s="191">
        <v>0</v>
      </c>
      <c r="CK44" s="191">
        <v>0</v>
      </c>
      <c r="CL44" s="191">
        <v>0</v>
      </c>
      <c r="CM44" s="191">
        <v>0</v>
      </c>
      <c r="CN44" s="191">
        <v>0</v>
      </c>
      <c r="CO44" s="191">
        <v>0</v>
      </c>
      <c r="CP44" s="191">
        <v>0</v>
      </c>
      <c r="CQ44" s="191">
        <v>0</v>
      </c>
      <c r="CR44" s="191">
        <v>0</v>
      </c>
      <c r="CS44" s="191">
        <v>0</v>
      </c>
      <c r="CT44" s="191">
        <v>-4.92</v>
      </c>
      <c r="CU44" s="191">
        <v>-1.03</v>
      </c>
      <c r="CV44" s="191">
        <v>-1.03</v>
      </c>
      <c r="CW44" s="191">
        <v>-1.03</v>
      </c>
      <c r="CX44" s="191">
        <v>-3.28</v>
      </c>
      <c r="CY44" s="191">
        <v>-1.03</v>
      </c>
      <c r="CZ44" s="191">
        <v>-1.85</v>
      </c>
      <c r="DA44" s="191">
        <v>-2.26</v>
      </c>
      <c r="DB44" s="191">
        <v>-2.46</v>
      </c>
      <c r="DC44" s="191">
        <v>-1.44</v>
      </c>
      <c r="DD44" s="191">
        <v>-0.31</v>
      </c>
      <c r="DE44" s="191">
        <v>-0.31</v>
      </c>
      <c r="DF44" s="191">
        <v>-0.51</v>
      </c>
      <c r="DG44" s="192">
        <v>-0.31</v>
      </c>
      <c r="DH44" s="180"/>
      <c r="DI44" s="191" t="s">
        <v>450</v>
      </c>
      <c r="DJ44" s="191">
        <v>0</v>
      </c>
      <c r="DK44" s="191">
        <v>0</v>
      </c>
      <c r="DL44" s="191">
        <v>0</v>
      </c>
      <c r="DM44" s="191">
        <v>0</v>
      </c>
      <c r="DN44" s="191">
        <v>0</v>
      </c>
      <c r="DO44" s="191">
        <v>0</v>
      </c>
      <c r="DP44" s="191">
        <v>0</v>
      </c>
      <c r="DQ44" s="191">
        <v>0</v>
      </c>
      <c r="DR44" s="191">
        <v>0</v>
      </c>
      <c r="DS44" s="191">
        <v>0</v>
      </c>
      <c r="DT44" s="191">
        <v>0</v>
      </c>
      <c r="DU44" s="191">
        <v>0</v>
      </c>
      <c r="DV44" s="191">
        <v>0</v>
      </c>
      <c r="DW44" s="191">
        <v>0</v>
      </c>
      <c r="DX44" s="191">
        <v>0</v>
      </c>
      <c r="DY44" s="192">
        <v>0</v>
      </c>
    </row>
    <row r="45" s="180" customFormat="1" spans="1:129">
      <c r="A45" s="190" t="s">
        <v>451</v>
      </c>
      <c r="B45" s="191">
        <v>-52.7</v>
      </c>
      <c r="C45" s="192">
        <v>1303.57</v>
      </c>
      <c r="E45" s="191" t="s">
        <v>451</v>
      </c>
      <c r="F45" s="191">
        <v>0</v>
      </c>
      <c r="G45" s="191">
        <v>1303.57</v>
      </c>
      <c r="H45" s="191">
        <v>0</v>
      </c>
      <c r="I45" s="191">
        <v>0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-0.9</v>
      </c>
      <c r="X45" s="191">
        <v>-5.5</v>
      </c>
      <c r="Y45" s="191">
        <v>-21.9</v>
      </c>
      <c r="Z45" s="191">
        <v>-3</v>
      </c>
      <c r="AA45" s="191">
        <v>0</v>
      </c>
      <c r="AB45" s="191">
        <v>0</v>
      </c>
      <c r="AC45" s="191">
        <v>0</v>
      </c>
      <c r="AD45" s="191">
        <v>0</v>
      </c>
      <c r="AE45" s="191">
        <v>0</v>
      </c>
      <c r="AF45" s="191">
        <v>0</v>
      </c>
      <c r="AG45" s="191">
        <v>0</v>
      </c>
      <c r="AH45" s="191">
        <v>0</v>
      </c>
      <c r="AI45" s="191">
        <v>0</v>
      </c>
      <c r="AJ45" s="191">
        <v>0</v>
      </c>
      <c r="AK45" s="191">
        <v>0</v>
      </c>
      <c r="AL45" s="191">
        <v>0</v>
      </c>
      <c r="AM45" s="191">
        <v>0</v>
      </c>
      <c r="AN45" s="191">
        <v>0</v>
      </c>
      <c r="AO45" s="191">
        <v>0</v>
      </c>
      <c r="AP45" s="191">
        <v>0</v>
      </c>
      <c r="AQ45" s="191">
        <v>0</v>
      </c>
      <c r="AR45" s="191">
        <v>-5.1</v>
      </c>
      <c r="AS45" s="191">
        <v>-0.9</v>
      </c>
      <c r="AT45" s="191">
        <v>-0.9</v>
      </c>
      <c r="AU45" s="191">
        <v>-0.9</v>
      </c>
      <c r="AV45" s="191">
        <v>-3.2</v>
      </c>
      <c r="AW45" s="191">
        <v>-0.9</v>
      </c>
      <c r="AX45" s="191">
        <v>-1.8</v>
      </c>
      <c r="AY45" s="191">
        <v>-2.4</v>
      </c>
      <c r="AZ45" s="191">
        <v>-2.5</v>
      </c>
      <c r="BA45" s="191">
        <v>-1.4</v>
      </c>
      <c r="BB45" s="191">
        <v>-0.3</v>
      </c>
      <c r="BC45" s="191">
        <v>-0.3</v>
      </c>
      <c r="BD45" s="191">
        <v>-0.5</v>
      </c>
      <c r="BE45" s="192">
        <v>-0.3</v>
      </c>
      <c r="BF45" s="180"/>
      <c r="BG45" s="191" t="s">
        <v>451</v>
      </c>
      <c r="BH45" s="191">
        <v>0</v>
      </c>
      <c r="BI45" s="191">
        <v>1271.5</v>
      </c>
      <c r="BJ45" s="191">
        <v>0</v>
      </c>
      <c r="BK45" s="191">
        <v>0</v>
      </c>
      <c r="BL45" s="191">
        <v>0</v>
      </c>
      <c r="BM45" s="191">
        <v>0</v>
      </c>
      <c r="BN45" s="191">
        <v>0</v>
      </c>
      <c r="BO45" s="191">
        <v>0</v>
      </c>
      <c r="BP45" s="191">
        <v>0</v>
      </c>
      <c r="BQ45" s="191">
        <v>0</v>
      </c>
      <c r="BR45" s="191">
        <v>0</v>
      </c>
      <c r="BS45" s="191">
        <v>0</v>
      </c>
      <c r="BT45" s="191">
        <v>0</v>
      </c>
      <c r="BU45" s="191">
        <v>0</v>
      </c>
      <c r="BV45" s="191">
        <v>0</v>
      </c>
      <c r="BW45" s="191">
        <v>0</v>
      </c>
      <c r="BX45" s="191">
        <v>0</v>
      </c>
      <c r="BY45" s="191">
        <v>-0.92</v>
      </c>
      <c r="BZ45" s="191">
        <v>-5.64</v>
      </c>
      <c r="CA45" s="191">
        <v>-22.45</v>
      </c>
      <c r="CB45" s="191">
        <v>-3.08</v>
      </c>
      <c r="CC45" s="191">
        <v>0</v>
      </c>
      <c r="CD45" s="191">
        <v>0</v>
      </c>
      <c r="CE45" s="191">
        <v>0</v>
      </c>
      <c r="CF45" s="191">
        <v>0</v>
      </c>
      <c r="CG45" s="191">
        <v>0</v>
      </c>
      <c r="CH45" s="191">
        <v>0</v>
      </c>
      <c r="CI45" s="191">
        <v>0</v>
      </c>
      <c r="CJ45" s="191">
        <v>0</v>
      </c>
      <c r="CK45" s="191">
        <v>0</v>
      </c>
      <c r="CL45" s="191">
        <v>0</v>
      </c>
      <c r="CM45" s="191">
        <v>0</v>
      </c>
      <c r="CN45" s="191">
        <v>0</v>
      </c>
      <c r="CO45" s="191">
        <v>0</v>
      </c>
      <c r="CP45" s="191">
        <v>0</v>
      </c>
      <c r="CQ45" s="191">
        <v>0</v>
      </c>
      <c r="CR45" s="191">
        <v>0</v>
      </c>
      <c r="CS45" s="191">
        <v>0</v>
      </c>
      <c r="CT45" s="191">
        <v>-5.23</v>
      </c>
      <c r="CU45" s="191">
        <v>-0.92</v>
      </c>
      <c r="CV45" s="191">
        <v>-0.92</v>
      </c>
      <c r="CW45" s="191">
        <v>-0.92</v>
      </c>
      <c r="CX45" s="191">
        <v>-3.28</v>
      </c>
      <c r="CY45" s="191">
        <v>-0.92</v>
      </c>
      <c r="CZ45" s="191">
        <v>-1.85</v>
      </c>
      <c r="DA45" s="191">
        <v>-2.46</v>
      </c>
      <c r="DB45" s="191">
        <v>-2.56</v>
      </c>
      <c r="DC45" s="191">
        <v>-1.44</v>
      </c>
      <c r="DD45" s="191">
        <v>-0.31</v>
      </c>
      <c r="DE45" s="191">
        <v>-0.31</v>
      </c>
      <c r="DF45" s="191">
        <v>-0.51</v>
      </c>
      <c r="DG45" s="192">
        <v>-0.31</v>
      </c>
      <c r="DH45" s="180"/>
      <c r="DI45" s="191" t="s">
        <v>451</v>
      </c>
      <c r="DJ45" s="191">
        <v>0</v>
      </c>
      <c r="DK45" s="191">
        <v>0</v>
      </c>
      <c r="DL45" s="191">
        <v>0</v>
      </c>
      <c r="DM45" s="191">
        <v>0</v>
      </c>
      <c r="DN45" s="191">
        <v>0</v>
      </c>
      <c r="DO45" s="191">
        <v>0</v>
      </c>
      <c r="DP45" s="191">
        <v>0</v>
      </c>
      <c r="DQ45" s="191">
        <v>0</v>
      </c>
      <c r="DR45" s="191">
        <v>0</v>
      </c>
      <c r="DS45" s="191">
        <v>0</v>
      </c>
      <c r="DT45" s="191">
        <v>0</v>
      </c>
      <c r="DU45" s="191">
        <v>0</v>
      </c>
      <c r="DV45" s="191">
        <v>0</v>
      </c>
      <c r="DW45" s="191">
        <v>0</v>
      </c>
      <c r="DX45" s="191">
        <v>0</v>
      </c>
      <c r="DY45" s="192">
        <v>0</v>
      </c>
    </row>
    <row r="46" s="180" customFormat="1" spans="1:129">
      <c r="A46" s="190" t="s">
        <v>452</v>
      </c>
      <c r="B46" s="191">
        <v>-51.9</v>
      </c>
      <c r="C46" s="192">
        <v>1315.34</v>
      </c>
      <c r="E46" s="191" t="s">
        <v>452</v>
      </c>
      <c r="F46" s="191">
        <v>0</v>
      </c>
      <c r="G46" s="191">
        <v>1315.34</v>
      </c>
      <c r="H46" s="191">
        <v>0</v>
      </c>
      <c r="I46" s="191">
        <v>0</v>
      </c>
      <c r="J46" s="191">
        <v>0</v>
      </c>
      <c r="K46" s="191">
        <v>0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0</v>
      </c>
      <c r="V46" s="191">
        <v>0</v>
      </c>
      <c r="W46" s="191">
        <v>-0.9</v>
      </c>
      <c r="X46" s="191">
        <v>-5.5</v>
      </c>
      <c r="Y46" s="191">
        <v>-21.9</v>
      </c>
      <c r="Z46" s="191">
        <v>-3</v>
      </c>
      <c r="AA46" s="191">
        <v>0</v>
      </c>
      <c r="AB46" s="191">
        <v>0</v>
      </c>
      <c r="AC46" s="191">
        <v>0</v>
      </c>
      <c r="AD46" s="191">
        <v>0</v>
      </c>
      <c r="AE46" s="191">
        <v>0</v>
      </c>
      <c r="AF46" s="191">
        <v>0</v>
      </c>
      <c r="AG46" s="191">
        <v>0</v>
      </c>
      <c r="AH46" s="191">
        <v>0</v>
      </c>
      <c r="AI46" s="191">
        <v>0</v>
      </c>
      <c r="AJ46" s="191">
        <v>0</v>
      </c>
      <c r="AK46" s="191">
        <v>0</v>
      </c>
      <c r="AL46" s="191">
        <v>0</v>
      </c>
      <c r="AM46" s="191">
        <v>0</v>
      </c>
      <c r="AN46" s="191">
        <v>0</v>
      </c>
      <c r="AO46" s="191">
        <v>0</v>
      </c>
      <c r="AP46" s="191">
        <v>0</v>
      </c>
      <c r="AQ46" s="191">
        <v>0</v>
      </c>
      <c r="AR46" s="191">
        <v>-5.9</v>
      </c>
      <c r="AS46" s="191">
        <v>-0.7</v>
      </c>
      <c r="AT46" s="191">
        <v>-0.7</v>
      </c>
      <c r="AU46" s="191">
        <v>-0.7</v>
      </c>
      <c r="AV46" s="191">
        <v>-2.8</v>
      </c>
      <c r="AW46" s="191">
        <v>-0.7</v>
      </c>
      <c r="AX46" s="191">
        <v>-1.7</v>
      </c>
      <c r="AY46" s="191">
        <v>-2</v>
      </c>
      <c r="AZ46" s="191">
        <v>-2.6</v>
      </c>
      <c r="BA46" s="191">
        <v>-1.4</v>
      </c>
      <c r="BB46" s="191">
        <v>-0.3</v>
      </c>
      <c r="BC46" s="191">
        <v>-0.3</v>
      </c>
      <c r="BD46" s="191">
        <v>-0.5</v>
      </c>
      <c r="BE46" s="192">
        <v>-0.3</v>
      </c>
      <c r="BF46" s="180"/>
      <c r="BG46" s="191" t="s">
        <v>452</v>
      </c>
      <c r="BH46" s="191">
        <v>0</v>
      </c>
      <c r="BI46" s="191">
        <v>1282.98</v>
      </c>
      <c r="BJ46" s="191">
        <v>0</v>
      </c>
      <c r="BK46" s="191">
        <v>0</v>
      </c>
      <c r="BL46" s="191">
        <v>0</v>
      </c>
      <c r="BM46" s="191">
        <v>0</v>
      </c>
      <c r="BN46" s="191">
        <v>0</v>
      </c>
      <c r="BO46" s="191">
        <v>0</v>
      </c>
      <c r="BP46" s="191">
        <v>0</v>
      </c>
      <c r="BQ46" s="191">
        <v>0</v>
      </c>
      <c r="BR46" s="191">
        <v>0</v>
      </c>
      <c r="BS46" s="191">
        <v>0</v>
      </c>
      <c r="BT46" s="191">
        <v>0</v>
      </c>
      <c r="BU46" s="191">
        <v>0</v>
      </c>
      <c r="BV46" s="191">
        <v>0</v>
      </c>
      <c r="BW46" s="191">
        <v>0</v>
      </c>
      <c r="BX46" s="191">
        <v>0</v>
      </c>
      <c r="BY46" s="191">
        <v>-0.92</v>
      </c>
      <c r="BZ46" s="191">
        <v>-5.64</v>
      </c>
      <c r="CA46" s="191">
        <v>-22.45</v>
      </c>
      <c r="CB46" s="191">
        <v>-3.08</v>
      </c>
      <c r="CC46" s="191">
        <v>0</v>
      </c>
      <c r="CD46" s="191">
        <v>0</v>
      </c>
      <c r="CE46" s="191">
        <v>0</v>
      </c>
      <c r="CF46" s="191">
        <v>0</v>
      </c>
      <c r="CG46" s="191">
        <v>0</v>
      </c>
      <c r="CH46" s="191">
        <v>0</v>
      </c>
      <c r="CI46" s="191">
        <v>0</v>
      </c>
      <c r="CJ46" s="191">
        <v>0</v>
      </c>
      <c r="CK46" s="191">
        <v>0</v>
      </c>
      <c r="CL46" s="191">
        <v>0</v>
      </c>
      <c r="CM46" s="191">
        <v>0</v>
      </c>
      <c r="CN46" s="191">
        <v>0</v>
      </c>
      <c r="CO46" s="191">
        <v>0</v>
      </c>
      <c r="CP46" s="191">
        <v>0</v>
      </c>
      <c r="CQ46" s="191">
        <v>0</v>
      </c>
      <c r="CR46" s="191">
        <v>0</v>
      </c>
      <c r="CS46" s="191">
        <v>0</v>
      </c>
      <c r="CT46" s="191">
        <v>-6.05</v>
      </c>
      <c r="CU46" s="191">
        <v>-0.72</v>
      </c>
      <c r="CV46" s="191">
        <v>-0.72</v>
      </c>
      <c r="CW46" s="191">
        <v>-0.72</v>
      </c>
      <c r="CX46" s="191">
        <v>-2.87</v>
      </c>
      <c r="CY46" s="191">
        <v>-0.72</v>
      </c>
      <c r="CZ46" s="191">
        <v>-1.74</v>
      </c>
      <c r="DA46" s="191">
        <v>-2.05</v>
      </c>
      <c r="DB46" s="191">
        <v>-2.67</v>
      </c>
      <c r="DC46" s="191">
        <v>-1.44</v>
      </c>
      <c r="DD46" s="191">
        <v>-0.31</v>
      </c>
      <c r="DE46" s="191">
        <v>-0.31</v>
      </c>
      <c r="DF46" s="191">
        <v>-0.51</v>
      </c>
      <c r="DG46" s="192">
        <v>-0.31</v>
      </c>
      <c r="DH46" s="180"/>
      <c r="DI46" s="191" t="s">
        <v>452</v>
      </c>
      <c r="DJ46" s="191">
        <v>0</v>
      </c>
      <c r="DK46" s="191">
        <v>0</v>
      </c>
      <c r="DL46" s="191">
        <v>0</v>
      </c>
      <c r="DM46" s="191">
        <v>0</v>
      </c>
      <c r="DN46" s="191">
        <v>0</v>
      </c>
      <c r="DO46" s="191">
        <v>0</v>
      </c>
      <c r="DP46" s="191">
        <v>0</v>
      </c>
      <c r="DQ46" s="191">
        <v>0</v>
      </c>
      <c r="DR46" s="191">
        <v>0</v>
      </c>
      <c r="DS46" s="191">
        <v>0</v>
      </c>
      <c r="DT46" s="191">
        <v>0</v>
      </c>
      <c r="DU46" s="191">
        <v>0</v>
      </c>
      <c r="DV46" s="191">
        <v>0</v>
      </c>
      <c r="DW46" s="191">
        <v>0</v>
      </c>
      <c r="DX46" s="191">
        <v>0</v>
      </c>
      <c r="DY46" s="192">
        <v>0</v>
      </c>
    </row>
    <row r="47" s="180" customFormat="1" spans="1:129">
      <c r="A47" s="190" t="s">
        <v>453</v>
      </c>
      <c r="B47" s="191">
        <v>-157.9</v>
      </c>
      <c r="C47" s="192">
        <v>1618.23</v>
      </c>
      <c r="E47" s="191" t="s">
        <v>453</v>
      </c>
      <c r="F47" s="191">
        <v>0</v>
      </c>
      <c r="G47" s="191">
        <v>1618.23</v>
      </c>
      <c r="H47" s="191">
        <v>0</v>
      </c>
      <c r="I47" s="191">
        <v>0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0</v>
      </c>
      <c r="V47" s="191">
        <v>0</v>
      </c>
      <c r="W47" s="191">
        <v>-0.9</v>
      </c>
      <c r="X47" s="191">
        <v>-5.5</v>
      </c>
      <c r="Y47" s="191">
        <v>-5.3</v>
      </c>
      <c r="Z47" s="191">
        <v>-3</v>
      </c>
      <c r="AA47" s="191">
        <v>0</v>
      </c>
      <c r="AB47" s="191">
        <v>0</v>
      </c>
      <c r="AC47" s="191">
        <v>0</v>
      </c>
      <c r="AD47" s="191">
        <v>0</v>
      </c>
      <c r="AE47" s="191">
        <v>0</v>
      </c>
      <c r="AF47" s="191">
        <v>0</v>
      </c>
      <c r="AG47" s="191">
        <v>0</v>
      </c>
      <c r="AH47" s="191">
        <v>0</v>
      </c>
      <c r="AI47" s="191">
        <v>0</v>
      </c>
      <c r="AJ47" s="191">
        <v>0</v>
      </c>
      <c r="AK47" s="191">
        <v>0</v>
      </c>
      <c r="AL47" s="191">
        <v>0</v>
      </c>
      <c r="AM47" s="191">
        <v>-121.9</v>
      </c>
      <c r="AN47" s="191">
        <v>0</v>
      </c>
      <c r="AO47" s="191">
        <v>0</v>
      </c>
      <c r="AP47" s="191">
        <v>0</v>
      </c>
      <c r="AQ47" s="191">
        <v>0</v>
      </c>
      <c r="AR47" s="191">
        <v>-6.4</v>
      </c>
      <c r="AS47" s="191">
        <v>-0.8</v>
      </c>
      <c r="AT47" s="191">
        <v>-0.8</v>
      </c>
      <c r="AU47" s="191">
        <v>-0.8</v>
      </c>
      <c r="AV47" s="191">
        <v>-2.9</v>
      </c>
      <c r="AW47" s="191">
        <v>-0.8</v>
      </c>
      <c r="AX47" s="191">
        <v>-1.8</v>
      </c>
      <c r="AY47" s="191">
        <v>-1.9</v>
      </c>
      <c r="AZ47" s="191">
        <v>-2.6</v>
      </c>
      <c r="BA47" s="191">
        <v>-1.2</v>
      </c>
      <c r="BB47" s="191">
        <v>-0.3</v>
      </c>
      <c r="BC47" s="191">
        <v>-0.2</v>
      </c>
      <c r="BD47" s="191">
        <v>-0.6</v>
      </c>
      <c r="BE47" s="192">
        <v>-0.2</v>
      </c>
      <c r="BF47" s="180"/>
      <c r="BG47" s="191" t="s">
        <v>453</v>
      </c>
      <c r="BH47" s="191">
        <v>0</v>
      </c>
      <c r="BI47" s="191">
        <v>1578.42</v>
      </c>
      <c r="BJ47" s="191">
        <v>0</v>
      </c>
      <c r="BK47" s="191">
        <v>0</v>
      </c>
      <c r="BL47" s="191">
        <v>0</v>
      </c>
      <c r="BM47" s="191">
        <v>0</v>
      </c>
      <c r="BN47" s="191">
        <v>0</v>
      </c>
      <c r="BO47" s="191">
        <v>0</v>
      </c>
      <c r="BP47" s="191">
        <v>0</v>
      </c>
      <c r="BQ47" s="191">
        <v>0</v>
      </c>
      <c r="BR47" s="191">
        <v>0</v>
      </c>
      <c r="BS47" s="191">
        <v>0</v>
      </c>
      <c r="BT47" s="191">
        <v>0</v>
      </c>
      <c r="BU47" s="191">
        <v>0</v>
      </c>
      <c r="BV47" s="191">
        <v>0</v>
      </c>
      <c r="BW47" s="191">
        <v>0</v>
      </c>
      <c r="BX47" s="191">
        <v>0</v>
      </c>
      <c r="BY47" s="191">
        <v>-0.92</v>
      </c>
      <c r="BZ47" s="191">
        <v>-5.64</v>
      </c>
      <c r="CA47" s="191">
        <v>-5.43</v>
      </c>
      <c r="CB47" s="191">
        <v>-3.08</v>
      </c>
      <c r="CC47" s="191">
        <v>0</v>
      </c>
      <c r="CD47" s="191">
        <v>0</v>
      </c>
      <c r="CE47" s="191">
        <v>0</v>
      </c>
      <c r="CF47" s="191">
        <v>0</v>
      </c>
      <c r="CG47" s="191">
        <v>0</v>
      </c>
      <c r="CH47" s="191">
        <v>0</v>
      </c>
      <c r="CI47" s="191">
        <v>0</v>
      </c>
      <c r="CJ47" s="191">
        <v>0</v>
      </c>
      <c r="CK47" s="191">
        <v>0</v>
      </c>
      <c r="CL47" s="191">
        <v>0</v>
      </c>
      <c r="CM47" s="191">
        <v>0</v>
      </c>
      <c r="CN47" s="191">
        <v>0</v>
      </c>
      <c r="CO47" s="191">
        <v>-124.97</v>
      </c>
      <c r="CP47" s="191">
        <v>0</v>
      </c>
      <c r="CQ47" s="191">
        <v>0</v>
      </c>
      <c r="CR47" s="191">
        <v>0</v>
      </c>
      <c r="CS47" s="191">
        <v>0</v>
      </c>
      <c r="CT47" s="191">
        <v>-6.56</v>
      </c>
      <c r="CU47" s="191">
        <v>-0.82</v>
      </c>
      <c r="CV47" s="191">
        <v>-0.82</v>
      </c>
      <c r="CW47" s="191">
        <v>-0.82</v>
      </c>
      <c r="CX47" s="191">
        <v>-2.97</v>
      </c>
      <c r="CY47" s="191">
        <v>-0.82</v>
      </c>
      <c r="CZ47" s="191">
        <v>-1.85</v>
      </c>
      <c r="DA47" s="191">
        <v>-1.95</v>
      </c>
      <c r="DB47" s="191">
        <v>-2.67</v>
      </c>
      <c r="DC47" s="191">
        <v>-1.23</v>
      </c>
      <c r="DD47" s="191">
        <v>-0.31</v>
      </c>
      <c r="DE47" s="191">
        <v>-0.21</v>
      </c>
      <c r="DF47" s="191">
        <v>-0.62</v>
      </c>
      <c r="DG47" s="192">
        <v>-0.21</v>
      </c>
      <c r="DH47" s="180"/>
      <c r="DI47" s="191" t="s">
        <v>453</v>
      </c>
      <c r="DJ47" s="191">
        <v>0</v>
      </c>
      <c r="DK47" s="191">
        <v>0</v>
      </c>
      <c r="DL47" s="191">
        <v>0</v>
      </c>
      <c r="DM47" s="191">
        <v>0</v>
      </c>
      <c r="DN47" s="191">
        <v>0</v>
      </c>
      <c r="DO47" s="191">
        <v>0</v>
      </c>
      <c r="DP47" s="191">
        <v>0</v>
      </c>
      <c r="DQ47" s="191">
        <v>0</v>
      </c>
      <c r="DR47" s="191">
        <v>0</v>
      </c>
      <c r="DS47" s="191">
        <v>0</v>
      </c>
      <c r="DT47" s="191">
        <v>0</v>
      </c>
      <c r="DU47" s="191">
        <v>0</v>
      </c>
      <c r="DV47" s="191">
        <v>0</v>
      </c>
      <c r="DW47" s="191">
        <v>0</v>
      </c>
      <c r="DX47" s="191">
        <v>0</v>
      </c>
      <c r="DY47" s="192">
        <v>0</v>
      </c>
    </row>
    <row r="48" s="180" customFormat="1" spans="1:129">
      <c r="A48" s="190" t="s">
        <v>454</v>
      </c>
      <c r="B48" s="191">
        <v>-157.6</v>
      </c>
      <c r="C48" s="192">
        <v>1618.23</v>
      </c>
      <c r="E48" s="191" t="s">
        <v>454</v>
      </c>
      <c r="F48" s="191">
        <v>0</v>
      </c>
      <c r="G48" s="191">
        <v>1618.23</v>
      </c>
      <c r="H48" s="191">
        <v>0</v>
      </c>
      <c r="I48" s="191">
        <v>0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  <c r="V48" s="191">
        <v>0</v>
      </c>
      <c r="W48" s="191">
        <v>-0.9</v>
      </c>
      <c r="X48" s="191">
        <v>-5.5</v>
      </c>
      <c r="Y48" s="191">
        <v>-5.3</v>
      </c>
      <c r="Z48" s="191">
        <v>-3</v>
      </c>
      <c r="AA48" s="191">
        <v>0</v>
      </c>
      <c r="AB48" s="191">
        <v>0</v>
      </c>
      <c r="AC48" s="191">
        <v>0</v>
      </c>
      <c r="AD48" s="191">
        <v>0</v>
      </c>
      <c r="AE48" s="191">
        <v>0</v>
      </c>
      <c r="AF48" s="191">
        <v>0</v>
      </c>
      <c r="AG48" s="191">
        <v>0</v>
      </c>
      <c r="AH48" s="191">
        <v>0</v>
      </c>
      <c r="AI48" s="191">
        <v>0</v>
      </c>
      <c r="AJ48" s="191">
        <v>0</v>
      </c>
      <c r="AK48" s="191">
        <v>0</v>
      </c>
      <c r="AL48" s="191">
        <v>0</v>
      </c>
      <c r="AM48" s="191">
        <v>-121.9</v>
      </c>
      <c r="AN48" s="191">
        <v>0</v>
      </c>
      <c r="AO48" s="191">
        <v>0</v>
      </c>
      <c r="AP48" s="191">
        <v>0</v>
      </c>
      <c r="AQ48" s="191">
        <v>0</v>
      </c>
      <c r="AR48" s="191">
        <v>-8.4</v>
      </c>
      <c r="AS48" s="191">
        <v>-0.8</v>
      </c>
      <c r="AT48" s="191">
        <v>-0.4</v>
      </c>
      <c r="AU48" s="191">
        <v>-0.4</v>
      </c>
      <c r="AV48" s="191">
        <v>-2.5</v>
      </c>
      <c r="AW48" s="191">
        <v>-0.4</v>
      </c>
      <c r="AX48" s="191">
        <v>-1.6</v>
      </c>
      <c r="AY48" s="191">
        <v>-1.7</v>
      </c>
      <c r="AZ48" s="191">
        <v>-2.7</v>
      </c>
      <c r="BA48" s="191">
        <v>-1.1</v>
      </c>
      <c r="BB48" s="191">
        <v>-0.2</v>
      </c>
      <c r="BC48" s="191">
        <v>-0.2</v>
      </c>
      <c r="BD48" s="191">
        <v>-0.4</v>
      </c>
      <c r="BE48" s="192">
        <v>-0.2</v>
      </c>
      <c r="BF48" s="180"/>
      <c r="BG48" s="191" t="s">
        <v>454</v>
      </c>
      <c r="BH48" s="191">
        <v>0</v>
      </c>
      <c r="BI48" s="191">
        <v>1578.42</v>
      </c>
      <c r="BJ48" s="191">
        <v>0</v>
      </c>
      <c r="BK48" s="191">
        <v>0</v>
      </c>
      <c r="BL48" s="191">
        <v>0</v>
      </c>
      <c r="BM48" s="191">
        <v>0</v>
      </c>
      <c r="BN48" s="191">
        <v>0</v>
      </c>
      <c r="BO48" s="191">
        <v>0</v>
      </c>
      <c r="BP48" s="191">
        <v>0</v>
      </c>
      <c r="BQ48" s="191">
        <v>0</v>
      </c>
      <c r="BR48" s="191">
        <v>0</v>
      </c>
      <c r="BS48" s="191">
        <v>0</v>
      </c>
      <c r="BT48" s="191">
        <v>0</v>
      </c>
      <c r="BU48" s="191">
        <v>0</v>
      </c>
      <c r="BV48" s="191">
        <v>0</v>
      </c>
      <c r="BW48" s="191">
        <v>0</v>
      </c>
      <c r="BX48" s="191">
        <v>0</v>
      </c>
      <c r="BY48" s="191">
        <v>-0.92</v>
      </c>
      <c r="BZ48" s="191">
        <v>-5.64</v>
      </c>
      <c r="CA48" s="191">
        <v>-5.43</v>
      </c>
      <c r="CB48" s="191">
        <v>-3.08</v>
      </c>
      <c r="CC48" s="191">
        <v>0</v>
      </c>
      <c r="CD48" s="191">
        <v>0</v>
      </c>
      <c r="CE48" s="191">
        <v>0</v>
      </c>
      <c r="CF48" s="191">
        <v>0</v>
      </c>
      <c r="CG48" s="191">
        <v>0</v>
      </c>
      <c r="CH48" s="191">
        <v>0</v>
      </c>
      <c r="CI48" s="191">
        <v>0</v>
      </c>
      <c r="CJ48" s="191">
        <v>0</v>
      </c>
      <c r="CK48" s="191">
        <v>0</v>
      </c>
      <c r="CL48" s="191">
        <v>0</v>
      </c>
      <c r="CM48" s="191">
        <v>0</v>
      </c>
      <c r="CN48" s="191">
        <v>0</v>
      </c>
      <c r="CO48" s="191">
        <v>-124.97</v>
      </c>
      <c r="CP48" s="191">
        <v>0</v>
      </c>
      <c r="CQ48" s="191">
        <v>0</v>
      </c>
      <c r="CR48" s="191">
        <v>0</v>
      </c>
      <c r="CS48" s="191">
        <v>0</v>
      </c>
      <c r="CT48" s="191">
        <v>-8.61</v>
      </c>
      <c r="CU48" s="191">
        <v>-0.82</v>
      </c>
      <c r="CV48" s="191">
        <v>-0.41</v>
      </c>
      <c r="CW48" s="191">
        <v>-0.41</v>
      </c>
      <c r="CX48" s="191">
        <v>-2.56</v>
      </c>
      <c r="CY48" s="191">
        <v>-0.41</v>
      </c>
      <c r="CZ48" s="191">
        <v>-1.64</v>
      </c>
      <c r="DA48" s="191">
        <v>-1.74</v>
      </c>
      <c r="DB48" s="191">
        <v>-2.77</v>
      </c>
      <c r="DC48" s="191">
        <v>-1.13</v>
      </c>
      <c r="DD48" s="191">
        <v>-0.21</v>
      </c>
      <c r="DE48" s="191">
        <v>-0.21</v>
      </c>
      <c r="DF48" s="191">
        <v>-0.41</v>
      </c>
      <c r="DG48" s="192">
        <v>-0.21</v>
      </c>
      <c r="DH48" s="180"/>
      <c r="DI48" s="191" t="s">
        <v>454</v>
      </c>
      <c r="DJ48" s="191">
        <v>0</v>
      </c>
      <c r="DK48" s="191">
        <v>0</v>
      </c>
      <c r="DL48" s="191">
        <v>0</v>
      </c>
      <c r="DM48" s="191">
        <v>0</v>
      </c>
      <c r="DN48" s="191">
        <v>0</v>
      </c>
      <c r="DO48" s="191">
        <v>0</v>
      </c>
      <c r="DP48" s="191">
        <v>0</v>
      </c>
      <c r="DQ48" s="191">
        <v>0</v>
      </c>
      <c r="DR48" s="191">
        <v>0</v>
      </c>
      <c r="DS48" s="191">
        <v>0</v>
      </c>
      <c r="DT48" s="191">
        <v>0</v>
      </c>
      <c r="DU48" s="191">
        <v>0</v>
      </c>
      <c r="DV48" s="191">
        <v>0</v>
      </c>
      <c r="DW48" s="191">
        <v>0</v>
      </c>
      <c r="DX48" s="191">
        <v>0</v>
      </c>
      <c r="DY48" s="192">
        <v>0</v>
      </c>
    </row>
    <row r="49" s="180" customFormat="1" spans="1:129">
      <c r="A49" s="190" t="s">
        <v>455</v>
      </c>
      <c r="B49" s="191">
        <v>-161.1</v>
      </c>
      <c r="C49" s="192">
        <v>1427.85</v>
      </c>
      <c r="E49" s="191" t="s">
        <v>455</v>
      </c>
      <c r="F49" s="191">
        <v>0</v>
      </c>
      <c r="G49" s="191">
        <v>1427.85</v>
      </c>
      <c r="H49" s="191">
        <v>0</v>
      </c>
      <c r="I49" s="191">
        <v>0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0</v>
      </c>
      <c r="V49" s="191">
        <v>0</v>
      </c>
      <c r="W49" s="191">
        <v>-0.9</v>
      </c>
      <c r="X49" s="191">
        <v>-5.5</v>
      </c>
      <c r="Y49" s="191">
        <v>-5.3</v>
      </c>
      <c r="Z49" s="191">
        <v>-3</v>
      </c>
      <c r="AA49" s="191">
        <v>0</v>
      </c>
      <c r="AB49" s="191">
        <v>0</v>
      </c>
      <c r="AC49" s="191">
        <v>0</v>
      </c>
      <c r="AD49" s="191">
        <v>0</v>
      </c>
      <c r="AE49" s="191">
        <v>0</v>
      </c>
      <c r="AF49" s="191">
        <v>0</v>
      </c>
      <c r="AG49" s="191">
        <v>0</v>
      </c>
      <c r="AH49" s="191">
        <v>0</v>
      </c>
      <c r="AI49" s="191">
        <v>0</v>
      </c>
      <c r="AJ49" s="191">
        <v>0</v>
      </c>
      <c r="AK49" s="191">
        <v>0</v>
      </c>
      <c r="AL49" s="191">
        <v>0</v>
      </c>
      <c r="AM49" s="191">
        <v>-121.9</v>
      </c>
      <c r="AN49" s="191">
        <v>0</v>
      </c>
      <c r="AO49" s="191">
        <v>0</v>
      </c>
      <c r="AP49" s="191">
        <v>0</v>
      </c>
      <c r="AQ49" s="191">
        <v>0</v>
      </c>
      <c r="AR49" s="191">
        <v>-11</v>
      </c>
      <c r="AS49" s="191">
        <v>-0.7</v>
      </c>
      <c r="AT49" s="191">
        <v>-0.7</v>
      </c>
      <c r="AU49" s="191">
        <v>-0.7</v>
      </c>
      <c r="AV49" s="191">
        <v>-2.7</v>
      </c>
      <c r="AW49" s="191">
        <v>-0.7</v>
      </c>
      <c r="AX49" s="191">
        <v>-1.8</v>
      </c>
      <c r="AY49" s="191">
        <v>-1.6</v>
      </c>
      <c r="AZ49" s="191">
        <v>-2.7</v>
      </c>
      <c r="BA49" s="191">
        <v>-0.9</v>
      </c>
      <c r="BB49" s="191">
        <v>-0.2</v>
      </c>
      <c r="BC49" s="191">
        <v>-0.2</v>
      </c>
      <c r="BD49" s="191">
        <v>-0.4</v>
      </c>
      <c r="BE49" s="192">
        <v>-0.2</v>
      </c>
      <c r="BF49" s="180"/>
      <c r="BG49" s="191" t="s">
        <v>455</v>
      </c>
      <c r="BH49" s="191">
        <v>0</v>
      </c>
      <c r="BI49" s="191">
        <v>1392.72</v>
      </c>
      <c r="BJ49" s="191">
        <v>0</v>
      </c>
      <c r="BK49" s="191">
        <v>0</v>
      </c>
      <c r="BL49" s="191">
        <v>0</v>
      </c>
      <c r="BM49" s="191">
        <v>0</v>
      </c>
      <c r="BN49" s="191">
        <v>0</v>
      </c>
      <c r="BO49" s="191">
        <v>0</v>
      </c>
      <c r="BP49" s="191">
        <v>0</v>
      </c>
      <c r="BQ49" s="191">
        <v>0</v>
      </c>
      <c r="BR49" s="191">
        <v>0</v>
      </c>
      <c r="BS49" s="191">
        <v>0</v>
      </c>
      <c r="BT49" s="191">
        <v>0</v>
      </c>
      <c r="BU49" s="191">
        <v>0</v>
      </c>
      <c r="BV49" s="191">
        <v>0</v>
      </c>
      <c r="BW49" s="191">
        <v>0</v>
      </c>
      <c r="BX49" s="191">
        <v>0</v>
      </c>
      <c r="BY49" s="191">
        <v>-0.92</v>
      </c>
      <c r="BZ49" s="191">
        <v>-5.64</v>
      </c>
      <c r="CA49" s="191">
        <v>-5.43</v>
      </c>
      <c r="CB49" s="191">
        <v>-3.08</v>
      </c>
      <c r="CC49" s="191">
        <v>0</v>
      </c>
      <c r="CD49" s="191">
        <v>0</v>
      </c>
      <c r="CE49" s="191">
        <v>0</v>
      </c>
      <c r="CF49" s="191">
        <v>0</v>
      </c>
      <c r="CG49" s="191">
        <v>0</v>
      </c>
      <c r="CH49" s="191">
        <v>0</v>
      </c>
      <c r="CI49" s="191">
        <v>0</v>
      </c>
      <c r="CJ49" s="191">
        <v>0</v>
      </c>
      <c r="CK49" s="191">
        <v>0</v>
      </c>
      <c r="CL49" s="191">
        <v>0</v>
      </c>
      <c r="CM49" s="191">
        <v>0</v>
      </c>
      <c r="CN49" s="191">
        <v>0</v>
      </c>
      <c r="CO49" s="191">
        <v>-124.97</v>
      </c>
      <c r="CP49" s="191">
        <v>0</v>
      </c>
      <c r="CQ49" s="191">
        <v>0</v>
      </c>
      <c r="CR49" s="191">
        <v>0</v>
      </c>
      <c r="CS49" s="191">
        <v>0</v>
      </c>
      <c r="CT49" s="191">
        <v>-11.28</v>
      </c>
      <c r="CU49" s="191">
        <v>-0.72</v>
      </c>
      <c r="CV49" s="191">
        <v>-0.72</v>
      </c>
      <c r="CW49" s="191">
        <v>-0.72</v>
      </c>
      <c r="CX49" s="191">
        <v>-2.77</v>
      </c>
      <c r="CY49" s="191">
        <v>-0.72</v>
      </c>
      <c r="CZ49" s="191">
        <v>-1.85</v>
      </c>
      <c r="DA49" s="191">
        <v>-1.64</v>
      </c>
      <c r="DB49" s="191">
        <v>-2.77</v>
      </c>
      <c r="DC49" s="191">
        <v>-0.92</v>
      </c>
      <c r="DD49" s="191">
        <v>-0.21</v>
      </c>
      <c r="DE49" s="191">
        <v>-0.21</v>
      </c>
      <c r="DF49" s="191">
        <v>-0.41</v>
      </c>
      <c r="DG49" s="192">
        <v>-0.21</v>
      </c>
      <c r="DH49" s="180"/>
      <c r="DI49" s="191" t="s">
        <v>455</v>
      </c>
      <c r="DJ49" s="191">
        <v>0</v>
      </c>
      <c r="DK49" s="191">
        <v>0</v>
      </c>
      <c r="DL49" s="191">
        <v>0</v>
      </c>
      <c r="DM49" s="191">
        <v>0</v>
      </c>
      <c r="DN49" s="191">
        <v>0</v>
      </c>
      <c r="DO49" s="191">
        <v>0</v>
      </c>
      <c r="DP49" s="191">
        <v>0</v>
      </c>
      <c r="DQ49" s="191">
        <v>0</v>
      </c>
      <c r="DR49" s="191">
        <v>0</v>
      </c>
      <c r="DS49" s="191">
        <v>0</v>
      </c>
      <c r="DT49" s="191">
        <v>0</v>
      </c>
      <c r="DU49" s="191">
        <v>0</v>
      </c>
      <c r="DV49" s="191">
        <v>0</v>
      </c>
      <c r="DW49" s="191">
        <v>0</v>
      </c>
      <c r="DX49" s="191">
        <v>0</v>
      </c>
      <c r="DY49" s="192">
        <v>0</v>
      </c>
    </row>
    <row r="50" s="180" customFormat="1" spans="1:129">
      <c r="A50" s="190" t="s">
        <v>456</v>
      </c>
      <c r="B50" s="191">
        <v>-162.8</v>
      </c>
      <c r="C50" s="192">
        <v>1237.47</v>
      </c>
      <c r="E50" s="191" t="s">
        <v>456</v>
      </c>
      <c r="F50" s="191">
        <v>0</v>
      </c>
      <c r="G50" s="191">
        <v>1237.47</v>
      </c>
      <c r="H50" s="191">
        <v>0</v>
      </c>
      <c r="I50" s="191">
        <v>0</v>
      </c>
      <c r="J50" s="191">
        <v>0</v>
      </c>
      <c r="K50" s="191">
        <v>0</v>
      </c>
      <c r="L50" s="191">
        <v>0</v>
      </c>
      <c r="M50" s="191">
        <v>0</v>
      </c>
      <c r="N50" s="191">
        <v>0</v>
      </c>
      <c r="O50" s="191">
        <v>0</v>
      </c>
      <c r="P50" s="191">
        <v>0</v>
      </c>
      <c r="Q50" s="191">
        <v>0</v>
      </c>
      <c r="R50" s="191">
        <v>0</v>
      </c>
      <c r="S50" s="191">
        <v>0</v>
      </c>
      <c r="T50" s="191">
        <v>0</v>
      </c>
      <c r="U50" s="191">
        <v>0</v>
      </c>
      <c r="V50" s="191">
        <v>0</v>
      </c>
      <c r="W50" s="191">
        <v>-0.9</v>
      </c>
      <c r="X50" s="191">
        <v>-5.5</v>
      </c>
      <c r="Y50" s="191">
        <v>-5.3</v>
      </c>
      <c r="Z50" s="191">
        <v>-3</v>
      </c>
      <c r="AA50" s="191">
        <v>0</v>
      </c>
      <c r="AB50" s="191">
        <v>0</v>
      </c>
      <c r="AC50" s="191">
        <v>0</v>
      </c>
      <c r="AD50" s="191">
        <v>0</v>
      </c>
      <c r="AE50" s="191">
        <v>0</v>
      </c>
      <c r="AF50" s="191">
        <v>0</v>
      </c>
      <c r="AG50" s="191">
        <v>0</v>
      </c>
      <c r="AH50" s="191">
        <v>0</v>
      </c>
      <c r="AI50" s="191">
        <v>0</v>
      </c>
      <c r="AJ50" s="191">
        <v>0</v>
      </c>
      <c r="AK50" s="191">
        <v>0</v>
      </c>
      <c r="AL50" s="191">
        <v>0</v>
      </c>
      <c r="AM50" s="191">
        <v>-121.9</v>
      </c>
      <c r="AN50" s="191">
        <v>0</v>
      </c>
      <c r="AO50" s="191">
        <v>0</v>
      </c>
      <c r="AP50" s="191">
        <v>0</v>
      </c>
      <c r="AQ50" s="191">
        <v>0</v>
      </c>
      <c r="AR50" s="191">
        <v>-12.6</v>
      </c>
      <c r="AS50" s="191">
        <v>-0.7</v>
      </c>
      <c r="AT50" s="191">
        <v>-0.7</v>
      </c>
      <c r="AU50" s="191">
        <v>-0.7</v>
      </c>
      <c r="AV50" s="191">
        <v>-2.6</v>
      </c>
      <c r="AW50" s="191">
        <v>-0.7</v>
      </c>
      <c r="AX50" s="191">
        <v>-1.6</v>
      </c>
      <c r="AY50" s="191">
        <v>-1.8</v>
      </c>
      <c r="AZ50" s="191">
        <v>-2.7</v>
      </c>
      <c r="BA50" s="191">
        <v>-1</v>
      </c>
      <c r="BB50" s="191">
        <v>-0.2</v>
      </c>
      <c r="BC50" s="191">
        <v>-0.2</v>
      </c>
      <c r="BD50" s="191">
        <v>-0.5</v>
      </c>
      <c r="BE50" s="192">
        <v>-0.2</v>
      </c>
      <c r="BF50" s="180"/>
      <c r="BG50" s="191" t="s">
        <v>456</v>
      </c>
      <c r="BH50" s="191">
        <v>0</v>
      </c>
      <c r="BI50" s="191">
        <v>1207.03</v>
      </c>
      <c r="BJ50" s="191">
        <v>0</v>
      </c>
      <c r="BK50" s="191">
        <v>0</v>
      </c>
      <c r="BL50" s="191">
        <v>0</v>
      </c>
      <c r="BM50" s="191">
        <v>0</v>
      </c>
      <c r="BN50" s="191">
        <v>0</v>
      </c>
      <c r="BO50" s="191">
        <v>0</v>
      </c>
      <c r="BP50" s="191">
        <v>0</v>
      </c>
      <c r="BQ50" s="191">
        <v>0</v>
      </c>
      <c r="BR50" s="191">
        <v>0</v>
      </c>
      <c r="BS50" s="191">
        <v>0</v>
      </c>
      <c r="BT50" s="191">
        <v>0</v>
      </c>
      <c r="BU50" s="191">
        <v>0</v>
      </c>
      <c r="BV50" s="191">
        <v>0</v>
      </c>
      <c r="BW50" s="191">
        <v>0</v>
      </c>
      <c r="BX50" s="191">
        <v>0</v>
      </c>
      <c r="BY50" s="191">
        <v>-0.92</v>
      </c>
      <c r="BZ50" s="191">
        <v>-5.64</v>
      </c>
      <c r="CA50" s="191">
        <v>-5.43</v>
      </c>
      <c r="CB50" s="191">
        <v>-3.08</v>
      </c>
      <c r="CC50" s="191">
        <v>0</v>
      </c>
      <c r="CD50" s="191">
        <v>0</v>
      </c>
      <c r="CE50" s="191">
        <v>0</v>
      </c>
      <c r="CF50" s="191">
        <v>0</v>
      </c>
      <c r="CG50" s="191">
        <v>0</v>
      </c>
      <c r="CH50" s="191">
        <v>0</v>
      </c>
      <c r="CI50" s="191">
        <v>0</v>
      </c>
      <c r="CJ50" s="191">
        <v>0</v>
      </c>
      <c r="CK50" s="191">
        <v>0</v>
      </c>
      <c r="CL50" s="191">
        <v>0</v>
      </c>
      <c r="CM50" s="191">
        <v>0</v>
      </c>
      <c r="CN50" s="191">
        <v>0</v>
      </c>
      <c r="CO50" s="191">
        <v>-124.97</v>
      </c>
      <c r="CP50" s="191">
        <v>0</v>
      </c>
      <c r="CQ50" s="191">
        <v>0</v>
      </c>
      <c r="CR50" s="191">
        <v>0</v>
      </c>
      <c r="CS50" s="191">
        <v>0</v>
      </c>
      <c r="CT50" s="191">
        <v>-12.92</v>
      </c>
      <c r="CU50" s="191">
        <v>-0.72</v>
      </c>
      <c r="CV50" s="191">
        <v>-0.72</v>
      </c>
      <c r="CW50" s="191">
        <v>-0.72</v>
      </c>
      <c r="CX50" s="191">
        <v>-2.67</v>
      </c>
      <c r="CY50" s="191">
        <v>-0.72</v>
      </c>
      <c r="CZ50" s="191">
        <v>-1.64</v>
      </c>
      <c r="DA50" s="191">
        <v>-1.85</v>
      </c>
      <c r="DB50" s="191">
        <v>-2.77</v>
      </c>
      <c r="DC50" s="191">
        <v>-1.03</v>
      </c>
      <c r="DD50" s="191">
        <v>-0.21</v>
      </c>
      <c r="DE50" s="191">
        <v>-0.21</v>
      </c>
      <c r="DF50" s="191">
        <v>-0.51</v>
      </c>
      <c r="DG50" s="192">
        <v>-0.21</v>
      </c>
      <c r="DH50" s="180"/>
      <c r="DI50" s="191" t="s">
        <v>456</v>
      </c>
      <c r="DJ50" s="191">
        <v>0</v>
      </c>
      <c r="DK50" s="191">
        <v>0</v>
      </c>
      <c r="DL50" s="191">
        <v>0</v>
      </c>
      <c r="DM50" s="191">
        <v>0</v>
      </c>
      <c r="DN50" s="191">
        <v>0</v>
      </c>
      <c r="DO50" s="191">
        <v>0</v>
      </c>
      <c r="DP50" s="191">
        <v>0</v>
      </c>
      <c r="DQ50" s="191">
        <v>0</v>
      </c>
      <c r="DR50" s="191">
        <v>0</v>
      </c>
      <c r="DS50" s="191">
        <v>0</v>
      </c>
      <c r="DT50" s="191">
        <v>0</v>
      </c>
      <c r="DU50" s="191">
        <v>0</v>
      </c>
      <c r="DV50" s="191">
        <v>0</v>
      </c>
      <c r="DW50" s="191">
        <v>0</v>
      </c>
      <c r="DX50" s="191">
        <v>0</v>
      </c>
      <c r="DY50" s="192">
        <v>0</v>
      </c>
    </row>
    <row r="51" s="180" customFormat="1" spans="1:129">
      <c r="A51" s="190" t="s">
        <v>457</v>
      </c>
      <c r="B51" s="191">
        <v>-160.7</v>
      </c>
      <c r="C51" s="192">
        <v>856.71</v>
      </c>
      <c r="E51" s="191" t="s">
        <v>457</v>
      </c>
      <c r="F51" s="191">
        <v>0</v>
      </c>
      <c r="G51" s="191">
        <v>856.71</v>
      </c>
      <c r="H51" s="191">
        <v>0</v>
      </c>
      <c r="I51" s="191">
        <v>0</v>
      </c>
      <c r="J51" s="191">
        <v>0</v>
      </c>
      <c r="K51" s="191">
        <v>0</v>
      </c>
      <c r="L51" s="191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  <c r="V51" s="191">
        <v>0</v>
      </c>
      <c r="W51" s="191">
        <v>-0.9</v>
      </c>
      <c r="X51" s="191">
        <v>-5.5</v>
      </c>
      <c r="Y51" s="191">
        <v>-5.3</v>
      </c>
      <c r="Z51" s="191">
        <v>-3</v>
      </c>
      <c r="AA51" s="191">
        <v>0</v>
      </c>
      <c r="AB51" s="191">
        <v>0</v>
      </c>
      <c r="AC51" s="191">
        <v>0</v>
      </c>
      <c r="AD51" s="191">
        <v>0</v>
      </c>
      <c r="AE51" s="191">
        <v>0</v>
      </c>
      <c r="AF51" s="191">
        <v>0</v>
      </c>
      <c r="AG51" s="191">
        <v>0</v>
      </c>
      <c r="AH51" s="191">
        <v>0</v>
      </c>
      <c r="AI51" s="191">
        <v>0</v>
      </c>
      <c r="AJ51" s="191">
        <v>0</v>
      </c>
      <c r="AK51" s="191">
        <v>0</v>
      </c>
      <c r="AL51" s="191">
        <v>0</v>
      </c>
      <c r="AM51" s="191">
        <v>-121.9</v>
      </c>
      <c r="AN51" s="191">
        <v>0</v>
      </c>
      <c r="AO51" s="191">
        <v>0</v>
      </c>
      <c r="AP51" s="191">
        <v>0</v>
      </c>
      <c r="AQ51" s="191">
        <v>0</v>
      </c>
      <c r="AR51" s="191">
        <v>-11.2</v>
      </c>
      <c r="AS51" s="191">
        <v>-0.4</v>
      </c>
      <c r="AT51" s="191">
        <v>-0.4</v>
      </c>
      <c r="AU51" s="191">
        <v>-0.4</v>
      </c>
      <c r="AV51" s="191">
        <v>-2.6</v>
      </c>
      <c r="AW51" s="191">
        <v>-0.4</v>
      </c>
      <c r="AX51" s="191">
        <v>-1.8</v>
      </c>
      <c r="AY51" s="191">
        <v>-2</v>
      </c>
      <c r="AZ51" s="191">
        <v>-2.8</v>
      </c>
      <c r="BA51" s="191">
        <v>-1</v>
      </c>
      <c r="BB51" s="191">
        <v>-0.2</v>
      </c>
      <c r="BC51" s="191">
        <v>-0.2</v>
      </c>
      <c r="BD51" s="191">
        <v>-0.5</v>
      </c>
      <c r="BE51" s="192">
        <v>-0.2</v>
      </c>
      <c r="BF51" s="180"/>
      <c r="BG51" s="191" t="s">
        <v>457</v>
      </c>
      <c r="BH51" s="191">
        <v>0</v>
      </c>
      <c r="BI51" s="191">
        <v>835.63</v>
      </c>
      <c r="BJ51" s="191">
        <v>0</v>
      </c>
      <c r="BK51" s="191">
        <v>0</v>
      </c>
      <c r="BL51" s="191">
        <v>0</v>
      </c>
      <c r="BM51" s="191">
        <v>0</v>
      </c>
      <c r="BN51" s="191">
        <v>0</v>
      </c>
      <c r="BO51" s="191">
        <v>0</v>
      </c>
      <c r="BP51" s="191">
        <v>0</v>
      </c>
      <c r="BQ51" s="191">
        <v>0</v>
      </c>
      <c r="BR51" s="191">
        <v>0</v>
      </c>
      <c r="BS51" s="191">
        <v>0</v>
      </c>
      <c r="BT51" s="191">
        <v>0</v>
      </c>
      <c r="BU51" s="191">
        <v>0</v>
      </c>
      <c r="BV51" s="191">
        <v>0</v>
      </c>
      <c r="BW51" s="191">
        <v>0</v>
      </c>
      <c r="BX51" s="191">
        <v>0</v>
      </c>
      <c r="BY51" s="191">
        <v>-0.92</v>
      </c>
      <c r="BZ51" s="191">
        <v>-5.64</v>
      </c>
      <c r="CA51" s="191">
        <v>-5.43</v>
      </c>
      <c r="CB51" s="191">
        <v>-3.08</v>
      </c>
      <c r="CC51" s="191">
        <v>0</v>
      </c>
      <c r="CD51" s="191">
        <v>0</v>
      </c>
      <c r="CE51" s="191">
        <v>0</v>
      </c>
      <c r="CF51" s="191">
        <v>0</v>
      </c>
      <c r="CG51" s="191">
        <v>0</v>
      </c>
      <c r="CH51" s="191">
        <v>0</v>
      </c>
      <c r="CI51" s="191">
        <v>0</v>
      </c>
      <c r="CJ51" s="191">
        <v>0</v>
      </c>
      <c r="CK51" s="191">
        <v>0</v>
      </c>
      <c r="CL51" s="191">
        <v>0</v>
      </c>
      <c r="CM51" s="191">
        <v>0</v>
      </c>
      <c r="CN51" s="191">
        <v>0</v>
      </c>
      <c r="CO51" s="191">
        <v>-124.97</v>
      </c>
      <c r="CP51" s="191">
        <v>0</v>
      </c>
      <c r="CQ51" s="191">
        <v>0</v>
      </c>
      <c r="CR51" s="191">
        <v>0</v>
      </c>
      <c r="CS51" s="191">
        <v>0</v>
      </c>
      <c r="CT51" s="191">
        <v>-11.48</v>
      </c>
      <c r="CU51" s="191">
        <v>-0.41</v>
      </c>
      <c r="CV51" s="191">
        <v>-0.41</v>
      </c>
      <c r="CW51" s="191">
        <v>-0.41</v>
      </c>
      <c r="CX51" s="191">
        <v>-2.67</v>
      </c>
      <c r="CY51" s="191">
        <v>-0.41</v>
      </c>
      <c r="CZ51" s="191">
        <v>-1.85</v>
      </c>
      <c r="DA51" s="191">
        <v>-2.05</v>
      </c>
      <c r="DB51" s="191">
        <v>-2.87</v>
      </c>
      <c r="DC51" s="191">
        <v>-1.03</v>
      </c>
      <c r="DD51" s="191">
        <v>-0.21</v>
      </c>
      <c r="DE51" s="191">
        <v>-0.21</v>
      </c>
      <c r="DF51" s="191">
        <v>-0.51</v>
      </c>
      <c r="DG51" s="192">
        <v>-0.21</v>
      </c>
      <c r="DH51" s="180"/>
      <c r="DI51" s="191" t="s">
        <v>457</v>
      </c>
      <c r="DJ51" s="191">
        <v>0</v>
      </c>
      <c r="DK51" s="191">
        <v>0</v>
      </c>
      <c r="DL51" s="191">
        <v>0</v>
      </c>
      <c r="DM51" s="191">
        <v>0</v>
      </c>
      <c r="DN51" s="191">
        <v>0</v>
      </c>
      <c r="DO51" s="191">
        <v>0</v>
      </c>
      <c r="DP51" s="191">
        <v>0</v>
      </c>
      <c r="DQ51" s="191">
        <v>0</v>
      </c>
      <c r="DR51" s="191">
        <v>0</v>
      </c>
      <c r="DS51" s="191">
        <v>0</v>
      </c>
      <c r="DT51" s="191">
        <v>0</v>
      </c>
      <c r="DU51" s="191">
        <v>0</v>
      </c>
      <c r="DV51" s="191">
        <v>0</v>
      </c>
      <c r="DW51" s="191">
        <v>0</v>
      </c>
      <c r="DX51" s="191">
        <v>0</v>
      </c>
      <c r="DY51" s="192">
        <v>0</v>
      </c>
    </row>
    <row r="52" s="180" customFormat="1" spans="1:129">
      <c r="A52" s="190" t="s">
        <v>458</v>
      </c>
      <c r="B52" s="191">
        <v>-159</v>
      </c>
      <c r="C52" s="192">
        <v>666.33</v>
      </c>
      <c r="E52" s="191" t="s">
        <v>458</v>
      </c>
      <c r="F52" s="191">
        <v>0</v>
      </c>
      <c r="G52" s="191">
        <v>666.33</v>
      </c>
      <c r="H52" s="191">
        <v>0</v>
      </c>
      <c r="I52" s="191">
        <v>0</v>
      </c>
      <c r="J52" s="191">
        <v>0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0</v>
      </c>
      <c r="V52" s="191">
        <v>0</v>
      </c>
      <c r="W52" s="191">
        <v>-0.9</v>
      </c>
      <c r="X52" s="191">
        <v>-5.5</v>
      </c>
      <c r="Y52" s="191">
        <v>-5.3</v>
      </c>
      <c r="Z52" s="191">
        <v>-3</v>
      </c>
      <c r="AA52" s="191">
        <v>0</v>
      </c>
      <c r="AB52" s="191">
        <v>0</v>
      </c>
      <c r="AC52" s="191">
        <v>0</v>
      </c>
      <c r="AD52" s="191">
        <v>0</v>
      </c>
      <c r="AE52" s="191">
        <v>0</v>
      </c>
      <c r="AF52" s="191">
        <v>0</v>
      </c>
      <c r="AG52" s="191">
        <v>0</v>
      </c>
      <c r="AH52" s="191">
        <v>0</v>
      </c>
      <c r="AI52" s="191">
        <v>0</v>
      </c>
      <c r="AJ52" s="191">
        <v>0</v>
      </c>
      <c r="AK52" s="191">
        <v>0</v>
      </c>
      <c r="AL52" s="191">
        <v>0</v>
      </c>
      <c r="AM52" s="191">
        <v>-121.9</v>
      </c>
      <c r="AN52" s="191">
        <v>0</v>
      </c>
      <c r="AO52" s="191">
        <v>0</v>
      </c>
      <c r="AP52" s="191">
        <v>0</v>
      </c>
      <c r="AQ52" s="191">
        <v>0</v>
      </c>
      <c r="AR52" s="191">
        <v>-10</v>
      </c>
      <c r="AS52" s="191">
        <v>-0.5</v>
      </c>
      <c r="AT52" s="191">
        <v>-0.5</v>
      </c>
      <c r="AU52" s="191">
        <v>-0.5</v>
      </c>
      <c r="AV52" s="191">
        <v>-2.1</v>
      </c>
      <c r="AW52" s="191">
        <v>-0.5</v>
      </c>
      <c r="AX52" s="191">
        <v>-1.4</v>
      </c>
      <c r="AY52" s="191">
        <v>-2.1</v>
      </c>
      <c r="AZ52" s="191">
        <v>-2.8</v>
      </c>
      <c r="BA52" s="191">
        <v>-0.8</v>
      </c>
      <c r="BB52" s="191">
        <v>-0.2</v>
      </c>
      <c r="BC52" s="191">
        <v>-0.2</v>
      </c>
      <c r="BD52" s="191">
        <v>-0.6</v>
      </c>
      <c r="BE52" s="192">
        <v>-0.2</v>
      </c>
      <c r="BF52" s="180"/>
      <c r="BG52" s="191" t="s">
        <v>458</v>
      </c>
      <c r="BH52" s="191">
        <v>0</v>
      </c>
      <c r="BI52" s="191">
        <v>649.94</v>
      </c>
      <c r="BJ52" s="191">
        <v>0</v>
      </c>
      <c r="BK52" s="191">
        <v>0</v>
      </c>
      <c r="BL52" s="191">
        <v>0</v>
      </c>
      <c r="BM52" s="191">
        <v>0</v>
      </c>
      <c r="BN52" s="191">
        <v>0</v>
      </c>
      <c r="BO52" s="191">
        <v>0</v>
      </c>
      <c r="BP52" s="191">
        <v>0</v>
      </c>
      <c r="BQ52" s="191">
        <v>0</v>
      </c>
      <c r="BR52" s="191">
        <v>0</v>
      </c>
      <c r="BS52" s="191">
        <v>0</v>
      </c>
      <c r="BT52" s="191">
        <v>0</v>
      </c>
      <c r="BU52" s="191">
        <v>0</v>
      </c>
      <c r="BV52" s="191">
        <v>0</v>
      </c>
      <c r="BW52" s="191">
        <v>0</v>
      </c>
      <c r="BX52" s="191">
        <v>0</v>
      </c>
      <c r="BY52" s="191">
        <v>-0.92</v>
      </c>
      <c r="BZ52" s="191">
        <v>-5.64</v>
      </c>
      <c r="CA52" s="191">
        <v>-5.43</v>
      </c>
      <c r="CB52" s="191">
        <v>-3.08</v>
      </c>
      <c r="CC52" s="191">
        <v>0</v>
      </c>
      <c r="CD52" s="191">
        <v>0</v>
      </c>
      <c r="CE52" s="191">
        <v>0</v>
      </c>
      <c r="CF52" s="191">
        <v>0</v>
      </c>
      <c r="CG52" s="191">
        <v>0</v>
      </c>
      <c r="CH52" s="191">
        <v>0</v>
      </c>
      <c r="CI52" s="191">
        <v>0</v>
      </c>
      <c r="CJ52" s="191">
        <v>0</v>
      </c>
      <c r="CK52" s="191">
        <v>0</v>
      </c>
      <c r="CL52" s="191">
        <v>0</v>
      </c>
      <c r="CM52" s="191">
        <v>0</v>
      </c>
      <c r="CN52" s="191">
        <v>0</v>
      </c>
      <c r="CO52" s="191">
        <v>-124.97</v>
      </c>
      <c r="CP52" s="191">
        <v>0</v>
      </c>
      <c r="CQ52" s="191">
        <v>0</v>
      </c>
      <c r="CR52" s="191">
        <v>0</v>
      </c>
      <c r="CS52" s="191">
        <v>0</v>
      </c>
      <c r="CT52" s="191">
        <v>-10.25</v>
      </c>
      <c r="CU52" s="191">
        <v>-0.51</v>
      </c>
      <c r="CV52" s="191">
        <v>-0.51</v>
      </c>
      <c r="CW52" s="191">
        <v>-0.51</v>
      </c>
      <c r="CX52" s="191">
        <v>-2.15</v>
      </c>
      <c r="CY52" s="191">
        <v>-0.51</v>
      </c>
      <c r="CZ52" s="191">
        <v>-1.44</v>
      </c>
      <c r="DA52" s="191">
        <v>-2.15</v>
      </c>
      <c r="DB52" s="191">
        <v>-2.87</v>
      </c>
      <c r="DC52" s="191">
        <v>-0.82</v>
      </c>
      <c r="DD52" s="191">
        <v>-0.21</v>
      </c>
      <c r="DE52" s="191">
        <v>-0.21</v>
      </c>
      <c r="DF52" s="191">
        <v>-0.62</v>
      </c>
      <c r="DG52" s="192">
        <v>-0.21</v>
      </c>
      <c r="DH52" s="180"/>
      <c r="DI52" s="191" t="s">
        <v>458</v>
      </c>
      <c r="DJ52" s="191">
        <v>0</v>
      </c>
      <c r="DK52" s="191">
        <v>0</v>
      </c>
      <c r="DL52" s="191">
        <v>0</v>
      </c>
      <c r="DM52" s="191">
        <v>0</v>
      </c>
      <c r="DN52" s="191">
        <v>0</v>
      </c>
      <c r="DO52" s="191">
        <v>0</v>
      </c>
      <c r="DP52" s="191">
        <v>0</v>
      </c>
      <c r="DQ52" s="191">
        <v>0</v>
      </c>
      <c r="DR52" s="191">
        <v>0</v>
      </c>
      <c r="DS52" s="191">
        <v>0</v>
      </c>
      <c r="DT52" s="191">
        <v>0</v>
      </c>
      <c r="DU52" s="191">
        <v>0</v>
      </c>
      <c r="DV52" s="191">
        <v>0</v>
      </c>
      <c r="DW52" s="191">
        <v>0</v>
      </c>
      <c r="DX52" s="191">
        <v>0</v>
      </c>
      <c r="DY52" s="192">
        <v>0</v>
      </c>
    </row>
    <row r="53" s="180" customFormat="1" spans="1:129">
      <c r="A53" s="190" t="s">
        <v>459</v>
      </c>
      <c r="B53" s="191">
        <v>-158.2</v>
      </c>
      <c r="C53" s="192">
        <v>190.38</v>
      </c>
      <c r="E53" s="191" t="s">
        <v>459</v>
      </c>
      <c r="F53" s="191">
        <v>0</v>
      </c>
      <c r="G53" s="191">
        <v>190.38</v>
      </c>
      <c r="H53" s="191">
        <v>0</v>
      </c>
      <c r="I53" s="191">
        <v>0</v>
      </c>
      <c r="J53" s="191">
        <v>0</v>
      </c>
      <c r="K53" s="191">
        <v>0</v>
      </c>
      <c r="L53" s="191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0</v>
      </c>
      <c r="T53" s="191">
        <v>0</v>
      </c>
      <c r="U53" s="191">
        <v>0</v>
      </c>
      <c r="V53" s="191">
        <v>0</v>
      </c>
      <c r="W53" s="191">
        <v>-0.9</v>
      </c>
      <c r="X53" s="191">
        <v>-5.5</v>
      </c>
      <c r="Y53" s="191">
        <v>-5.3</v>
      </c>
      <c r="Z53" s="191">
        <v>-3</v>
      </c>
      <c r="AA53" s="191">
        <v>0</v>
      </c>
      <c r="AB53" s="191">
        <v>0</v>
      </c>
      <c r="AC53" s="191">
        <v>0</v>
      </c>
      <c r="AD53" s="191">
        <v>0</v>
      </c>
      <c r="AE53" s="191">
        <v>0</v>
      </c>
      <c r="AF53" s="191">
        <v>0</v>
      </c>
      <c r="AG53" s="191">
        <v>0</v>
      </c>
      <c r="AH53" s="191">
        <v>0</v>
      </c>
      <c r="AI53" s="191">
        <v>0</v>
      </c>
      <c r="AJ53" s="191">
        <v>0</v>
      </c>
      <c r="AK53" s="191">
        <v>0</v>
      </c>
      <c r="AL53" s="191">
        <v>0</v>
      </c>
      <c r="AM53" s="191">
        <v>-121.9</v>
      </c>
      <c r="AN53" s="191">
        <v>0</v>
      </c>
      <c r="AO53" s="191">
        <v>0</v>
      </c>
      <c r="AP53" s="191">
        <v>0</v>
      </c>
      <c r="AQ53" s="191">
        <v>0</v>
      </c>
      <c r="AR53" s="191">
        <v>-9.4</v>
      </c>
      <c r="AS53" s="191">
        <v>-0.5</v>
      </c>
      <c r="AT53" s="191">
        <v>-0.5</v>
      </c>
      <c r="AU53" s="191">
        <v>-0.5</v>
      </c>
      <c r="AV53" s="191">
        <v>-1.8</v>
      </c>
      <c r="AW53" s="191">
        <v>-0.5</v>
      </c>
      <c r="AX53" s="191">
        <v>-1.3</v>
      </c>
      <c r="AY53" s="191">
        <v>-2.3</v>
      </c>
      <c r="AZ53" s="191">
        <v>-2.8</v>
      </c>
      <c r="BA53" s="191">
        <v>-0.8</v>
      </c>
      <c r="BB53" s="191">
        <v>-0.2</v>
      </c>
      <c r="BC53" s="191">
        <v>-0.2</v>
      </c>
      <c r="BD53" s="191">
        <v>-0.6</v>
      </c>
      <c r="BE53" s="192">
        <v>-0.2</v>
      </c>
      <c r="BF53" s="180"/>
      <c r="BG53" s="191" t="s">
        <v>459</v>
      </c>
      <c r="BH53" s="191">
        <v>0</v>
      </c>
      <c r="BI53" s="191">
        <v>185.7</v>
      </c>
      <c r="BJ53" s="191">
        <v>0</v>
      </c>
      <c r="BK53" s="191">
        <v>0</v>
      </c>
      <c r="BL53" s="191">
        <v>0</v>
      </c>
      <c r="BM53" s="191">
        <v>0</v>
      </c>
      <c r="BN53" s="191">
        <v>0</v>
      </c>
      <c r="BO53" s="191">
        <v>0</v>
      </c>
      <c r="BP53" s="191">
        <v>0</v>
      </c>
      <c r="BQ53" s="191">
        <v>0</v>
      </c>
      <c r="BR53" s="191">
        <v>0</v>
      </c>
      <c r="BS53" s="191">
        <v>0</v>
      </c>
      <c r="BT53" s="191">
        <v>0</v>
      </c>
      <c r="BU53" s="191">
        <v>0</v>
      </c>
      <c r="BV53" s="191">
        <v>0</v>
      </c>
      <c r="BW53" s="191">
        <v>0</v>
      </c>
      <c r="BX53" s="191">
        <v>0</v>
      </c>
      <c r="BY53" s="191">
        <v>-0.92</v>
      </c>
      <c r="BZ53" s="191">
        <v>-5.64</v>
      </c>
      <c r="CA53" s="191">
        <v>-5.43</v>
      </c>
      <c r="CB53" s="191">
        <v>-3.08</v>
      </c>
      <c r="CC53" s="191">
        <v>0</v>
      </c>
      <c r="CD53" s="191">
        <v>0</v>
      </c>
      <c r="CE53" s="191">
        <v>0</v>
      </c>
      <c r="CF53" s="191">
        <v>0</v>
      </c>
      <c r="CG53" s="191">
        <v>0</v>
      </c>
      <c r="CH53" s="191">
        <v>0</v>
      </c>
      <c r="CI53" s="191">
        <v>0</v>
      </c>
      <c r="CJ53" s="191">
        <v>0</v>
      </c>
      <c r="CK53" s="191">
        <v>0</v>
      </c>
      <c r="CL53" s="191">
        <v>0</v>
      </c>
      <c r="CM53" s="191">
        <v>0</v>
      </c>
      <c r="CN53" s="191">
        <v>0</v>
      </c>
      <c r="CO53" s="191">
        <v>-124.97</v>
      </c>
      <c r="CP53" s="191">
        <v>0</v>
      </c>
      <c r="CQ53" s="191">
        <v>0</v>
      </c>
      <c r="CR53" s="191">
        <v>0</v>
      </c>
      <c r="CS53" s="191">
        <v>0</v>
      </c>
      <c r="CT53" s="191">
        <v>-9.64</v>
      </c>
      <c r="CU53" s="191">
        <v>-0.51</v>
      </c>
      <c r="CV53" s="191">
        <v>-0.51</v>
      </c>
      <c r="CW53" s="191">
        <v>-0.51</v>
      </c>
      <c r="CX53" s="191">
        <v>-1.85</v>
      </c>
      <c r="CY53" s="191">
        <v>-0.51</v>
      </c>
      <c r="CZ53" s="191">
        <v>-1.33</v>
      </c>
      <c r="DA53" s="191">
        <v>-2.36</v>
      </c>
      <c r="DB53" s="191">
        <v>-2.87</v>
      </c>
      <c r="DC53" s="191">
        <v>-0.82</v>
      </c>
      <c r="DD53" s="191">
        <v>-0.21</v>
      </c>
      <c r="DE53" s="191">
        <v>-0.21</v>
      </c>
      <c r="DF53" s="191">
        <v>-0.62</v>
      </c>
      <c r="DG53" s="192">
        <v>-0.21</v>
      </c>
      <c r="DH53" s="180"/>
      <c r="DI53" s="191" t="s">
        <v>459</v>
      </c>
      <c r="DJ53" s="191">
        <v>0</v>
      </c>
      <c r="DK53" s="191">
        <v>0</v>
      </c>
      <c r="DL53" s="191">
        <v>0</v>
      </c>
      <c r="DM53" s="191">
        <v>0</v>
      </c>
      <c r="DN53" s="191">
        <v>0</v>
      </c>
      <c r="DO53" s="191">
        <v>0</v>
      </c>
      <c r="DP53" s="191">
        <v>0</v>
      </c>
      <c r="DQ53" s="191">
        <v>0</v>
      </c>
      <c r="DR53" s="191">
        <v>0</v>
      </c>
      <c r="DS53" s="191">
        <v>0</v>
      </c>
      <c r="DT53" s="191">
        <v>0</v>
      </c>
      <c r="DU53" s="191">
        <v>0</v>
      </c>
      <c r="DV53" s="191">
        <v>0</v>
      </c>
      <c r="DW53" s="191">
        <v>0</v>
      </c>
      <c r="DX53" s="191">
        <v>0</v>
      </c>
      <c r="DY53" s="192">
        <v>0</v>
      </c>
    </row>
    <row r="54" s="180" customFormat="1" spans="1:129">
      <c r="A54" s="190" t="s">
        <v>460</v>
      </c>
      <c r="B54" s="191">
        <v>-158</v>
      </c>
      <c r="C54" s="192">
        <v>0</v>
      </c>
      <c r="E54" s="191" t="s">
        <v>460</v>
      </c>
      <c r="F54" s="191">
        <v>0</v>
      </c>
      <c r="G54" s="191">
        <v>0</v>
      </c>
      <c r="H54" s="191">
        <v>0</v>
      </c>
      <c r="I54" s="191">
        <v>0</v>
      </c>
      <c r="J54" s="191">
        <v>0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0</v>
      </c>
      <c r="V54" s="191">
        <v>0</v>
      </c>
      <c r="W54" s="191">
        <v>-0.9</v>
      </c>
      <c r="X54" s="191">
        <v>-5.5</v>
      </c>
      <c r="Y54" s="191">
        <v>-5.3</v>
      </c>
      <c r="Z54" s="191">
        <v>-3</v>
      </c>
      <c r="AA54" s="191">
        <v>0</v>
      </c>
      <c r="AB54" s="191">
        <v>0</v>
      </c>
      <c r="AC54" s="191">
        <v>0</v>
      </c>
      <c r="AD54" s="191">
        <v>0</v>
      </c>
      <c r="AE54" s="191">
        <v>0</v>
      </c>
      <c r="AF54" s="191">
        <v>0</v>
      </c>
      <c r="AG54" s="191">
        <v>0</v>
      </c>
      <c r="AH54" s="191">
        <v>0</v>
      </c>
      <c r="AI54" s="191">
        <v>0</v>
      </c>
      <c r="AJ54" s="191">
        <v>0</v>
      </c>
      <c r="AK54" s="191">
        <v>0</v>
      </c>
      <c r="AL54" s="191">
        <v>0</v>
      </c>
      <c r="AM54" s="191">
        <v>-121.9</v>
      </c>
      <c r="AN54" s="191">
        <v>0</v>
      </c>
      <c r="AO54" s="191">
        <v>0</v>
      </c>
      <c r="AP54" s="191">
        <v>0</v>
      </c>
      <c r="AQ54" s="191">
        <v>0</v>
      </c>
      <c r="AR54" s="191">
        <v>-9.2</v>
      </c>
      <c r="AS54" s="191">
        <v>-0.5</v>
      </c>
      <c r="AT54" s="191">
        <v>-0.5</v>
      </c>
      <c r="AU54" s="191">
        <v>-0.5</v>
      </c>
      <c r="AV54" s="191">
        <v>-1.8</v>
      </c>
      <c r="AW54" s="191">
        <v>-0.5</v>
      </c>
      <c r="AX54" s="191">
        <v>-1.1</v>
      </c>
      <c r="AY54" s="191">
        <v>-2.4</v>
      </c>
      <c r="AZ54" s="191">
        <v>-2.9</v>
      </c>
      <c r="BA54" s="191">
        <v>-0.7</v>
      </c>
      <c r="BB54" s="191">
        <v>-0.2</v>
      </c>
      <c r="BC54" s="191">
        <v>-0.2</v>
      </c>
      <c r="BD54" s="191">
        <v>-0.7</v>
      </c>
      <c r="BE54" s="192">
        <v>-0.2</v>
      </c>
      <c r="BF54" s="180"/>
      <c r="BG54" s="191" t="s">
        <v>460</v>
      </c>
      <c r="BH54" s="191">
        <v>0</v>
      </c>
      <c r="BI54" s="191">
        <v>0</v>
      </c>
      <c r="BJ54" s="191">
        <v>0</v>
      </c>
      <c r="BK54" s="191">
        <v>0</v>
      </c>
      <c r="BL54" s="191">
        <v>0</v>
      </c>
      <c r="BM54" s="191">
        <v>0</v>
      </c>
      <c r="BN54" s="191">
        <v>0</v>
      </c>
      <c r="BO54" s="191">
        <v>0</v>
      </c>
      <c r="BP54" s="191">
        <v>0</v>
      </c>
      <c r="BQ54" s="191">
        <v>0</v>
      </c>
      <c r="BR54" s="191">
        <v>0</v>
      </c>
      <c r="BS54" s="191">
        <v>0</v>
      </c>
      <c r="BT54" s="191">
        <v>0</v>
      </c>
      <c r="BU54" s="191">
        <v>0</v>
      </c>
      <c r="BV54" s="191">
        <v>0</v>
      </c>
      <c r="BW54" s="191">
        <v>0</v>
      </c>
      <c r="BX54" s="191">
        <v>0</v>
      </c>
      <c r="BY54" s="191">
        <v>-0.92</v>
      </c>
      <c r="BZ54" s="191">
        <v>-5.64</v>
      </c>
      <c r="CA54" s="191">
        <v>-5.43</v>
      </c>
      <c r="CB54" s="191">
        <v>-3.08</v>
      </c>
      <c r="CC54" s="191">
        <v>0</v>
      </c>
      <c r="CD54" s="191">
        <v>0</v>
      </c>
      <c r="CE54" s="191">
        <v>0</v>
      </c>
      <c r="CF54" s="191">
        <v>0</v>
      </c>
      <c r="CG54" s="191">
        <v>0</v>
      </c>
      <c r="CH54" s="191">
        <v>0</v>
      </c>
      <c r="CI54" s="191">
        <v>0</v>
      </c>
      <c r="CJ54" s="191">
        <v>0</v>
      </c>
      <c r="CK54" s="191">
        <v>0</v>
      </c>
      <c r="CL54" s="191">
        <v>0</v>
      </c>
      <c r="CM54" s="191">
        <v>0</v>
      </c>
      <c r="CN54" s="191">
        <v>0</v>
      </c>
      <c r="CO54" s="191">
        <v>-124.97</v>
      </c>
      <c r="CP54" s="191">
        <v>0</v>
      </c>
      <c r="CQ54" s="191">
        <v>0</v>
      </c>
      <c r="CR54" s="191">
        <v>0</v>
      </c>
      <c r="CS54" s="191">
        <v>0</v>
      </c>
      <c r="CT54" s="191">
        <v>-9.43</v>
      </c>
      <c r="CU54" s="191">
        <v>-0.51</v>
      </c>
      <c r="CV54" s="191">
        <v>-0.51</v>
      </c>
      <c r="CW54" s="191">
        <v>-0.51</v>
      </c>
      <c r="CX54" s="191">
        <v>-1.85</v>
      </c>
      <c r="CY54" s="191">
        <v>-0.51</v>
      </c>
      <c r="CZ54" s="191">
        <v>-1.13</v>
      </c>
      <c r="DA54" s="191">
        <v>-2.46</v>
      </c>
      <c r="DB54" s="191">
        <v>-2.97</v>
      </c>
      <c r="DC54" s="191">
        <v>-0.72</v>
      </c>
      <c r="DD54" s="191">
        <v>-0.21</v>
      </c>
      <c r="DE54" s="191">
        <v>-0.21</v>
      </c>
      <c r="DF54" s="191">
        <v>-0.72</v>
      </c>
      <c r="DG54" s="192">
        <v>-0.21</v>
      </c>
      <c r="DH54" s="180"/>
      <c r="DI54" s="191" t="s">
        <v>460</v>
      </c>
      <c r="DJ54" s="191">
        <v>0</v>
      </c>
      <c r="DK54" s="191">
        <v>0</v>
      </c>
      <c r="DL54" s="191">
        <v>0</v>
      </c>
      <c r="DM54" s="191">
        <v>0</v>
      </c>
      <c r="DN54" s="191">
        <v>0</v>
      </c>
      <c r="DO54" s="191">
        <v>0</v>
      </c>
      <c r="DP54" s="191">
        <v>0</v>
      </c>
      <c r="DQ54" s="191">
        <v>0</v>
      </c>
      <c r="DR54" s="191">
        <v>0</v>
      </c>
      <c r="DS54" s="191">
        <v>0</v>
      </c>
      <c r="DT54" s="191">
        <v>0</v>
      </c>
      <c r="DU54" s="191">
        <v>0</v>
      </c>
      <c r="DV54" s="191">
        <v>0</v>
      </c>
      <c r="DW54" s="191">
        <v>0</v>
      </c>
      <c r="DX54" s="191">
        <v>0</v>
      </c>
      <c r="DY54" s="192">
        <v>0</v>
      </c>
    </row>
    <row r="55" s="180" customFormat="1" spans="1:129">
      <c r="A55" s="190" t="s">
        <v>461</v>
      </c>
      <c r="B55" s="191">
        <v>-159.4</v>
      </c>
      <c r="C55" s="192">
        <v>2.67</v>
      </c>
      <c r="E55" s="191" t="s">
        <v>461</v>
      </c>
      <c r="F55" s="191">
        <v>0</v>
      </c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2.67</v>
      </c>
      <c r="W55" s="191">
        <v>-0.9</v>
      </c>
      <c r="X55" s="191">
        <v>-5.5</v>
      </c>
      <c r="Y55" s="191">
        <v>-5.3</v>
      </c>
      <c r="Z55" s="191">
        <v>-3</v>
      </c>
      <c r="AA55" s="191">
        <v>0</v>
      </c>
      <c r="AB55" s="191">
        <v>0</v>
      </c>
      <c r="AC55" s="191">
        <v>0</v>
      </c>
      <c r="AD55" s="191">
        <v>0</v>
      </c>
      <c r="AE55" s="191">
        <v>0</v>
      </c>
      <c r="AF55" s="191">
        <v>0</v>
      </c>
      <c r="AG55" s="191">
        <v>0</v>
      </c>
      <c r="AH55" s="191">
        <v>0</v>
      </c>
      <c r="AI55" s="191">
        <v>0</v>
      </c>
      <c r="AJ55" s="191">
        <v>0</v>
      </c>
      <c r="AK55" s="191">
        <v>0</v>
      </c>
      <c r="AL55" s="191">
        <v>0</v>
      </c>
      <c r="AM55" s="191">
        <v>-121.9</v>
      </c>
      <c r="AN55" s="191">
        <v>0</v>
      </c>
      <c r="AO55" s="191">
        <v>0</v>
      </c>
      <c r="AP55" s="191">
        <v>0</v>
      </c>
      <c r="AQ55" s="191">
        <v>0</v>
      </c>
      <c r="AR55" s="191">
        <v>-9.9</v>
      </c>
      <c r="AS55" s="191">
        <v>-0.6</v>
      </c>
      <c r="AT55" s="191">
        <v>-0.6</v>
      </c>
      <c r="AU55" s="191">
        <v>-0.6</v>
      </c>
      <c r="AV55" s="191">
        <v>-1.8</v>
      </c>
      <c r="AW55" s="191">
        <v>-0.6</v>
      </c>
      <c r="AX55" s="191">
        <v>-1.1</v>
      </c>
      <c r="AY55" s="191">
        <v>-2.5</v>
      </c>
      <c r="AZ55" s="191">
        <v>-2.9</v>
      </c>
      <c r="BA55" s="191">
        <v>-0.9</v>
      </c>
      <c r="BB55" s="191">
        <v>-0.2</v>
      </c>
      <c r="BC55" s="191">
        <v>-0.2</v>
      </c>
      <c r="BD55" s="191">
        <v>-0.7</v>
      </c>
      <c r="BE55" s="192">
        <v>-0.2</v>
      </c>
      <c r="BF55" s="180"/>
      <c r="BG55" s="191" t="s">
        <v>461</v>
      </c>
      <c r="BH55" s="191">
        <v>0</v>
      </c>
      <c r="BI55" s="191">
        <v>0</v>
      </c>
      <c r="BJ55" s="191">
        <v>0</v>
      </c>
      <c r="BK55" s="191">
        <v>0</v>
      </c>
      <c r="BL55" s="191">
        <v>0</v>
      </c>
      <c r="BM55" s="191">
        <v>0</v>
      </c>
      <c r="BN55" s="191">
        <v>0</v>
      </c>
      <c r="BO55" s="191">
        <v>0</v>
      </c>
      <c r="BP55" s="191">
        <v>0</v>
      </c>
      <c r="BQ55" s="191">
        <v>0</v>
      </c>
      <c r="BR55" s="191">
        <v>0</v>
      </c>
      <c r="BS55" s="191">
        <v>0</v>
      </c>
      <c r="BT55" s="191">
        <v>0</v>
      </c>
      <c r="BU55" s="191">
        <v>0</v>
      </c>
      <c r="BV55" s="191">
        <v>0</v>
      </c>
      <c r="BW55" s="191">
        <v>0</v>
      </c>
      <c r="BX55" s="191">
        <v>2.6</v>
      </c>
      <c r="BY55" s="191">
        <v>-0.92</v>
      </c>
      <c r="BZ55" s="191">
        <v>-5.64</v>
      </c>
      <c r="CA55" s="191">
        <v>-5.43</v>
      </c>
      <c r="CB55" s="191">
        <v>-3.08</v>
      </c>
      <c r="CC55" s="191">
        <v>0</v>
      </c>
      <c r="CD55" s="191">
        <v>0</v>
      </c>
      <c r="CE55" s="191">
        <v>0</v>
      </c>
      <c r="CF55" s="191">
        <v>0</v>
      </c>
      <c r="CG55" s="191">
        <v>0</v>
      </c>
      <c r="CH55" s="191">
        <v>0</v>
      </c>
      <c r="CI55" s="191">
        <v>0</v>
      </c>
      <c r="CJ55" s="191">
        <v>0</v>
      </c>
      <c r="CK55" s="191">
        <v>0</v>
      </c>
      <c r="CL55" s="191">
        <v>0</v>
      </c>
      <c r="CM55" s="191">
        <v>0</v>
      </c>
      <c r="CN55" s="191">
        <v>0</v>
      </c>
      <c r="CO55" s="191">
        <v>-124.97</v>
      </c>
      <c r="CP55" s="191">
        <v>0</v>
      </c>
      <c r="CQ55" s="191">
        <v>0</v>
      </c>
      <c r="CR55" s="191">
        <v>0</v>
      </c>
      <c r="CS55" s="191">
        <v>0</v>
      </c>
      <c r="CT55" s="191">
        <v>-10.15</v>
      </c>
      <c r="CU55" s="191">
        <v>-0.62</v>
      </c>
      <c r="CV55" s="191">
        <v>-0.62</v>
      </c>
      <c r="CW55" s="191">
        <v>-0.62</v>
      </c>
      <c r="CX55" s="191">
        <v>-1.85</v>
      </c>
      <c r="CY55" s="191">
        <v>-0.62</v>
      </c>
      <c r="CZ55" s="191">
        <v>-1.13</v>
      </c>
      <c r="DA55" s="191">
        <v>-2.56</v>
      </c>
      <c r="DB55" s="191">
        <v>-2.97</v>
      </c>
      <c r="DC55" s="191">
        <v>-0.92</v>
      </c>
      <c r="DD55" s="191">
        <v>-0.21</v>
      </c>
      <c r="DE55" s="191">
        <v>-0.21</v>
      </c>
      <c r="DF55" s="191">
        <v>-0.72</v>
      </c>
      <c r="DG55" s="192">
        <v>-0.21</v>
      </c>
      <c r="DH55" s="180"/>
      <c r="DI55" s="191" t="s">
        <v>461</v>
      </c>
      <c r="DJ55" s="191">
        <v>0</v>
      </c>
      <c r="DK55" s="191">
        <v>0</v>
      </c>
      <c r="DL55" s="191">
        <v>0</v>
      </c>
      <c r="DM55" s="191">
        <v>0</v>
      </c>
      <c r="DN55" s="191">
        <v>0</v>
      </c>
      <c r="DO55" s="191">
        <v>0</v>
      </c>
      <c r="DP55" s="191">
        <v>0</v>
      </c>
      <c r="DQ55" s="191">
        <v>0</v>
      </c>
      <c r="DR55" s="191">
        <v>0</v>
      </c>
      <c r="DS55" s="191">
        <v>2.53</v>
      </c>
      <c r="DT55" s="191">
        <v>0</v>
      </c>
      <c r="DU55" s="191">
        <v>0</v>
      </c>
      <c r="DV55" s="191">
        <v>0</v>
      </c>
      <c r="DW55" s="191">
        <v>0</v>
      </c>
      <c r="DX55" s="191">
        <v>0</v>
      </c>
      <c r="DY55" s="192">
        <v>0</v>
      </c>
    </row>
    <row r="56" s="180" customFormat="1" spans="1:129">
      <c r="A56" s="190" t="s">
        <v>462</v>
      </c>
      <c r="B56" s="191">
        <v>-110.6</v>
      </c>
      <c r="C56" s="192">
        <v>22.37</v>
      </c>
      <c r="E56" s="191" t="s">
        <v>462</v>
      </c>
      <c r="F56" s="191">
        <v>0</v>
      </c>
      <c r="G56" s="191">
        <v>0</v>
      </c>
      <c r="H56" s="191">
        <v>0</v>
      </c>
      <c r="I56" s="191">
        <v>0</v>
      </c>
      <c r="J56" s="191">
        <v>0</v>
      </c>
      <c r="K56" s="191">
        <v>0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0</v>
      </c>
      <c r="V56" s="191">
        <v>2.67</v>
      </c>
      <c r="W56" s="191">
        <v>-0.9</v>
      </c>
      <c r="X56" s="191">
        <v>-5.5</v>
      </c>
      <c r="Y56" s="191">
        <v>-5.3</v>
      </c>
      <c r="Z56" s="191">
        <v>-3</v>
      </c>
      <c r="AA56" s="191">
        <v>0</v>
      </c>
      <c r="AB56" s="191">
        <v>0</v>
      </c>
      <c r="AC56" s="191">
        <v>0</v>
      </c>
      <c r="AD56" s="191">
        <v>0</v>
      </c>
      <c r="AE56" s="191">
        <v>0</v>
      </c>
      <c r="AF56" s="191">
        <v>13.51</v>
      </c>
      <c r="AG56" s="191">
        <v>0</v>
      </c>
      <c r="AH56" s="191">
        <v>6.19</v>
      </c>
      <c r="AI56" s="191">
        <v>0</v>
      </c>
      <c r="AJ56" s="191">
        <v>0</v>
      </c>
      <c r="AK56" s="191">
        <v>0</v>
      </c>
      <c r="AL56" s="191">
        <v>0</v>
      </c>
      <c r="AM56" s="191">
        <v>-71.9</v>
      </c>
      <c r="AN56" s="191">
        <v>0</v>
      </c>
      <c r="AO56" s="191">
        <v>0</v>
      </c>
      <c r="AP56" s="191">
        <v>0</v>
      </c>
      <c r="AQ56" s="191">
        <v>0</v>
      </c>
      <c r="AR56" s="191">
        <v>-10.6</v>
      </c>
      <c r="AS56" s="191">
        <v>-0.7</v>
      </c>
      <c r="AT56" s="191">
        <v>-0.7</v>
      </c>
      <c r="AU56" s="191">
        <v>-0.7</v>
      </c>
      <c r="AV56" s="191">
        <v>-1.9</v>
      </c>
      <c r="AW56" s="191">
        <v>-0.7</v>
      </c>
      <c r="AX56" s="191">
        <v>-1.1</v>
      </c>
      <c r="AY56" s="191">
        <v>-2.6</v>
      </c>
      <c r="AZ56" s="191">
        <v>-2.9</v>
      </c>
      <c r="BA56" s="191">
        <v>-0.8</v>
      </c>
      <c r="BB56" s="191">
        <v>-0.2</v>
      </c>
      <c r="BC56" s="191">
        <v>-0.2</v>
      </c>
      <c r="BD56" s="191">
        <v>-0.7</v>
      </c>
      <c r="BE56" s="192">
        <v>-0.2</v>
      </c>
      <c r="BF56" s="180"/>
      <c r="BG56" s="191" t="s">
        <v>462</v>
      </c>
      <c r="BH56" s="191">
        <v>0</v>
      </c>
      <c r="BI56" s="191">
        <v>0</v>
      </c>
      <c r="BJ56" s="191">
        <v>0</v>
      </c>
      <c r="BK56" s="191">
        <v>0</v>
      </c>
      <c r="BL56" s="191">
        <v>0</v>
      </c>
      <c r="BM56" s="191">
        <v>0</v>
      </c>
      <c r="BN56" s="191">
        <v>0</v>
      </c>
      <c r="BO56" s="191">
        <v>0</v>
      </c>
      <c r="BP56" s="191">
        <v>0</v>
      </c>
      <c r="BQ56" s="191">
        <v>0</v>
      </c>
      <c r="BR56" s="191">
        <v>0</v>
      </c>
      <c r="BS56" s="191">
        <v>0</v>
      </c>
      <c r="BT56" s="191">
        <v>0</v>
      </c>
      <c r="BU56" s="191">
        <v>0</v>
      </c>
      <c r="BV56" s="191">
        <v>0</v>
      </c>
      <c r="BW56" s="191">
        <v>0</v>
      </c>
      <c r="BX56" s="191">
        <v>2.6</v>
      </c>
      <c r="BY56" s="191">
        <v>-0.92</v>
      </c>
      <c r="BZ56" s="191">
        <v>-5.64</v>
      </c>
      <c r="CA56" s="191">
        <v>-5.43</v>
      </c>
      <c r="CB56" s="191">
        <v>-3.08</v>
      </c>
      <c r="CC56" s="191">
        <v>0</v>
      </c>
      <c r="CD56" s="191">
        <v>0</v>
      </c>
      <c r="CE56" s="191">
        <v>0</v>
      </c>
      <c r="CF56" s="191">
        <v>0</v>
      </c>
      <c r="CG56" s="191">
        <v>0</v>
      </c>
      <c r="CH56" s="191">
        <v>13.18</v>
      </c>
      <c r="CI56" s="191">
        <v>0</v>
      </c>
      <c r="CJ56" s="191">
        <v>6.04</v>
      </c>
      <c r="CK56" s="191">
        <v>0</v>
      </c>
      <c r="CL56" s="191">
        <v>0</v>
      </c>
      <c r="CM56" s="191">
        <v>0</v>
      </c>
      <c r="CN56" s="191">
        <v>0</v>
      </c>
      <c r="CO56" s="191">
        <v>-73.71</v>
      </c>
      <c r="CP56" s="191">
        <v>0</v>
      </c>
      <c r="CQ56" s="191">
        <v>0</v>
      </c>
      <c r="CR56" s="191">
        <v>0</v>
      </c>
      <c r="CS56" s="191">
        <v>0</v>
      </c>
      <c r="CT56" s="191">
        <v>-10.87</v>
      </c>
      <c r="CU56" s="191">
        <v>-0.72</v>
      </c>
      <c r="CV56" s="191">
        <v>-0.72</v>
      </c>
      <c r="CW56" s="191">
        <v>-0.72</v>
      </c>
      <c r="CX56" s="191">
        <v>-1.95</v>
      </c>
      <c r="CY56" s="191">
        <v>-0.72</v>
      </c>
      <c r="CZ56" s="191">
        <v>-1.13</v>
      </c>
      <c r="DA56" s="191">
        <v>-2.67</v>
      </c>
      <c r="DB56" s="191">
        <v>-2.97</v>
      </c>
      <c r="DC56" s="191">
        <v>-0.82</v>
      </c>
      <c r="DD56" s="191">
        <v>-0.21</v>
      </c>
      <c r="DE56" s="191">
        <v>-0.21</v>
      </c>
      <c r="DF56" s="191">
        <v>-0.72</v>
      </c>
      <c r="DG56" s="192">
        <v>-0.21</v>
      </c>
      <c r="DH56" s="180"/>
      <c r="DI56" s="191" t="s">
        <v>462</v>
      </c>
      <c r="DJ56" s="191">
        <v>0</v>
      </c>
      <c r="DK56" s="191">
        <v>0</v>
      </c>
      <c r="DL56" s="191">
        <v>0</v>
      </c>
      <c r="DM56" s="191">
        <v>0</v>
      </c>
      <c r="DN56" s="191">
        <v>0</v>
      </c>
      <c r="DO56" s="191">
        <v>0</v>
      </c>
      <c r="DP56" s="191">
        <v>0</v>
      </c>
      <c r="DQ56" s="191">
        <v>0</v>
      </c>
      <c r="DR56" s="191">
        <v>0</v>
      </c>
      <c r="DS56" s="191">
        <v>2.53</v>
      </c>
      <c r="DT56" s="191">
        <v>0</v>
      </c>
      <c r="DU56" s="191">
        <v>0</v>
      </c>
      <c r="DV56" s="191">
        <v>0</v>
      </c>
      <c r="DW56" s="191">
        <v>0</v>
      </c>
      <c r="DX56" s="191">
        <v>0</v>
      </c>
      <c r="DY56" s="192">
        <v>0</v>
      </c>
    </row>
    <row r="57" s="180" customFormat="1" spans="1:129">
      <c r="A57" s="190" t="s">
        <v>463</v>
      </c>
      <c r="B57" s="191">
        <v>-60.4</v>
      </c>
      <c r="C57" s="192">
        <v>46.17</v>
      </c>
      <c r="E57" s="191" t="s">
        <v>463</v>
      </c>
      <c r="F57" s="191">
        <v>0</v>
      </c>
      <c r="G57" s="191">
        <v>0</v>
      </c>
      <c r="H57" s="191">
        <v>0</v>
      </c>
      <c r="I57" s="191">
        <v>0</v>
      </c>
      <c r="J57" s="191">
        <v>0</v>
      </c>
      <c r="K57" s="191">
        <v>0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0</v>
      </c>
      <c r="V57" s="191">
        <v>2.67</v>
      </c>
      <c r="W57" s="191">
        <v>-0.9</v>
      </c>
      <c r="X57" s="191">
        <v>-5.5</v>
      </c>
      <c r="Y57" s="191">
        <v>-5.3</v>
      </c>
      <c r="Z57" s="191">
        <v>-3</v>
      </c>
      <c r="AA57" s="191">
        <v>23.79</v>
      </c>
      <c r="AB57" s="191">
        <v>0</v>
      </c>
      <c r="AC57" s="191">
        <v>0</v>
      </c>
      <c r="AD57" s="191">
        <v>0</v>
      </c>
      <c r="AE57" s="191">
        <v>0</v>
      </c>
      <c r="AF57" s="191">
        <v>13.52</v>
      </c>
      <c r="AG57" s="191">
        <v>0</v>
      </c>
      <c r="AH57" s="191">
        <v>6.19</v>
      </c>
      <c r="AI57" s="191">
        <v>0</v>
      </c>
      <c r="AJ57" s="191">
        <v>0</v>
      </c>
      <c r="AK57" s="191">
        <v>0</v>
      </c>
      <c r="AL57" s="191">
        <v>0</v>
      </c>
      <c r="AM57" s="191">
        <v>-21.9</v>
      </c>
      <c r="AN57" s="191">
        <v>0</v>
      </c>
      <c r="AO57" s="191">
        <v>0</v>
      </c>
      <c r="AP57" s="191">
        <v>0</v>
      </c>
      <c r="AQ57" s="191">
        <v>0</v>
      </c>
      <c r="AR57" s="191">
        <v>-10.1</v>
      </c>
      <c r="AS57" s="191">
        <v>-0.7</v>
      </c>
      <c r="AT57" s="191">
        <v>-0.7</v>
      </c>
      <c r="AU57" s="191">
        <v>-0.7</v>
      </c>
      <c r="AV57" s="191">
        <v>-1.9</v>
      </c>
      <c r="AW57" s="191">
        <v>-0.7</v>
      </c>
      <c r="AX57" s="191">
        <v>-1.2</v>
      </c>
      <c r="AY57" s="191">
        <v>-2.7</v>
      </c>
      <c r="AZ57" s="191">
        <v>-3</v>
      </c>
      <c r="BA57" s="191">
        <v>-0.8</v>
      </c>
      <c r="BB57" s="191">
        <v>-0.2</v>
      </c>
      <c r="BC57" s="191">
        <v>-0.2</v>
      </c>
      <c r="BD57" s="191">
        <v>-0.7</v>
      </c>
      <c r="BE57" s="192">
        <v>-0.2</v>
      </c>
      <c r="BF57" s="180"/>
      <c r="BG57" s="191" t="s">
        <v>463</v>
      </c>
      <c r="BH57" s="191">
        <v>0</v>
      </c>
      <c r="BI57" s="191">
        <v>0</v>
      </c>
      <c r="BJ57" s="191">
        <v>0</v>
      </c>
      <c r="BK57" s="191">
        <v>0</v>
      </c>
      <c r="BL57" s="191">
        <v>0</v>
      </c>
      <c r="BM57" s="191">
        <v>0</v>
      </c>
      <c r="BN57" s="191">
        <v>0</v>
      </c>
      <c r="BO57" s="191">
        <v>0</v>
      </c>
      <c r="BP57" s="191">
        <v>0</v>
      </c>
      <c r="BQ57" s="191">
        <v>0</v>
      </c>
      <c r="BR57" s="191">
        <v>0</v>
      </c>
      <c r="BS57" s="191">
        <v>0</v>
      </c>
      <c r="BT57" s="191">
        <v>0</v>
      </c>
      <c r="BU57" s="191">
        <v>0</v>
      </c>
      <c r="BV57" s="191">
        <v>0</v>
      </c>
      <c r="BW57" s="191">
        <v>0</v>
      </c>
      <c r="BX57" s="191">
        <v>2.6</v>
      </c>
      <c r="BY57" s="191">
        <v>-0.92</v>
      </c>
      <c r="BZ57" s="191">
        <v>-5.64</v>
      </c>
      <c r="CA57" s="191">
        <v>-5.43</v>
      </c>
      <c r="CB57" s="191">
        <v>-3.08</v>
      </c>
      <c r="CC57" s="191">
        <v>23.2</v>
      </c>
      <c r="CD57" s="191">
        <v>0</v>
      </c>
      <c r="CE57" s="191">
        <v>0</v>
      </c>
      <c r="CF57" s="191">
        <v>0</v>
      </c>
      <c r="CG57" s="191">
        <v>0</v>
      </c>
      <c r="CH57" s="191">
        <v>13.19</v>
      </c>
      <c r="CI57" s="191">
        <v>0</v>
      </c>
      <c r="CJ57" s="191">
        <v>6.04</v>
      </c>
      <c r="CK57" s="191">
        <v>0</v>
      </c>
      <c r="CL57" s="191">
        <v>0</v>
      </c>
      <c r="CM57" s="191">
        <v>0</v>
      </c>
      <c r="CN57" s="191">
        <v>0</v>
      </c>
      <c r="CO57" s="191">
        <v>-22.45</v>
      </c>
      <c r="CP57" s="191">
        <v>0</v>
      </c>
      <c r="CQ57" s="191">
        <v>0</v>
      </c>
      <c r="CR57" s="191">
        <v>0</v>
      </c>
      <c r="CS57" s="191">
        <v>0</v>
      </c>
      <c r="CT57" s="191">
        <v>-10.35</v>
      </c>
      <c r="CU57" s="191">
        <v>-0.72</v>
      </c>
      <c r="CV57" s="191">
        <v>-0.72</v>
      </c>
      <c r="CW57" s="191">
        <v>-0.72</v>
      </c>
      <c r="CX57" s="191">
        <v>-1.95</v>
      </c>
      <c r="CY57" s="191">
        <v>-0.72</v>
      </c>
      <c r="CZ57" s="191">
        <v>-1.23</v>
      </c>
      <c r="DA57" s="191">
        <v>-2.77</v>
      </c>
      <c r="DB57" s="191">
        <v>-3.08</v>
      </c>
      <c r="DC57" s="191">
        <v>-0.82</v>
      </c>
      <c r="DD57" s="191">
        <v>-0.21</v>
      </c>
      <c r="DE57" s="191">
        <v>-0.21</v>
      </c>
      <c r="DF57" s="191">
        <v>-0.72</v>
      </c>
      <c r="DG57" s="192">
        <v>-0.21</v>
      </c>
      <c r="DH57" s="180"/>
      <c r="DI57" s="191" t="s">
        <v>463</v>
      </c>
      <c r="DJ57" s="191">
        <v>0</v>
      </c>
      <c r="DK57" s="191">
        <v>0</v>
      </c>
      <c r="DL57" s="191">
        <v>0</v>
      </c>
      <c r="DM57" s="191">
        <v>0</v>
      </c>
      <c r="DN57" s="191">
        <v>0</v>
      </c>
      <c r="DO57" s="191">
        <v>0</v>
      </c>
      <c r="DP57" s="191">
        <v>0</v>
      </c>
      <c r="DQ57" s="191">
        <v>0</v>
      </c>
      <c r="DR57" s="191">
        <v>0</v>
      </c>
      <c r="DS57" s="191">
        <v>2.53</v>
      </c>
      <c r="DT57" s="191">
        <v>0</v>
      </c>
      <c r="DU57" s="191">
        <v>0</v>
      </c>
      <c r="DV57" s="191">
        <v>0</v>
      </c>
      <c r="DW57" s="191">
        <v>0</v>
      </c>
      <c r="DX57" s="191">
        <v>0</v>
      </c>
      <c r="DY57" s="192">
        <v>0</v>
      </c>
    </row>
    <row r="58" s="180" customFormat="1" spans="1:129">
      <c r="A58" s="190" t="s">
        <v>464</v>
      </c>
      <c r="B58" s="191">
        <v>-38.1</v>
      </c>
      <c r="C58" s="192">
        <v>46.17</v>
      </c>
      <c r="E58" s="191" t="s">
        <v>464</v>
      </c>
      <c r="F58" s="191">
        <v>0</v>
      </c>
      <c r="G58" s="191">
        <v>0</v>
      </c>
      <c r="H58" s="191">
        <v>0</v>
      </c>
      <c r="I58" s="191">
        <v>0</v>
      </c>
      <c r="J58" s="191">
        <v>0</v>
      </c>
      <c r="K58" s="191">
        <v>0</v>
      </c>
      <c r="L58" s="191">
        <v>0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0</v>
      </c>
      <c r="S58" s="191">
        <v>0</v>
      </c>
      <c r="T58" s="191">
        <v>0</v>
      </c>
      <c r="U58" s="191">
        <v>0</v>
      </c>
      <c r="V58" s="191">
        <v>2.67</v>
      </c>
      <c r="W58" s="191">
        <v>-0.9</v>
      </c>
      <c r="X58" s="191">
        <v>-5.5</v>
      </c>
      <c r="Y58" s="191">
        <v>-5.3</v>
      </c>
      <c r="Z58" s="191">
        <v>-3</v>
      </c>
      <c r="AA58" s="191">
        <v>23.79</v>
      </c>
      <c r="AB58" s="191">
        <v>0</v>
      </c>
      <c r="AC58" s="191">
        <v>0</v>
      </c>
      <c r="AD58" s="191">
        <v>0</v>
      </c>
      <c r="AE58" s="191">
        <v>0</v>
      </c>
      <c r="AF58" s="191">
        <v>13.52</v>
      </c>
      <c r="AG58" s="191">
        <v>0</v>
      </c>
      <c r="AH58" s="191">
        <v>6.19</v>
      </c>
      <c r="AI58" s="191">
        <v>0</v>
      </c>
      <c r="AJ58" s="191">
        <v>0</v>
      </c>
      <c r="AK58" s="191">
        <v>0</v>
      </c>
      <c r="AL58" s="191">
        <v>0</v>
      </c>
      <c r="AM58" s="191">
        <v>0</v>
      </c>
      <c r="AN58" s="191">
        <v>0</v>
      </c>
      <c r="AO58" s="191">
        <v>0</v>
      </c>
      <c r="AP58" s="191">
        <v>0</v>
      </c>
      <c r="AQ58" s="191">
        <v>0</v>
      </c>
      <c r="AR58" s="191">
        <v>-9.8</v>
      </c>
      <c r="AS58" s="191">
        <v>-0.7</v>
      </c>
      <c r="AT58" s="191">
        <v>-0.7</v>
      </c>
      <c r="AU58" s="191">
        <v>-0.7</v>
      </c>
      <c r="AV58" s="191">
        <v>-1.8</v>
      </c>
      <c r="AW58" s="191">
        <v>-0.7</v>
      </c>
      <c r="AX58" s="191">
        <v>-1.2</v>
      </c>
      <c r="AY58" s="191">
        <v>-2.7</v>
      </c>
      <c r="AZ58" s="191">
        <v>-3</v>
      </c>
      <c r="BA58" s="191">
        <v>-0.7</v>
      </c>
      <c r="BB58" s="191">
        <v>-0.2</v>
      </c>
      <c r="BC58" s="191">
        <v>-0.2</v>
      </c>
      <c r="BD58" s="191">
        <v>-0.8</v>
      </c>
      <c r="BE58" s="192">
        <v>-0.2</v>
      </c>
      <c r="BF58" s="180"/>
      <c r="BG58" s="191" t="s">
        <v>464</v>
      </c>
      <c r="BH58" s="191">
        <v>0</v>
      </c>
      <c r="BI58" s="191">
        <v>0</v>
      </c>
      <c r="BJ58" s="191">
        <v>0</v>
      </c>
      <c r="BK58" s="191">
        <v>0</v>
      </c>
      <c r="BL58" s="191">
        <v>0</v>
      </c>
      <c r="BM58" s="191">
        <v>0</v>
      </c>
      <c r="BN58" s="191">
        <v>0</v>
      </c>
      <c r="BO58" s="191">
        <v>0</v>
      </c>
      <c r="BP58" s="191">
        <v>0</v>
      </c>
      <c r="BQ58" s="191">
        <v>0</v>
      </c>
      <c r="BR58" s="191">
        <v>0</v>
      </c>
      <c r="BS58" s="191">
        <v>0</v>
      </c>
      <c r="BT58" s="191">
        <v>0</v>
      </c>
      <c r="BU58" s="191">
        <v>0</v>
      </c>
      <c r="BV58" s="191">
        <v>0</v>
      </c>
      <c r="BW58" s="191">
        <v>0</v>
      </c>
      <c r="BX58" s="191">
        <v>2.6</v>
      </c>
      <c r="BY58" s="191">
        <v>-0.92</v>
      </c>
      <c r="BZ58" s="191">
        <v>-5.64</v>
      </c>
      <c r="CA58" s="191">
        <v>-5.43</v>
      </c>
      <c r="CB58" s="191">
        <v>-3.08</v>
      </c>
      <c r="CC58" s="191">
        <v>23.2</v>
      </c>
      <c r="CD58" s="191">
        <v>0</v>
      </c>
      <c r="CE58" s="191">
        <v>0</v>
      </c>
      <c r="CF58" s="191">
        <v>0</v>
      </c>
      <c r="CG58" s="191">
        <v>0</v>
      </c>
      <c r="CH58" s="191">
        <v>13.19</v>
      </c>
      <c r="CI58" s="191">
        <v>0</v>
      </c>
      <c r="CJ58" s="191">
        <v>6.04</v>
      </c>
      <c r="CK58" s="191">
        <v>0</v>
      </c>
      <c r="CL58" s="191">
        <v>0</v>
      </c>
      <c r="CM58" s="191">
        <v>0</v>
      </c>
      <c r="CN58" s="191">
        <v>0</v>
      </c>
      <c r="CO58" s="191">
        <v>0</v>
      </c>
      <c r="CP58" s="191">
        <v>0</v>
      </c>
      <c r="CQ58" s="191">
        <v>0</v>
      </c>
      <c r="CR58" s="191">
        <v>0</v>
      </c>
      <c r="CS58" s="191">
        <v>0</v>
      </c>
      <c r="CT58" s="191">
        <v>-10.05</v>
      </c>
      <c r="CU58" s="191">
        <v>-0.72</v>
      </c>
      <c r="CV58" s="191">
        <v>-0.72</v>
      </c>
      <c r="CW58" s="191">
        <v>-0.72</v>
      </c>
      <c r="CX58" s="191">
        <v>-1.85</v>
      </c>
      <c r="CY58" s="191">
        <v>-0.72</v>
      </c>
      <c r="CZ58" s="191">
        <v>-1.23</v>
      </c>
      <c r="DA58" s="191">
        <v>-2.77</v>
      </c>
      <c r="DB58" s="191">
        <v>-3.08</v>
      </c>
      <c r="DC58" s="191">
        <v>-0.72</v>
      </c>
      <c r="DD58" s="191">
        <v>-0.21</v>
      </c>
      <c r="DE58" s="191">
        <v>-0.21</v>
      </c>
      <c r="DF58" s="191">
        <v>-0.82</v>
      </c>
      <c r="DG58" s="192">
        <v>-0.21</v>
      </c>
      <c r="DH58" s="180"/>
      <c r="DI58" s="191" t="s">
        <v>464</v>
      </c>
      <c r="DJ58" s="191">
        <v>0</v>
      </c>
      <c r="DK58" s="191">
        <v>0</v>
      </c>
      <c r="DL58" s="191">
        <v>0</v>
      </c>
      <c r="DM58" s="191">
        <v>0</v>
      </c>
      <c r="DN58" s="191">
        <v>0</v>
      </c>
      <c r="DO58" s="191">
        <v>0</v>
      </c>
      <c r="DP58" s="191">
        <v>0</v>
      </c>
      <c r="DQ58" s="191">
        <v>0</v>
      </c>
      <c r="DR58" s="191">
        <v>0</v>
      </c>
      <c r="DS58" s="191">
        <v>2.53</v>
      </c>
      <c r="DT58" s="191">
        <v>0</v>
      </c>
      <c r="DU58" s="191">
        <v>0</v>
      </c>
      <c r="DV58" s="191">
        <v>0</v>
      </c>
      <c r="DW58" s="191">
        <v>0</v>
      </c>
      <c r="DX58" s="191">
        <v>0</v>
      </c>
      <c r="DY58" s="192">
        <v>0</v>
      </c>
    </row>
    <row r="59" s="180" customFormat="1" spans="1:129">
      <c r="A59" s="190" t="s">
        <v>465</v>
      </c>
      <c r="B59" s="191">
        <v>-34.9</v>
      </c>
      <c r="C59" s="192">
        <v>46.17</v>
      </c>
      <c r="E59" s="191" t="s">
        <v>465</v>
      </c>
      <c r="F59" s="191">
        <v>0</v>
      </c>
      <c r="G59" s="191">
        <v>0</v>
      </c>
      <c r="H59" s="191">
        <v>0</v>
      </c>
      <c r="I59" s="191">
        <v>0</v>
      </c>
      <c r="J59" s="191">
        <v>0</v>
      </c>
      <c r="K59" s="191">
        <v>0</v>
      </c>
      <c r="L59" s="191">
        <v>0</v>
      </c>
      <c r="M59" s="191">
        <v>0</v>
      </c>
      <c r="N59" s="191">
        <v>0</v>
      </c>
      <c r="O59" s="191">
        <v>0</v>
      </c>
      <c r="P59" s="191">
        <v>0</v>
      </c>
      <c r="Q59" s="191">
        <v>0</v>
      </c>
      <c r="R59" s="191">
        <v>0</v>
      </c>
      <c r="S59" s="191">
        <v>0</v>
      </c>
      <c r="T59" s="191">
        <v>0</v>
      </c>
      <c r="U59" s="191">
        <v>0</v>
      </c>
      <c r="V59" s="191">
        <v>2.67</v>
      </c>
      <c r="W59" s="191">
        <v>-0.9</v>
      </c>
      <c r="X59" s="191">
        <v>-5.5</v>
      </c>
      <c r="Y59" s="191">
        <v>-2.4</v>
      </c>
      <c r="Z59" s="191">
        <v>-3</v>
      </c>
      <c r="AA59" s="191">
        <v>23.79</v>
      </c>
      <c r="AB59" s="191">
        <v>0</v>
      </c>
      <c r="AC59" s="191">
        <v>0</v>
      </c>
      <c r="AD59" s="191">
        <v>0</v>
      </c>
      <c r="AE59" s="191">
        <v>0</v>
      </c>
      <c r="AF59" s="191">
        <v>13.52</v>
      </c>
      <c r="AG59" s="191">
        <v>0</v>
      </c>
      <c r="AH59" s="191">
        <v>6.19</v>
      </c>
      <c r="AI59" s="191">
        <v>0</v>
      </c>
      <c r="AJ59" s="191">
        <v>0</v>
      </c>
      <c r="AK59" s="191">
        <v>0</v>
      </c>
      <c r="AL59" s="191">
        <v>0</v>
      </c>
      <c r="AM59" s="191">
        <v>0</v>
      </c>
      <c r="AN59" s="191">
        <v>0</v>
      </c>
      <c r="AO59" s="191">
        <v>0</v>
      </c>
      <c r="AP59" s="191">
        <v>0</v>
      </c>
      <c r="AQ59" s="191">
        <v>0</v>
      </c>
      <c r="AR59" s="191">
        <v>-8.7</v>
      </c>
      <c r="AS59" s="191">
        <v>-0.8</v>
      </c>
      <c r="AT59" s="191">
        <v>-0.8</v>
      </c>
      <c r="AU59" s="191">
        <v>-0.8</v>
      </c>
      <c r="AV59" s="191">
        <v>-1.9</v>
      </c>
      <c r="AW59" s="191">
        <v>-0.8</v>
      </c>
      <c r="AX59" s="191">
        <v>-1.2</v>
      </c>
      <c r="AY59" s="191">
        <v>-2.8</v>
      </c>
      <c r="AZ59" s="191">
        <v>-3.1</v>
      </c>
      <c r="BA59" s="191">
        <v>-0.7</v>
      </c>
      <c r="BB59" s="191">
        <v>-0.2</v>
      </c>
      <c r="BC59" s="191">
        <v>-0.2</v>
      </c>
      <c r="BD59" s="191">
        <v>-0.9</v>
      </c>
      <c r="BE59" s="192">
        <v>-0.2</v>
      </c>
      <c r="BF59" s="180"/>
      <c r="BG59" s="191" t="s">
        <v>465</v>
      </c>
      <c r="BH59" s="191">
        <v>0</v>
      </c>
      <c r="BI59" s="191">
        <v>0</v>
      </c>
      <c r="BJ59" s="191">
        <v>0</v>
      </c>
      <c r="BK59" s="191">
        <v>0</v>
      </c>
      <c r="BL59" s="191">
        <v>0</v>
      </c>
      <c r="BM59" s="191">
        <v>0</v>
      </c>
      <c r="BN59" s="191">
        <v>0</v>
      </c>
      <c r="BO59" s="191">
        <v>0</v>
      </c>
      <c r="BP59" s="191">
        <v>0</v>
      </c>
      <c r="BQ59" s="191">
        <v>0</v>
      </c>
      <c r="BR59" s="191">
        <v>0</v>
      </c>
      <c r="BS59" s="191">
        <v>0</v>
      </c>
      <c r="BT59" s="191">
        <v>0</v>
      </c>
      <c r="BU59" s="191">
        <v>0</v>
      </c>
      <c r="BV59" s="191">
        <v>0</v>
      </c>
      <c r="BW59" s="191">
        <v>0</v>
      </c>
      <c r="BX59" s="191">
        <v>2.6</v>
      </c>
      <c r="BY59" s="191">
        <v>-0.92</v>
      </c>
      <c r="BZ59" s="191">
        <v>-5.64</v>
      </c>
      <c r="CA59" s="191">
        <v>-2.46</v>
      </c>
      <c r="CB59" s="191">
        <v>-3.08</v>
      </c>
      <c r="CC59" s="191">
        <v>23.2</v>
      </c>
      <c r="CD59" s="191">
        <v>0</v>
      </c>
      <c r="CE59" s="191">
        <v>0</v>
      </c>
      <c r="CF59" s="191">
        <v>0</v>
      </c>
      <c r="CG59" s="191">
        <v>0</v>
      </c>
      <c r="CH59" s="191">
        <v>13.19</v>
      </c>
      <c r="CI59" s="191">
        <v>0</v>
      </c>
      <c r="CJ59" s="191">
        <v>6.04</v>
      </c>
      <c r="CK59" s="191">
        <v>0</v>
      </c>
      <c r="CL59" s="191">
        <v>0</v>
      </c>
      <c r="CM59" s="191">
        <v>0</v>
      </c>
      <c r="CN59" s="191">
        <v>0</v>
      </c>
      <c r="CO59" s="191">
        <v>0</v>
      </c>
      <c r="CP59" s="191">
        <v>0</v>
      </c>
      <c r="CQ59" s="191">
        <v>0</v>
      </c>
      <c r="CR59" s="191">
        <v>0</v>
      </c>
      <c r="CS59" s="191">
        <v>0</v>
      </c>
      <c r="CT59" s="191">
        <v>-8.92</v>
      </c>
      <c r="CU59" s="191">
        <v>-0.82</v>
      </c>
      <c r="CV59" s="191">
        <v>-0.82</v>
      </c>
      <c r="CW59" s="191">
        <v>-0.82</v>
      </c>
      <c r="CX59" s="191">
        <v>-1.95</v>
      </c>
      <c r="CY59" s="191">
        <v>-0.82</v>
      </c>
      <c r="CZ59" s="191">
        <v>-1.23</v>
      </c>
      <c r="DA59" s="191">
        <v>-2.87</v>
      </c>
      <c r="DB59" s="191">
        <v>-3.18</v>
      </c>
      <c r="DC59" s="191">
        <v>-0.72</v>
      </c>
      <c r="DD59" s="191">
        <v>-0.21</v>
      </c>
      <c r="DE59" s="191">
        <v>-0.21</v>
      </c>
      <c r="DF59" s="191">
        <v>-0.92</v>
      </c>
      <c r="DG59" s="192">
        <v>-0.21</v>
      </c>
      <c r="DH59" s="180"/>
      <c r="DI59" s="191" t="s">
        <v>465</v>
      </c>
      <c r="DJ59" s="191">
        <v>0</v>
      </c>
      <c r="DK59" s="191">
        <v>0</v>
      </c>
      <c r="DL59" s="191">
        <v>0</v>
      </c>
      <c r="DM59" s="191">
        <v>0</v>
      </c>
      <c r="DN59" s="191">
        <v>0</v>
      </c>
      <c r="DO59" s="191">
        <v>0</v>
      </c>
      <c r="DP59" s="191">
        <v>0</v>
      </c>
      <c r="DQ59" s="191">
        <v>0</v>
      </c>
      <c r="DR59" s="191">
        <v>0</v>
      </c>
      <c r="DS59" s="191">
        <v>2.53</v>
      </c>
      <c r="DT59" s="191">
        <v>0</v>
      </c>
      <c r="DU59" s="191">
        <v>0</v>
      </c>
      <c r="DV59" s="191">
        <v>0</v>
      </c>
      <c r="DW59" s="191">
        <v>0</v>
      </c>
      <c r="DX59" s="191">
        <v>0</v>
      </c>
      <c r="DY59" s="192">
        <v>0</v>
      </c>
    </row>
    <row r="60" s="180" customFormat="1" spans="1:129">
      <c r="A60" s="190" t="s">
        <v>466</v>
      </c>
      <c r="B60" s="191">
        <v>-34.7</v>
      </c>
      <c r="C60" s="192">
        <v>46.17</v>
      </c>
      <c r="E60" s="191" t="s">
        <v>466</v>
      </c>
      <c r="F60" s="191">
        <v>0</v>
      </c>
      <c r="G60" s="191">
        <v>0</v>
      </c>
      <c r="H60" s="191">
        <v>0</v>
      </c>
      <c r="I60" s="191">
        <v>0</v>
      </c>
      <c r="J60" s="191">
        <v>0</v>
      </c>
      <c r="K60" s="191">
        <v>0</v>
      </c>
      <c r="L60" s="191">
        <v>0</v>
      </c>
      <c r="M60" s="191">
        <v>0</v>
      </c>
      <c r="N60" s="191">
        <v>0</v>
      </c>
      <c r="O60" s="191">
        <v>0</v>
      </c>
      <c r="P60" s="191">
        <v>0</v>
      </c>
      <c r="Q60" s="191">
        <v>0</v>
      </c>
      <c r="R60" s="191">
        <v>0</v>
      </c>
      <c r="S60" s="191">
        <v>0</v>
      </c>
      <c r="T60" s="191">
        <v>0</v>
      </c>
      <c r="U60" s="191">
        <v>0</v>
      </c>
      <c r="V60" s="191">
        <v>2.67</v>
      </c>
      <c r="W60" s="191">
        <v>-0.9</v>
      </c>
      <c r="X60" s="191">
        <v>-5.5</v>
      </c>
      <c r="Y60" s="191">
        <v>-2.4</v>
      </c>
      <c r="Z60" s="191">
        <v>-3</v>
      </c>
      <c r="AA60" s="191">
        <v>23.79</v>
      </c>
      <c r="AB60" s="191">
        <v>0</v>
      </c>
      <c r="AC60" s="191">
        <v>0</v>
      </c>
      <c r="AD60" s="191">
        <v>0</v>
      </c>
      <c r="AE60" s="191">
        <v>0</v>
      </c>
      <c r="AF60" s="191">
        <v>13.52</v>
      </c>
      <c r="AG60" s="191">
        <v>0</v>
      </c>
      <c r="AH60" s="191">
        <v>6.19</v>
      </c>
      <c r="AI60" s="191">
        <v>0</v>
      </c>
      <c r="AJ60" s="191">
        <v>0</v>
      </c>
      <c r="AK60" s="191">
        <v>0</v>
      </c>
      <c r="AL60" s="191">
        <v>0</v>
      </c>
      <c r="AM60" s="191">
        <v>0</v>
      </c>
      <c r="AN60" s="191">
        <v>0</v>
      </c>
      <c r="AO60" s="191">
        <v>0</v>
      </c>
      <c r="AP60" s="191">
        <v>0</v>
      </c>
      <c r="AQ60" s="191">
        <v>0</v>
      </c>
      <c r="AR60" s="191">
        <v>-8.2</v>
      </c>
      <c r="AS60" s="191">
        <v>-0.9</v>
      </c>
      <c r="AT60" s="191">
        <v>-0.9</v>
      </c>
      <c r="AU60" s="191">
        <v>-0.9</v>
      </c>
      <c r="AV60" s="191">
        <v>-1.5</v>
      </c>
      <c r="AW60" s="191">
        <v>-0.9</v>
      </c>
      <c r="AX60" s="191">
        <v>-1.2</v>
      </c>
      <c r="AY60" s="191">
        <v>-2.8</v>
      </c>
      <c r="AZ60" s="191">
        <v>-3.2</v>
      </c>
      <c r="BA60" s="191">
        <v>-0.8</v>
      </c>
      <c r="BB60" s="191">
        <v>-0.3</v>
      </c>
      <c r="BC60" s="191">
        <v>-0.2</v>
      </c>
      <c r="BD60" s="191">
        <v>-0.9</v>
      </c>
      <c r="BE60" s="192">
        <v>-0.2</v>
      </c>
      <c r="BF60" s="180"/>
      <c r="BG60" s="191" t="s">
        <v>466</v>
      </c>
      <c r="BH60" s="191">
        <v>0</v>
      </c>
      <c r="BI60" s="191">
        <v>0</v>
      </c>
      <c r="BJ60" s="191">
        <v>0</v>
      </c>
      <c r="BK60" s="191">
        <v>0</v>
      </c>
      <c r="BL60" s="191">
        <v>0</v>
      </c>
      <c r="BM60" s="191">
        <v>0</v>
      </c>
      <c r="BN60" s="191">
        <v>0</v>
      </c>
      <c r="BO60" s="191">
        <v>0</v>
      </c>
      <c r="BP60" s="191">
        <v>0</v>
      </c>
      <c r="BQ60" s="191">
        <v>0</v>
      </c>
      <c r="BR60" s="191">
        <v>0</v>
      </c>
      <c r="BS60" s="191">
        <v>0</v>
      </c>
      <c r="BT60" s="191">
        <v>0</v>
      </c>
      <c r="BU60" s="191">
        <v>0</v>
      </c>
      <c r="BV60" s="191">
        <v>0</v>
      </c>
      <c r="BW60" s="191">
        <v>0</v>
      </c>
      <c r="BX60" s="191">
        <v>2.6</v>
      </c>
      <c r="BY60" s="191">
        <v>-0.92</v>
      </c>
      <c r="BZ60" s="191">
        <v>-5.64</v>
      </c>
      <c r="CA60" s="191">
        <v>-2.46</v>
      </c>
      <c r="CB60" s="191">
        <v>-3.08</v>
      </c>
      <c r="CC60" s="191">
        <v>23.2</v>
      </c>
      <c r="CD60" s="191">
        <v>0</v>
      </c>
      <c r="CE60" s="191">
        <v>0</v>
      </c>
      <c r="CF60" s="191">
        <v>0</v>
      </c>
      <c r="CG60" s="191">
        <v>0</v>
      </c>
      <c r="CH60" s="191">
        <v>13.19</v>
      </c>
      <c r="CI60" s="191">
        <v>0</v>
      </c>
      <c r="CJ60" s="191">
        <v>6.04</v>
      </c>
      <c r="CK60" s="191">
        <v>0</v>
      </c>
      <c r="CL60" s="191">
        <v>0</v>
      </c>
      <c r="CM60" s="191">
        <v>0</v>
      </c>
      <c r="CN60" s="191">
        <v>0</v>
      </c>
      <c r="CO60" s="191">
        <v>0</v>
      </c>
      <c r="CP60" s="191">
        <v>0</v>
      </c>
      <c r="CQ60" s="191">
        <v>0</v>
      </c>
      <c r="CR60" s="191">
        <v>0</v>
      </c>
      <c r="CS60" s="191">
        <v>0</v>
      </c>
      <c r="CT60" s="191">
        <v>-8.41</v>
      </c>
      <c r="CU60" s="191">
        <v>-0.92</v>
      </c>
      <c r="CV60" s="191">
        <v>-0.92</v>
      </c>
      <c r="CW60" s="191">
        <v>-0.92</v>
      </c>
      <c r="CX60" s="191">
        <v>-1.54</v>
      </c>
      <c r="CY60" s="191">
        <v>-0.92</v>
      </c>
      <c r="CZ60" s="191">
        <v>-1.23</v>
      </c>
      <c r="DA60" s="191">
        <v>-2.87</v>
      </c>
      <c r="DB60" s="191">
        <v>-3.28</v>
      </c>
      <c r="DC60" s="191">
        <v>-0.82</v>
      </c>
      <c r="DD60" s="191">
        <v>-0.31</v>
      </c>
      <c r="DE60" s="191">
        <v>-0.21</v>
      </c>
      <c r="DF60" s="191">
        <v>-0.92</v>
      </c>
      <c r="DG60" s="192">
        <v>-0.21</v>
      </c>
      <c r="DH60" s="180"/>
      <c r="DI60" s="191" t="s">
        <v>466</v>
      </c>
      <c r="DJ60" s="191">
        <v>0</v>
      </c>
      <c r="DK60" s="191">
        <v>0</v>
      </c>
      <c r="DL60" s="191">
        <v>0</v>
      </c>
      <c r="DM60" s="191">
        <v>0</v>
      </c>
      <c r="DN60" s="191">
        <v>0</v>
      </c>
      <c r="DO60" s="191">
        <v>0</v>
      </c>
      <c r="DP60" s="191">
        <v>0</v>
      </c>
      <c r="DQ60" s="191">
        <v>0</v>
      </c>
      <c r="DR60" s="191">
        <v>0</v>
      </c>
      <c r="DS60" s="191">
        <v>2.53</v>
      </c>
      <c r="DT60" s="191">
        <v>0</v>
      </c>
      <c r="DU60" s="191">
        <v>0</v>
      </c>
      <c r="DV60" s="191">
        <v>0</v>
      </c>
      <c r="DW60" s="191">
        <v>0</v>
      </c>
      <c r="DX60" s="191">
        <v>0</v>
      </c>
      <c r="DY60" s="192">
        <v>0</v>
      </c>
    </row>
    <row r="61" s="180" customFormat="1" spans="1:129">
      <c r="A61" s="190" t="s">
        <v>467</v>
      </c>
      <c r="B61" s="191">
        <v>-34.6</v>
      </c>
      <c r="C61" s="192">
        <v>46.17</v>
      </c>
      <c r="E61" s="191" t="s">
        <v>467</v>
      </c>
      <c r="F61" s="191">
        <v>0</v>
      </c>
      <c r="G61" s="191">
        <v>0</v>
      </c>
      <c r="H61" s="191">
        <v>0</v>
      </c>
      <c r="I61" s="191">
        <v>0</v>
      </c>
      <c r="J61" s="191">
        <v>0</v>
      </c>
      <c r="K61" s="191">
        <v>0</v>
      </c>
      <c r="L61" s="191">
        <v>0</v>
      </c>
      <c r="M61" s="191">
        <v>0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0</v>
      </c>
      <c r="V61" s="191">
        <v>2.67</v>
      </c>
      <c r="W61" s="191">
        <v>-0.9</v>
      </c>
      <c r="X61" s="191">
        <v>-5.5</v>
      </c>
      <c r="Y61" s="191">
        <v>-2.4</v>
      </c>
      <c r="Z61" s="191">
        <v>-3</v>
      </c>
      <c r="AA61" s="191">
        <v>23.79</v>
      </c>
      <c r="AB61" s="191">
        <v>0</v>
      </c>
      <c r="AC61" s="191">
        <v>0</v>
      </c>
      <c r="AD61" s="191">
        <v>0</v>
      </c>
      <c r="AE61" s="191">
        <v>0</v>
      </c>
      <c r="AF61" s="191">
        <v>13.52</v>
      </c>
      <c r="AG61" s="191">
        <v>0</v>
      </c>
      <c r="AH61" s="191">
        <v>6.19</v>
      </c>
      <c r="AI61" s="191">
        <v>0</v>
      </c>
      <c r="AJ61" s="191">
        <v>0</v>
      </c>
      <c r="AK61" s="191">
        <v>0</v>
      </c>
      <c r="AL61" s="191">
        <v>0</v>
      </c>
      <c r="AM61" s="191">
        <v>0</v>
      </c>
      <c r="AN61" s="191">
        <v>0</v>
      </c>
      <c r="AO61" s="191">
        <v>0</v>
      </c>
      <c r="AP61" s="191">
        <v>0</v>
      </c>
      <c r="AQ61" s="191">
        <v>0</v>
      </c>
      <c r="AR61" s="191">
        <v>-8.9</v>
      </c>
      <c r="AS61" s="191">
        <v>-0.7</v>
      </c>
      <c r="AT61" s="191">
        <v>-0.7</v>
      </c>
      <c r="AU61" s="191">
        <v>-0.7</v>
      </c>
      <c r="AV61" s="191">
        <v>-1.6</v>
      </c>
      <c r="AW61" s="191">
        <v>-0.7</v>
      </c>
      <c r="AX61" s="191">
        <v>-1.2</v>
      </c>
      <c r="AY61" s="191">
        <v>-2.8</v>
      </c>
      <c r="AZ61" s="191">
        <v>-3.2</v>
      </c>
      <c r="BA61" s="191">
        <v>-0.8</v>
      </c>
      <c r="BB61" s="191">
        <v>-0.3</v>
      </c>
      <c r="BC61" s="191">
        <v>-0.2</v>
      </c>
      <c r="BD61" s="191">
        <v>-0.8</v>
      </c>
      <c r="BE61" s="192">
        <v>-0.2</v>
      </c>
      <c r="BF61" s="180"/>
      <c r="BG61" s="191" t="s">
        <v>467</v>
      </c>
      <c r="BH61" s="191">
        <v>0</v>
      </c>
      <c r="BI61" s="191">
        <v>0</v>
      </c>
      <c r="BJ61" s="191">
        <v>0</v>
      </c>
      <c r="BK61" s="191">
        <v>0</v>
      </c>
      <c r="BL61" s="191">
        <v>0</v>
      </c>
      <c r="BM61" s="191">
        <v>0</v>
      </c>
      <c r="BN61" s="191">
        <v>0</v>
      </c>
      <c r="BO61" s="191">
        <v>0</v>
      </c>
      <c r="BP61" s="191">
        <v>0</v>
      </c>
      <c r="BQ61" s="191">
        <v>0</v>
      </c>
      <c r="BR61" s="191">
        <v>0</v>
      </c>
      <c r="BS61" s="191">
        <v>0</v>
      </c>
      <c r="BT61" s="191">
        <v>0</v>
      </c>
      <c r="BU61" s="191">
        <v>0</v>
      </c>
      <c r="BV61" s="191">
        <v>0</v>
      </c>
      <c r="BW61" s="191">
        <v>0</v>
      </c>
      <c r="BX61" s="191">
        <v>2.6</v>
      </c>
      <c r="BY61" s="191">
        <v>-0.92</v>
      </c>
      <c r="BZ61" s="191">
        <v>-5.64</v>
      </c>
      <c r="CA61" s="191">
        <v>-2.46</v>
      </c>
      <c r="CB61" s="191">
        <v>-3.08</v>
      </c>
      <c r="CC61" s="191">
        <v>23.2</v>
      </c>
      <c r="CD61" s="191">
        <v>0</v>
      </c>
      <c r="CE61" s="191">
        <v>0</v>
      </c>
      <c r="CF61" s="191">
        <v>0</v>
      </c>
      <c r="CG61" s="191">
        <v>0</v>
      </c>
      <c r="CH61" s="191">
        <v>13.19</v>
      </c>
      <c r="CI61" s="191">
        <v>0</v>
      </c>
      <c r="CJ61" s="191">
        <v>6.04</v>
      </c>
      <c r="CK61" s="191">
        <v>0</v>
      </c>
      <c r="CL61" s="191">
        <v>0</v>
      </c>
      <c r="CM61" s="191">
        <v>0</v>
      </c>
      <c r="CN61" s="191">
        <v>0</v>
      </c>
      <c r="CO61" s="191">
        <v>0</v>
      </c>
      <c r="CP61" s="191">
        <v>0</v>
      </c>
      <c r="CQ61" s="191">
        <v>0</v>
      </c>
      <c r="CR61" s="191">
        <v>0</v>
      </c>
      <c r="CS61" s="191">
        <v>0</v>
      </c>
      <c r="CT61" s="191">
        <v>-9.12</v>
      </c>
      <c r="CU61" s="191">
        <v>-0.72</v>
      </c>
      <c r="CV61" s="191">
        <v>-0.72</v>
      </c>
      <c r="CW61" s="191">
        <v>-0.72</v>
      </c>
      <c r="CX61" s="191">
        <v>-1.64</v>
      </c>
      <c r="CY61" s="191">
        <v>-0.72</v>
      </c>
      <c r="CZ61" s="191">
        <v>-1.23</v>
      </c>
      <c r="DA61" s="191">
        <v>-2.87</v>
      </c>
      <c r="DB61" s="191">
        <v>-3.28</v>
      </c>
      <c r="DC61" s="191">
        <v>-0.82</v>
      </c>
      <c r="DD61" s="191">
        <v>-0.31</v>
      </c>
      <c r="DE61" s="191">
        <v>-0.21</v>
      </c>
      <c r="DF61" s="191">
        <v>-0.82</v>
      </c>
      <c r="DG61" s="192">
        <v>-0.21</v>
      </c>
      <c r="DH61" s="180"/>
      <c r="DI61" s="191" t="s">
        <v>467</v>
      </c>
      <c r="DJ61" s="191">
        <v>0</v>
      </c>
      <c r="DK61" s="191">
        <v>0</v>
      </c>
      <c r="DL61" s="191">
        <v>0</v>
      </c>
      <c r="DM61" s="191">
        <v>0</v>
      </c>
      <c r="DN61" s="191">
        <v>0</v>
      </c>
      <c r="DO61" s="191">
        <v>0</v>
      </c>
      <c r="DP61" s="191">
        <v>0</v>
      </c>
      <c r="DQ61" s="191">
        <v>0</v>
      </c>
      <c r="DR61" s="191">
        <v>0</v>
      </c>
      <c r="DS61" s="191">
        <v>2.53</v>
      </c>
      <c r="DT61" s="191">
        <v>0</v>
      </c>
      <c r="DU61" s="191">
        <v>0</v>
      </c>
      <c r="DV61" s="191">
        <v>0</v>
      </c>
      <c r="DW61" s="191">
        <v>0</v>
      </c>
      <c r="DX61" s="191">
        <v>0</v>
      </c>
      <c r="DY61" s="192">
        <v>0</v>
      </c>
    </row>
    <row r="62" s="180" customFormat="1" spans="1:129">
      <c r="A62" s="190" t="s">
        <v>468</v>
      </c>
      <c r="B62" s="191">
        <v>-35.3</v>
      </c>
      <c r="C62" s="192">
        <v>46.17</v>
      </c>
      <c r="E62" s="191" t="s">
        <v>468</v>
      </c>
      <c r="F62" s="191">
        <v>0</v>
      </c>
      <c r="G62" s="191">
        <v>0</v>
      </c>
      <c r="H62" s="191">
        <v>0</v>
      </c>
      <c r="I62" s="191">
        <v>0</v>
      </c>
      <c r="J62" s="191">
        <v>0</v>
      </c>
      <c r="K62" s="191">
        <v>0</v>
      </c>
      <c r="L62" s="191">
        <v>0</v>
      </c>
      <c r="M62" s="191">
        <v>0</v>
      </c>
      <c r="N62" s="191">
        <v>0</v>
      </c>
      <c r="O62" s="191">
        <v>0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0</v>
      </c>
      <c r="V62" s="191">
        <v>2.67</v>
      </c>
      <c r="W62" s="191">
        <v>-0.9</v>
      </c>
      <c r="X62" s="191">
        <v>-5.5</v>
      </c>
      <c r="Y62" s="191">
        <v>-2.4</v>
      </c>
      <c r="Z62" s="191">
        <v>-3</v>
      </c>
      <c r="AA62" s="191">
        <v>23.79</v>
      </c>
      <c r="AB62" s="191">
        <v>0</v>
      </c>
      <c r="AC62" s="191">
        <v>0</v>
      </c>
      <c r="AD62" s="191">
        <v>0</v>
      </c>
      <c r="AE62" s="191">
        <v>0</v>
      </c>
      <c r="AF62" s="191">
        <v>13.52</v>
      </c>
      <c r="AG62" s="191">
        <v>0</v>
      </c>
      <c r="AH62" s="191">
        <v>6.19</v>
      </c>
      <c r="AI62" s="191">
        <v>0</v>
      </c>
      <c r="AJ62" s="191">
        <v>0</v>
      </c>
      <c r="AK62" s="191">
        <v>0</v>
      </c>
      <c r="AL62" s="191">
        <v>0</v>
      </c>
      <c r="AM62" s="191">
        <v>0</v>
      </c>
      <c r="AN62" s="191">
        <v>0</v>
      </c>
      <c r="AO62" s="191">
        <v>0</v>
      </c>
      <c r="AP62" s="191">
        <v>0</v>
      </c>
      <c r="AQ62" s="191">
        <v>0</v>
      </c>
      <c r="AR62" s="191">
        <v>-9.2</v>
      </c>
      <c r="AS62" s="191">
        <v>-0.8</v>
      </c>
      <c r="AT62" s="191">
        <v>-0.8</v>
      </c>
      <c r="AU62" s="191">
        <v>-0.8</v>
      </c>
      <c r="AV62" s="191">
        <v>-1.6</v>
      </c>
      <c r="AW62" s="191">
        <v>-0.8</v>
      </c>
      <c r="AX62" s="191">
        <v>-1.2</v>
      </c>
      <c r="AY62" s="191">
        <v>-2.8</v>
      </c>
      <c r="AZ62" s="191">
        <v>-3.2</v>
      </c>
      <c r="BA62" s="191">
        <v>-0.8</v>
      </c>
      <c r="BB62" s="191">
        <v>-0.3</v>
      </c>
      <c r="BC62" s="191">
        <v>-0.2</v>
      </c>
      <c r="BD62" s="191">
        <v>-0.8</v>
      </c>
      <c r="BE62" s="192">
        <v>-0.2</v>
      </c>
      <c r="BF62" s="180"/>
      <c r="BG62" s="191" t="s">
        <v>468</v>
      </c>
      <c r="BH62" s="191">
        <v>0</v>
      </c>
      <c r="BI62" s="191">
        <v>0</v>
      </c>
      <c r="BJ62" s="191">
        <v>0</v>
      </c>
      <c r="BK62" s="191">
        <v>0</v>
      </c>
      <c r="BL62" s="191">
        <v>0</v>
      </c>
      <c r="BM62" s="191">
        <v>0</v>
      </c>
      <c r="BN62" s="191">
        <v>0</v>
      </c>
      <c r="BO62" s="191">
        <v>0</v>
      </c>
      <c r="BP62" s="191">
        <v>0</v>
      </c>
      <c r="BQ62" s="191">
        <v>0</v>
      </c>
      <c r="BR62" s="191">
        <v>0</v>
      </c>
      <c r="BS62" s="191">
        <v>0</v>
      </c>
      <c r="BT62" s="191">
        <v>0</v>
      </c>
      <c r="BU62" s="191">
        <v>0</v>
      </c>
      <c r="BV62" s="191">
        <v>0</v>
      </c>
      <c r="BW62" s="191">
        <v>0</v>
      </c>
      <c r="BX62" s="191">
        <v>2.6</v>
      </c>
      <c r="BY62" s="191">
        <v>-0.92</v>
      </c>
      <c r="BZ62" s="191">
        <v>-5.64</v>
      </c>
      <c r="CA62" s="191">
        <v>-2.46</v>
      </c>
      <c r="CB62" s="191">
        <v>-3.08</v>
      </c>
      <c r="CC62" s="191">
        <v>23.2</v>
      </c>
      <c r="CD62" s="191">
        <v>0</v>
      </c>
      <c r="CE62" s="191">
        <v>0</v>
      </c>
      <c r="CF62" s="191">
        <v>0</v>
      </c>
      <c r="CG62" s="191">
        <v>0</v>
      </c>
      <c r="CH62" s="191">
        <v>13.19</v>
      </c>
      <c r="CI62" s="191">
        <v>0</v>
      </c>
      <c r="CJ62" s="191">
        <v>6.04</v>
      </c>
      <c r="CK62" s="191">
        <v>0</v>
      </c>
      <c r="CL62" s="191">
        <v>0</v>
      </c>
      <c r="CM62" s="191">
        <v>0</v>
      </c>
      <c r="CN62" s="191">
        <v>0</v>
      </c>
      <c r="CO62" s="191">
        <v>0</v>
      </c>
      <c r="CP62" s="191">
        <v>0</v>
      </c>
      <c r="CQ62" s="191">
        <v>0</v>
      </c>
      <c r="CR62" s="191">
        <v>0</v>
      </c>
      <c r="CS62" s="191">
        <v>0</v>
      </c>
      <c r="CT62" s="191">
        <v>-9.43</v>
      </c>
      <c r="CU62" s="191">
        <v>-0.82</v>
      </c>
      <c r="CV62" s="191">
        <v>-0.82</v>
      </c>
      <c r="CW62" s="191">
        <v>-0.82</v>
      </c>
      <c r="CX62" s="191">
        <v>-1.64</v>
      </c>
      <c r="CY62" s="191">
        <v>-0.82</v>
      </c>
      <c r="CZ62" s="191">
        <v>-1.23</v>
      </c>
      <c r="DA62" s="191">
        <v>-2.87</v>
      </c>
      <c r="DB62" s="191">
        <v>-3.28</v>
      </c>
      <c r="DC62" s="191">
        <v>-0.82</v>
      </c>
      <c r="DD62" s="191">
        <v>-0.31</v>
      </c>
      <c r="DE62" s="191">
        <v>-0.21</v>
      </c>
      <c r="DF62" s="191">
        <v>-0.82</v>
      </c>
      <c r="DG62" s="192">
        <v>-0.21</v>
      </c>
      <c r="DH62" s="180"/>
      <c r="DI62" s="191" t="s">
        <v>468</v>
      </c>
      <c r="DJ62" s="191">
        <v>0</v>
      </c>
      <c r="DK62" s="191">
        <v>0</v>
      </c>
      <c r="DL62" s="191">
        <v>0</v>
      </c>
      <c r="DM62" s="191">
        <v>0</v>
      </c>
      <c r="DN62" s="191">
        <v>0</v>
      </c>
      <c r="DO62" s="191">
        <v>0</v>
      </c>
      <c r="DP62" s="191">
        <v>0</v>
      </c>
      <c r="DQ62" s="191">
        <v>0</v>
      </c>
      <c r="DR62" s="191">
        <v>0</v>
      </c>
      <c r="DS62" s="191">
        <v>2.53</v>
      </c>
      <c r="DT62" s="191">
        <v>0</v>
      </c>
      <c r="DU62" s="191">
        <v>0</v>
      </c>
      <c r="DV62" s="191">
        <v>0</v>
      </c>
      <c r="DW62" s="191">
        <v>0</v>
      </c>
      <c r="DX62" s="191">
        <v>0</v>
      </c>
      <c r="DY62" s="192">
        <v>0</v>
      </c>
    </row>
    <row r="63" s="180" customFormat="1" spans="1:129">
      <c r="A63" s="190" t="s">
        <v>469</v>
      </c>
      <c r="B63" s="191">
        <v>-34.1</v>
      </c>
      <c r="C63" s="192">
        <v>50.17</v>
      </c>
      <c r="E63" s="191" t="s">
        <v>469</v>
      </c>
      <c r="F63" s="191">
        <v>0</v>
      </c>
      <c r="G63" s="191">
        <v>0</v>
      </c>
      <c r="H63" s="191">
        <v>0</v>
      </c>
      <c r="I63" s="191">
        <v>1.14</v>
      </c>
      <c r="J63" s="191">
        <v>0</v>
      </c>
      <c r="K63" s="191">
        <v>0</v>
      </c>
      <c r="L63" s="191">
        <v>0</v>
      </c>
      <c r="M63" s="191">
        <v>0</v>
      </c>
      <c r="N63" s="191">
        <v>0</v>
      </c>
      <c r="O63" s="191">
        <v>0</v>
      </c>
      <c r="P63" s="191">
        <v>0</v>
      </c>
      <c r="Q63" s="191">
        <v>0</v>
      </c>
      <c r="R63" s="191">
        <v>5.71</v>
      </c>
      <c r="S63" s="191">
        <v>0</v>
      </c>
      <c r="T63" s="191">
        <v>0</v>
      </c>
      <c r="U63" s="191">
        <v>0</v>
      </c>
      <c r="V63" s="191">
        <v>2.67</v>
      </c>
      <c r="W63" s="191">
        <v>-0.9</v>
      </c>
      <c r="X63" s="191">
        <v>-5.5</v>
      </c>
      <c r="Y63" s="191">
        <v>-2.4</v>
      </c>
      <c r="Z63" s="191">
        <v>-3</v>
      </c>
      <c r="AA63" s="191">
        <v>23.8</v>
      </c>
      <c r="AB63" s="191">
        <v>0</v>
      </c>
      <c r="AC63" s="191">
        <v>0</v>
      </c>
      <c r="AD63" s="191">
        <v>0</v>
      </c>
      <c r="AE63" s="191">
        <v>0</v>
      </c>
      <c r="AF63" s="191">
        <v>13.52</v>
      </c>
      <c r="AG63" s="191">
        <v>0</v>
      </c>
      <c r="AH63" s="191">
        <v>3.33</v>
      </c>
      <c r="AI63" s="191">
        <v>0</v>
      </c>
      <c r="AJ63" s="191">
        <v>0</v>
      </c>
      <c r="AK63" s="191">
        <v>0</v>
      </c>
      <c r="AL63" s="191">
        <v>0</v>
      </c>
      <c r="AM63" s="191">
        <v>0</v>
      </c>
      <c r="AN63" s="191">
        <v>0</v>
      </c>
      <c r="AO63" s="191">
        <v>0</v>
      </c>
      <c r="AP63" s="191">
        <v>0</v>
      </c>
      <c r="AQ63" s="191">
        <v>0</v>
      </c>
      <c r="AR63" s="191">
        <v>-8.4</v>
      </c>
      <c r="AS63" s="191">
        <v>-0.7</v>
      </c>
      <c r="AT63" s="191">
        <v>-0.7</v>
      </c>
      <c r="AU63" s="191">
        <v>-0.7</v>
      </c>
      <c r="AV63" s="191">
        <v>-1.6</v>
      </c>
      <c r="AW63" s="191">
        <v>-0.7</v>
      </c>
      <c r="AX63" s="191">
        <v>-1.2</v>
      </c>
      <c r="AY63" s="191">
        <v>-2.8</v>
      </c>
      <c r="AZ63" s="191">
        <v>-3.2</v>
      </c>
      <c r="BA63" s="191">
        <v>-0.8</v>
      </c>
      <c r="BB63" s="191">
        <v>-0.3</v>
      </c>
      <c r="BC63" s="191">
        <v>-0.2</v>
      </c>
      <c r="BD63" s="191">
        <v>-0.8</v>
      </c>
      <c r="BE63" s="192">
        <v>-0.2</v>
      </c>
      <c r="BF63" s="180"/>
      <c r="BG63" s="191" t="s">
        <v>469</v>
      </c>
      <c r="BH63" s="191">
        <v>0</v>
      </c>
      <c r="BI63" s="191">
        <v>0</v>
      </c>
      <c r="BJ63" s="191">
        <v>0</v>
      </c>
      <c r="BK63" s="191">
        <v>1.11</v>
      </c>
      <c r="BL63" s="191">
        <v>0</v>
      </c>
      <c r="BM63" s="191">
        <v>0</v>
      </c>
      <c r="BN63" s="191">
        <v>0</v>
      </c>
      <c r="BO63" s="191">
        <v>0</v>
      </c>
      <c r="BP63" s="191">
        <v>0</v>
      </c>
      <c r="BQ63" s="191">
        <v>0</v>
      </c>
      <c r="BR63" s="191">
        <v>0</v>
      </c>
      <c r="BS63" s="191">
        <v>0</v>
      </c>
      <c r="BT63" s="191">
        <v>5.57</v>
      </c>
      <c r="BU63" s="191">
        <v>0</v>
      </c>
      <c r="BV63" s="191">
        <v>0</v>
      </c>
      <c r="BW63" s="191">
        <v>0</v>
      </c>
      <c r="BX63" s="191">
        <v>2.6</v>
      </c>
      <c r="BY63" s="191">
        <v>-0.92</v>
      </c>
      <c r="BZ63" s="191">
        <v>-5.64</v>
      </c>
      <c r="CA63" s="191">
        <v>-2.46</v>
      </c>
      <c r="CB63" s="191">
        <v>-3.08</v>
      </c>
      <c r="CC63" s="191">
        <v>23.21</v>
      </c>
      <c r="CD63" s="191">
        <v>0</v>
      </c>
      <c r="CE63" s="191">
        <v>0</v>
      </c>
      <c r="CF63" s="191">
        <v>0</v>
      </c>
      <c r="CG63" s="191">
        <v>0</v>
      </c>
      <c r="CH63" s="191">
        <v>13.19</v>
      </c>
      <c r="CI63" s="191">
        <v>0</v>
      </c>
      <c r="CJ63" s="191">
        <v>3.25</v>
      </c>
      <c r="CK63" s="191">
        <v>0</v>
      </c>
      <c r="CL63" s="191">
        <v>0</v>
      </c>
      <c r="CM63" s="191">
        <v>0</v>
      </c>
      <c r="CN63" s="191">
        <v>0</v>
      </c>
      <c r="CO63" s="191">
        <v>0</v>
      </c>
      <c r="CP63" s="191">
        <v>0</v>
      </c>
      <c r="CQ63" s="191">
        <v>0</v>
      </c>
      <c r="CR63" s="191">
        <v>0</v>
      </c>
      <c r="CS63" s="191">
        <v>0</v>
      </c>
      <c r="CT63" s="191">
        <v>-8.61</v>
      </c>
      <c r="CU63" s="191">
        <v>-0.72</v>
      </c>
      <c r="CV63" s="191">
        <v>-0.72</v>
      </c>
      <c r="CW63" s="191">
        <v>-0.72</v>
      </c>
      <c r="CX63" s="191">
        <v>-1.64</v>
      </c>
      <c r="CY63" s="191">
        <v>-0.72</v>
      </c>
      <c r="CZ63" s="191">
        <v>-1.23</v>
      </c>
      <c r="DA63" s="191">
        <v>-2.87</v>
      </c>
      <c r="DB63" s="191">
        <v>-3.28</v>
      </c>
      <c r="DC63" s="191">
        <v>-0.82</v>
      </c>
      <c r="DD63" s="191">
        <v>-0.31</v>
      </c>
      <c r="DE63" s="191">
        <v>-0.21</v>
      </c>
      <c r="DF63" s="191">
        <v>-0.82</v>
      </c>
      <c r="DG63" s="192">
        <v>-0.21</v>
      </c>
      <c r="DH63" s="180"/>
      <c r="DI63" s="191" t="s">
        <v>469</v>
      </c>
      <c r="DJ63" s="191">
        <v>0</v>
      </c>
      <c r="DK63" s="191">
        <v>1.08</v>
      </c>
      <c r="DL63" s="191">
        <v>0</v>
      </c>
      <c r="DM63" s="191">
        <v>0</v>
      </c>
      <c r="DN63" s="191">
        <v>0</v>
      </c>
      <c r="DO63" s="191">
        <v>0</v>
      </c>
      <c r="DP63" s="191">
        <v>5.42</v>
      </c>
      <c r="DQ63" s="191">
        <v>0</v>
      </c>
      <c r="DR63" s="191">
        <v>0</v>
      </c>
      <c r="DS63" s="191">
        <v>2.53</v>
      </c>
      <c r="DT63" s="191">
        <v>0</v>
      </c>
      <c r="DU63" s="191">
        <v>0</v>
      </c>
      <c r="DV63" s="191">
        <v>0</v>
      </c>
      <c r="DW63" s="191">
        <v>0</v>
      </c>
      <c r="DX63" s="191">
        <v>0</v>
      </c>
      <c r="DY63" s="192">
        <v>0</v>
      </c>
    </row>
    <row r="64" s="180" customFormat="1" spans="1:129">
      <c r="A64" s="190" t="s">
        <v>470</v>
      </c>
      <c r="B64" s="191">
        <v>-33.5</v>
      </c>
      <c r="C64" s="192">
        <v>50.29</v>
      </c>
      <c r="E64" s="191" t="s">
        <v>470</v>
      </c>
      <c r="F64" s="191">
        <v>0</v>
      </c>
      <c r="G64" s="191">
        <v>0</v>
      </c>
      <c r="H64" s="191">
        <v>0</v>
      </c>
      <c r="I64" s="191">
        <v>1.14</v>
      </c>
      <c r="J64" s="191">
        <v>0</v>
      </c>
      <c r="K64" s="191">
        <v>0</v>
      </c>
      <c r="L64" s="191">
        <v>0</v>
      </c>
      <c r="M64" s="191">
        <v>0</v>
      </c>
      <c r="N64" s="191">
        <v>0</v>
      </c>
      <c r="O64" s="191">
        <v>0</v>
      </c>
      <c r="P64" s="191">
        <v>0</v>
      </c>
      <c r="Q64" s="191">
        <v>0</v>
      </c>
      <c r="R64" s="191">
        <v>5.71</v>
      </c>
      <c r="S64" s="191">
        <v>0</v>
      </c>
      <c r="T64" s="191">
        <v>0</v>
      </c>
      <c r="U64" s="191">
        <v>0</v>
      </c>
      <c r="V64" s="191">
        <v>2.67</v>
      </c>
      <c r="W64" s="191">
        <v>-0.9</v>
      </c>
      <c r="X64" s="191">
        <v>-5.5</v>
      </c>
      <c r="Y64" s="191">
        <v>-2.4</v>
      </c>
      <c r="Z64" s="191">
        <v>-3</v>
      </c>
      <c r="AA64" s="191">
        <v>23.8</v>
      </c>
      <c r="AB64" s="191">
        <v>0</v>
      </c>
      <c r="AC64" s="191">
        <v>0</v>
      </c>
      <c r="AD64" s="191">
        <v>0</v>
      </c>
      <c r="AE64" s="191">
        <v>0</v>
      </c>
      <c r="AF64" s="191">
        <v>13.52</v>
      </c>
      <c r="AG64" s="191">
        <v>0</v>
      </c>
      <c r="AH64" s="191">
        <v>3.33</v>
      </c>
      <c r="AI64" s="191">
        <v>0</v>
      </c>
      <c r="AJ64" s="191">
        <v>0</v>
      </c>
      <c r="AK64" s="191">
        <v>0.12</v>
      </c>
      <c r="AL64" s="191">
        <v>0</v>
      </c>
      <c r="AM64" s="191">
        <v>0</v>
      </c>
      <c r="AN64" s="191">
        <v>0</v>
      </c>
      <c r="AO64" s="191">
        <v>0</v>
      </c>
      <c r="AP64" s="191">
        <v>0</v>
      </c>
      <c r="AQ64" s="191">
        <v>0</v>
      </c>
      <c r="AR64" s="191">
        <v>-7.8</v>
      </c>
      <c r="AS64" s="191">
        <v>-0.7</v>
      </c>
      <c r="AT64" s="191">
        <v>-0.7</v>
      </c>
      <c r="AU64" s="191">
        <v>-0.7</v>
      </c>
      <c r="AV64" s="191">
        <v>-1.6</v>
      </c>
      <c r="AW64" s="191">
        <v>-0.7</v>
      </c>
      <c r="AX64" s="191">
        <v>-1.2</v>
      </c>
      <c r="AY64" s="191">
        <v>-2.9</v>
      </c>
      <c r="AZ64" s="191">
        <v>-3.1</v>
      </c>
      <c r="BA64" s="191">
        <v>-0.8</v>
      </c>
      <c r="BB64" s="191">
        <v>-0.3</v>
      </c>
      <c r="BC64" s="191">
        <v>-0.2</v>
      </c>
      <c r="BD64" s="191">
        <v>-0.8</v>
      </c>
      <c r="BE64" s="192">
        <v>-0.2</v>
      </c>
      <c r="BF64" s="180"/>
      <c r="BG64" s="191" t="s">
        <v>470</v>
      </c>
      <c r="BH64" s="191">
        <v>0</v>
      </c>
      <c r="BI64" s="191">
        <v>0</v>
      </c>
      <c r="BJ64" s="191">
        <v>0</v>
      </c>
      <c r="BK64" s="191">
        <v>1.11</v>
      </c>
      <c r="BL64" s="191">
        <v>0</v>
      </c>
      <c r="BM64" s="191">
        <v>0</v>
      </c>
      <c r="BN64" s="191">
        <v>0</v>
      </c>
      <c r="BO64" s="191">
        <v>0</v>
      </c>
      <c r="BP64" s="191">
        <v>0</v>
      </c>
      <c r="BQ64" s="191">
        <v>0</v>
      </c>
      <c r="BR64" s="191">
        <v>0</v>
      </c>
      <c r="BS64" s="191">
        <v>0</v>
      </c>
      <c r="BT64" s="191">
        <v>5.57</v>
      </c>
      <c r="BU64" s="191">
        <v>0</v>
      </c>
      <c r="BV64" s="191">
        <v>0</v>
      </c>
      <c r="BW64" s="191">
        <v>0</v>
      </c>
      <c r="BX64" s="191">
        <v>2.6</v>
      </c>
      <c r="BY64" s="191">
        <v>-0.92</v>
      </c>
      <c r="BZ64" s="191">
        <v>-5.64</v>
      </c>
      <c r="CA64" s="191">
        <v>-2.46</v>
      </c>
      <c r="CB64" s="191">
        <v>-3.08</v>
      </c>
      <c r="CC64" s="191">
        <v>23.21</v>
      </c>
      <c r="CD64" s="191">
        <v>0</v>
      </c>
      <c r="CE64" s="191">
        <v>0</v>
      </c>
      <c r="CF64" s="191">
        <v>0</v>
      </c>
      <c r="CG64" s="191">
        <v>0</v>
      </c>
      <c r="CH64" s="191">
        <v>13.19</v>
      </c>
      <c r="CI64" s="191">
        <v>0</v>
      </c>
      <c r="CJ64" s="191">
        <v>3.25</v>
      </c>
      <c r="CK64" s="191">
        <v>0</v>
      </c>
      <c r="CL64" s="191">
        <v>0</v>
      </c>
      <c r="CM64" s="191">
        <v>0.12</v>
      </c>
      <c r="CN64" s="191">
        <v>0</v>
      </c>
      <c r="CO64" s="191">
        <v>0</v>
      </c>
      <c r="CP64" s="191">
        <v>0</v>
      </c>
      <c r="CQ64" s="191">
        <v>0</v>
      </c>
      <c r="CR64" s="191">
        <v>0</v>
      </c>
      <c r="CS64" s="191">
        <v>0</v>
      </c>
      <c r="CT64" s="191">
        <v>-8</v>
      </c>
      <c r="CU64" s="191">
        <v>-0.72</v>
      </c>
      <c r="CV64" s="191">
        <v>-0.72</v>
      </c>
      <c r="CW64" s="191">
        <v>-0.72</v>
      </c>
      <c r="CX64" s="191">
        <v>-1.64</v>
      </c>
      <c r="CY64" s="191">
        <v>-0.72</v>
      </c>
      <c r="CZ64" s="191">
        <v>-1.23</v>
      </c>
      <c r="DA64" s="191">
        <v>-2.97</v>
      </c>
      <c r="DB64" s="191">
        <v>-3.18</v>
      </c>
      <c r="DC64" s="191">
        <v>-0.82</v>
      </c>
      <c r="DD64" s="191">
        <v>-0.31</v>
      </c>
      <c r="DE64" s="191">
        <v>-0.21</v>
      </c>
      <c r="DF64" s="191">
        <v>-0.82</v>
      </c>
      <c r="DG64" s="192">
        <v>-0.21</v>
      </c>
      <c r="DH64" s="180"/>
      <c r="DI64" s="191" t="s">
        <v>470</v>
      </c>
      <c r="DJ64" s="191">
        <v>0</v>
      </c>
      <c r="DK64" s="191">
        <v>1.08</v>
      </c>
      <c r="DL64" s="191">
        <v>0</v>
      </c>
      <c r="DM64" s="191">
        <v>0</v>
      </c>
      <c r="DN64" s="191">
        <v>0</v>
      </c>
      <c r="DO64" s="191">
        <v>0</v>
      </c>
      <c r="DP64" s="191">
        <v>5.42</v>
      </c>
      <c r="DQ64" s="191">
        <v>0</v>
      </c>
      <c r="DR64" s="191">
        <v>0</v>
      </c>
      <c r="DS64" s="191">
        <v>2.53</v>
      </c>
      <c r="DT64" s="191">
        <v>0</v>
      </c>
      <c r="DU64" s="191">
        <v>0</v>
      </c>
      <c r="DV64" s="191">
        <v>0</v>
      </c>
      <c r="DW64" s="191">
        <v>0</v>
      </c>
      <c r="DX64" s="191">
        <v>0</v>
      </c>
      <c r="DY64" s="192">
        <v>0</v>
      </c>
    </row>
    <row r="65" s="180" customFormat="1" spans="1:129">
      <c r="A65" s="190" t="s">
        <v>471</v>
      </c>
      <c r="B65" s="191">
        <v>-32.4</v>
      </c>
      <c r="C65" s="192">
        <v>43.31</v>
      </c>
      <c r="E65" s="191" t="s">
        <v>471</v>
      </c>
      <c r="F65" s="191">
        <v>0</v>
      </c>
      <c r="G65" s="191">
        <v>0</v>
      </c>
      <c r="H65" s="191">
        <v>0</v>
      </c>
      <c r="I65" s="191">
        <v>0</v>
      </c>
      <c r="J65" s="191">
        <v>0</v>
      </c>
      <c r="K65" s="191">
        <v>0</v>
      </c>
      <c r="L65" s="191">
        <v>0</v>
      </c>
      <c r="M65" s="191">
        <v>0</v>
      </c>
      <c r="N65" s="191">
        <v>0</v>
      </c>
      <c r="O65" s="191">
        <v>0</v>
      </c>
      <c r="P65" s="191">
        <v>0</v>
      </c>
      <c r="Q65" s="191">
        <v>0</v>
      </c>
      <c r="R65" s="191">
        <v>0</v>
      </c>
      <c r="S65" s="191">
        <v>0</v>
      </c>
      <c r="T65" s="191">
        <v>0</v>
      </c>
      <c r="U65" s="191">
        <v>0</v>
      </c>
      <c r="V65" s="191">
        <v>2.67</v>
      </c>
      <c r="W65" s="191">
        <v>-0.9</v>
      </c>
      <c r="X65" s="191">
        <v>-5.5</v>
      </c>
      <c r="Y65" s="191">
        <v>-2.4</v>
      </c>
      <c r="Z65" s="191">
        <v>-3</v>
      </c>
      <c r="AA65" s="191">
        <v>23.79</v>
      </c>
      <c r="AB65" s="191">
        <v>0</v>
      </c>
      <c r="AC65" s="191">
        <v>0</v>
      </c>
      <c r="AD65" s="191">
        <v>0</v>
      </c>
      <c r="AE65" s="191">
        <v>0</v>
      </c>
      <c r="AF65" s="191">
        <v>13.52</v>
      </c>
      <c r="AG65" s="191">
        <v>0</v>
      </c>
      <c r="AH65" s="191">
        <v>3.33</v>
      </c>
      <c r="AI65" s="191">
        <v>0</v>
      </c>
      <c r="AJ65" s="191">
        <v>0</v>
      </c>
      <c r="AK65" s="191">
        <v>0</v>
      </c>
      <c r="AL65" s="191">
        <v>0</v>
      </c>
      <c r="AM65" s="191">
        <v>0</v>
      </c>
      <c r="AN65" s="191">
        <v>0</v>
      </c>
      <c r="AO65" s="191">
        <v>0</v>
      </c>
      <c r="AP65" s="191">
        <v>0</v>
      </c>
      <c r="AQ65" s="191">
        <v>0</v>
      </c>
      <c r="AR65" s="191">
        <v>-6.8</v>
      </c>
      <c r="AS65" s="191">
        <v>-0.7</v>
      </c>
      <c r="AT65" s="191">
        <v>-0.7</v>
      </c>
      <c r="AU65" s="191">
        <v>-0.7</v>
      </c>
      <c r="AV65" s="191">
        <v>-1.6</v>
      </c>
      <c r="AW65" s="191">
        <v>-0.7</v>
      </c>
      <c r="AX65" s="191">
        <v>-1.3</v>
      </c>
      <c r="AY65" s="191">
        <v>-2.9</v>
      </c>
      <c r="AZ65" s="191">
        <v>-3</v>
      </c>
      <c r="BA65" s="191">
        <v>-0.7</v>
      </c>
      <c r="BB65" s="191">
        <v>-0.3</v>
      </c>
      <c r="BC65" s="191">
        <v>-0.2</v>
      </c>
      <c r="BD65" s="191">
        <v>-0.8</v>
      </c>
      <c r="BE65" s="192">
        <v>-0.2</v>
      </c>
      <c r="BF65" s="180"/>
      <c r="BG65" s="191" t="s">
        <v>471</v>
      </c>
      <c r="BH65" s="191">
        <v>0</v>
      </c>
      <c r="BI65" s="191">
        <v>0</v>
      </c>
      <c r="BJ65" s="191">
        <v>0</v>
      </c>
      <c r="BK65" s="191">
        <v>0</v>
      </c>
      <c r="BL65" s="191">
        <v>0</v>
      </c>
      <c r="BM65" s="191">
        <v>0</v>
      </c>
      <c r="BN65" s="191">
        <v>0</v>
      </c>
      <c r="BO65" s="191">
        <v>0</v>
      </c>
      <c r="BP65" s="191">
        <v>0</v>
      </c>
      <c r="BQ65" s="191">
        <v>0</v>
      </c>
      <c r="BR65" s="191">
        <v>0</v>
      </c>
      <c r="BS65" s="191">
        <v>0</v>
      </c>
      <c r="BT65" s="191">
        <v>0</v>
      </c>
      <c r="BU65" s="191">
        <v>0</v>
      </c>
      <c r="BV65" s="191">
        <v>0</v>
      </c>
      <c r="BW65" s="191">
        <v>0</v>
      </c>
      <c r="BX65" s="191">
        <v>2.6</v>
      </c>
      <c r="BY65" s="191">
        <v>-0.92</v>
      </c>
      <c r="BZ65" s="191">
        <v>-5.64</v>
      </c>
      <c r="CA65" s="191">
        <v>-2.46</v>
      </c>
      <c r="CB65" s="191">
        <v>-3.08</v>
      </c>
      <c r="CC65" s="191">
        <v>23.2</v>
      </c>
      <c r="CD65" s="191">
        <v>0</v>
      </c>
      <c r="CE65" s="191">
        <v>0</v>
      </c>
      <c r="CF65" s="191">
        <v>0</v>
      </c>
      <c r="CG65" s="191">
        <v>0</v>
      </c>
      <c r="CH65" s="191">
        <v>13.19</v>
      </c>
      <c r="CI65" s="191">
        <v>0</v>
      </c>
      <c r="CJ65" s="191">
        <v>3.25</v>
      </c>
      <c r="CK65" s="191">
        <v>0</v>
      </c>
      <c r="CL65" s="191">
        <v>0</v>
      </c>
      <c r="CM65" s="191">
        <v>0</v>
      </c>
      <c r="CN65" s="191">
        <v>0</v>
      </c>
      <c r="CO65" s="191">
        <v>0</v>
      </c>
      <c r="CP65" s="191">
        <v>0</v>
      </c>
      <c r="CQ65" s="191">
        <v>0</v>
      </c>
      <c r="CR65" s="191">
        <v>0</v>
      </c>
      <c r="CS65" s="191">
        <v>0</v>
      </c>
      <c r="CT65" s="191">
        <v>-6.97</v>
      </c>
      <c r="CU65" s="191">
        <v>-0.72</v>
      </c>
      <c r="CV65" s="191">
        <v>-0.72</v>
      </c>
      <c r="CW65" s="191">
        <v>-0.72</v>
      </c>
      <c r="CX65" s="191">
        <v>-1.64</v>
      </c>
      <c r="CY65" s="191">
        <v>-0.72</v>
      </c>
      <c r="CZ65" s="191">
        <v>-1.33</v>
      </c>
      <c r="DA65" s="191">
        <v>-2.97</v>
      </c>
      <c r="DB65" s="191">
        <v>-3.08</v>
      </c>
      <c r="DC65" s="191">
        <v>-0.72</v>
      </c>
      <c r="DD65" s="191">
        <v>-0.31</v>
      </c>
      <c r="DE65" s="191">
        <v>-0.21</v>
      </c>
      <c r="DF65" s="191">
        <v>-0.82</v>
      </c>
      <c r="DG65" s="192">
        <v>-0.21</v>
      </c>
      <c r="DH65" s="180"/>
      <c r="DI65" s="191" t="s">
        <v>471</v>
      </c>
      <c r="DJ65" s="191">
        <v>0</v>
      </c>
      <c r="DK65" s="191">
        <v>0</v>
      </c>
      <c r="DL65" s="191">
        <v>0</v>
      </c>
      <c r="DM65" s="191">
        <v>0</v>
      </c>
      <c r="DN65" s="191">
        <v>0</v>
      </c>
      <c r="DO65" s="191">
        <v>0</v>
      </c>
      <c r="DP65" s="191">
        <v>0</v>
      </c>
      <c r="DQ65" s="191">
        <v>0</v>
      </c>
      <c r="DR65" s="191">
        <v>0</v>
      </c>
      <c r="DS65" s="191">
        <v>2.53</v>
      </c>
      <c r="DT65" s="191">
        <v>0</v>
      </c>
      <c r="DU65" s="191">
        <v>0</v>
      </c>
      <c r="DV65" s="191">
        <v>0</v>
      </c>
      <c r="DW65" s="191">
        <v>0</v>
      </c>
      <c r="DX65" s="191">
        <v>0</v>
      </c>
      <c r="DY65" s="192">
        <v>0</v>
      </c>
    </row>
    <row r="66" s="180" customFormat="1" spans="1:129">
      <c r="A66" s="190" t="s">
        <v>472</v>
      </c>
      <c r="B66" s="191">
        <v>-32.9</v>
      </c>
      <c r="C66" s="192">
        <v>43.31</v>
      </c>
      <c r="E66" s="191" t="s">
        <v>472</v>
      </c>
      <c r="F66" s="191">
        <v>0</v>
      </c>
      <c r="G66" s="191">
        <v>0</v>
      </c>
      <c r="H66" s="191">
        <v>0</v>
      </c>
      <c r="I66" s="191">
        <v>0</v>
      </c>
      <c r="J66" s="191">
        <v>0</v>
      </c>
      <c r="K66" s="191">
        <v>0</v>
      </c>
      <c r="L66" s="191">
        <v>0</v>
      </c>
      <c r="M66" s="191">
        <v>0</v>
      </c>
      <c r="N66" s="191">
        <v>0</v>
      </c>
      <c r="O66" s="191">
        <v>0</v>
      </c>
      <c r="P66" s="191">
        <v>0</v>
      </c>
      <c r="Q66" s="191">
        <v>0</v>
      </c>
      <c r="R66" s="191">
        <v>0</v>
      </c>
      <c r="S66" s="191">
        <v>0</v>
      </c>
      <c r="T66" s="191">
        <v>0</v>
      </c>
      <c r="U66" s="191">
        <v>0</v>
      </c>
      <c r="V66" s="191">
        <v>2.67</v>
      </c>
      <c r="W66" s="191">
        <v>-0.9</v>
      </c>
      <c r="X66" s="191">
        <v>-5.5</v>
      </c>
      <c r="Y66" s="191">
        <v>-2.4</v>
      </c>
      <c r="Z66" s="191">
        <v>-3</v>
      </c>
      <c r="AA66" s="191">
        <v>23.79</v>
      </c>
      <c r="AB66" s="191">
        <v>0</v>
      </c>
      <c r="AC66" s="191">
        <v>0</v>
      </c>
      <c r="AD66" s="191">
        <v>0</v>
      </c>
      <c r="AE66" s="191">
        <v>0</v>
      </c>
      <c r="AF66" s="191">
        <v>13.52</v>
      </c>
      <c r="AG66" s="191">
        <v>0</v>
      </c>
      <c r="AH66" s="191">
        <v>3.33</v>
      </c>
      <c r="AI66" s="191">
        <v>0</v>
      </c>
      <c r="AJ66" s="191">
        <v>0</v>
      </c>
      <c r="AK66" s="191">
        <v>0</v>
      </c>
      <c r="AL66" s="191">
        <v>0</v>
      </c>
      <c r="AM66" s="191">
        <v>0</v>
      </c>
      <c r="AN66" s="191">
        <v>0</v>
      </c>
      <c r="AO66" s="191">
        <v>0</v>
      </c>
      <c r="AP66" s="191">
        <v>0</v>
      </c>
      <c r="AQ66" s="191">
        <v>0</v>
      </c>
      <c r="AR66" s="191">
        <v>-7.1</v>
      </c>
      <c r="AS66" s="191">
        <v>-0.7</v>
      </c>
      <c r="AT66" s="191">
        <v>-0.7</v>
      </c>
      <c r="AU66" s="191">
        <v>-0.7</v>
      </c>
      <c r="AV66" s="191">
        <v>-1.6</v>
      </c>
      <c r="AW66" s="191">
        <v>-0.7</v>
      </c>
      <c r="AX66" s="191">
        <v>-1.3</v>
      </c>
      <c r="AY66" s="191">
        <v>-3</v>
      </c>
      <c r="AZ66" s="191">
        <v>-3</v>
      </c>
      <c r="BA66" s="191">
        <v>-0.8</v>
      </c>
      <c r="BB66" s="191">
        <v>-0.3</v>
      </c>
      <c r="BC66" s="191">
        <v>-0.2</v>
      </c>
      <c r="BD66" s="191">
        <v>-0.8</v>
      </c>
      <c r="BE66" s="192">
        <v>-0.2</v>
      </c>
      <c r="BF66" s="180"/>
      <c r="BG66" s="191" t="s">
        <v>472</v>
      </c>
      <c r="BH66" s="191">
        <v>0</v>
      </c>
      <c r="BI66" s="191">
        <v>0</v>
      </c>
      <c r="BJ66" s="191">
        <v>0</v>
      </c>
      <c r="BK66" s="191">
        <v>0</v>
      </c>
      <c r="BL66" s="191">
        <v>0</v>
      </c>
      <c r="BM66" s="191">
        <v>0</v>
      </c>
      <c r="BN66" s="191">
        <v>0</v>
      </c>
      <c r="BO66" s="191">
        <v>0</v>
      </c>
      <c r="BP66" s="191">
        <v>0</v>
      </c>
      <c r="BQ66" s="191">
        <v>0</v>
      </c>
      <c r="BR66" s="191">
        <v>0</v>
      </c>
      <c r="BS66" s="191">
        <v>0</v>
      </c>
      <c r="BT66" s="191">
        <v>0</v>
      </c>
      <c r="BU66" s="191">
        <v>0</v>
      </c>
      <c r="BV66" s="191">
        <v>0</v>
      </c>
      <c r="BW66" s="191">
        <v>0</v>
      </c>
      <c r="BX66" s="191">
        <v>2.6</v>
      </c>
      <c r="BY66" s="191">
        <v>-0.92</v>
      </c>
      <c r="BZ66" s="191">
        <v>-5.64</v>
      </c>
      <c r="CA66" s="191">
        <v>-2.46</v>
      </c>
      <c r="CB66" s="191">
        <v>-3.08</v>
      </c>
      <c r="CC66" s="191">
        <v>23.2</v>
      </c>
      <c r="CD66" s="191">
        <v>0</v>
      </c>
      <c r="CE66" s="191">
        <v>0</v>
      </c>
      <c r="CF66" s="191">
        <v>0</v>
      </c>
      <c r="CG66" s="191">
        <v>0</v>
      </c>
      <c r="CH66" s="191">
        <v>13.19</v>
      </c>
      <c r="CI66" s="191">
        <v>0</v>
      </c>
      <c r="CJ66" s="191">
        <v>3.25</v>
      </c>
      <c r="CK66" s="191">
        <v>0</v>
      </c>
      <c r="CL66" s="191">
        <v>0</v>
      </c>
      <c r="CM66" s="191">
        <v>0</v>
      </c>
      <c r="CN66" s="191">
        <v>0</v>
      </c>
      <c r="CO66" s="191">
        <v>0</v>
      </c>
      <c r="CP66" s="191">
        <v>0</v>
      </c>
      <c r="CQ66" s="191">
        <v>0</v>
      </c>
      <c r="CR66" s="191">
        <v>0</v>
      </c>
      <c r="CS66" s="191">
        <v>0</v>
      </c>
      <c r="CT66" s="191">
        <v>-7.28</v>
      </c>
      <c r="CU66" s="191">
        <v>-0.72</v>
      </c>
      <c r="CV66" s="191">
        <v>-0.72</v>
      </c>
      <c r="CW66" s="191">
        <v>-0.72</v>
      </c>
      <c r="CX66" s="191">
        <v>-1.64</v>
      </c>
      <c r="CY66" s="191">
        <v>-0.72</v>
      </c>
      <c r="CZ66" s="191">
        <v>-1.33</v>
      </c>
      <c r="DA66" s="191">
        <v>-3.08</v>
      </c>
      <c r="DB66" s="191">
        <v>-3.08</v>
      </c>
      <c r="DC66" s="191">
        <v>-0.82</v>
      </c>
      <c r="DD66" s="191">
        <v>-0.31</v>
      </c>
      <c r="DE66" s="191">
        <v>-0.21</v>
      </c>
      <c r="DF66" s="191">
        <v>-0.82</v>
      </c>
      <c r="DG66" s="192">
        <v>-0.21</v>
      </c>
      <c r="DH66" s="180"/>
      <c r="DI66" s="191" t="s">
        <v>472</v>
      </c>
      <c r="DJ66" s="191">
        <v>0</v>
      </c>
      <c r="DK66" s="191">
        <v>0</v>
      </c>
      <c r="DL66" s="191">
        <v>0</v>
      </c>
      <c r="DM66" s="191">
        <v>0</v>
      </c>
      <c r="DN66" s="191">
        <v>0</v>
      </c>
      <c r="DO66" s="191">
        <v>0</v>
      </c>
      <c r="DP66" s="191">
        <v>0</v>
      </c>
      <c r="DQ66" s="191">
        <v>0</v>
      </c>
      <c r="DR66" s="191">
        <v>0</v>
      </c>
      <c r="DS66" s="191">
        <v>2.53</v>
      </c>
      <c r="DT66" s="191">
        <v>0</v>
      </c>
      <c r="DU66" s="191">
        <v>0</v>
      </c>
      <c r="DV66" s="191">
        <v>0</v>
      </c>
      <c r="DW66" s="191">
        <v>0</v>
      </c>
      <c r="DX66" s="191">
        <v>0</v>
      </c>
      <c r="DY66" s="192">
        <v>0</v>
      </c>
    </row>
    <row r="67" s="180" customFormat="1" spans="1:129">
      <c r="A67" s="190" t="s">
        <v>473</v>
      </c>
      <c r="B67" s="191">
        <v>-33.8</v>
      </c>
      <c r="C67" s="192">
        <v>43.31</v>
      </c>
      <c r="E67" s="191" t="s">
        <v>473</v>
      </c>
      <c r="F67" s="191">
        <v>0</v>
      </c>
      <c r="G67" s="191">
        <v>0</v>
      </c>
      <c r="H67" s="191">
        <v>0</v>
      </c>
      <c r="I67" s="191">
        <v>0</v>
      </c>
      <c r="J67" s="191">
        <v>0</v>
      </c>
      <c r="K67" s="191">
        <v>0</v>
      </c>
      <c r="L67" s="191">
        <v>0</v>
      </c>
      <c r="M67" s="191">
        <v>0</v>
      </c>
      <c r="N67" s="191">
        <v>0</v>
      </c>
      <c r="O67" s="191">
        <v>0</v>
      </c>
      <c r="P67" s="191">
        <v>0</v>
      </c>
      <c r="Q67" s="191">
        <v>0</v>
      </c>
      <c r="R67" s="191">
        <v>0</v>
      </c>
      <c r="S67" s="191">
        <v>0</v>
      </c>
      <c r="T67" s="191">
        <v>0</v>
      </c>
      <c r="U67" s="191">
        <v>0</v>
      </c>
      <c r="V67" s="191">
        <v>2.67</v>
      </c>
      <c r="W67" s="191">
        <v>-0.9</v>
      </c>
      <c r="X67" s="191">
        <v>-5.5</v>
      </c>
      <c r="Y67" s="191">
        <v>-2.4</v>
      </c>
      <c r="Z67" s="191">
        <v>-3</v>
      </c>
      <c r="AA67" s="191">
        <v>23.79</v>
      </c>
      <c r="AB67" s="191">
        <v>0</v>
      </c>
      <c r="AC67" s="191">
        <v>0</v>
      </c>
      <c r="AD67" s="191">
        <v>0</v>
      </c>
      <c r="AE67" s="191">
        <v>0</v>
      </c>
      <c r="AF67" s="191">
        <v>13.52</v>
      </c>
      <c r="AG67" s="191">
        <v>0</v>
      </c>
      <c r="AH67" s="191">
        <v>3.33</v>
      </c>
      <c r="AI67" s="191">
        <v>0</v>
      </c>
      <c r="AJ67" s="191">
        <v>0</v>
      </c>
      <c r="AK67" s="191">
        <v>0</v>
      </c>
      <c r="AL67" s="191">
        <v>0</v>
      </c>
      <c r="AM67" s="191">
        <v>0</v>
      </c>
      <c r="AN67" s="191">
        <v>0</v>
      </c>
      <c r="AO67" s="191">
        <v>0</v>
      </c>
      <c r="AP67" s="191">
        <v>0</v>
      </c>
      <c r="AQ67" s="191">
        <v>0</v>
      </c>
      <c r="AR67" s="191">
        <v>-7.3</v>
      </c>
      <c r="AS67" s="191">
        <v>-0.6</v>
      </c>
      <c r="AT67" s="191">
        <v>-0.6</v>
      </c>
      <c r="AU67" s="191">
        <v>-0.6</v>
      </c>
      <c r="AV67" s="191">
        <v>-2</v>
      </c>
      <c r="AW67" s="191">
        <v>-0.6</v>
      </c>
      <c r="AX67" s="191">
        <v>-1.5</v>
      </c>
      <c r="AY67" s="191">
        <v>-3.1</v>
      </c>
      <c r="AZ67" s="191">
        <v>-3</v>
      </c>
      <c r="BA67" s="191">
        <v>-1</v>
      </c>
      <c r="BB67" s="191">
        <v>-0.3</v>
      </c>
      <c r="BC67" s="191">
        <v>-0.3</v>
      </c>
      <c r="BD67" s="191">
        <v>-0.8</v>
      </c>
      <c r="BE67" s="192">
        <v>-0.3</v>
      </c>
      <c r="BF67" s="180"/>
      <c r="BG67" s="191" t="s">
        <v>473</v>
      </c>
      <c r="BH67" s="191">
        <v>0</v>
      </c>
      <c r="BI67" s="191">
        <v>0</v>
      </c>
      <c r="BJ67" s="191">
        <v>0</v>
      </c>
      <c r="BK67" s="191">
        <v>0</v>
      </c>
      <c r="BL67" s="191">
        <v>0</v>
      </c>
      <c r="BM67" s="191">
        <v>0</v>
      </c>
      <c r="BN67" s="191">
        <v>0</v>
      </c>
      <c r="BO67" s="191">
        <v>0</v>
      </c>
      <c r="BP67" s="191">
        <v>0</v>
      </c>
      <c r="BQ67" s="191">
        <v>0</v>
      </c>
      <c r="BR67" s="191">
        <v>0</v>
      </c>
      <c r="BS67" s="191">
        <v>0</v>
      </c>
      <c r="BT67" s="191">
        <v>0</v>
      </c>
      <c r="BU67" s="191">
        <v>0</v>
      </c>
      <c r="BV67" s="191">
        <v>0</v>
      </c>
      <c r="BW67" s="191">
        <v>0</v>
      </c>
      <c r="BX67" s="191">
        <v>2.6</v>
      </c>
      <c r="BY67" s="191">
        <v>-0.92</v>
      </c>
      <c r="BZ67" s="191">
        <v>-5.64</v>
      </c>
      <c r="CA67" s="191">
        <v>-2.46</v>
      </c>
      <c r="CB67" s="191">
        <v>-3.08</v>
      </c>
      <c r="CC67" s="191">
        <v>23.2</v>
      </c>
      <c r="CD67" s="191">
        <v>0</v>
      </c>
      <c r="CE67" s="191">
        <v>0</v>
      </c>
      <c r="CF67" s="191">
        <v>0</v>
      </c>
      <c r="CG67" s="191">
        <v>0</v>
      </c>
      <c r="CH67" s="191">
        <v>13.19</v>
      </c>
      <c r="CI67" s="191">
        <v>0</v>
      </c>
      <c r="CJ67" s="191">
        <v>3.25</v>
      </c>
      <c r="CK67" s="191">
        <v>0</v>
      </c>
      <c r="CL67" s="191">
        <v>0</v>
      </c>
      <c r="CM67" s="191">
        <v>0</v>
      </c>
      <c r="CN67" s="191">
        <v>0</v>
      </c>
      <c r="CO67" s="191">
        <v>0</v>
      </c>
      <c r="CP67" s="191">
        <v>0</v>
      </c>
      <c r="CQ67" s="191">
        <v>0</v>
      </c>
      <c r="CR67" s="191">
        <v>0</v>
      </c>
      <c r="CS67" s="191">
        <v>0</v>
      </c>
      <c r="CT67" s="191">
        <v>-7.48</v>
      </c>
      <c r="CU67" s="191">
        <v>-0.62</v>
      </c>
      <c r="CV67" s="191">
        <v>-0.62</v>
      </c>
      <c r="CW67" s="191">
        <v>-0.62</v>
      </c>
      <c r="CX67" s="191">
        <v>-2.05</v>
      </c>
      <c r="CY67" s="191">
        <v>-0.62</v>
      </c>
      <c r="CZ67" s="191">
        <v>-1.54</v>
      </c>
      <c r="DA67" s="191">
        <v>-3.18</v>
      </c>
      <c r="DB67" s="191">
        <v>-3.08</v>
      </c>
      <c r="DC67" s="191">
        <v>-1.03</v>
      </c>
      <c r="DD67" s="191">
        <v>-0.31</v>
      </c>
      <c r="DE67" s="191">
        <v>-0.31</v>
      </c>
      <c r="DF67" s="191">
        <v>-0.82</v>
      </c>
      <c r="DG67" s="192">
        <v>-0.31</v>
      </c>
      <c r="DH67" s="180"/>
      <c r="DI67" s="191" t="s">
        <v>473</v>
      </c>
      <c r="DJ67" s="191">
        <v>0</v>
      </c>
      <c r="DK67" s="191">
        <v>0</v>
      </c>
      <c r="DL67" s="191">
        <v>0</v>
      </c>
      <c r="DM67" s="191">
        <v>0</v>
      </c>
      <c r="DN67" s="191">
        <v>0</v>
      </c>
      <c r="DO67" s="191">
        <v>0</v>
      </c>
      <c r="DP67" s="191">
        <v>0</v>
      </c>
      <c r="DQ67" s="191">
        <v>0</v>
      </c>
      <c r="DR67" s="191">
        <v>0</v>
      </c>
      <c r="DS67" s="191">
        <v>2.53</v>
      </c>
      <c r="DT67" s="191">
        <v>0</v>
      </c>
      <c r="DU67" s="191">
        <v>0</v>
      </c>
      <c r="DV67" s="191">
        <v>0</v>
      </c>
      <c r="DW67" s="191">
        <v>0</v>
      </c>
      <c r="DX67" s="191">
        <v>0</v>
      </c>
      <c r="DY67" s="192">
        <v>0</v>
      </c>
    </row>
    <row r="68" s="180" customFormat="1" spans="1:129">
      <c r="A68" s="190" t="s">
        <v>474</v>
      </c>
      <c r="B68" s="191">
        <v>-33.1</v>
      </c>
      <c r="C68" s="192">
        <v>43.31</v>
      </c>
      <c r="E68" s="191" t="s">
        <v>474</v>
      </c>
      <c r="F68" s="191">
        <v>0</v>
      </c>
      <c r="G68" s="191">
        <v>0</v>
      </c>
      <c r="H68" s="191">
        <v>0</v>
      </c>
      <c r="I68" s="191">
        <v>0</v>
      </c>
      <c r="J68" s="191">
        <v>0</v>
      </c>
      <c r="K68" s="191">
        <v>0</v>
      </c>
      <c r="L68" s="191">
        <v>0</v>
      </c>
      <c r="M68" s="191">
        <v>0</v>
      </c>
      <c r="N68" s="191">
        <v>0</v>
      </c>
      <c r="O68" s="191">
        <v>0</v>
      </c>
      <c r="P68" s="191">
        <v>0</v>
      </c>
      <c r="Q68" s="191">
        <v>0</v>
      </c>
      <c r="R68" s="191">
        <v>0</v>
      </c>
      <c r="S68" s="191">
        <v>0</v>
      </c>
      <c r="T68" s="191">
        <v>0</v>
      </c>
      <c r="U68" s="191">
        <v>0</v>
      </c>
      <c r="V68" s="191">
        <v>2.67</v>
      </c>
      <c r="W68" s="191">
        <v>-0.9</v>
      </c>
      <c r="X68" s="191">
        <v>-5.5</v>
      </c>
      <c r="Y68" s="191">
        <v>-2.4</v>
      </c>
      <c r="Z68" s="191">
        <v>-3</v>
      </c>
      <c r="AA68" s="191">
        <v>23.79</v>
      </c>
      <c r="AB68" s="191">
        <v>0</v>
      </c>
      <c r="AC68" s="191">
        <v>0</v>
      </c>
      <c r="AD68" s="191">
        <v>0</v>
      </c>
      <c r="AE68" s="191">
        <v>0</v>
      </c>
      <c r="AF68" s="191">
        <v>13.52</v>
      </c>
      <c r="AG68" s="191">
        <v>0</v>
      </c>
      <c r="AH68" s="191">
        <v>3.33</v>
      </c>
      <c r="AI68" s="191">
        <v>0</v>
      </c>
      <c r="AJ68" s="191">
        <v>0</v>
      </c>
      <c r="AK68" s="191">
        <v>0</v>
      </c>
      <c r="AL68" s="191">
        <v>0</v>
      </c>
      <c r="AM68" s="191">
        <v>0</v>
      </c>
      <c r="AN68" s="191">
        <v>0</v>
      </c>
      <c r="AO68" s="191">
        <v>0</v>
      </c>
      <c r="AP68" s="191">
        <v>0</v>
      </c>
      <c r="AQ68" s="191">
        <v>0</v>
      </c>
      <c r="AR68" s="191">
        <v>-6.7</v>
      </c>
      <c r="AS68" s="191">
        <v>-0.5</v>
      </c>
      <c r="AT68" s="191">
        <v>-0.5</v>
      </c>
      <c r="AU68" s="191">
        <v>-0.5</v>
      </c>
      <c r="AV68" s="191">
        <v>-2</v>
      </c>
      <c r="AW68" s="191">
        <v>-0.5</v>
      </c>
      <c r="AX68" s="191">
        <v>-1.6</v>
      </c>
      <c r="AY68" s="191">
        <v>-3.2</v>
      </c>
      <c r="AZ68" s="191">
        <v>-3</v>
      </c>
      <c r="BA68" s="191">
        <v>-1</v>
      </c>
      <c r="BB68" s="191">
        <v>-0.3</v>
      </c>
      <c r="BC68" s="191">
        <v>-0.3</v>
      </c>
      <c r="BD68" s="191">
        <v>-0.9</v>
      </c>
      <c r="BE68" s="192">
        <v>-0.3</v>
      </c>
      <c r="BF68" s="180"/>
      <c r="BG68" s="191" t="s">
        <v>474</v>
      </c>
      <c r="BH68" s="191">
        <v>0</v>
      </c>
      <c r="BI68" s="191">
        <v>0</v>
      </c>
      <c r="BJ68" s="191">
        <v>0</v>
      </c>
      <c r="BK68" s="191">
        <v>0</v>
      </c>
      <c r="BL68" s="191">
        <v>0</v>
      </c>
      <c r="BM68" s="191">
        <v>0</v>
      </c>
      <c r="BN68" s="191">
        <v>0</v>
      </c>
      <c r="BO68" s="191">
        <v>0</v>
      </c>
      <c r="BP68" s="191">
        <v>0</v>
      </c>
      <c r="BQ68" s="191">
        <v>0</v>
      </c>
      <c r="BR68" s="191">
        <v>0</v>
      </c>
      <c r="BS68" s="191">
        <v>0</v>
      </c>
      <c r="BT68" s="191">
        <v>0</v>
      </c>
      <c r="BU68" s="191">
        <v>0</v>
      </c>
      <c r="BV68" s="191">
        <v>0</v>
      </c>
      <c r="BW68" s="191">
        <v>0</v>
      </c>
      <c r="BX68" s="191">
        <v>2.6</v>
      </c>
      <c r="BY68" s="191">
        <v>-0.92</v>
      </c>
      <c r="BZ68" s="191">
        <v>-5.64</v>
      </c>
      <c r="CA68" s="191">
        <v>-2.46</v>
      </c>
      <c r="CB68" s="191">
        <v>-3.08</v>
      </c>
      <c r="CC68" s="191">
        <v>23.2</v>
      </c>
      <c r="CD68" s="191">
        <v>0</v>
      </c>
      <c r="CE68" s="191">
        <v>0</v>
      </c>
      <c r="CF68" s="191">
        <v>0</v>
      </c>
      <c r="CG68" s="191">
        <v>0</v>
      </c>
      <c r="CH68" s="191">
        <v>13.19</v>
      </c>
      <c r="CI68" s="191">
        <v>0</v>
      </c>
      <c r="CJ68" s="191">
        <v>3.25</v>
      </c>
      <c r="CK68" s="191">
        <v>0</v>
      </c>
      <c r="CL68" s="191">
        <v>0</v>
      </c>
      <c r="CM68" s="191">
        <v>0</v>
      </c>
      <c r="CN68" s="191">
        <v>0</v>
      </c>
      <c r="CO68" s="191">
        <v>0</v>
      </c>
      <c r="CP68" s="191">
        <v>0</v>
      </c>
      <c r="CQ68" s="191">
        <v>0</v>
      </c>
      <c r="CR68" s="191">
        <v>0</v>
      </c>
      <c r="CS68" s="191">
        <v>0</v>
      </c>
      <c r="CT68" s="191">
        <v>-6.87</v>
      </c>
      <c r="CU68" s="191">
        <v>-0.51</v>
      </c>
      <c r="CV68" s="191">
        <v>-0.51</v>
      </c>
      <c r="CW68" s="191">
        <v>-0.51</v>
      </c>
      <c r="CX68" s="191">
        <v>-2.05</v>
      </c>
      <c r="CY68" s="191">
        <v>-0.51</v>
      </c>
      <c r="CZ68" s="191">
        <v>-1.64</v>
      </c>
      <c r="DA68" s="191">
        <v>-3.28</v>
      </c>
      <c r="DB68" s="191">
        <v>-3.08</v>
      </c>
      <c r="DC68" s="191">
        <v>-1.03</v>
      </c>
      <c r="DD68" s="191">
        <v>-0.31</v>
      </c>
      <c r="DE68" s="191">
        <v>-0.31</v>
      </c>
      <c r="DF68" s="191">
        <v>-0.92</v>
      </c>
      <c r="DG68" s="192">
        <v>-0.31</v>
      </c>
      <c r="DH68" s="180"/>
      <c r="DI68" s="191" t="s">
        <v>474</v>
      </c>
      <c r="DJ68" s="191">
        <v>0</v>
      </c>
      <c r="DK68" s="191">
        <v>0</v>
      </c>
      <c r="DL68" s="191">
        <v>0</v>
      </c>
      <c r="DM68" s="191">
        <v>0</v>
      </c>
      <c r="DN68" s="191">
        <v>0</v>
      </c>
      <c r="DO68" s="191">
        <v>0</v>
      </c>
      <c r="DP68" s="191">
        <v>0</v>
      </c>
      <c r="DQ68" s="191">
        <v>0</v>
      </c>
      <c r="DR68" s="191">
        <v>0</v>
      </c>
      <c r="DS68" s="191">
        <v>2.53</v>
      </c>
      <c r="DT68" s="191">
        <v>0</v>
      </c>
      <c r="DU68" s="191">
        <v>0</v>
      </c>
      <c r="DV68" s="191">
        <v>0</v>
      </c>
      <c r="DW68" s="191">
        <v>0</v>
      </c>
      <c r="DX68" s="191">
        <v>0</v>
      </c>
      <c r="DY68" s="192">
        <v>0</v>
      </c>
    </row>
    <row r="69" s="180" customFormat="1" spans="1:129">
      <c r="A69" s="190" t="s">
        <v>475</v>
      </c>
      <c r="B69" s="191">
        <v>-34.7</v>
      </c>
      <c r="C69" s="192">
        <v>43.31</v>
      </c>
      <c r="E69" s="191" t="s">
        <v>475</v>
      </c>
      <c r="F69" s="191">
        <v>0</v>
      </c>
      <c r="G69" s="191">
        <v>0</v>
      </c>
      <c r="H69" s="191">
        <v>0</v>
      </c>
      <c r="I69" s="191">
        <v>0</v>
      </c>
      <c r="J69" s="191">
        <v>0</v>
      </c>
      <c r="K69" s="191">
        <v>0</v>
      </c>
      <c r="L69" s="191">
        <v>0</v>
      </c>
      <c r="M69" s="191">
        <v>0</v>
      </c>
      <c r="N69" s="191">
        <v>0</v>
      </c>
      <c r="O69" s="191">
        <v>0</v>
      </c>
      <c r="P69" s="191">
        <v>0</v>
      </c>
      <c r="Q69" s="191">
        <v>0</v>
      </c>
      <c r="R69" s="191">
        <v>0</v>
      </c>
      <c r="S69" s="191">
        <v>0</v>
      </c>
      <c r="T69" s="191">
        <v>0</v>
      </c>
      <c r="U69" s="191">
        <v>0</v>
      </c>
      <c r="V69" s="191">
        <v>2.67</v>
      </c>
      <c r="W69" s="191">
        <v>-0.9</v>
      </c>
      <c r="X69" s="191">
        <v>-5.5</v>
      </c>
      <c r="Y69" s="191">
        <v>-2.4</v>
      </c>
      <c r="Z69" s="191">
        <v>-3</v>
      </c>
      <c r="AA69" s="191">
        <v>23.79</v>
      </c>
      <c r="AB69" s="191">
        <v>0</v>
      </c>
      <c r="AC69" s="191">
        <v>0</v>
      </c>
      <c r="AD69" s="191">
        <v>0</v>
      </c>
      <c r="AE69" s="191">
        <v>0</v>
      </c>
      <c r="AF69" s="191">
        <v>13.52</v>
      </c>
      <c r="AG69" s="191">
        <v>0</v>
      </c>
      <c r="AH69" s="191">
        <v>3.33</v>
      </c>
      <c r="AI69" s="191">
        <v>0</v>
      </c>
      <c r="AJ69" s="191">
        <v>0</v>
      </c>
      <c r="AK69" s="191">
        <v>0</v>
      </c>
      <c r="AL69" s="191">
        <v>0</v>
      </c>
      <c r="AM69" s="191">
        <v>0</v>
      </c>
      <c r="AN69" s="191">
        <v>0</v>
      </c>
      <c r="AO69" s="191">
        <v>0</v>
      </c>
      <c r="AP69" s="191">
        <v>0</v>
      </c>
      <c r="AQ69" s="191">
        <v>0</v>
      </c>
      <c r="AR69" s="191">
        <v>-7</v>
      </c>
      <c r="AS69" s="191">
        <v>-0.7</v>
      </c>
      <c r="AT69" s="191">
        <v>-0.7</v>
      </c>
      <c r="AU69" s="191">
        <v>-0.7</v>
      </c>
      <c r="AV69" s="191">
        <v>-2.1</v>
      </c>
      <c r="AW69" s="191">
        <v>-0.7</v>
      </c>
      <c r="AX69" s="191">
        <v>-1.6</v>
      </c>
      <c r="AY69" s="191">
        <v>-3.3</v>
      </c>
      <c r="AZ69" s="191">
        <v>-3.1</v>
      </c>
      <c r="BA69" s="191">
        <v>-1.1</v>
      </c>
      <c r="BB69" s="191">
        <v>-0.4</v>
      </c>
      <c r="BC69" s="191">
        <v>-0.3</v>
      </c>
      <c r="BD69" s="191">
        <v>-0.9</v>
      </c>
      <c r="BE69" s="192">
        <v>-0.3</v>
      </c>
      <c r="BF69" s="180"/>
      <c r="BG69" s="191" t="s">
        <v>475</v>
      </c>
      <c r="BH69" s="191">
        <v>0</v>
      </c>
      <c r="BI69" s="191">
        <v>0</v>
      </c>
      <c r="BJ69" s="191">
        <v>0</v>
      </c>
      <c r="BK69" s="191">
        <v>0</v>
      </c>
      <c r="BL69" s="191">
        <v>0</v>
      </c>
      <c r="BM69" s="191">
        <v>0</v>
      </c>
      <c r="BN69" s="191">
        <v>0</v>
      </c>
      <c r="BO69" s="191">
        <v>0</v>
      </c>
      <c r="BP69" s="191">
        <v>0</v>
      </c>
      <c r="BQ69" s="191">
        <v>0</v>
      </c>
      <c r="BR69" s="191">
        <v>0</v>
      </c>
      <c r="BS69" s="191">
        <v>0</v>
      </c>
      <c r="BT69" s="191">
        <v>0</v>
      </c>
      <c r="BU69" s="191">
        <v>0</v>
      </c>
      <c r="BV69" s="191">
        <v>0</v>
      </c>
      <c r="BW69" s="191">
        <v>0</v>
      </c>
      <c r="BX69" s="191">
        <v>2.6</v>
      </c>
      <c r="BY69" s="191">
        <v>-0.92</v>
      </c>
      <c r="BZ69" s="191">
        <v>-5.64</v>
      </c>
      <c r="CA69" s="191">
        <v>-2.46</v>
      </c>
      <c r="CB69" s="191">
        <v>-3.08</v>
      </c>
      <c r="CC69" s="191">
        <v>23.2</v>
      </c>
      <c r="CD69" s="191">
        <v>0</v>
      </c>
      <c r="CE69" s="191">
        <v>0</v>
      </c>
      <c r="CF69" s="191">
        <v>0</v>
      </c>
      <c r="CG69" s="191">
        <v>0</v>
      </c>
      <c r="CH69" s="191">
        <v>13.19</v>
      </c>
      <c r="CI69" s="191">
        <v>0</v>
      </c>
      <c r="CJ69" s="191">
        <v>3.25</v>
      </c>
      <c r="CK69" s="191">
        <v>0</v>
      </c>
      <c r="CL69" s="191">
        <v>0</v>
      </c>
      <c r="CM69" s="191">
        <v>0</v>
      </c>
      <c r="CN69" s="191">
        <v>0</v>
      </c>
      <c r="CO69" s="191">
        <v>0</v>
      </c>
      <c r="CP69" s="191">
        <v>0</v>
      </c>
      <c r="CQ69" s="191">
        <v>0</v>
      </c>
      <c r="CR69" s="191">
        <v>0</v>
      </c>
      <c r="CS69" s="191">
        <v>0</v>
      </c>
      <c r="CT69" s="191">
        <v>-7.18</v>
      </c>
      <c r="CU69" s="191">
        <v>-0.72</v>
      </c>
      <c r="CV69" s="191">
        <v>-0.72</v>
      </c>
      <c r="CW69" s="191">
        <v>-0.72</v>
      </c>
      <c r="CX69" s="191">
        <v>-2.15</v>
      </c>
      <c r="CY69" s="191">
        <v>-0.72</v>
      </c>
      <c r="CZ69" s="191">
        <v>-1.64</v>
      </c>
      <c r="DA69" s="191">
        <v>-3.38</v>
      </c>
      <c r="DB69" s="191">
        <v>-3.18</v>
      </c>
      <c r="DC69" s="191">
        <v>-1.13</v>
      </c>
      <c r="DD69" s="191">
        <v>-0.41</v>
      </c>
      <c r="DE69" s="191">
        <v>-0.31</v>
      </c>
      <c r="DF69" s="191">
        <v>-0.92</v>
      </c>
      <c r="DG69" s="192">
        <v>-0.31</v>
      </c>
      <c r="DH69" s="180"/>
      <c r="DI69" s="191" t="s">
        <v>475</v>
      </c>
      <c r="DJ69" s="191">
        <v>0</v>
      </c>
      <c r="DK69" s="191">
        <v>0</v>
      </c>
      <c r="DL69" s="191">
        <v>0</v>
      </c>
      <c r="DM69" s="191">
        <v>0</v>
      </c>
      <c r="DN69" s="191">
        <v>0</v>
      </c>
      <c r="DO69" s="191">
        <v>0</v>
      </c>
      <c r="DP69" s="191">
        <v>0</v>
      </c>
      <c r="DQ69" s="191">
        <v>0</v>
      </c>
      <c r="DR69" s="191">
        <v>0</v>
      </c>
      <c r="DS69" s="191">
        <v>2.53</v>
      </c>
      <c r="DT69" s="191">
        <v>0</v>
      </c>
      <c r="DU69" s="191">
        <v>0</v>
      </c>
      <c r="DV69" s="191">
        <v>0</v>
      </c>
      <c r="DW69" s="191">
        <v>0</v>
      </c>
      <c r="DX69" s="191">
        <v>0</v>
      </c>
      <c r="DY69" s="192">
        <v>0</v>
      </c>
    </row>
    <row r="70" s="180" customFormat="1" spans="1:129">
      <c r="A70" s="190" t="s">
        <v>476</v>
      </c>
      <c r="B70" s="191">
        <v>-35</v>
      </c>
      <c r="C70" s="192">
        <v>44.45</v>
      </c>
      <c r="E70" s="191" t="s">
        <v>476</v>
      </c>
      <c r="F70" s="191">
        <v>0</v>
      </c>
      <c r="G70" s="191">
        <v>0</v>
      </c>
      <c r="H70" s="191">
        <v>0</v>
      </c>
      <c r="I70" s="191">
        <v>1.14</v>
      </c>
      <c r="J70" s="191">
        <v>0</v>
      </c>
      <c r="K70" s="191">
        <v>0</v>
      </c>
      <c r="L70" s="191">
        <v>0</v>
      </c>
      <c r="M70" s="191">
        <v>0</v>
      </c>
      <c r="N70" s="191">
        <v>0</v>
      </c>
      <c r="O70" s="191">
        <v>0</v>
      </c>
      <c r="P70" s="191">
        <v>0</v>
      </c>
      <c r="Q70" s="191">
        <v>0</v>
      </c>
      <c r="R70" s="191">
        <v>0</v>
      </c>
      <c r="S70" s="191">
        <v>0</v>
      </c>
      <c r="T70" s="191">
        <v>0</v>
      </c>
      <c r="U70" s="191">
        <v>0</v>
      </c>
      <c r="V70" s="191">
        <v>2.67</v>
      </c>
      <c r="W70" s="191">
        <v>-0.9</v>
      </c>
      <c r="X70" s="191">
        <v>-5.5</v>
      </c>
      <c r="Y70" s="191">
        <v>-2.4</v>
      </c>
      <c r="Z70" s="191">
        <v>-3</v>
      </c>
      <c r="AA70" s="191">
        <v>23.79</v>
      </c>
      <c r="AB70" s="191">
        <v>0</v>
      </c>
      <c r="AC70" s="191">
        <v>0</v>
      </c>
      <c r="AD70" s="191">
        <v>0</v>
      </c>
      <c r="AE70" s="191">
        <v>0</v>
      </c>
      <c r="AF70" s="191">
        <v>13.52</v>
      </c>
      <c r="AG70" s="191">
        <v>0</v>
      </c>
      <c r="AH70" s="191">
        <v>3.33</v>
      </c>
      <c r="AI70" s="191">
        <v>0</v>
      </c>
      <c r="AJ70" s="191">
        <v>0</v>
      </c>
      <c r="AK70" s="191">
        <v>0</v>
      </c>
      <c r="AL70" s="191">
        <v>0</v>
      </c>
      <c r="AM70" s="191">
        <v>0</v>
      </c>
      <c r="AN70" s="191">
        <v>0</v>
      </c>
      <c r="AO70" s="191">
        <v>0</v>
      </c>
      <c r="AP70" s="191">
        <v>0</v>
      </c>
      <c r="AQ70" s="191">
        <v>0</v>
      </c>
      <c r="AR70" s="191">
        <v>-6.8</v>
      </c>
      <c r="AS70" s="191">
        <v>-0.7</v>
      </c>
      <c r="AT70" s="191">
        <v>-0.7</v>
      </c>
      <c r="AU70" s="191">
        <v>-0.7</v>
      </c>
      <c r="AV70" s="191">
        <v>-2.1</v>
      </c>
      <c r="AW70" s="191">
        <v>-0.7</v>
      </c>
      <c r="AX70" s="191">
        <v>-1.7</v>
      </c>
      <c r="AY70" s="191">
        <v>-3.5</v>
      </c>
      <c r="AZ70" s="191">
        <v>-3.2</v>
      </c>
      <c r="BA70" s="191">
        <v>-1.2</v>
      </c>
      <c r="BB70" s="191">
        <v>-0.4</v>
      </c>
      <c r="BC70" s="191">
        <v>-0.3</v>
      </c>
      <c r="BD70" s="191">
        <v>-0.9</v>
      </c>
      <c r="BE70" s="192">
        <v>-0.3</v>
      </c>
      <c r="BF70" s="180"/>
      <c r="BG70" s="191" t="s">
        <v>476</v>
      </c>
      <c r="BH70" s="191">
        <v>0</v>
      </c>
      <c r="BI70" s="191">
        <v>0</v>
      </c>
      <c r="BJ70" s="191">
        <v>0</v>
      </c>
      <c r="BK70" s="191">
        <v>1.11</v>
      </c>
      <c r="BL70" s="191">
        <v>0</v>
      </c>
      <c r="BM70" s="191">
        <v>0</v>
      </c>
      <c r="BN70" s="191">
        <v>0</v>
      </c>
      <c r="BO70" s="191">
        <v>0</v>
      </c>
      <c r="BP70" s="191">
        <v>0</v>
      </c>
      <c r="BQ70" s="191">
        <v>0</v>
      </c>
      <c r="BR70" s="191">
        <v>0</v>
      </c>
      <c r="BS70" s="191">
        <v>0</v>
      </c>
      <c r="BT70" s="191">
        <v>0</v>
      </c>
      <c r="BU70" s="191">
        <v>0</v>
      </c>
      <c r="BV70" s="191">
        <v>0</v>
      </c>
      <c r="BW70" s="191">
        <v>0</v>
      </c>
      <c r="BX70" s="191">
        <v>2.6</v>
      </c>
      <c r="BY70" s="191">
        <v>-0.92</v>
      </c>
      <c r="BZ70" s="191">
        <v>-5.64</v>
      </c>
      <c r="CA70" s="191">
        <v>-2.46</v>
      </c>
      <c r="CB70" s="191">
        <v>-3.08</v>
      </c>
      <c r="CC70" s="191">
        <v>23.2</v>
      </c>
      <c r="CD70" s="191">
        <v>0</v>
      </c>
      <c r="CE70" s="191">
        <v>0</v>
      </c>
      <c r="CF70" s="191">
        <v>0</v>
      </c>
      <c r="CG70" s="191">
        <v>0</v>
      </c>
      <c r="CH70" s="191">
        <v>13.19</v>
      </c>
      <c r="CI70" s="191">
        <v>0</v>
      </c>
      <c r="CJ70" s="191">
        <v>3.25</v>
      </c>
      <c r="CK70" s="191">
        <v>0</v>
      </c>
      <c r="CL70" s="191">
        <v>0</v>
      </c>
      <c r="CM70" s="191">
        <v>0</v>
      </c>
      <c r="CN70" s="191">
        <v>0</v>
      </c>
      <c r="CO70" s="191">
        <v>0</v>
      </c>
      <c r="CP70" s="191">
        <v>0</v>
      </c>
      <c r="CQ70" s="191">
        <v>0</v>
      </c>
      <c r="CR70" s="191">
        <v>0</v>
      </c>
      <c r="CS70" s="191">
        <v>0</v>
      </c>
      <c r="CT70" s="191">
        <v>-6.97</v>
      </c>
      <c r="CU70" s="191">
        <v>-0.72</v>
      </c>
      <c r="CV70" s="191">
        <v>-0.72</v>
      </c>
      <c r="CW70" s="191">
        <v>-0.72</v>
      </c>
      <c r="CX70" s="191">
        <v>-2.15</v>
      </c>
      <c r="CY70" s="191">
        <v>-0.72</v>
      </c>
      <c r="CZ70" s="191">
        <v>-1.74</v>
      </c>
      <c r="DA70" s="191">
        <v>-3.59</v>
      </c>
      <c r="DB70" s="191">
        <v>-3.28</v>
      </c>
      <c r="DC70" s="191">
        <v>-1.23</v>
      </c>
      <c r="DD70" s="191">
        <v>-0.41</v>
      </c>
      <c r="DE70" s="191">
        <v>-0.31</v>
      </c>
      <c r="DF70" s="191">
        <v>-0.92</v>
      </c>
      <c r="DG70" s="192">
        <v>-0.31</v>
      </c>
      <c r="DH70" s="180"/>
      <c r="DI70" s="191" t="s">
        <v>476</v>
      </c>
      <c r="DJ70" s="191">
        <v>0</v>
      </c>
      <c r="DK70" s="191">
        <v>1.08</v>
      </c>
      <c r="DL70" s="191">
        <v>0</v>
      </c>
      <c r="DM70" s="191">
        <v>0</v>
      </c>
      <c r="DN70" s="191">
        <v>0</v>
      </c>
      <c r="DO70" s="191">
        <v>0</v>
      </c>
      <c r="DP70" s="191">
        <v>0</v>
      </c>
      <c r="DQ70" s="191">
        <v>0</v>
      </c>
      <c r="DR70" s="191">
        <v>0</v>
      </c>
      <c r="DS70" s="191">
        <v>2.53</v>
      </c>
      <c r="DT70" s="191">
        <v>0</v>
      </c>
      <c r="DU70" s="191">
        <v>0</v>
      </c>
      <c r="DV70" s="191">
        <v>0</v>
      </c>
      <c r="DW70" s="191">
        <v>0</v>
      </c>
      <c r="DX70" s="191">
        <v>0</v>
      </c>
      <c r="DY70" s="192">
        <v>0</v>
      </c>
    </row>
    <row r="71" s="180" customFormat="1" spans="1:129">
      <c r="A71" s="190" t="s">
        <v>477</v>
      </c>
      <c r="B71" s="191">
        <v>-58.2</v>
      </c>
      <c r="C71" s="192">
        <v>137.93</v>
      </c>
      <c r="E71" s="191" t="s">
        <v>477</v>
      </c>
      <c r="F71" s="191">
        <v>11.42</v>
      </c>
      <c r="G71" s="191">
        <v>0</v>
      </c>
      <c r="H71" s="191">
        <v>0</v>
      </c>
      <c r="I71" s="191">
        <v>0</v>
      </c>
      <c r="J71" s="191">
        <v>0</v>
      </c>
      <c r="K71" s="191">
        <v>0</v>
      </c>
      <c r="L71" s="191">
        <v>0</v>
      </c>
      <c r="M71" s="191">
        <v>0</v>
      </c>
      <c r="N71" s="191">
        <v>3.81</v>
      </c>
      <c r="O71" s="191">
        <v>0</v>
      </c>
      <c r="P71" s="191">
        <v>0</v>
      </c>
      <c r="Q71" s="191">
        <v>4.95</v>
      </c>
      <c r="R71" s="191">
        <v>5.71</v>
      </c>
      <c r="S71" s="191">
        <v>0</v>
      </c>
      <c r="T71" s="191">
        <v>0.67</v>
      </c>
      <c r="U71" s="191">
        <v>1.62</v>
      </c>
      <c r="V71" s="191">
        <v>2.67</v>
      </c>
      <c r="W71" s="191">
        <v>-0.9</v>
      </c>
      <c r="X71" s="191">
        <v>-5.5</v>
      </c>
      <c r="Y71" s="191">
        <v>-2.4</v>
      </c>
      <c r="Z71" s="191">
        <v>-3</v>
      </c>
      <c r="AA71" s="191">
        <v>23.8</v>
      </c>
      <c r="AB71" s="191">
        <v>0</v>
      </c>
      <c r="AC71" s="191">
        <v>0</v>
      </c>
      <c r="AD71" s="191">
        <v>2.47</v>
      </c>
      <c r="AE71" s="191">
        <v>12.57</v>
      </c>
      <c r="AF71" s="191">
        <v>13.52</v>
      </c>
      <c r="AG71" s="191">
        <v>4.76</v>
      </c>
      <c r="AH71" s="191">
        <v>3.33</v>
      </c>
      <c r="AI71" s="191">
        <v>38.54</v>
      </c>
      <c r="AJ71" s="191">
        <v>7.14</v>
      </c>
      <c r="AK71" s="191">
        <v>0.95</v>
      </c>
      <c r="AL71" s="191">
        <v>0</v>
      </c>
      <c r="AM71" s="191">
        <v>-21.9</v>
      </c>
      <c r="AN71" s="191">
        <v>0</v>
      </c>
      <c r="AO71" s="191">
        <v>0</v>
      </c>
      <c r="AP71" s="191">
        <v>0</v>
      </c>
      <c r="AQ71" s="191">
        <v>0</v>
      </c>
      <c r="AR71" s="191">
        <v>-6.8</v>
      </c>
      <c r="AS71" s="191">
        <v>-0.7</v>
      </c>
      <c r="AT71" s="191">
        <v>-0.7</v>
      </c>
      <c r="AU71" s="191">
        <v>-0.7</v>
      </c>
      <c r="AV71" s="191">
        <v>-2.4</v>
      </c>
      <c r="AW71" s="191">
        <v>-0.7</v>
      </c>
      <c r="AX71" s="191">
        <v>-2</v>
      </c>
      <c r="AY71" s="191">
        <v>-3.6</v>
      </c>
      <c r="AZ71" s="191">
        <v>-3.4</v>
      </c>
      <c r="BA71" s="191">
        <v>-1.4</v>
      </c>
      <c r="BB71" s="191">
        <v>-0.4</v>
      </c>
      <c r="BC71" s="191">
        <v>-0.4</v>
      </c>
      <c r="BD71" s="191">
        <v>-0.9</v>
      </c>
      <c r="BE71" s="192">
        <v>-0.4</v>
      </c>
      <c r="BF71" s="180"/>
      <c r="BG71" s="191" t="s">
        <v>477</v>
      </c>
      <c r="BH71" s="191">
        <v>11.14</v>
      </c>
      <c r="BI71" s="191">
        <v>0</v>
      </c>
      <c r="BJ71" s="191">
        <v>0</v>
      </c>
      <c r="BK71" s="191">
        <v>0</v>
      </c>
      <c r="BL71" s="191">
        <v>0</v>
      </c>
      <c r="BM71" s="191">
        <v>0</v>
      </c>
      <c r="BN71" s="191">
        <v>0</v>
      </c>
      <c r="BO71" s="191">
        <v>0</v>
      </c>
      <c r="BP71" s="191">
        <v>3.72</v>
      </c>
      <c r="BQ71" s="191">
        <v>0</v>
      </c>
      <c r="BR71" s="191">
        <v>0</v>
      </c>
      <c r="BS71" s="191">
        <v>4.83</v>
      </c>
      <c r="BT71" s="191">
        <v>5.57</v>
      </c>
      <c r="BU71" s="191">
        <v>0</v>
      </c>
      <c r="BV71" s="191">
        <v>0.65</v>
      </c>
      <c r="BW71" s="191">
        <v>1.58</v>
      </c>
      <c r="BX71" s="191">
        <v>2.6</v>
      </c>
      <c r="BY71" s="191">
        <v>-0.92</v>
      </c>
      <c r="BZ71" s="191">
        <v>-5.64</v>
      </c>
      <c r="CA71" s="191">
        <v>-2.46</v>
      </c>
      <c r="CB71" s="191">
        <v>-3.08</v>
      </c>
      <c r="CC71" s="191">
        <v>23.21</v>
      </c>
      <c r="CD71" s="191">
        <v>0</v>
      </c>
      <c r="CE71" s="191">
        <v>0</v>
      </c>
      <c r="CF71" s="191">
        <v>2.41</v>
      </c>
      <c r="CG71" s="191">
        <v>12.26</v>
      </c>
      <c r="CH71" s="191">
        <v>13.19</v>
      </c>
      <c r="CI71" s="191">
        <v>4.64</v>
      </c>
      <c r="CJ71" s="191">
        <v>3.25</v>
      </c>
      <c r="CK71" s="191">
        <v>37.59</v>
      </c>
      <c r="CL71" s="191">
        <v>6.96</v>
      </c>
      <c r="CM71" s="191">
        <v>0.93</v>
      </c>
      <c r="CN71" s="191">
        <v>0</v>
      </c>
      <c r="CO71" s="191">
        <v>-22.45</v>
      </c>
      <c r="CP71" s="191">
        <v>0</v>
      </c>
      <c r="CQ71" s="191">
        <v>0</v>
      </c>
      <c r="CR71" s="191">
        <v>0</v>
      </c>
      <c r="CS71" s="191">
        <v>0</v>
      </c>
      <c r="CT71" s="191">
        <v>-6.97</v>
      </c>
      <c r="CU71" s="191">
        <v>-0.72</v>
      </c>
      <c r="CV71" s="191">
        <v>-0.72</v>
      </c>
      <c r="CW71" s="191">
        <v>-0.72</v>
      </c>
      <c r="CX71" s="191">
        <v>-2.46</v>
      </c>
      <c r="CY71" s="191">
        <v>-0.72</v>
      </c>
      <c r="CZ71" s="191">
        <v>-2.05</v>
      </c>
      <c r="DA71" s="191">
        <v>-3.69</v>
      </c>
      <c r="DB71" s="191">
        <v>-3.49</v>
      </c>
      <c r="DC71" s="191">
        <v>-1.44</v>
      </c>
      <c r="DD71" s="191">
        <v>-0.41</v>
      </c>
      <c r="DE71" s="191">
        <v>-0.41</v>
      </c>
      <c r="DF71" s="191">
        <v>-0.92</v>
      </c>
      <c r="DG71" s="192">
        <v>-0.41</v>
      </c>
      <c r="DH71" s="180"/>
      <c r="DI71" s="191" t="s">
        <v>477</v>
      </c>
      <c r="DJ71" s="191">
        <v>0</v>
      </c>
      <c r="DK71" s="191">
        <v>0</v>
      </c>
      <c r="DL71" s="191">
        <v>0</v>
      </c>
      <c r="DM71" s="191">
        <v>0</v>
      </c>
      <c r="DN71" s="191">
        <v>0</v>
      </c>
      <c r="DO71" s="191">
        <v>4.7</v>
      </c>
      <c r="DP71" s="191">
        <v>5.42</v>
      </c>
      <c r="DQ71" s="191">
        <v>0.63</v>
      </c>
      <c r="DR71" s="191">
        <v>1.54</v>
      </c>
      <c r="DS71" s="191">
        <v>2.53</v>
      </c>
      <c r="DT71" s="191">
        <v>0</v>
      </c>
      <c r="DU71" s="191">
        <v>0</v>
      </c>
      <c r="DV71" s="191">
        <v>0</v>
      </c>
      <c r="DW71" s="191">
        <v>0</v>
      </c>
      <c r="DX71" s="191">
        <v>0</v>
      </c>
      <c r="DY71" s="192">
        <v>0</v>
      </c>
    </row>
    <row r="72" s="180" customFormat="1" spans="1:129">
      <c r="A72" s="190" t="s">
        <v>478</v>
      </c>
      <c r="B72" s="191">
        <v>-108.4</v>
      </c>
      <c r="C72" s="192">
        <v>134.31</v>
      </c>
      <c r="E72" s="191" t="s">
        <v>478</v>
      </c>
      <c r="F72" s="191">
        <v>11.42</v>
      </c>
      <c r="G72" s="191">
        <v>0</v>
      </c>
      <c r="H72" s="191">
        <v>0</v>
      </c>
      <c r="I72" s="191">
        <v>0</v>
      </c>
      <c r="J72" s="191">
        <v>0</v>
      </c>
      <c r="K72" s="191">
        <v>0</v>
      </c>
      <c r="L72" s="191">
        <v>0</v>
      </c>
      <c r="M72" s="191">
        <v>0</v>
      </c>
      <c r="N72" s="191">
        <v>0</v>
      </c>
      <c r="O72" s="191">
        <v>0</v>
      </c>
      <c r="P72" s="191">
        <v>0</v>
      </c>
      <c r="Q72" s="191">
        <v>4.95</v>
      </c>
      <c r="R72" s="191">
        <v>5.71</v>
      </c>
      <c r="S72" s="191">
        <v>0</v>
      </c>
      <c r="T72" s="191">
        <v>0.67</v>
      </c>
      <c r="U72" s="191">
        <v>1.62</v>
      </c>
      <c r="V72" s="191">
        <v>2.67</v>
      </c>
      <c r="W72" s="191">
        <v>-0.9</v>
      </c>
      <c r="X72" s="191">
        <v>-5.5</v>
      </c>
      <c r="Y72" s="191">
        <v>-2.4</v>
      </c>
      <c r="Z72" s="191">
        <v>-3</v>
      </c>
      <c r="AA72" s="191">
        <v>23.8</v>
      </c>
      <c r="AB72" s="191">
        <v>0</v>
      </c>
      <c r="AC72" s="191">
        <v>0</v>
      </c>
      <c r="AD72" s="191">
        <v>2.57</v>
      </c>
      <c r="AE72" s="191">
        <v>12.66</v>
      </c>
      <c r="AF72" s="191">
        <v>13.52</v>
      </c>
      <c r="AG72" s="191">
        <v>4.76</v>
      </c>
      <c r="AH72" s="191">
        <v>3.33</v>
      </c>
      <c r="AI72" s="191">
        <v>38.54</v>
      </c>
      <c r="AJ72" s="191">
        <v>7.14</v>
      </c>
      <c r="AK72" s="191">
        <v>0.95</v>
      </c>
      <c r="AL72" s="191">
        <v>0</v>
      </c>
      <c r="AM72" s="191">
        <v>-71.9</v>
      </c>
      <c r="AN72" s="191">
        <v>0</v>
      </c>
      <c r="AO72" s="191">
        <v>0</v>
      </c>
      <c r="AP72" s="191">
        <v>0</v>
      </c>
      <c r="AQ72" s="191">
        <v>0</v>
      </c>
      <c r="AR72" s="191">
        <v>-6.7</v>
      </c>
      <c r="AS72" s="191">
        <v>-0.7</v>
      </c>
      <c r="AT72" s="191">
        <v>-0.7</v>
      </c>
      <c r="AU72" s="191">
        <v>-0.7</v>
      </c>
      <c r="AV72" s="191">
        <v>-2.4</v>
      </c>
      <c r="AW72" s="191">
        <v>-0.7</v>
      </c>
      <c r="AX72" s="191">
        <v>-2.1</v>
      </c>
      <c r="AY72" s="191">
        <v>-3.6</v>
      </c>
      <c r="AZ72" s="191">
        <v>-3.5</v>
      </c>
      <c r="BA72" s="191">
        <v>-1.4</v>
      </c>
      <c r="BB72" s="191">
        <v>-0.5</v>
      </c>
      <c r="BC72" s="191">
        <v>-0.4</v>
      </c>
      <c r="BD72" s="191">
        <v>-0.9</v>
      </c>
      <c r="BE72" s="192">
        <v>-0.4</v>
      </c>
      <c r="BF72" s="180"/>
      <c r="BG72" s="191" t="s">
        <v>478</v>
      </c>
      <c r="BH72" s="191">
        <v>11.14</v>
      </c>
      <c r="BI72" s="191">
        <v>0</v>
      </c>
      <c r="BJ72" s="191">
        <v>0</v>
      </c>
      <c r="BK72" s="191">
        <v>0</v>
      </c>
      <c r="BL72" s="191">
        <v>0</v>
      </c>
      <c r="BM72" s="191">
        <v>0</v>
      </c>
      <c r="BN72" s="191">
        <v>0</v>
      </c>
      <c r="BO72" s="191">
        <v>0</v>
      </c>
      <c r="BP72" s="191">
        <v>0</v>
      </c>
      <c r="BQ72" s="191">
        <v>0</v>
      </c>
      <c r="BR72" s="191">
        <v>0</v>
      </c>
      <c r="BS72" s="191">
        <v>4.83</v>
      </c>
      <c r="BT72" s="191">
        <v>5.57</v>
      </c>
      <c r="BU72" s="191">
        <v>0</v>
      </c>
      <c r="BV72" s="191">
        <v>0.65</v>
      </c>
      <c r="BW72" s="191">
        <v>1.58</v>
      </c>
      <c r="BX72" s="191">
        <v>2.6</v>
      </c>
      <c r="BY72" s="191">
        <v>-0.92</v>
      </c>
      <c r="BZ72" s="191">
        <v>-5.64</v>
      </c>
      <c r="CA72" s="191">
        <v>-2.46</v>
      </c>
      <c r="CB72" s="191">
        <v>-3.08</v>
      </c>
      <c r="CC72" s="191">
        <v>23.21</v>
      </c>
      <c r="CD72" s="191">
        <v>0</v>
      </c>
      <c r="CE72" s="191">
        <v>0</v>
      </c>
      <c r="CF72" s="191">
        <v>2.51</v>
      </c>
      <c r="CG72" s="191">
        <v>12.35</v>
      </c>
      <c r="CH72" s="191">
        <v>13.19</v>
      </c>
      <c r="CI72" s="191">
        <v>4.64</v>
      </c>
      <c r="CJ72" s="191">
        <v>3.25</v>
      </c>
      <c r="CK72" s="191">
        <v>37.59</v>
      </c>
      <c r="CL72" s="191">
        <v>6.96</v>
      </c>
      <c r="CM72" s="191">
        <v>0.93</v>
      </c>
      <c r="CN72" s="191">
        <v>0</v>
      </c>
      <c r="CO72" s="191">
        <v>-73.71</v>
      </c>
      <c r="CP72" s="191">
        <v>0</v>
      </c>
      <c r="CQ72" s="191">
        <v>0</v>
      </c>
      <c r="CR72" s="191">
        <v>0</v>
      </c>
      <c r="CS72" s="191">
        <v>0</v>
      </c>
      <c r="CT72" s="191">
        <v>-6.87</v>
      </c>
      <c r="CU72" s="191">
        <v>-0.72</v>
      </c>
      <c r="CV72" s="191">
        <v>-0.72</v>
      </c>
      <c r="CW72" s="191">
        <v>-0.72</v>
      </c>
      <c r="CX72" s="191">
        <v>-2.46</v>
      </c>
      <c r="CY72" s="191">
        <v>-0.72</v>
      </c>
      <c r="CZ72" s="191">
        <v>-2.15</v>
      </c>
      <c r="DA72" s="191">
        <v>-3.69</v>
      </c>
      <c r="DB72" s="191">
        <v>-3.59</v>
      </c>
      <c r="DC72" s="191">
        <v>-1.44</v>
      </c>
      <c r="DD72" s="191">
        <v>-0.51</v>
      </c>
      <c r="DE72" s="191">
        <v>-0.41</v>
      </c>
      <c r="DF72" s="191">
        <v>-0.92</v>
      </c>
      <c r="DG72" s="192">
        <v>-0.41</v>
      </c>
      <c r="DH72" s="180"/>
      <c r="DI72" s="191" t="s">
        <v>478</v>
      </c>
      <c r="DJ72" s="191">
        <v>0</v>
      </c>
      <c r="DK72" s="191">
        <v>0</v>
      </c>
      <c r="DL72" s="191">
        <v>0</v>
      </c>
      <c r="DM72" s="191">
        <v>0</v>
      </c>
      <c r="DN72" s="191">
        <v>0</v>
      </c>
      <c r="DO72" s="191">
        <v>4.7</v>
      </c>
      <c r="DP72" s="191">
        <v>5.42</v>
      </c>
      <c r="DQ72" s="191">
        <v>0.63</v>
      </c>
      <c r="DR72" s="191">
        <v>1.54</v>
      </c>
      <c r="DS72" s="191">
        <v>2.53</v>
      </c>
      <c r="DT72" s="191">
        <v>0</v>
      </c>
      <c r="DU72" s="191">
        <v>0</v>
      </c>
      <c r="DV72" s="191">
        <v>0</v>
      </c>
      <c r="DW72" s="191">
        <v>0</v>
      </c>
      <c r="DX72" s="191">
        <v>0</v>
      </c>
      <c r="DY72" s="192">
        <v>0</v>
      </c>
    </row>
    <row r="73" s="180" customFormat="1" spans="1:129">
      <c r="A73" s="190" t="s">
        <v>479</v>
      </c>
      <c r="B73" s="191">
        <v>-37</v>
      </c>
      <c r="C73" s="192">
        <v>324.88</v>
      </c>
      <c r="E73" s="191" t="s">
        <v>479</v>
      </c>
      <c r="F73" s="191">
        <v>11.42</v>
      </c>
      <c r="G73" s="191">
        <v>190.36</v>
      </c>
      <c r="H73" s="191">
        <v>0</v>
      </c>
      <c r="I73" s="191">
        <v>0</v>
      </c>
      <c r="J73" s="191">
        <v>0</v>
      </c>
      <c r="K73" s="191">
        <v>0</v>
      </c>
      <c r="L73" s="191">
        <v>0</v>
      </c>
      <c r="M73" s="191">
        <v>0</v>
      </c>
      <c r="N73" s="191">
        <v>0</v>
      </c>
      <c r="O73" s="191">
        <v>0</v>
      </c>
      <c r="P73" s="191">
        <v>0</v>
      </c>
      <c r="Q73" s="191">
        <v>4.95</v>
      </c>
      <c r="R73" s="191">
        <v>5.71</v>
      </c>
      <c r="S73" s="191">
        <v>0</v>
      </c>
      <c r="T73" s="191">
        <v>0.67</v>
      </c>
      <c r="U73" s="191">
        <v>1.62</v>
      </c>
      <c r="V73" s="191">
        <v>2.67</v>
      </c>
      <c r="W73" s="191">
        <v>-0.9</v>
      </c>
      <c r="X73" s="191">
        <v>-5.5</v>
      </c>
      <c r="Y73" s="191">
        <v>-2.4</v>
      </c>
      <c r="Z73" s="191">
        <v>-3</v>
      </c>
      <c r="AA73" s="191">
        <v>23.8</v>
      </c>
      <c r="AB73" s="191">
        <v>0</v>
      </c>
      <c r="AC73" s="191">
        <v>0</v>
      </c>
      <c r="AD73" s="191">
        <v>2.67</v>
      </c>
      <c r="AE73" s="191">
        <v>12.76</v>
      </c>
      <c r="AF73" s="191">
        <v>13.52</v>
      </c>
      <c r="AG73" s="191">
        <v>4.76</v>
      </c>
      <c r="AH73" s="191">
        <v>3.33</v>
      </c>
      <c r="AI73" s="191">
        <v>38.55</v>
      </c>
      <c r="AJ73" s="191">
        <v>7.14</v>
      </c>
      <c r="AK73" s="191">
        <v>0.95</v>
      </c>
      <c r="AL73" s="191">
        <v>0</v>
      </c>
      <c r="AM73" s="191">
        <v>0</v>
      </c>
      <c r="AN73" s="191">
        <v>0</v>
      </c>
      <c r="AO73" s="191">
        <v>0</v>
      </c>
      <c r="AP73" s="191">
        <v>0</v>
      </c>
      <c r="AQ73" s="191">
        <v>0</v>
      </c>
      <c r="AR73" s="191">
        <v>-6.4</v>
      </c>
      <c r="AS73" s="191">
        <v>-0.8</v>
      </c>
      <c r="AT73" s="191">
        <v>-0.8</v>
      </c>
      <c r="AU73" s="191">
        <v>-0.8</v>
      </c>
      <c r="AV73" s="191">
        <v>-2.4</v>
      </c>
      <c r="AW73" s="191">
        <v>-0.8</v>
      </c>
      <c r="AX73" s="191">
        <v>-2.3</v>
      </c>
      <c r="AY73" s="191">
        <v>-3.5</v>
      </c>
      <c r="AZ73" s="191">
        <v>-3.6</v>
      </c>
      <c r="BA73" s="191">
        <v>-1.6</v>
      </c>
      <c r="BB73" s="191">
        <v>-0.5</v>
      </c>
      <c r="BC73" s="191">
        <v>-0.4</v>
      </c>
      <c r="BD73" s="191">
        <v>-0.9</v>
      </c>
      <c r="BE73" s="192">
        <v>-0.4</v>
      </c>
      <c r="BF73" s="180"/>
      <c r="BG73" s="191" t="s">
        <v>479</v>
      </c>
      <c r="BH73" s="191">
        <v>11.14</v>
      </c>
      <c r="BI73" s="191">
        <v>185.68</v>
      </c>
      <c r="BJ73" s="191">
        <v>0</v>
      </c>
      <c r="BK73" s="191">
        <v>0</v>
      </c>
      <c r="BL73" s="191">
        <v>0</v>
      </c>
      <c r="BM73" s="191">
        <v>0</v>
      </c>
      <c r="BN73" s="191">
        <v>0</v>
      </c>
      <c r="BO73" s="191">
        <v>0</v>
      </c>
      <c r="BP73" s="191">
        <v>0</v>
      </c>
      <c r="BQ73" s="191">
        <v>0</v>
      </c>
      <c r="BR73" s="191">
        <v>0</v>
      </c>
      <c r="BS73" s="191">
        <v>4.83</v>
      </c>
      <c r="BT73" s="191">
        <v>5.57</v>
      </c>
      <c r="BU73" s="191">
        <v>0</v>
      </c>
      <c r="BV73" s="191">
        <v>0.65</v>
      </c>
      <c r="BW73" s="191">
        <v>1.58</v>
      </c>
      <c r="BX73" s="191">
        <v>2.6</v>
      </c>
      <c r="BY73" s="191">
        <v>-0.92</v>
      </c>
      <c r="BZ73" s="191">
        <v>-5.64</v>
      </c>
      <c r="CA73" s="191">
        <v>-2.46</v>
      </c>
      <c r="CB73" s="191">
        <v>-3.08</v>
      </c>
      <c r="CC73" s="191">
        <v>23.21</v>
      </c>
      <c r="CD73" s="191">
        <v>0</v>
      </c>
      <c r="CE73" s="191">
        <v>0</v>
      </c>
      <c r="CF73" s="191">
        <v>2.6</v>
      </c>
      <c r="CG73" s="191">
        <v>12.45</v>
      </c>
      <c r="CH73" s="191">
        <v>13.19</v>
      </c>
      <c r="CI73" s="191">
        <v>4.64</v>
      </c>
      <c r="CJ73" s="191">
        <v>3.25</v>
      </c>
      <c r="CK73" s="191">
        <v>37.6</v>
      </c>
      <c r="CL73" s="191">
        <v>6.96</v>
      </c>
      <c r="CM73" s="191">
        <v>0.93</v>
      </c>
      <c r="CN73" s="191">
        <v>0</v>
      </c>
      <c r="CO73" s="191">
        <v>0</v>
      </c>
      <c r="CP73" s="191">
        <v>0</v>
      </c>
      <c r="CQ73" s="191">
        <v>0</v>
      </c>
      <c r="CR73" s="191">
        <v>0</v>
      </c>
      <c r="CS73" s="191">
        <v>0</v>
      </c>
      <c r="CT73" s="191">
        <v>-6.56</v>
      </c>
      <c r="CU73" s="191">
        <v>-0.82</v>
      </c>
      <c r="CV73" s="191">
        <v>-0.82</v>
      </c>
      <c r="CW73" s="191">
        <v>-0.82</v>
      </c>
      <c r="CX73" s="191">
        <v>-2.46</v>
      </c>
      <c r="CY73" s="191">
        <v>-0.82</v>
      </c>
      <c r="CZ73" s="191">
        <v>-2.36</v>
      </c>
      <c r="DA73" s="191">
        <v>-3.59</v>
      </c>
      <c r="DB73" s="191">
        <v>-3.69</v>
      </c>
      <c r="DC73" s="191">
        <v>-1.64</v>
      </c>
      <c r="DD73" s="191">
        <v>-0.51</v>
      </c>
      <c r="DE73" s="191">
        <v>-0.41</v>
      </c>
      <c r="DF73" s="191">
        <v>-0.92</v>
      </c>
      <c r="DG73" s="192">
        <v>-0.41</v>
      </c>
      <c r="DH73" s="180"/>
      <c r="DI73" s="191" t="s">
        <v>479</v>
      </c>
      <c r="DJ73" s="191">
        <v>0</v>
      </c>
      <c r="DK73" s="191">
        <v>0</v>
      </c>
      <c r="DL73" s="191">
        <v>0</v>
      </c>
      <c r="DM73" s="191">
        <v>0</v>
      </c>
      <c r="DN73" s="191">
        <v>0</v>
      </c>
      <c r="DO73" s="191">
        <v>4.7</v>
      </c>
      <c r="DP73" s="191">
        <v>5.42</v>
      </c>
      <c r="DQ73" s="191">
        <v>0.63</v>
      </c>
      <c r="DR73" s="191">
        <v>1.54</v>
      </c>
      <c r="DS73" s="191">
        <v>2.53</v>
      </c>
      <c r="DT73" s="191">
        <v>0</v>
      </c>
      <c r="DU73" s="191">
        <v>0</v>
      </c>
      <c r="DV73" s="191">
        <v>0</v>
      </c>
      <c r="DW73" s="191">
        <v>0</v>
      </c>
      <c r="DX73" s="191">
        <v>0</v>
      </c>
      <c r="DY73" s="192">
        <v>0</v>
      </c>
    </row>
    <row r="74" s="180" customFormat="1" spans="1:129">
      <c r="A74" s="190" t="s">
        <v>480</v>
      </c>
      <c r="B74" s="191">
        <v>-37.3</v>
      </c>
      <c r="C74" s="192">
        <v>348.87</v>
      </c>
      <c r="E74" s="191" t="s">
        <v>480</v>
      </c>
      <c r="F74" s="191">
        <v>0</v>
      </c>
      <c r="G74" s="191">
        <v>285.56</v>
      </c>
      <c r="H74" s="191">
        <v>0</v>
      </c>
      <c r="I74" s="191">
        <v>0</v>
      </c>
      <c r="J74" s="191">
        <v>0</v>
      </c>
      <c r="K74" s="191">
        <v>0</v>
      </c>
      <c r="L74" s="191">
        <v>0</v>
      </c>
      <c r="M74" s="191">
        <v>0</v>
      </c>
      <c r="N74" s="191">
        <v>0</v>
      </c>
      <c r="O74" s="191">
        <v>0</v>
      </c>
      <c r="P74" s="191">
        <v>0</v>
      </c>
      <c r="Q74" s="191">
        <v>4.95</v>
      </c>
      <c r="R74" s="191">
        <v>5.71</v>
      </c>
      <c r="S74" s="191">
        <v>0</v>
      </c>
      <c r="T74" s="191">
        <v>0.67</v>
      </c>
      <c r="U74" s="191">
        <v>0</v>
      </c>
      <c r="V74" s="191">
        <v>2.67</v>
      </c>
      <c r="W74" s="191">
        <v>-0.9</v>
      </c>
      <c r="X74" s="191">
        <v>-5.5</v>
      </c>
      <c r="Y74" s="191">
        <v>-2.4</v>
      </c>
      <c r="Z74" s="191">
        <v>-3</v>
      </c>
      <c r="AA74" s="191">
        <v>23.8</v>
      </c>
      <c r="AB74" s="191">
        <v>0</v>
      </c>
      <c r="AC74" s="191">
        <v>0</v>
      </c>
      <c r="AD74" s="191">
        <v>0</v>
      </c>
      <c r="AE74" s="191">
        <v>0</v>
      </c>
      <c r="AF74" s="191">
        <v>13.52</v>
      </c>
      <c r="AG74" s="191">
        <v>0</v>
      </c>
      <c r="AH74" s="191">
        <v>3.33</v>
      </c>
      <c r="AI74" s="191">
        <v>0.57</v>
      </c>
      <c r="AJ74" s="191">
        <v>7.14</v>
      </c>
      <c r="AK74" s="191">
        <v>0.95</v>
      </c>
      <c r="AL74" s="191">
        <v>0</v>
      </c>
      <c r="AM74" s="191">
        <v>0</v>
      </c>
      <c r="AN74" s="191">
        <v>0</v>
      </c>
      <c r="AO74" s="191">
        <v>0</v>
      </c>
      <c r="AP74" s="191">
        <v>0</v>
      </c>
      <c r="AQ74" s="191">
        <v>0</v>
      </c>
      <c r="AR74" s="191">
        <v>-6.8</v>
      </c>
      <c r="AS74" s="191">
        <v>-0.8</v>
      </c>
      <c r="AT74" s="191">
        <v>-0.8</v>
      </c>
      <c r="AU74" s="191">
        <v>-0.8</v>
      </c>
      <c r="AV74" s="191">
        <v>-2.4</v>
      </c>
      <c r="AW74" s="191">
        <v>-0.8</v>
      </c>
      <c r="AX74" s="191">
        <v>-2.3</v>
      </c>
      <c r="AY74" s="191">
        <v>-3.4</v>
      </c>
      <c r="AZ74" s="191">
        <v>-3.6</v>
      </c>
      <c r="BA74" s="191">
        <v>-1.6</v>
      </c>
      <c r="BB74" s="191">
        <v>-0.5</v>
      </c>
      <c r="BC74" s="191">
        <v>-0.4</v>
      </c>
      <c r="BD74" s="191">
        <v>-0.9</v>
      </c>
      <c r="BE74" s="192">
        <v>-0.4</v>
      </c>
      <c r="BF74" s="180"/>
      <c r="BG74" s="191" t="s">
        <v>480</v>
      </c>
      <c r="BH74" s="191">
        <v>0</v>
      </c>
      <c r="BI74" s="191">
        <v>278.54</v>
      </c>
      <c r="BJ74" s="191">
        <v>0</v>
      </c>
      <c r="BK74" s="191">
        <v>0</v>
      </c>
      <c r="BL74" s="191">
        <v>0</v>
      </c>
      <c r="BM74" s="191">
        <v>0</v>
      </c>
      <c r="BN74" s="191">
        <v>0</v>
      </c>
      <c r="BO74" s="191">
        <v>0</v>
      </c>
      <c r="BP74" s="191">
        <v>0</v>
      </c>
      <c r="BQ74" s="191">
        <v>0</v>
      </c>
      <c r="BR74" s="191">
        <v>0</v>
      </c>
      <c r="BS74" s="191">
        <v>4.83</v>
      </c>
      <c r="BT74" s="191">
        <v>5.57</v>
      </c>
      <c r="BU74" s="191">
        <v>0</v>
      </c>
      <c r="BV74" s="191">
        <v>0.65</v>
      </c>
      <c r="BW74" s="191">
        <v>0</v>
      </c>
      <c r="BX74" s="191">
        <v>2.6</v>
      </c>
      <c r="BY74" s="191">
        <v>-0.92</v>
      </c>
      <c r="BZ74" s="191">
        <v>-5.64</v>
      </c>
      <c r="CA74" s="191">
        <v>-2.46</v>
      </c>
      <c r="CB74" s="191">
        <v>-3.08</v>
      </c>
      <c r="CC74" s="191">
        <v>23.21</v>
      </c>
      <c r="CD74" s="191">
        <v>0</v>
      </c>
      <c r="CE74" s="191">
        <v>0</v>
      </c>
      <c r="CF74" s="191">
        <v>0</v>
      </c>
      <c r="CG74" s="191">
        <v>0</v>
      </c>
      <c r="CH74" s="191">
        <v>13.19</v>
      </c>
      <c r="CI74" s="191">
        <v>0</v>
      </c>
      <c r="CJ74" s="191">
        <v>3.25</v>
      </c>
      <c r="CK74" s="191">
        <v>0.56</v>
      </c>
      <c r="CL74" s="191">
        <v>6.96</v>
      </c>
      <c r="CM74" s="191">
        <v>0.93</v>
      </c>
      <c r="CN74" s="191">
        <v>0</v>
      </c>
      <c r="CO74" s="191">
        <v>0</v>
      </c>
      <c r="CP74" s="191">
        <v>0</v>
      </c>
      <c r="CQ74" s="191">
        <v>0</v>
      </c>
      <c r="CR74" s="191">
        <v>0</v>
      </c>
      <c r="CS74" s="191">
        <v>0</v>
      </c>
      <c r="CT74" s="191">
        <v>-6.97</v>
      </c>
      <c r="CU74" s="191">
        <v>-0.82</v>
      </c>
      <c r="CV74" s="191">
        <v>-0.82</v>
      </c>
      <c r="CW74" s="191">
        <v>-0.82</v>
      </c>
      <c r="CX74" s="191">
        <v>-2.46</v>
      </c>
      <c r="CY74" s="191">
        <v>-0.82</v>
      </c>
      <c r="CZ74" s="191">
        <v>-2.36</v>
      </c>
      <c r="DA74" s="191">
        <v>-3.49</v>
      </c>
      <c r="DB74" s="191">
        <v>-3.69</v>
      </c>
      <c r="DC74" s="191">
        <v>-1.64</v>
      </c>
      <c r="DD74" s="191">
        <v>-0.51</v>
      </c>
      <c r="DE74" s="191">
        <v>-0.41</v>
      </c>
      <c r="DF74" s="191">
        <v>-0.92</v>
      </c>
      <c r="DG74" s="192">
        <v>-0.41</v>
      </c>
      <c r="DH74" s="180"/>
      <c r="DI74" s="191" t="s">
        <v>480</v>
      </c>
      <c r="DJ74" s="191">
        <v>0</v>
      </c>
      <c r="DK74" s="191">
        <v>0</v>
      </c>
      <c r="DL74" s="191">
        <v>0</v>
      </c>
      <c r="DM74" s="191">
        <v>0</v>
      </c>
      <c r="DN74" s="191">
        <v>0</v>
      </c>
      <c r="DO74" s="191">
        <v>4.7</v>
      </c>
      <c r="DP74" s="191">
        <v>5.42</v>
      </c>
      <c r="DQ74" s="191">
        <v>0.63</v>
      </c>
      <c r="DR74" s="191">
        <v>0</v>
      </c>
      <c r="DS74" s="191">
        <v>2.53</v>
      </c>
      <c r="DT74" s="191">
        <v>0</v>
      </c>
      <c r="DU74" s="191">
        <v>0</v>
      </c>
      <c r="DV74" s="191">
        <v>0</v>
      </c>
      <c r="DW74" s="191">
        <v>0</v>
      </c>
      <c r="DX74" s="191">
        <v>0</v>
      </c>
      <c r="DY74" s="192">
        <v>0</v>
      </c>
    </row>
    <row r="75" s="180" customFormat="1" spans="1:129">
      <c r="A75" s="190" t="s">
        <v>481</v>
      </c>
      <c r="B75" s="191">
        <v>-39</v>
      </c>
      <c r="C75" s="192">
        <v>413.6</v>
      </c>
      <c r="E75" s="191" t="s">
        <v>481</v>
      </c>
      <c r="F75" s="191">
        <v>0</v>
      </c>
      <c r="G75" s="191">
        <v>285.56</v>
      </c>
      <c r="H75" s="191">
        <v>0</v>
      </c>
      <c r="I75" s="191">
        <v>0</v>
      </c>
      <c r="J75" s="191">
        <v>0</v>
      </c>
      <c r="K75" s="191">
        <v>0</v>
      </c>
      <c r="L75" s="191">
        <v>0</v>
      </c>
      <c r="M75" s="191">
        <v>0</v>
      </c>
      <c r="N75" s="191">
        <v>0</v>
      </c>
      <c r="O75" s="191">
        <v>0</v>
      </c>
      <c r="P75" s="191">
        <v>0</v>
      </c>
      <c r="Q75" s="191">
        <v>5.52</v>
      </c>
      <c r="R75" s="191">
        <v>5.71</v>
      </c>
      <c r="S75" s="191">
        <v>0</v>
      </c>
      <c r="T75" s="191">
        <v>0.67</v>
      </c>
      <c r="U75" s="191">
        <v>0</v>
      </c>
      <c r="V75" s="191">
        <v>2.67</v>
      </c>
      <c r="W75" s="191">
        <v>-0.9</v>
      </c>
      <c r="X75" s="191">
        <v>-5.5</v>
      </c>
      <c r="Y75" s="191">
        <v>-2.4</v>
      </c>
      <c r="Z75" s="191">
        <v>-3</v>
      </c>
      <c r="AA75" s="191">
        <v>23.8</v>
      </c>
      <c r="AB75" s="191">
        <v>0</v>
      </c>
      <c r="AC75" s="191">
        <v>0</v>
      </c>
      <c r="AD75" s="191">
        <v>0</v>
      </c>
      <c r="AE75" s="191">
        <v>0</v>
      </c>
      <c r="AF75" s="191">
        <v>13.52</v>
      </c>
      <c r="AG75" s="191">
        <v>0</v>
      </c>
      <c r="AH75" s="191">
        <v>6.19</v>
      </c>
      <c r="AI75" s="191">
        <v>0</v>
      </c>
      <c r="AJ75" s="191">
        <v>7.14</v>
      </c>
      <c r="AK75" s="191">
        <v>0.95</v>
      </c>
      <c r="AL75" s="191">
        <v>0</v>
      </c>
      <c r="AM75" s="191">
        <v>0</v>
      </c>
      <c r="AN75" s="191">
        <v>0</v>
      </c>
      <c r="AO75" s="191">
        <v>61.87</v>
      </c>
      <c r="AP75" s="191">
        <v>0</v>
      </c>
      <c r="AQ75" s="191">
        <v>0</v>
      </c>
      <c r="AR75" s="191">
        <v>-6.7</v>
      </c>
      <c r="AS75" s="191">
        <v>-0.9</v>
      </c>
      <c r="AT75" s="191">
        <v>-0.9</v>
      </c>
      <c r="AU75" s="191">
        <v>-0.9</v>
      </c>
      <c r="AV75" s="191">
        <v>-2.8</v>
      </c>
      <c r="AW75" s="191">
        <v>-0.9</v>
      </c>
      <c r="AX75" s="191">
        <v>-2.6</v>
      </c>
      <c r="AY75" s="191">
        <v>-3.4</v>
      </c>
      <c r="AZ75" s="191">
        <v>-4</v>
      </c>
      <c r="BA75" s="191">
        <v>-1.7</v>
      </c>
      <c r="BB75" s="191">
        <v>-0.6</v>
      </c>
      <c r="BC75" s="191">
        <v>-0.4</v>
      </c>
      <c r="BD75" s="191">
        <v>-1</v>
      </c>
      <c r="BE75" s="192">
        <v>-0.4</v>
      </c>
      <c r="BF75" s="180"/>
      <c r="BG75" s="191" t="s">
        <v>481</v>
      </c>
      <c r="BH75" s="191">
        <v>0</v>
      </c>
      <c r="BI75" s="191">
        <v>278.54</v>
      </c>
      <c r="BJ75" s="191">
        <v>0</v>
      </c>
      <c r="BK75" s="191">
        <v>0</v>
      </c>
      <c r="BL75" s="191">
        <v>0</v>
      </c>
      <c r="BM75" s="191">
        <v>0</v>
      </c>
      <c r="BN75" s="191">
        <v>0</v>
      </c>
      <c r="BO75" s="191">
        <v>0</v>
      </c>
      <c r="BP75" s="191">
        <v>0</v>
      </c>
      <c r="BQ75" s="191">
        <v>0</v>
      </c>
      <c r="BR75" s="191">
        <v>0</v>
      </c>
      <c r="BS75" s="191">
        <v>5.38</v>
      </c>
      <c r="BT75" s="191">
        <v>5.57</v>
      </c>
      <c r="BU75" s="191">
        <v>0</v>
      </c>
      <c r="BV75" s="191">
        <v>0.65</v>
      </c>
      <c r="BW75" s="191">
        <v>0</v>
      </c>
      <c r="BX75" s="191">
        <v>2.6</v>
      </c>
      <c r="BY75" s="191">
        <v>-0.92</v>
      </c>
      <c r="BZ75" s="191">
        <v>-5.64</v>
      </c>
      <c r="CA75" s="191">
        <v>-2.46</v>
      </c>
      <c r="CB75" s="191">
        <v>-3.08</v>
      </c>
      <c r="CC75" s="191">
        <v>23.21</v>
      </c>
      <c r="CD75" s="191">
        <v>0</v>
      </c>
      <c r="CE75" s="191">
        <v>0</v>
      </c>
      <c r="CF75" s="191">
        <v>0</v>
      </c>
      <c r="CG75" s="191">
        <v>0</v>
      </c>
      <c r="CH75" s="191">
        <v>13.19</v>
      </c>
      <c r="CI75" s="191">
        <v>0</v>
      </c>
      <c r="CJ75" s="191">
        <v>6.04</v>
      </c>
      <c r="CK75" s="191">
        <v>0</v>
      </c>
      <c r="CL75" s="191">
        <v>6.96</v>
      </c>
      <c r="CM75" s="191">
        <v>0.93</v>
      </c>
      <c r="CN75" s="191">
        <v>0</v>
      </c>
      <c r="CO75" s="191">
        <v>0</v>
      </c>
      <c r="CP75" s="191">
        <v>0</v>
      </c>
      <c r="CQ75" s="191">
        <v>60.35</v>
      </c>
      <c r="CR75" s="191">
        <v>0</v>
      </c>
      <c r="CS75" s="191">
        <v>0</v>
      </c>
      <c r="CT75" s="191">
        <v>-6.87</v>
      </c>
      <c r="CU75" s="191">
        <v>-0.92</v>
      </c>
      <c r="CV75" s="191">
        <v>-0.92</v>
      </c>
      <c r="CW75" s="191">
        <v>-0.92</v>
      </c>
      <c r="CX75" s="191">
        <v>-2.87</v>
      </c>
      <c r="CY75" s="191">
        <v>-0.92</v>
      </c>
      <c r="CZ75" s="191">
        <v>-2.67</v>
      </c>
      <c r="DA75" s="191">
        <v>-3.49</v>
      </c>
      <c r="DB75" s="191">
        <v>-4.1</v>
      </c>
      <c r="DC75" s="191">
        <v>-1.74</v>
      </c>
      <c r="DD75" s="191">
        <v>-0.62</v>
      </c>
      <c r="DE75" s="191">
        <v>-0.41</v>
      </c>
      <c r="DF75" s="191">
        <v>-1.03</v>
      </c>
      <c r="DG75" s="192">
        <v>-0.41</v>
      </c>
      <c r="DH75" s="180"/>
      <c r="DI75" s="191" t="s">
        <v>481</v>
      </c>
      <c r="DJ75" s="191">
        <v>0</v>
      </c>
      <c r="DK75" s="191">
        <v>0</v>
      </c>
      <c r="DL75" s="191">
        <v>0</v>
      </c>
      <c r="DM75" s="191">
        <v>0</v>
      </c>
      <c r="DN75" s="191">
        <v>0</v>
      </c>
      <c r="DO75" s="191">
        <v>5.23</v>
      </c>
      <c r="DP75" s="191">
        <v>5.42</v>
      </c>
      <c r="DQ75" s="191">
        <v>0.63</v>
      </c>
      <c r="DR75" s="191">
        <v>0</v>
      </c>
      <c r="DS75" s="191">
        <v>2.53</v>
      </c>
      <c r="DT75" s="191">
        <v>0</v>
      </c>
      <c r="DU75" s="191">
        <v>0</v>
      </c>
      <c r="DV75" s="191">
        <v>0</v>
      </c>
      <c r="DW75" s="191">
        <v>0</v>
      </c>
      <c r="DX75" s="191">
        <v>0</v>
      </c>
      <c r="DY75" s="192">
        <v>0</v>
      </c>
    </row>
    <row r="76" s="180" customFormat="1" spans="1:129">
      <c r="A76" s="190" t="s">
        <v>482</v>
      </c>
      <c r="B76" s="191">
        <v>-40.2</v>
      </c>
      <c r="C76" s="192">
        <v>369.81</v>
      </c>
      <c r="E76" s="191" t="s">
        <v>482</v>
      </c>
      <c r="F76" s="191">
        <v>0</v>
      </c>
      <c r="G76" s="191">
        <v>285.56</v>
      </c>
      <c r="H76" s="191">
        <v>0</v>
      </c>
      <c r="I76" s="191">
        <v>0</v>
      </c>
      <c r="J76" s="191">
        <v>0</v>
      </c>
      <c r="K76" s="191">
        <v>0</v>
      </c>
      <c r="L76" s="191">
        <v>0</v>
      </c>
      <c r="M76" s="191">
        <v>0</v>
      </c>
      <c r="N76" s="191">
        <v>0</v>
      </c>
      <c r="O76" s="191">
        <v>0</v>
      </c>
      <c r="P76" s="191">
        <v>0</v>
      </c>
      <c r="Q76" s="191">
        <v>0</v>
      </c>
      <c r="R76" s="191">
        <v>0</v>
      </c>
      <c r="S76" s="191">
        <v>0</v>
      </c>
      <c r="T76" s="191">
        <v>0</v>
      </c>
      <c r="U76" s="191">
        <v>0</v>
      </c>
      <c r="V76" s="191">
        <v>2.67</v>
      </c>
      <c r="W76" s="191">
        <v>-0.9</v>
      </c>
      <c r="X76" s="191">
        <v>-5.5</v>
      </c>
      <c r="Y76" s="191">
        <v>-2.4</v>
      </c>
      <c r="Z76" s="191">
        <v>-3</v>
      </c>
      <c r="AA76" s="191">
        <v>0</v>
      </c>
      <c r="AB76" s="191">
        <v>0</v>
      </c>
      <c r="AC76" s="191">
        <v>0</v>
      </c>
      <c r="AD76" s="191">
        <v>0</v>
      </c>
      <c r="AE76" s="191">
        <v>0</v>
      </c>
      <c r="AF76" s="191">
        <v>13.52</v>
      </c>
      <c r="AG76" s="191">
        <v>0</v>
      </c>
      <c r="AH76" s="191">
        <v>6.19</v>
      </c>
      <c r="AI76" s="191">
        <v>0</v>
      </c>
      <c r="AJ76" s="191">
        <v>0</v>
      </c>
      <c r="AK76" s="191">
        <v>0</v>
      </c>
      <c r="AL76" s="191">
        <v>0</v>
      </c>
      <c r="AM76" s="191">
        <v>0</v>
      </c>
      <c r="AN76" s="191">
        <v>0</v>
      </c>
      <c r="AO76" s="191">
        <v>61.87</v>
      </c>
      <c r="AP76" s="191">
        <v>0</v>
      </c>
      <c r="AQ76" s="191">
        <v>0</v>
      </c>
      <c r="AR76" s="191">
        <v>-7.1</v>
      </c>
      <c r="AS76" s="191">
        <v>-1</v>
      </c>
      <c r="AT76" s="191">
        <v>-1</v>
      </c>
      <c r="AU76" s="191">
        <v>-1</v>
      </c>
      <c r="AV76" s="191">
        <v>-2.8</v>
      </c>
      <c r="AW76" s="191">
        <v>-1</v>
      </c>
      <c r="AX76" s="191">
        <v>-2.7</v>
      </c>
      <c r="AY76" s="191">
        <v>-3.3</v>
      </c>
      <c r="AZ76" s="191">
        <v>-4.1</v>
      </c>
      <c r="BA76" s="191">
        <v>-1.9</v>
      </c>
      <c r="BB76" s="191">
        <v>-0.6</v>
      </c>
      <c r="BC76" s="191">
        <v>-0.4</v>
      </c>
      <c r="BD76" s="191">
        <v>-1.1</v>
      </c>
      <c r="BE76" s="192">
        <v>-0.4</v>
      </c>
      <c r="BF76" s="180"/>
      <c r="BG76" s="191" t="s">
        <v>482</v>
      </c>
      <c r="BH76" s="191">
        <v>0</v>
      </c>
      <c r="BI76" s="191">
        <v>278.54</v>
      </c>
      <c r="BJ76" s="191">
        <v>0</v>
      </c>
      <c r="BK76" s="191">
        <v>0</v>
      </c>
      <c r="BL76" s="191">
        <v>0</v>
      </c>
      <c r="BM76" s="191">
        <v>0</v>
      </c>
      <c r="BN76" s="191">
        <v>0</v>
      </c>
      <c r="BO76" s="191">
        <v>0</v>
      </c>
      <c r="BP76" s="191">
        <v>0</v>
      </c>
      <c r="BQ76" s="191">
        <v>0</v>
      </c>
      <c r="BR76" s="191">
        <v>0</v>
      </c>
      <c r="BS76" s="191">
        <v>0</v>
      </c>
      <c r="BT76" s="191">
        <v>0</v>
      </c>
      <c r="BU76" s="191">
        <v>0</v>
      </c>
      <c r="BV76" s="191">
        <v>0</v>
      </c>
      <c r="BW76" s="191">
        <v>0</v>
      </c>
      <c r="BX76" s="191">
        <v>2.6</v>
      </c>
      <c r="BY76" s="191">
        <v>-0.92</v>
      </c>
      <c r="BZ76" s="191">
        <v>-5.64</v>
      </c>
      <c r="CA76" s="191">
        <v>-2.46</v>
      </c>
      <c r="CB76" s="191">
        <v>-3.08</v>
      </c>
      <c r="CC76" s="191">
        <v>0</v>
      </c>
      <c r="CD76" s="191">
        <v>0</v>
      </c>
      <c r="CE76" s="191">
        <v>0</v>
      </c>
      <c r="CF76" s="191">
        <v>0</v>
      </c>
      <c r="CG76" s="191">
        <v>0</v>
      </c>
      <c r="CH76" s="191">
        <v>13.19</v>
      </c>
      <c r="CI76" s="191">
        <v>0</v>
      </c>
      <c r="CJ76" s="191">
        <v>6.04</v>
      </c>
      <c r="CK76" s="191">
        <v>0</v>
      </c>
      <c r="CL76" s="191">
        <v>0</v>
      </c>
      <c r="CM76" s="191">
        <v>0</v>
      </c>
      <c r="CN76" s="191">
        <v>0</v>
      </c>
      <c r="CO76" s="191">
        <v>0</v>
      </c>
      <c r="CP76" s="191">
        <v>0</v>
      </c>
      <c r="CQ76" s="191">
        <v>60.35</v>
      </c>
      <c r="CR76" s="191">
        <v>0</v>
      </c>
      <c r="CS76" s="191">
        <v>0</v>
      </c>
      <c r="CT76" s="191">
        <v>-7.28</v>
      </c>
      <c r="CU76" s="191">
        <v>-1.03</v>
      </c>
      <c r="CV76" s="191">
        <v>-1.03</v>
      </c>
      <c r="CW76" s="191">
        <v>-1.03</v>
      </c>
      <c r="CX76" s="191">
        <v>-2.87</v>
      </c>
      <c r="CY76" s="191">
        <v>-1.03</v>
      </c>
      <c r="CZ76" s="191">
        <v>-2.77</v>
      </c>
      <c r="DA76" s="191">
        <v>-3.38</v>
      </c>
      <c r="DB76" s="191">
        <v>-4.2</v>
      </c>
      <c r="DC76" s="191">
        <v>-1.95</v>
      </c>
      <c r="DD76" s="191">
        <v>-0.62</v>
      </c>
      <c r="DE76" s="191">
        <v>-0.41</v>
      </c>
      <c r="DF76" s="191">
        <v>-1.13</v>
      </c>
      <c r="DG76" s="192">
        <v>-0.41</v>
      </c>
      <c r="DH76" s="180"/>
      <c r="DI76" s="191" t="s">
        <v>482</v>
      </c>
      <c r="DJ76" s="191">
        <v>0</v>
      </c>
      <c r="DK76" s="191">
        <v>0</v>
      </c>
      <c r="DL76" s="191">
        <v>0</v>
      </c>
      <c r="DM76" s="191">
        <v>0</v>
      </c>
      <c r="DN76" s="191">
        <v>0</v>
      </c>
      <c r="DO76" s="191">
        <v>0</v>
      </c>
      <c r="DP76" s="191">
        <v>0</v>
      </c>
      <c r="DQ76" s="191">
        <v>0</v>
      </c>
      <c r="DR76" s="191">
        <v>0</v>
      </c>
      <c r="DS76" s="191">
        <v>2.53</v>
      </c>
      <c r="DT76" s="191">
        <v>0</v>
      </c>
      <c r="DU76" s="191">
        <v>0</v>
      </c>
      <c r="DV76" s="191">
        <v>0</v>
      </c>
      <c r="DW76" s="191">
        <v>0</v>
      </c>
      <c r="DX76" s="191">
        <v>0</v>
      </c>
      <c r="DY76" s="192">
        <v>0</v>
      </c>
    </row>
    <row r="77" s="180" customFormat="1" spans="1:129">
      <c r="A77" s="190" t="s">
        <v>483</v>
      </c>
      <c r="B77" s="191">
        <v>-41.7</v>
      </c>
      <c r="C77" s="192">
        <v>294.42</v>
      </c>
      <c r="E77" s="191" t="s">
        <v>483</v>
      </c>
      <c r="F77" s="191">
        <v>0</v>
      </c>
      <c r="G77" s="191">
        <v>285.56</v>
      </c>
      <c r="H77" s="191">
        <v>0</v>
      </c>
      <c r="I77" s="191">
        <v>0</v>
      </c>
      <c r="J77" s="191">
        <v>0</v>
      </c>
      <c r="K77" s="191">
        <v>0</v>
      </c>
      <c r="L77" s="191">
        <v>0</v>
      </c>
      <c r="M77" s="191">
        <v>0</v>
      </c>
      <c r="N77" s="191">
        <v>0</v>
      </c>
      <c r="O77" s="191">
        <v>0</v>
      </c>
      <c r="P77" s="191">
        <v>0</v>
      </c>
      <c r="Q77" s="191">
        <v>0</v>
      </c>
      <c r="R77" s="191">
        <v>0</v>
      </c>
      <c r="S77" s="191">
        <v>0</v>
      </c>
      <c r="T77" s="191">
        <v>0</v>
      </c>
      <c r="U77" s="191">
        <v>0</v>
      </c>
      <c r="V77" s="191">
        <v>2.67</v>
      </c>
      <c r="W77" s="191">
        <v>-0.9</v>
      </c>
      <c r="X77" s="191">
        <v>-5.5</v>
      </c>
      <c r="Y77" s="191">
        <v>-2.4</v>
      </c>
      <c r="Z77" s="191">
        <v>-3</v>
      </c>
      <c r="AA77" s="191">
        <v>0</v>
      </c>
      <c r="AB77" s="191">
        <v>0</v>
      </c>
      <c r="AC77" s="191">
        <v>0</v>
      </c>
      <c r="AD77" s="191">
        <v>0</v>
      </c>
      <c r="AE77" s="191">
        <v>0</v>
      </c>
      <c r="AF77" s="191">
        <v>0</v>
      </c>
      <c r="AG77" s="191">
        <v>0</v>
      </c>
      <c r="AH77" s="191">
        <v>6.19</v>
      </c>
      <c r="AI77" s="191">
        <v>0</v>
      </c>
      <c r="AJ77" s="191">
        <v>0</v>
      </c>
      <c r="AK77" s="191">
        <v>0</v>
      </c>
      <c r="AL77" s="191">
        <v>0</v>
      </c>
      <c r="AM77" s="191">
        <v>0</v>
      </c>
      <c r="AN77" s="191">
        <v>0</v>
      </c>
      <c r="AO77" s="191">
        <v>0</v>
      </c>
      <c r="AP77" s="191">
        <v>0</v>
      </c>
      <c r="AQ77" s="191">
        <v>0</v>
      </c>
      <c r="AR77" s="191">
        <v>-7.2</v>
      </c>
      <c r="AS77" s="191">
        <v>-1.2</v>
      </c>
      <c r="AT77" s="191">
        <v>-1.2</v>
      </c>
      <c r="AU77" s="191">
        <v>-1.2</v>
      </c>
      <c r="AV77" s="191">
        <v>-2.8</v>
      </c>
      <c r="AW77" s="191">
        <v>-1.2</v>
      </c>
      <c r="AX77" s="191">
        <v>-2.7</v>
      </c>
      <c r="AY77" s="191">
        <v>-3.2</v>
      </c>
      <c r="AZ77" s="191">
        <v>-4.6</v>
      </c>
      <c r="BA77" s="191">
        <v>-2.1</v>
      </c>
      <c r="BB77" s="191">
        <v>-0.6</v>
      </c>
      <c r="BC77" s="191">
        <v>-0.4</v>
      </c>
      <c r="BD77" s="191">
        <v>-1.1</v>
      </c>
      <c r="BE77" s="192">
        <v>-0.4</v>
      </c>
      <c r="BF77" s="180"/>
      <c r="BG77" s="191" t="s">
        <v>483</v>
      </c>
      <c r="BH77" s="191">
        <v>0</v>
      </c>
      <c r="BI77" s="191">
        <v>278.54</v>
      </c>
      <c r="BJ77" s="191">
        <v>0</v>
      </c>
      <c r="BK77" s="191">
        <v>0</v>
      </c>
      <c r="BL77" s="191">
        <v>0</v>
      </c>
      <c r="BM77" s="191">
        <v>0</v>
      </c>
      <c r="BN77" s="191">
        <v>0</v>
      </c>
      <c r="BO77" s="191">
        <v>0</v>
      </c>
      <c r="BP77" s="191">
        <v>0</v>
      </c>
      <c r="BQ77" s="191">
        <v>0</v>
      </c>
      <c r="BR77" s="191">
        <v>0</v>
      </c>
      <c r="BS77" s="191">
        <v>0</v>
      </c>
      <c r="BT77" s="191">
        <v>0</v>
      </c>
      <c r="BU77" s="191">
        <v>0</v>
      </c>
      <c r="BV77" s="191">
        <v>0</v>
      </c>
      <c r="BW77" s="191">
        <v>0</v>
      </c>
      <c r="BX77" s="191">
        <v>2.6</v>
      </c>
      <c r="BY77" s="191">
        <v>-0.92</v>
      </c>
      <c r="BZ77" s="191">
        <v>-5.64</v>
      </c>
      <c r="CA77" s="191">
        <v>-2.46</v>
      </c>
      <c r="CB77" s="191">
        <v>-3.08</v>
      </c>
      <c r="CC77" s="191">
        <v>0</v>
      </c>
      <c r="CD77" s="191">
        <v>0</v>
      </c>
      <c r="CE77" s="191">
        <v>0</v>
      </c>
      <c r="CF77" s="191">
        <v>0</v>
      </c>
      <c r="CG77" s="191">
        <v>0</v>
      </c>
      <c r="CH77" s="191">
        <v>0</v>
      </c>
      <c r="CI77" s="191">
        <v>0</v>
      </c>
      <c r="CJ77" s="191">
        <v>6.04</v>
      </c>
      <c r="CK77" s="191">
        <v>0</v>
      </c>
      <c r="CL77" s="191">
        <v>0</v>
      </c>
      <c r="CM77" s="191">
        <v>0</v>
      </c>
      <c r="CN77" s="191">
        <v>0</v>
      </c>
      <c r="CO77" s="191">
        <v>0</v>
      </c>
      <c r="CP77" s="191">
        <v>0</v>
      </c>
      <c r="CQ77" s="191">
        <v>0</v>
      </c>
      <c r="CR77" s="191">
        <v>0</v>
      </c>
      <c r="CS77" s="191">
        <v>0</v>
      </c>
      <c r="CT77" s="191">
        <v>-7.38</v>
      </c>
      <c r="CU77" s="191">
        <v>-1.23</v>
      </c>
      <c r="CV77" s="191">
        <v>-1.23</v>
      </c>
      <c r="CW77" s="191">
        <v>-1.23</v>
      </c>
      <c r="CX77" s="191">
        <v>-2.87</v>
      </c>
      <c r="CY77" s="191">
        <v>-1.23</v>
      </c>
      <c r="CZ77" s="191">
        <v>-2.77</v>
      </c>
      <c r="DA77" s="191">
        <v>-3.28</v>
      </c>
      <c r="DB77" s="191">
        <v>-4.72</v>
      </c>
      <c r="DC77" s="191">
        <v>-2.15</v>
      </c>
      <c r="DD77" s="191">
        <v>-0.62</v>
      </c>
      <c r="DE77" s="191">
        <v>-0.41</v>
      </c>
      <c r="DF77" s="191">
        <v>-1.13</v>
      </c>
      <c r="DG77" s="192">
        <v>-0.41</v>
      </c>
      <c r="DH77" s="180"/>
      <c r="DI77" s="191" t="s">
        <v>483</v>
      </c>
      <c r="DJ77" s="191">
        <v>0</v>
      </c>
      <c r="DK77" s="191">
        <v>0</v>
      </c>
      <c r="DL77" s="191">
        <v>0</v>
      </c>
      <c r="DM77" s="191">
        <v>0</v>
      </c>
      <c r="DN77" s="191">
        <v>0</v>
      </c>
      <c r="DO77" s="191">
        <v>0</v>
      </c>
      <c r="DP77" s="191">
        <v>0</v>
      </c>
      <c r="DQ77" s="191">
        <v>0</v>
      </c>
      <c r="DR77" s="191">
        <v>0</v>
      </c>
      <c r="DS77" s="191">
        <v>2.53</v>
      </c>
      <c r="DT77" s="191">
        <v>0</v>
      </c>
      <c r="DU77" s="191">
        <v>0</v>
      </c>
      <c r="DV77" s="191">
        <v>0</v>
      </c>
      <c r="DW77" s="191">
        <v>0</v>
      </c>
      <c r="DX77" s="191">
        <v>0</v>
      </c>
      <c r="DY77" s="192">
        <v>0</v>
      </c>
    </row>
    <row r="78" s="180" customFormat="1" spans="1:129">
      <c r="A78" s="190" t="s">
        <v>484</v>
      </c>
      <c r="B78" s="191">
        <v>-43.2</v>
      </c>
      <c r="C78" s="192">
        <v>294.42</v>
      </c>
      <c r="E78" s="191" t="s">
        <v>484</v>
      </c>
      <c r="F78" s="191">
        <v>0</v>
      </c>
      <c r="G78" s="191">
        <v>285.56</v>
      </c>
      <c r="H78" s="191">
        <v>0</v>
      </c>
      <c r="I78" s="191">
        <v>0</v>
      </c>
      <c r="J78" s="191">
        <v>0</v>
      </c>
      <c r="K78" s="191">
        <v>0</v>
      </c>
      <c r="L78" s="191">
        <v>0</v>
      </c>
      <c r="M78" s="191">
        <v>0</v>
      </c>
      <c r="N78" s="191">
        <v>0</v>
      </c>
      <c r="O78" s="191">
        <v>0</v>
      </c>
      <c r="P78" s="191">
        <v>0</v>
      </c>
      <c r="Q78" s="191">
        <v>0</v>
      </c>
      <c r="R78" s="191">
        <v>0</v>
      </c>
      <c r="S78" s="191">
        <v>0</v>
      </c>
      <c r="T78" s="191">
        <v>0</v>
      </c>
      <c r="U78" s="191">
        <v>0</v>
      </c>
      <c r="V78" s="191">
        <v>2.67</v>
      </c>
      <c r="W78" s="191">
        <v>-0.9</v>
      </c>
      <c r="X78" s="191">
        <v>-5.5</v>
      </c>
      <c r="Y78" s="191">
        <v>-2.4</v>
      </c>
      <c r="Z78" s="191">
        <v>-3</v>
      </c>
      <c r="AA78" s="191">
        <v>0</v>
      </c>
      <c r="AB78" s="191">
        <v>0</v>
      </c>
      <c r="AC78" s="191">
        <v>0</v>
      </c>
      <c r="AD78" s="191">
        <v>0</v>
      </c>
      <c r="AE78" s="191">
        <v>0</v>
      </c>
      <c r="AF78" s="191">
        <v>0</v>
      </c>
      <c r="AG78" s="191">
        <v>0</v>
      </c>
      <c r="AH78" s="191">
        <v>6.19</v>
      </c>
      <c r="AI78" s="191">
        <v>0</v>
      </c>
      <c r="AJ78" s="191">
        <v>0</v>
      </c>
      <c r="AK78" s="191">
        <v>0</v>
      </c>
      <c r="AL78" s="191">
        <v>0</v>
      </c>
      <c r="AM78" s="191">
        <v>0</v>
      </c>
      <c r="AN78" s="191">
        <v>0</v>
      </c>
      <c r="AO78" s="191">
        <v>0</v>
      </c>
      <c r="AP78" s="191">
        <v>0</v>
      </c>
      <c r="AQ78" s="191">
        <v>0</v>
      </c>
      <c r="AR78" s="191">
        <v>-8</v>
      </c>
      <c r="AS78" s="191">
        <v>-1.3</v>
      </c>
      <c r="AT78" s="191">
        <v>-1.3</v>
      </c>
      <c r="AU78" s="191">
        <v>-1.3</v>
      </c>
      <c r="AV78" s="191">
        <v>-2.8</v>
      </c>
      <c r="AW78" s="191">
        <v>-1.3</v>
      </c>
      <c r="AX78" s="191">
        <v>-2.7</v>
      </c>
      <c r="AY78" s="191">
        <v>-3.2</v>
      </c>
      <c r="AZ78" s="191">
        <v>-4.7</v>
      </c>
      <c r="BA78" s="191">
        <v>-2.3</v>
      </c>
      <c r="BB78" s="191">
        <v>-0.6</v>
      </c>
      <c r="BC78" s="191">
        <v>-0.4</v>
      </c>
      <c r="BD78" s="191">
        <v>-1.1</v>
      </c>
      <c r="BE78" s="192">
        <v>-0.4</v>
      </c>
      <c r="BF78" s="180"/>
      <c r="BG78" s="191" t="s">
        <v>484</v>
      </c>
      <c r="BH78" s="191">
        <v>0</v>
      </c>
      <c r="BI78" s="191">
        <v>278.54</v>
      </c>
      <c r="BJ78" s="191">
        <v>0</v>
      </c>
      <c r="BK78" s="191">
        <v>0</v>
      </c>
      <c r="BL78" s="191">
        <v>0</v>
      </c>
      <c r="BM78" s="191">
        <v>0</v>
      </c>
      <c r="BN78" s="191">
        <v>0</v>
      </c>
      <c r="BO78" s="191">
        <v>0</v>
      </c>
      <c r="BP78" s="191">
        <v>0</v>
      </c>
      <c r="BQ78" s="191">
        <v>0</v>
      </c>
      <c r="BR78" s="191">
        <v>0</v>
      </c>
      <c r="BS78" s="191">
        <v>0</v>
      </c>
      <c r="BT78" s="191">
        <v>0</v>
      </c>
      <c r="BU78" s="191">
        <v>0</v>
      </c>
      <c r="BV78" s="191">
        <v>0</v>
      </c>
      <c r="BW78" s="191">
        <v>0</v>
      </c>
      <c r="BX78" s="191">
        <v>2.6</v>
      </c>
      <c r="BY78" s="191">
        <v>-0.92</v>
      </c>
      <c r="BZ78" s="191">
        <v>-5.64</v>
      </c>
      <c r="CA78" s="191">
        <v>-2.46</v>
      </c>
      <c r="CB78" s="191">
        <v>-3.08</v>
      </c>
      <c r="CC78" s="191">
        <v>0</v>
      </c>
      <c r="CD78" s="191">
        <v>0</v>
      </c>
      <c r="CE78" s="191">
        <v>0</v>
      </c>
      <c r="CF78" s="191">
        <v>0</v>
      </c>
      <c r="CG78" s="191">
        <v>0</v>
      </c>
      <c r="CH78" s="191">
        <v>0</v>
      </c>
      <c r="CI78" s="191">
        <v>0</v>
      </c>
      <c r="CJ78" s="191">
        <v>6.04</v>
      </c>
      <c r="CK78" s="191">
        <v>0</v>
      </c>
      <c r="CL78" s="191">
        <v>0</v>
      </c>
      <c r="CM78" s="191">
        <v>0</v>
      </c>
      <c r="CN78" s="191">
        <v>0</v>
      </c>
      <c r="CO78" s="191">
        <v>0</v>
      </c>
      <c r="CP78" s="191">
        <v>0</v>
      </c>
      <c r="CQ78" s="191">
        <v>0</v>
      </c>
      <c r="CR78" s="191">
        <v>0</v>
      </c>
      <c r="CS78" s="191">
        <v>0</v>
      </c>
      <c r="CT78" s="191">
        <v>-8.2</v>
      </c>
      <c r="CU78" s="191">
        <v>-1.33</v>
      </c>
      <c r="CV78" s="191">
        <v>-1.33</v>
      </c>
      <c r="CW78" s="191">
        <v>-1.33</v>
      </c>
      <c r="CX78" s="191">
        <v>-2.87</v>
      </c>
      <c r="CY78" s="191">
        <v>-1.33</v>
      </c>
      <c r="CZ78" s="191">
        <v>-2.77</v>
      </c>
      <c r="DA78" s="191">
        <v>-3.28</v>
      </c>
      <c r="DB78" s="191">
        <v>-4.82</v>
      </c>
      <c r="DC78" s="191">
        <v>-2.36</v>
      </c>
      <c r="DD78" s="191">
        <v>-0.62</v>
      </c>
      <c r="DE78" s="191">
        <v>-0.41</v>
      </c>
      <c r="DF78" s="191">
        <v>-1.13</v>
      </c>
      <c r="DG78" s="192">
        <v>-0.41</v>
      </c>
      <c r="DH78" s="180"/>
      <c r="DI78" s="191" t="s">
        <v>484</v>
      </c>
      <c r="DJ78" s="191">
        <v>0</v>
      </c>
      <c r="DK78" s="191">
        <v>0</v>
      </c>
      <c r="DL78" s="191">
        <v>0</v>
      </c>
      <c r="DM78" s="191">
        <v>0</v>
      </c>
      <c r="DN78" s="191">
        <v>0</v>
      </c>
      <c r="DO78" s="191">
        <v>0</v>
      </c>
      <c r="DP78" s="191">
        <v>0</v>
      </c>
      <c r="DQ78" s="191">
        <v>0</v>
      </c>
      <c r="DR78" s="191">
        <v>0</v>
      </c>
      <c r="DS78" s="191">
        <v>2.53</v>
      </c>
      <c r="DT78" s="191">
        <v>0</v>
      </c>
      <c r="DU78" s="191">
        <v>0</v>
      </c>
      <c r="DV78" s="191">
        <v>0</v>
      </c>
      <c r="DW78" s="191">
        <v>0</v>
      </c>
      <c r="DX78" s="191">
        <v>0</v>
      </c>
      <c r="DY78" s="192">
        <v>0</v>
      </c>
    </row>
    <row r="79" s="180" customFormat="1" spans="1:129">
      <c r="A79" s="190" t="s">
        <v>485</v>
      </c>
      <c r="B79" s="191">
        <v>-65.4</v>
      </c>
      <c r="C79" s="192">
        <v>6.19</v>
      </c>
      <c r="E79" s="191" t="s">
        <v>485</v>
      </c>
      <c r="F79" s="191">
        <v>0</v>
      </c>
      <c r="G79" s="191">
        <v>0</v>
      </c>
      <c r="H79" s="191">
        <v>0</v>
      </c>
      <c r="I79" s="191">
        <v>0</v>
      </c>
      <c r="J79" s="191">
        <v>0</v>
      </c>
      <c r="K79" s="191">
        <v>0</v>
      </c>
      <c r="L79" s="191">
        <v>0</v>
      </c>
      <c r="M79" s="191">
        <v>0</v>
      </c>
      <c r="N79" s="191">
        <v>0</v>
      </c>
      <c r="O79" s="191">
        <v>0</v>
      </c>
      <c r="P79" s="191">
        <v>0</v>
      </c>
      <c r="Q79" s="191">
        <v>0</v>
      </c>
      <c r="R79" s="191">
        <v>0</v>
      </c>
      <c r="S79" s="191">
        <v>0</v>
      </c>
      <c r="T79" s="191">
        <v>0</v>
      </c>
      <c r="U79" s="191">
        <v>0</v>
      </c>
      <c r="V79" s="191">
        <v>0</v>
      </c>
      <c r="W79" s="191">
        <v>-0.9</v>
      </c>
      <c r="X79" s="191">
        <v>-5.5</v>
      </c>
      <c r="Y79" s="191">
        <v>-21.9</v>
      </c>
      <c r="Z79" s="191">
        <v>-3</v>
      </c>
      <c r="AA79" s="191">
        <v>0</v>
      </c>
      <c r="AB79" s="191">
        <v>0</v>
      </c>
      <c r="AC79" s="191">
        <v>0</v>
      </c>
      <c r="AD79" s="191">
        <v>0</v>
      </c>
      <c r="AE79" s="191">
        <v>0</v>
      </c>
      <c r="AF79" s="191">
        <v>0</v>
      </c>
      <c r="AG79" s="191">
        <v>0</v>
      </c>
      <c r="AH79" s="191">
        <v>6.19</v>
      </c>
      <c r="AI79" s="191">
        <v>0</v>
      </c>
      <c r="AJ79" s="191">
        <v>0</v>
      </c>
      <c r="AK79" s="191">
        <v>0</v>
      </c>
      <c r="AL79" s="191">
        <v>0</v>
      </c>
      <c r="AM79" s="191">
        <v>0</v>
      </c>
      <c r="AN79" s="191">
        <v>0</v>
      </c>
      <c r="AO79" s="191">
        <v>0</v>
      </c>
      <c r="AP79" s="191">
        <v>0</v>
      </c>
      <c r="AQ79" s="191">
        <v>0</v>
      </c>
      <c r="AR79" s="191">
        <v>-8.9</v>
      </c>
      <c r="AS79" s="191">
        <v>-1.5</v>
      </c>
      <c r="AT79" s="191">
        <v>-1.5</v>
      </c>
      <c r="AU79" s="191">
        <v>-1.5</v>
      </c>
      <c r="AV79" s="191">
        <v>-2.8</v>
      </c>
      <c r="AW79" s="191">
        <v>-1.5</v>
      </c>
      <c r="AX79" s="191">
        <v>-3.1</v>
      </c>
      <c r="AY79" s="191">
        <v>-3.1</v>
      </c>
      <c r="AZ79" s="191">
        <v>-5.2</v>
      </c>
      <c r="BA79" s="191">
        <v>-2.3</v>
      </c>
      <c r="BB79" s="191">
        <v>-0.6</v>
      </c>
      <c r="BC79" s="191">
        <v>-0.5</v>
      </c>
      <c r="BD79" s="191">
        <v>-1.1</v>
      </c>
      <c r="BE79" s="192">
        <v>-0.5</v>
      </c>
      <c r="BF79" s="180"/>
      <c r="BG79" s="191" t="s">
        <v>485</v>
      </c>
      <c r="BH79" s="191">
        <v>0</v>
      </c>
      <c r="BI79" s="191">
        <v>0</v>
      </c>
      <c r="BJ79" s="191">
        <v>0</v>
      </c>
      <c r="BK79" s="191">
        <v>0</v>
      </c>
      <c r="BL79" s="191">
        <v>0</v>
      </c>
      <c r="BM79" s="191">
        <v>0</v>
      </c>
      <c r="BN79" s="191">
        <v>0</v>
      </c>
      <c r="BO79" s="191">
        <v>0</v>
      </c>
      <c r="BP79" s="191">
        <v>0</v>
      </c>
      <c r="BQ79" s="191">
        <v>0</v>
      </c>
      <c r="BR79" s="191">
        <v>0</v>
      </c>
      <c r="BS79" s="191">
        <v>0</v>
      </c>
      <c r="BT79" s="191">
        <v>0</v>
      </c>
      <c r="BU79" s="191">
        <v>0</v>
      </c>
      <c r="BV79" s="191">
        <v>0</v>
      </c>
      <c r="BW79" s="191">
        <v>0</v>
      </c>
      <c r="BX79" s="191">
        <v>0</v>
      </c>
      <c r="BY79" s="191">
        <v>-0.92</v>
      </c>
      <c r="BZ79" s="191">
        <v>-5.64</v>
      </c>
      <c r="CA79" s="191">
        <v>-22.45</v>
      </c>
      <c r="CB79" s="191">
        <v>-3.08</v>
      </c>
      <c r="CC79" s="191">
        <v>0</v>
      </c>
      <c r="CD79" s="191">
        <v>0</v>
      </c>
      <c r="CE79" s="191">
        <v>0</v>
      </c>
      <c r="CF79" s="191">
        <v>0</v>
      </c>
      <c r="CG79" s="191">
        <v>0</v>
      </c>
      <c r="CH79" s="191">
        <v>0</v>
      </c>
      <c r="CI79" s="191">
        <v>0</v>
      </c>
      <c r="CJ79" s="191">
        <v>6.04</v>
      </c>
      <c r="CK79" s="191">
        <v>0</v>
      </c>
      <c r="CL79" s="191">
        <v>0</v>
      </c>
      <c r="CM79" s="191">
        <v>0</v>
      </c>
      <c r="CN79" s="191">
        <v>0</v>
      </c>
      <c r="CO79" s="191">
        <v>0</v>
      </c>
      <c r="CP79" s="191">
        <v>0</v>
      </c>
      <c r="CQ79" s="191">
        <v>0</v>
      </c>
      <c r="CR79" s="191">
        <v>0</v>
      </c>
      <c r="CS79" s="191">
        <v>0</v>
      </c>
      <c r="CT79" s="191">
        <v>-9.12</v>
      </c>
      <c r="CU79" s="191">
        <v>-1.54</v>
      </c>
      <c r="CV79" s="191">
        <v>-1.54</v>
      </c>
      <c r="CW79" s="191">
        <v>-1.54</v>
      </c>
      <c r="CX79" s="191">
        <v>-2.87</v>
      </c>
      <c r="CY79" s="191">
        <v>-1.54</v>
      </c>
      <c r="CZ79" s="191">
        <v>-3.18</v>
      </c>
      <c r="DA79" s="191">
        <v>-3.18</v>
      </c>
      <c r="DB79" s="191">
        <v>-5.33</v>
      </c>
      <c r="DC79" s="191">
        <v>-2.36</v>
      </c>
      <c r="DD79" s="191">
        <v>-0.62</v>
      </c>
      <c r="DE79" s="191">
        <v>-0.51</v>
      </c>
      <c r="DF79" s="191">
        <v>-1.13</v>
      </c>
      <c r="DG79" s="192">
        <v>-0.51</v>
      </c>
      <c r="DH79" s="180"/>
      <c r="DI79" s="191" t="s">
        <v>485</v>
      </c>
      <c r="DJ79" s="191">
        <v>0</v>
      </c>
      <c r="DK79" s="191">
        <v>0</v>
      </c>
      <c r="DL79" s="191">
        <v>0</v>
      </c>
      <c r="DM79" s="191">
        <v>0</v>
      </c>
      <c r="DN79" s="191">
        <v>0</v>
      </c>
      <c r="DO79" s="191">
        <v>0</v>
      </c>
      <c r="DP79" s="191">
        <v>0</v>
      </c>
      <c r="DQ79" s="191">
        <v>0</v>
      </c>
      <c r="DR79" s="191">
        <v>0</v>
      </c>
      <c r="DS79" s="191">
        <v>0</v>
      </c>
      <c r="DT79" s="191">
        <v>0</v>
      </c>
      <c r="DU79" s="191">
        <v>0</v>
      </c>
      <c r="DV79" s="191">
        <v>0</v>
      </c>
      <c r="DW79" s="191">
        <v>0</v>
      </c>
      <c r="DX79" s="191">
        <v>0</v>
      </c>
      <c r="DY79" s="192">
        <v>0</v>
      </c>
    </row>
    <row r="80" s="180" customFormat="1" spans="1:129">
      <c r="A80" s="190" t="s">
        <v>486</v>
      </c>
      <c r="B80" s="191">
        <v>-65.5</v>
      </c>
      <c r="C80" s="192">
        <v>0</v>
      </c>
      <c r="E80" s="191" t="s">
        <v>486</v>
      </c>
      <c r="F80" s="191">
        <v>0</v>
      </c>
      <c r="G80" s="191">
        <v>0</v>
      </c>
      <c r="H80" s="191">
        <v>0</v>
      </c>
      <c r="I80" s="191">
        <v>0</v>
      </c>
      <c r="J80" s="191">
        <v>0</v>
      </c>
      <c r="K80" s="191">
        <v>0</v>
      </c>
      <c r="L80" s="191">
        <v>0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0</v>
      </c>
      <c r="W80" s="191">
        <v>-0.9</v>
      </c>
      <c r="X80" s="191">
        <v>-5.5</v>
      </c>
      <c r="Y80" s="191">
        <v>-21.9</v>
      </c>
      <c r="Z80" s="191">
        <v>-3</v>
      </c>
      <c r="AA80" s="191">
        <v>0</v>
      </c>
      <c r="AB80" s="191">
        <v>0</v>
      </c>
      <c r="AC80" s="191">
        <v>0</v>
      </c>
      <c r="AD80" s="191">
        <v>0</v>
      </c>
      <c r="AE80" s="191">
        <v>0</v>
      </c>
      <c r="AF80" s="191">
        <v>0</v>
      </c>
      <c r="AG80" s="191">
        <v>0</v>
      </c>
      <c r="AH80" s="191">
        <v>0</v>
      </c>
      <c r="AI80" s="191">
        <v>0</v>
      </c>
      <c r="AJ80" s="191">
        <v>0</v>
      </c>
      <c r="AK80" s="191">
        <v>0</v>
      </c>
      <c r="AL80" s="191">
        <v>0</v>
      </c>
      <c r="AM80" s="191">
        <v>0</v>
      </c>
      <c r="AN80" s="191">
        <v>0</v>
      </c>
      <c r="AO80" s="191">
        <v>0</v>
      </c>
      <c r="AP80" s="191">
        <v>0</v>
      </c>
      <c r="AQ80" s="191">
        <v>0</v>
      </c>
      <c r="AR80" s="191">
        <v>-9.1</v>
      </c>
      <c r="AS80" s="191">
        <v>-1.4</v>
      </c>
      <c r="AT80" s="191">
        <v>-1.4</v>
      </c>
      <c r="AU80" s="191">
        <v>-1.4</v>
      </c>
      <c r="AV80" s="191">
        <v>-2.8</v>
      </c>
      <c r="AW80" s="191">
        <v>-1.4</v>
      </c>
      <c r="AX80" s="191">
        <v>-3.4</v>
      </c>
      <c r="AY80" s="191">
        <v>-3.3</v>
      </c>
      <c r="AZ80" s="191">
        <v>-5.1</v>
      </c>
      <c r="BA80" s="191">
        <v>-2.1</v>
      </c>
      <c r="BB80" s="191">
        <v>-0.6</v>
      </c>
      <c r="BC80" s="191">
        <v>-0.5</v>
      </c>
      <c r="BD80" s="191">
        <v>-1.2</v>
      </c>
      <c r="BE80" s="192">
        <v>-0.5</v>
      </c>
      <c r="BF80" s="180"/>
      <c r="BG80" s="191" t="s">
        <v>486</v>
      </c>
      <c r="BH80" s="191">
        <v>0</v>
      </c>
      <c r="BI80" s="191">
        <v>0</v>
      </c>
      <c r="BJ80" s="191">
        <v>0</v>
      </c>
      <c r="BK80" s="191">
        <v>0</v>
      </c>
      <c r="BL80" s="191">
        <v>0</v>
      </c>
      <c r="BM80" s="191">
        <v>0</v>
      </c>
      <c r="BN80" s="191">
        <v>0</v>
      </c>
      <c r="BO80" s="191">
        <v>0</v>
      </c>
      <c r="BP80" s="191">
        <v>0</v>
      </c>
      <c r="BQ80" s="191">
        <v>0</v>
      </c>
      <c r="BR80" s="191">
        <v>0</v>
      </c>
      <c r="BS80" s="191">
        <v>0</v>
      </c>
      <c r="BT80" s="191">
        <v>0</v>
      </c>
      <c r="BU80" s="191">
        <v>0</v>
      </c>
      <c r="BV80" s="191">
        <v>0</v>
      </c>
      <c r="BW80" s="191">
        <v>0</v>
      </c>
      <c r="BX80" s="191">
        <v>0</v>
      </c>
      <c r="BY80" s="191">
        <v>-0.92</v>
      </c>
      <c r="BZ80" s="191">
        <v>-5.64</v>
      </c>
      <c r="CA80" s="191">
        <v>-22.45</v>
      </c>
      <c r="CB80" s="191">
        <v>-3.08</v>
      </c>
      <c r="CC80" s="191">
        <v>0</v>
      </c>
      <c r="CD80" s="191">
        <v>0</v>
      </c>
      <c r="CE80" s="191">
        <v>0</v>
      </c>
      <c r="CF80" s="191">
        <v>0</v>
      </c>
      <c r="CG80" s="191">
        <v>0</v>
      </c>
      <c r="CH80" s="191">
        <v>0</v>
      </c>
      <c r="CI80" s="191">
        <v>0</v>
      </c>
      <c r="CJ80" s="191">
        <v>0</v>
      </c>
      <c r="CK80" s="191">
        <v>0</v>
      </c>
      <c r="CL80" s="191">
        <v>0</v>
      </c>
      <c r="CM80" s="191">
        <v>0</v>
      </c>
      <c r="CN80" s="191">
        <v>0</v>
      </c>
      <c r="CO80" s="191">
        <v>0</v>
      </c>
      <c r="CP80" s="191">
        <v>0</v>
      </c>
      <c r="CQ80" s="191">
        <v>0</v>
      </c>
      <c r="CR80" s="191">
        <v>0</v>
      </c>
      <c r="CS80" s="191">
        <v>0</v>
      </c>
      <c r="CT80" s="191">
        <v>-9.33</v>
      </c>
      <c r="CU80" s="191">
        <v>-1.44</v>
      </c>
      <c r="CV80" s="191">
        <v>-1.44</v>
      </c>
      <c r="CW80" s="191">
        <v>-1.44</v>
      </c>
      <c r="CX80" s="191">
        <v>-2.87</v>
      </c>
      <c r="CY80" s="191">
        <v>-1.44</v>
      </c>
      <c r="CZ80" s="191">
        <v>-3.49</v>
      </c>
      <c r="DA80" s="191">
        <v>-3.38</v>
      </c>
      <c r="DB80" s="191">
        <v>-5.23</v>
      </c>
      <c r="DC80" s="191">
        <v>-2.15</v>
      </c>
      <c r="DD80" s="191">
        <v>-0.62</v>
      </c>
      <c r="DE80" s="191">
        <v>-0.51</v>
      </c>
      <c r="DF80" s="191">
        <v>-1.23</v>
      </c>
      <c r="DG80" s="192">
        <v>-0.51</v>
      </c>
      <c r="DH80" s="180"/>
      <c r="DI80" s="191" t="s">
        <v>486</v>
      </c>
      <c r="DJ80" s="191">
        <v>0</v>
      </c>
      <c r="DK80" s="191">
        <v>0</v>
      </c>
      <c r="DL80" s="191">
        <v>0</v>
      </c>
      <c r="DM80" s="191">
        <v>0</v>
      </c>
      <c r="DN80" s="191">
        <v>0</v>
      </c>
      <c r="DO80" s="191">
        <v>0</v>
      </c>
      <c r="DP80" s="191">
        <v>0</v>
      </c>
      <c r="DQ80" s="191">
        <v>0</v>
      </c>
      <c r="DR80" s="191">
        <v>0</v>
      </c>
      <c r="DS80" s="191">
        <v>0</v>
      </c>
      <c r="DT80" s="191">
        <v>0</v>
      </c>
      <c r="DU80" s="191">
        <v>0</v>
      </c>
      <c r="DV80" s="191">
        <v>0</v>
      </c>
      <c r="DW80" s="191">
        <v>0</v>
      </c>
      <c r="DX80" s="191">
        <v>0</v>
      </c>
      <c r="DY80" s="192">
        <v>0</v>
      </c>
    </row>
    <row r="81" s="180" customFormat="1" spans="1:129">
      <c r="A81" s="190" t="s">
        <v>487</v>
      </c>
      <c r="B81" s="191">
        <v>-67.4</v>
      </c>
      <c r="C81" s="192">
        <v>0</v>
      </c>
      <c r="E81" s="191" t="s">
        <v>487</v>
      </c>
      <c r="F81" s="191">
        <v>0</v>
      </c>
      <c r="G81" s="191">
        <v>0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  <c r="V81" s="191">
        <v>0</v>
      </c>
      <c r="W81" s="191">
        <v>-0.9</v>
      </c>
      <c r="X81" s="191">
        <v>-5.5</v>
      </c>
      <c r="Y81" s="191">
        <v>-21.9</v>
      </c>
      <c r="Z81" s="191">
        <v>-3</v>
      </c>
      <c r="AA81" s="191">
        <v>0</v>
      </c>
      <c r="AB81" s="191">
        <v>0</v>
      </c>
      <c r="AC81" s="191">
        <v>0</v>
      </c>
      <c r="AD81" s="191">
        <v>0</v>
      </c>
      <c r="AE81" s="191">
        <v>0</v>
      </c>
      <c r="AF81" s="191">
        <v>0</v>
      </c>
      <c r="AG81" s="191">
        <v>0</v>
      </c>
      <c r="AH81" s="191">
        <v>0</v>
      </c>
      <c r="AI81" s="191">
        <v>0</v>
      </c>
      <c r="AJ81" s="191">
        <v>0</v>
      </c>
      <c r="AK81" s="191">
        <v>0</v>
      </c>
      <c r="AL81" s="191">
        <v>0</v>
      </c>
      <c r="AM81" s="191">
        <v>0</v>
      </c>
      <c r="AN81" s="191">
        <v>0</v>
      </c>
      <c r="AO81" s="191">
        <v>0</v>
      </c>
      <c r="AP81" s="191">
        <v>0</v>
      </c>
      <c r="AQ81" s="191">
        <v>0</v>
      </c>
      <c r="AR81" s="191">
        <v>-8.7</v>
      </c>
      <c r="AS81" s="191">
        <v>-1.8</v>
      </c>
      <c r="AT81" s="191">
        <v>-1.8</v>
      </c>
      <c r="AU81" s="191">
        <v>-1.8</v>
      </c>
      <c r="AV81" s="191">
        <v>-2.8</v>
      </c>
      <c r="AW81" s="191">
        <v>-1.8</v>
      </c>
      <c r="AX81" s="191">
        <v>-3.5</v>
      </c>
      <c r="AY81" s="191">
        <v>-3.6</v>
      </c>
      <c r="AZ81" s="191">
        <v>-5.4</v>
      </c>
      <c r="BA81" s="191">
        <v>-2.1</v>
      </c>
      <c r="BB81" s="191">
        <v>-0.6</v>
      </c>
      <c r="BC81" s="191">
        <v>-0.5</v>
      </c>
      <c r="BD81" s="191">
        <v>-1.2</v>
      </c>
      <c r="BE81" s="192">
        <v>-0.5</v>
      </c>
      <c r="BF81" s="180"/>
      <c r="BG81" s="191" t="s">
        <v>487</v>
      </c>
      <c r="BH81" s="191">
        <v>0</v>
      </c>
      <c r="BI81" s="191">
        <v>0</v>
      </c>
      <c r="BJ81" s="191">
        <v>0</v>
      </c>
      <c r="BK81" s="191">
        <v>0</v>
      </c>
      <c r="BL81" s="191">
        <v>0</v>
      </c>
      <c r="BM81" s="191">
        <v>0</v>
      </c>
      <c r="BN81" s="191">
        <v>0</v>
      </c>
      <c r="BO81" s="191">
        <v>0</v>
      </c>
      <c r="BP81" s="191">
        <v>0</v>
      </c>
      <c r="BQ81" s="191">
        <v>0</v>
      </c>
      <c r="BR81" s="191">
        <v>0</v>
      </c>
      <c r="BS81" s="191">
        <v>0</v>
      </c>
      <c r="BT81" s="191">
        <v>0</v>
      </c>
      <c r="BU81" s="191">
        <v>0</v>
      </c>
      <c r="BV81" s="191">
        <v>0</v>
      </c>
      <c r="BW81" s="191">
        <v>0</v>
      </c>
      <c r="BX81" s="191">
        <v>0</v>
      </c>
      <c r="BY81" s="191">
        <v>-0.92</v>
      </c>
      <c r="BZ81" s="191">
        <v>-5.64</v>
      </c>
      <c r="CA81" s="191">
        <v>-22.45</v>
      </c>
      <c r="CB81" s="191">
        <v>-3.08</v>
      </c>
      <c r="CC81" s="191">
        <v>0</v>
      </c>
      <c r="CD81" s="191">
        <v>0</v>
      </c>
      <c r="CE81" s="191">
        <v>0</v>
      </c>
      <c r="CF81" s="191">
        <v>0</v>
      </c>
      <c r="CG81" s="191">
        <v>0</v>
      </c>
      <c r="CH81" s="191">
        <v>0</v>
      </c>
      <c r="CI81" s="191">
        <v>0</v>
      </c>
      <c r="CJ81" s="191">
        <v>0</v>
      </c>
      <c r="CK81" s="191">
        <v>0</v>
      </c>
      <c r="CL81" s="191">
        <v>0</v>
      </c>
      <c r="CM81" s="191">
        <v>0</v>
      </c>
      <c r="CN81" s="191">
        <v>0</v>
      </c>
      <c r="CO81" s="191">
        <v>0</v>
      </c>
      <c r="CP81" s="191">
        <v>0</v>
      </c>
      <c r="CQ81" s="191">
        <v>0</v>
      </c>
      <c r="CR81" s="191">
        <v>0</v>
      </c>
      <c r="CS81" s="191">
        <v>0</v>
      </c>
      <c r="CT81" s="191">
        <v>-8.92</v>
      </c>
      <c r="CU81" s="191">
        <v>-1.85</v>
      </c>
      <c r="CV81" s="191">
        <v>-1.85</v>
      </c>
      <c r="CW81" s="191">
        <v>-1.85</v>
      </c>
      <c r="CX81" s="191">
        <v>-2.87</v>
      </c>
      <c r="CY81" s="191">
        <v>-1.85</v>
      </c>
      <c r="CZ81" s="191">
        <v>-3.59</v>
      </c>
      <c r="DA81" s="191">
        <v>-3.69</v>
      </c>
      <c r="DB81" s="191">
        <v>-5.54</v>
      </c>
      <c r="DC81" s="191">
        <v>-2.15</v>
      </c>
      <c r="DD81" s="191">
        <v>-0.62</v>
      </c>
      <c r="DE81" s="191">
        <v>-0.51</v>
      </c>
      <c r="DF81" s="191">
        <v>-1.23</v>
      </c>
      <c r="DG81" s="192">
        <v>-0.51</v>
      </c>
      <c r="DH81" s="180"/>
      <c r="DI81" s="191" t="s">
        <v>487</v>
      </c>
      <c r="DJ81" s="191">
        <v>0</v>
      </c>
      <c r="DK81" s="191">
        <v>0</v>
      </c>
      <c r="DL81" s="191">
        <v>0</v>
      </c>
      <c r="DM81" s="191">
        <v>0</v>
      </c>
      <c r="DN81" s="191">
        <v>0</v>
      </c>
      <c r="DO81" s="191">
        <v>0</v>
      </c>
      <c r="DP81" s="191">
        <v>0</v>
      </c>
      <c r="DQ81" s="191">
        <v>0</v>
      </c>
      <c r="DR81" s="191">
        <v>0</v>
      </c>
      <c r="DS81" s="191">
        <v>0</v>
      </c>
      <c r="DT81" s="191">
        <v>0</v>
      </c>
      <c r="DU81" s="191">
        <v>0</v>
      </c>
      <c r="DV81" s="191">
        <v>0</v>
      </c>
      <c r="DW81" s="191">
        <v>0</v>
      </c>
      <c r="DX81" s="191">
        <v>0</v>
      </c>
      <c r="DY81" s="192">
        <v>0</v>
      </c>
    </row>
    <row r="82" s="180" customFormat="1" spans="1:129">
      <c r="A82" s="190" t="s">
        <v>488</v>
      </c>
      <c r="B82" s="191">
        <v>-66.4</v>
      </c>
      <c r="C82" s="192">
        <v>0</v>
      </c>
      <c r="E82" s="191" t="s">
        <v>488</v>
      </c>
      <c r="F82" s="191">
        <v>0</v>
      </c>
      <c r="G82" s="191">
        <v>0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-0.9</v>
      </c>
      <c r="X82" s="191">
        <v>-5.5</v>
      </c>
      <c r="Y82" s="191">
        <v>-21.9</v>
      </c>
      <c r="Z82" s="191">
        <v>-3</v>
      </c>
      <c r="AA82" s="191">
        <v>0</v>
      </c>
      <c r="AB82" s="191">
        <v>0</v>
      </c>
      <c r="AC82" s="191">
        <v>0</v>
      </c>
      <c r="AD82" s="191">
        <v>0</v>
      </c>
      <c r="AE82" s="191">
        <v>0</v>
      </c>
      <c r="AF82" s="191">
        <v>0</v>
      </c>
      <c r="AG82" s="191">
        <v>0</v>
      </c>
      <c r="AH82" s="191">
        <v>0</v>
      </c>
      <c r="AI82" s="191">
        <v>0</v>
      </c>
      <c r="AJ82" s="191">
        <v>0</v>
      </c>
      <c r="AK82" s="191">
        <v>0</v>
      </c>
      <c r="AL82" s="191">
        <v>0</v>
      </c>
      <c r="AM82" s="191">
        <v>0</v>
      </c>
      <c r="AN82" s="191">
        <v>0</v>
      </c>
      <c r="AO82" s="191">
        <v>0</v>
      </c>
      <c r="AP82" s="191">
        <v>0</v>
      </c>
      <c r="AQ82" s="191">
        <v>0</v>
      </c>
      <c r="AR82" s="191">
        <v>-8.5</v>
      </c>
      <c r="AS82" s="191">
        <v>-1.6</v>
      </c>
      <c r="AT82" s="191">
        <v>-1.6</v>
      </c>
      <c r="AU82" s="191">
        <v>-1.6</v>
      </c>
      <c r="AV82" s="191">
        <v>-2.9</v>
      </c>
      <c r="AW82" s="191">
        <v>-1.6</v>
      </c>
      <c r="AX82" s="191">
        <v>-3.5</v>
      </c>
      <c r="AY82" s="191">
        <v>-3.8</v>
      </c>
      <c r="AZ82" s="191">
        <v>-5.1</v>
      </c>
      <c r="BA82" s="191">
        <v>-2.1</v>
      </c>
      <c r="BB82" s="191">
        <v>-0.6</v>
      </c>
      <c r="BC82" s="191">
        <v>-0.5</v>
      </c>
      <c r="BD82" s="191">
        <v>-1.2</v>
      </c>
      <c r="BE82" s="192">
        <v>-0.5</v>
      </c>
      <c r="BF82" s="180"/>
      <c r="BG82" s="191" t="s">
        <v>488</v>
      </c>
      <c r="BH82" s="191">
        <v>0</v>
      </c>
      <c r="BI82" s="191">
        <v>0</v>
      </c>
      <c r="BJ82" s="191">
        <v>0</v>
      </c>
      <c r="BK82" s="191">
        <v>0</v>
      </c>
      <c r="BL82" s="191">
        <v>0</v>
      </c>
      <c r="BM82" s="191">
        <v>0</v>
      </c>
      <c r="BN82" s="191">
        <v>0</v>
      </c>
      <c r="BO82" s="191">
        <v>0</v>
      </c>
      <c r="BP82" s="191">
        <v>0</v>
      </c>
      <c r="BQ82" s="191">
        <v>0</v>
      </c>
      <c r="BR82" s="191">
        <v>0</v>
      </c>
      <c r="BS82" s="191">
        <v>0</v>
      </c>
      <c r="BT82" s="191">
        <v>0</v>
      </c>
      <c r="BU82" s="191">
        <v>0</v>
      </c>
      <c r="BV82" s="191">
        <v>0</v>
      </c>
      <c r="BW82" s="191">
        <v>0</v>
      </c>
      <c r="BX82" s="191">
        <v>0</v>
      </c>
      <c r="BY82" s="191">
        <v>-0.92</v>
      </c>
      <c r="BZ82" s="191">
        <v>-5.64</v>
      </c>
      <c r="CA82" s="191">
        <v>-22.45</v>
      </c>
      <c r="CB82" s="191">
        <v>-3.08</v>
      </c>
      <c r="CC82" s="191">
        <v>0</v>
      </c>
      <c r="CD82" s="191">
        <v>0</v>
      </c>
      <c r="CE82" s="191">
        <v>0</v>
      </c>
      <c r="CF82" s="191">
        <v>0</v>
      </c>
      <c r="CG82" s="191">
        <v>0</v>
      </c>
      <c r="CH82" s="191">
        <v>0</v>
      </c>
      <c r="CI82" s="191">
        <v>0</v>
      </c>
      <c r="CJ82" s="191">
        <v>0</v>
      </c>
      <c r="CK82" s="191">
        <v>0</v>
      </c>
      <c r="CL82" s="191">
        <v>0</v>
      </c>
      <c r="CM82" s="191">
        <v>0</v>
      </c>
      <c r="CN82" s="191">
        <v>0</v>
      </c>
      <c r="CO82" s="191">
        <v>0</v>
      </c>
      <c r="CP82" s="191">
        <v>0</v>
      </c>
      <c r="CQ82" s="191">
        <v>0</v>
      </c>
      <c r="CR82" s="191">
        <v>0</v>
      </c>
      <c r="CS82" s="191">
        <v>0</v>
      </c>
      <c r="CT82" s="191">
        <v>-8.71</v>
      </c>
      <c r="CU82" s="191">
        <v>-1.64</v>
      </c>
      <c r="CV82" s="191">
        <v>-1.64</v>
      </c>
      <c r="CW82" s="191">
        <v>-1.64</v>
      </c>
      <c r="CX82" s="191">
        <v>-2.97</v>
      </c>
      <c r="CY82" s="191">
        <v>-1.64</v>
      </c>
      <c r="CZ82" s="191">
        <v>-3.59</v>
      </c>
      <c r="DA82" s="191">
        <v>-3.9</v>
      </c>
      <c r="DB82" s="191">
        <v>-5.23</v>
      </c>
      <c r="DC82" s="191">
        <v>-2.15</v>
      </c>
      <c r="DD82" s="191">
        <v>-0.62</v>
      </c>
      <c r="DE82" s="191">
        <v>-0.51</v>
      </c>
      <c r="DF82" s="191">
        <v>-1.23</v>
      </c>
      <c r="DG82" s="192">
        <v>-0.51</v>
      </c>
      <c r="DH82" s="180"/>
      <c r="DI82" s="191" t="s">
        <v>488</v>
      </c>
      <c r="DJ82" s="191">
        <v>0</v>
      </c>
      <c r="DK82" s="191">
        <v>0</v>
      </c>
      <c r="DL82" s="191">
        <v>0</v>
      </c>
      <c r="DM82" s="191">
        <v>0</v>
      </c>
      <c r="DN82" s="191">
        <v>0</v>
      </c>
      <c r="DO82" s="191">
        <v>0</v>
      </c>
      <c r="DP82" s="191">
        <v>0</v>
      </c>
      <c r="DQ82" s="191">
        <v>0</v>
      </c>
      <c r="DR82" s="191">
        <v>0</v>
      </c>
      <c r="DS82" s="191">
        <v>0</v>
      </c>
      <c r="DT82" s="191">
        <v>0</v>
      </c>
      <c r="DU82" s="191">
        <v>0</v>
      </c>
      <c r="DV82" s="191">
        <v>0</v>
      </c>
      <c r="DW82" s="191">
        <v>0</v>
      </c>
      <c r="DX82" s="191">
        <v>0</v>
      </c>
      <c r="DY82" s="192">
        <v>0</v>
      </c>
    </row>
    <row r="83" s="180" customFormat="1" spans="1:129">
      <c r="A83" s="190" t="s">
        <v>489</v>
      </c>
      <c r="B83" s="191">
        <v>-65.3</v>
      </c>
      <c r="C83" s="192">
        <v>0</v>
      </c>
      <c r="E83" s="191" t="s">
        <v>489</v>
      </c>
      <c r="F83" s="191">
        <v>0</v>
      </c>
      <c r="G83" s="191">
        <v>0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-0.9</v>
      </c>
      <c r="X83" s="191">
        <v>-5.5</v>
      </c>
      <c r="Y83" s="191">
        <v>-21.9</v>
      </c>
      <c r="Z83" s="191">
        <v>-3</v>
      </c>
      <c r="AA83" s="191">
        <v>0</v>
      </c>
      <c r="AB83" s="191">
        <v>0</v>
      </c>
      <c r="AC83" s="191">
        <v>0</v>
      </c>
      <c r="AD83" s="191">
        <v>0</v>
      </c>
      <c r="AE83" s="191">
        <v>0</v>
      </c>
      <c r="AF83" s="191">
        <v>0</v>
      </c>
      <c r="AG83" s="191">
        <v>0</v>
      </c>
      <c r="AH83" s="191">
        <v>0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0</v>
      </c>
      <c r="AR83" s="191">
        <v>-8.2</v>
      </c>
      <c r="AS83" s="191">
        <v>-1.6</v>
      </c>
      <c r="AT83" s="191">
        <v>-1.6</v>
      </c>
      <c r="AU83" s="191">
        <v>-1.6</v>
      </c>
      <c r="AV83" s="191">
        <v>-2.8</v>
      </c>
      <c r="AW83" s="191">
        <v>-1.6</v>
      </c>
      <c r="AX83" s="191">
        <v>-3.5</v>
      </c>
      <c r="AY83" s="191">
        <v>-3.9</v>
      </c>
      <c r="AZ83" s="191">
        <v>-4.7</v>
      </c>
      <c r="BA83" s="191">
        <v>-1.8</v>
      </c>
      <c r="BB83" s="191">
        <v>-0.5</v>
      </c>
      <c r="BC83" s="191">
        <v>-0.5</v>
      </c>
      <c r="BD83" s="191">
        <v>-1.2</v>
      </c>
      <c r="BE83" s="192">
        <v>-0.5</v>
      </c>
      <c r="BF83" s="180"/>
      <c r="BG83" s="191" t="s">
        <v>489</v>
      </c>
      <c r="BH83" s="191">
        <v>0</v>
      </c>
      <c r="BI83" s="191">
        <v>0</v>
      </c>
      <c r="BJ83" s="191">
        <v>0</v>
      </c>
      <c r="BK83" s="191">
        <v>0</v>
      </c>
      <c r="BL83" s="191">
        <v>0</v>
      </c>
      <c r="BM83" s="191">
        <v>0</v>
      </c>
      <c r="BN83" s="191">
        <v>0</v>
      </c>
      <c r="BO83" s="191">
        <v>0</v>
      </c>
      <c r="BP83" s="191">
        <v>0</v>
      </c>
      <c r="BQ83" s="191">
        <v>0</v>
      </c>
      <c r="BR83" s="191">
        <v>0</v>
      </c>
      <c r="BS83" s="191">
        <v>0</v>
      </c>
      <c r="BT83" s="191">
        <v>0</v>
      </c>
      <c r="BU83" s="191">
        <v>0</v>
      </c>
      <c r="BV83" s="191">
        <v>0</v>
      </c>
      <c r="BW83" s="191">
        <v>0</v>
      </c>
      <c r="BX83" s="191">
        <v>0</v>
      </c>
      <c r="BY83" s="191">
        <v>-0.92</v>
      </c>
      <c r="BZ83" s="191">
        <v>-5.64</v>
      </c>
      <c r="CA83" s="191">
        <v>-22.45</v>
      </c>
      <c r="CB83" s="191">
        <v>-3.08</v>
      </c>
      <c r="CC83" s="191">
        <v>0</v>
      </c>
      <c r="CD83" s="191">
        <v>0</v>
      </c>
      <c r="CE83" s="191">
        <v>0</v>
      </c>
      <c r="CF83" s="191">
        <v>0</v>
      </c>
      <c r="CG83" s="191">
        <v>0</v>
      </c>
      <c r="CH83" s="191">
        <v>0</v>
      </c>
      <c r="CI83" s="191">
        <v>0</v>
      </c>
      <c r="CJ83" s="191">
        <v>0</v>
      </c>
      <c r="CK83" s="191">
        <v>0</v>
      </c>
      <c r="CL83" s="191">
        <v>0</v>
      </c>
      <c r="CM83" s="191">
        <v>0</v>
      </c>
      <c r="CN83" s="191">
        <v>0</v>
      </c>
      <c r="CO83" s="191">
        <v>0</v>
      </c>
      <c r="CP83" s="191">
        <v>0</v>
      </c>
      <c r="CQ83" s="191">
        <v>0</v>
      </c>
      <c r="CR83" s="191">
        <v>0</v>
      </c>
      <c r="CS83" s="191">
        <v>0</v>
      </c>
      <c r="CT83" s="191">
        <v>-8.41</v>
      </c>
      <c r="CU83" s="191">
        <v>-1.64</v>
      </c>
      <c r="CV83" s="191">
        <v>-1.64</v>
      </c>
      <c r="CW83" s="191">
        <v>-1.64</v>
      </c>
      <c r="CX83" s="191">
        <v>-2.87</v>
      </c>
      <c r="CY83" s="191">
        <v>-1.64</v>
      </c>
      <c r="CZ83" s="191">
        <v>-3.59</v>
      </c>
      <c r="DA83" s="191">
        <v>-4</v>
      </c>
      <c r="DB83" s="191">
        <v>-4.82</v>
      </c>
      <c r="DC83" s="191">
        <v>-1.85</v>
      </c>
      <c r="DD83" s="191">
        <v>-0.51</v>
      </c>
      <c r="DE83" s="191">
        <v>-0.51</v>
      </c>
      <c r="DF83" s="191">
        <v>-1.23</v>
      </c>
      <c r="DG83" s="192">
        <v>-0.51</v>
      </c>
      <c r="DH83" s="180"/>
      <c r="DI83" s="191" t="s">
        <v>489</v>
      </c>
      <c r="DJ83" s="191">
        <v>0</v>
      </c>
      <c r="DK83" s="191">
        <v>0</v>
      </c>
      <c r="DL83" s="191">
        <v>0</v>
      </c>
      <c r="DM83" s="191">
        <v>0</v>
      </c>
      <c r="DN83" s="191">
        <v>0</v>
      </c>
      <c r="DO83" s="191">
        <v>0</v>
      </c>
      <c r="DP83" s="191">
        <v>0</v>
      </c>
      <c r="DQ83" s="191">
        <v>0</v>
      </c>
      <c r="DR83" s="191">
        <v>0</v>
      </c>
      <c r="DS83" s="191">
        <v>0</v>
      </c>
      <c r="DT83" s="191">
        <v>0</v>
      </c>
      <c r="DU83" s="191">
        <v>0</v>
      </c>
      <c r="DV83" s="191">
        <v>0</v>
      </c>
      <c r="DW83" s="191">
        <v>0</v>
      </c>
      <c r="DX83" s="191">
        <v>0</v>
      </c>
      <c r="DY83" s="192">
        <v>0</v>
      </c>
    </row>
    <row r="84" s="180" customFormat="1" spans="1:129">
      <c r="A84" s="190" t="s">
        <v>490</v>
      </c>
      <c r="B84" s="191">
        <v>-65.1</v>
      </c>
      <c r="C84" s="192">
        <v>0</v>
      </c>
      <c r="E84" s="191" t="s">
        <v>490</v>
      </c>
      <c r="F84" s="191">
        <v>0</v>
      </c>
      <c r="G84" s="191">
        <v>0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-0.9</v>
      </c>
      <c r="X84" s="191">
        <v>-5.5</v>
      </c>
      <c r="Y84" s="191">
        <v>-21.9</v>
      </c>
      <c r="Z84" s="191">
        <v>-3</v>
      </c>
      <c r="AA84" s="191">
        <v>0</v>
      </c>
      <c r="AB84" s="191">
        <v>0</v>
      </c>
      <c r="AC84" s="191">
        <v>0</v>
      </c>
      <c r="AD84" s="191">
        <v>0</v>
      </c>
      <c r="AE84" s="191">
        <v>0</v>
      </c>
      <c r="AF84" s="191">
        <v>0</v>
      </c>
      <c r="AG84" s="191">
        <v>0</v>
      </c>
      <c r="AH84" s="191">
        <v>0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0</v>
      </c>
      <c r="AR84" s="191">
        <v>-8.1</v>
      </c>
      <c r="AS84" s="191">
        <v>-1.6</v>
      </c>
      <c r="AT84" s="191">
        <v>-1.6</v>
      </c>
      <c r="AU84" s="191">
        <v>-1.6</v>
      </c>
      <c r="AV84" s="191">
        <v>-2.8</v>
      </c>
      <c r="AW84" s="191">
        <v>-1.6</v>
      </c>
      <c r="AX84" s="191">
        <v>-3.5</v>
      </c>
      <c r="AY84" s="191">
        <v>-4</v>
      </c>
      <c r="AZ84" s="191">
        <v>-4.2</v>
      </c>
      <c r="BA84" s="191">
        <v>-2.1</v>
      </c>
      <c r="BB84" s="191">
        <v>-0.5</v>
      </c>
      <c r="BC84" s="191">
        <v>-0.5</v>
      </c>
      <c r="BD84" s="191">
        <v>-1.2</v>
      </c>
      <c r="BE84" s="192">
        <v>-0.5</v>
      </c>
      <c r="BF84" s="180"/>
      <c r="BG84" s="191" t="s">
        <v>490</v>
      </c>
      <c r="BH84" s="191">
        <v>0</v>
      </c>
      <c r="BI84" s="191">
        <v>0</v>
      </c>
      <c r="BJ84" s="191">
        <v>0</v>
      </c>
      <c r="BK84" s="191">
        <v>0</v>
      </c>
      <c r="BL84" s="191">
        <v>0</v>
      </c>
      <c r="BM84" s="191">
        <v>0</v>
      </c>
      <c r="BN84" s="191">
        <v>0</v>
      </c>
      <c r="BO84" s="191">
        <v>0</v>
      </c>
      <c r="BP84" s="191">
        <v>0</v>
      </c>
      <c r="BQ84" s="191">
        <v>0</v>
      </c>
      <c r="BR84" s="191">
        <v>0</v>
      </c>
      <c r="BS84" s="191">
        <v>0</v>
      </c>
      <c r="BT84" s="191">
        <v>0</v>
      </c>
      <c r="BU84" s="191">
        <v>0</v>
      </c>
      <c r="BV84" s="191">
        <v>0</v>
      </c>
      <c r="BW84" s="191">
        <v>0</v>
      </c>
      <c r="BX84" s="191">
        <v>0</v>
      </c>
      <c r="BY84" s="191">
        <v>-0.92</v>
      </c>
      <c r="BZ84" s="191">
        <v>-5.64</v>
      </c>
      <c r="CA84" s="191">
        <v>-22.45</v>
      </c>
      <c r="CB84" s="191">
        <v>-3.08</v>
      </c>
      <c r="CC84" s="191">
        <v>0</v>
      </c>
      <c r="CD84" s="191">
        <v>0</v>
      </c>
      <c r="CE84" s="191">
        <v>0</v>
      </c>
      <c r="CF84" s="191">
        <v>0</v>
      </c>
      <c r="CG84" s="191">
        <v>0</v>
      </c>
      <c r="CH84" s="191">
        <v>0</v>
      </c>
      <c r="CI84" s="191">
        <v>0</v>
      </c>
      <c r="CJ84" s="191">
        <v>0</v>
      </c>
      <c r="CK84" s="191">
        <v>0</v>
      </c>
      <c r="CL84" s="191">
        <v>0</v>
      </c>
      <c r="CM84" s="191">
        <v>0</v>
      </c>
      <c r="CN84" s="191">
        <v>0</v>
      </c>
      <c r="CO84" s="191">
        <v>0</v>
      </c>
      <c r="CP84" s="191">
        <v>0</v>
      </c>
      <c r="CQ84" s="191">
        <v>0</v>
      </c>
      <c r="CR84" s="191">
        <v>0</v>
      </c>
      <c r="CS84" s="191">
        <v>0</v>
      </c>
      <c r="CT84" s="191">
        <v>-8.3</v>
      </c>
      <c r="CU84" s="191">
        <v>-1.64</v>
      </c>
      <c r="CV84" s="191">
        <v>-1.64</v>
      </c>
      <c r="CW84" s="191">
        <v>-1.64</v>
      </c>
      <c r="CX84" s="191">
        <v>-2.87</v>
      </c>
      <c r="CY84" s="191">
        <v>-1.64</v>
      </c>
      <c r="CZ84" s="191">
        <v>-3.59</v>
      </c>
      <c r="DA84" s="191">
        <v>-4.1</v>
      </c>
      <c r="DB84" s="191">
        <v>-4.31</v>
      </c>
      <c r="DC84" s="191">
        <v>-2.15</v>
      </c>
      <c r="DD84" s="191">
        <v>-0.51</v>
      </c>
      <c r="DE84" s="191">
        <v>-0.51</v>
      </c>
      <c r="DF84" s="191">
        <v>-1.23</v>
      </c>
      <c r="DG84" s="192">
        <v>-0.51</v>
      </c>
      <c r="DH84" s="180"/>
      <c r="DI84" s="191" t="s">
        <v>490</v>
      </c>
      <c r="DJ84" s="191">
        <v>0</v>
      </c>
      <c r="DK84" s="191">
        <v>0</v>
      </c>
      <c r="DL84" s="191">
        <v>0</v>
      </c>
      <c r="DM84" s="191">
        <v>0</v>
      </c>
      <c r="DN84" s="191">
        <v>0</v>
      </c>
      <c r="DO84" s="191">
        <v>0</v>
      </c>
      <c r="DP84" s="191">
        <v>0</v>
      </c>
      <c r="DQ84" s="191">
        <v>0</v>
      </c>
      <c r="DR84" s="191">
        <v>0</v>
      </c>
      <c r="DS84" s="191">
        <v>0</v>
      </c>
      <c r="DT84" s="191">
        <v>0</v>
      </c>
      <c r="DU84" s="191">
        <v>0</v>
      </c>
      <c r="DV84" s="191">
        <v>0</v>
      </c>
      <c r="DW84" s="191">
        <v>0</v>
      </c>
      <c r="DX84" s="191">
        <v>0</v>
      </c>
      <c r="DY84" s="192">
        <v>0</v>
      </c>
    </row>
    <row r="85" s="180" customFormat="1" spans="1:129">
      <c r="A85" s="190" t="s">
        <v>491</v>
      </c>
      <c r="B85" s="191">
        <v>-64.5</v>
      </c>
      <c r="C85" s="192">
        <v>0</v>
      </c>
      <c r="E85" s="191" t="s">
        <v>491</v>
      </c>
      <c r="F85" s="191">
        <v>0</v>
      </c>
      <c r="G85" s="191">
        <v>0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-0.9</v>
      </c>
      <c r="X85" s="191">
        <v>-5.5</v>
      </c>
      <c r="Y85" s="191">
        <v>-21.9</v>
      </c>
      <c r="Z85" s="191">
        <v>-3</v>
      </c>
      <c r="AA85" s="191">
        <v>0</v>
      </c>
      <c r="AB85" s="191">
        <v>0</v>
      </c>
      <c r="AC85" s="191">
        <v>0</v>
      </c>
      <c r="AD85" s="191">
        <v>0</v>
      </c>
      <c r="AE85" s="191">
        <v>0</v>
      </c>
      <c r="AF85" s="191">
        <v>0</v>
      </c>
      <c r="AG85" s="191">
        <v>0</v>
      </c>
      <c r="AH85" s="191">
        <v>0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0</v>
      </c>
      <c r="AR85" s="191">
        <v>-7.6</v>
      </c>
      <c r="AS85" s="191">
        <v>-1.8</v>
      </c>
      <c r="AT85" s="191">
        <v>-1.8</v>
      </c>
      <c r="AU85" s="191">
        <v>-1.8</v>
      </c>
      <c r="AV85" s="191">
        <v>-2.9</v>
      </c>
      <c r="AW85" s="191">
        <v>-1.8</v>
      </c>
      <c r="AX85" s="191">
        <v>-3.3</v>
      </c>
      <c r="AY85" s="191">
        <v>-3.7</v>
      </c>
      <c r="AZ85" s="191">
        <v>-3.9</v>
      </c>
      <c r="BA85" s="191">
        <v>-2</v>
      </c>
      <c r="BB85" s="191">
        <v>-0.4</v>
      </c>
      <c r="BC85" s="191">
        <v>-0.5</v>
      </c>
      <c r="BD85" s="191">
        <v>-1.2</v>
      </c>
      <c r="BE85" s="192">
        <v>-0.5</v>
      </c>
      <c r="BF85" s="180"/>
      <c r="BG85" s="191" t="s">
        <v>491</v>
      </c>
      <c r="BH85" s="191">
        <v>0</v>
      </c>
      <c r="BI85" s="191">
        <v>0</v>
      </c>
      <c r="BJ85" s="191">
        <v>0</v>
      </c>
      <c r="BK85" s="191">
        <v>0</v>
      </c>
      <c r="BL85" s="191">
        <v>0</v>
      </c>
      <c r="BM85" s="191">
        <v>0</v>
      </c>
      <c r="BN85" s="191">
        <v>0</v>
      </c>
      <c r="BO85" s="191">
        <v>0</v>
      </c>
      <c r="BP85" s="191">
        <v>0</v>
      </c>
      <c r="BQ85" s="191">
        <v>0</v>
      </c>
      <c r="BR85" s="191">
        <v>0</v>
      </c>
      <c r="BS85" s="191">
        <v>0</v>
      </c>
      <c r="BT85" s="191">
        <v>0</v>
      </c>
      <c r="BU85" s="191">
        <v>0</v>
      </c>
      <c r="BV85" s="191">
        <v>0</v>
      </c>
      <c r="BW85" s="191">
        <v>0</v>
      </c>
      <c r="BX85" s="191">
        <v>0</v>
      </c>
      <c r="BY85" s="191">
        <v>-0.92</v>
      </c>
      <c r="BZ85" s="191">
        <v>-5.64</v>
      </c>
      <c r="CA85" s="191">
        <v>-22.45</v>
      </c>
      <c r="CB85" s="191">
        <v>-3.08</v>
      </c>
      <c r="CC85" s="191">
        <v>0</v>
      </c>
      <c r="CD85" s="191">
        <v>0</v>
      </c>
      <c r="CE85" s="191">
        <v>0</v>
      </c>
      <c r="CF85" s="191">
        <v>0</v>
      </c>
      <c r="CG85" s="191">
        <v>0</v>
      </c>
      <c r="CH85" s="191">
        <v>0</v>
      </c>
      <c r="CI85" s="191">
        <v>0</v>
      </c>
      <c r="CJ85" s="191">
        <v>0</v>
      </c>
      <c r="CK85" s="191">
        <v>0</v>
      </c>
      <c r="CL85" s="191">
        <v>0</v>
      </c>
      <c r="CM85" s="191">
        <v>0</v>
      </c>
      <c r="CN85" s="191">
        <v>0</v>
      </c>
      <c r="CO85" s="191">
        <v>0</v>
      </c>
      <c r="CP85" s="191">
        <v>0</v>
      </c>
      <c r="CQ85" s="191">
        <v>0</v>
      </c>
      <c r="CR85" s="191">
        <v>0</v>
      </c>
      <c r="CS85" s="191">
        <v>0</v>
      </c>
      <c r="CT85" s="191">
        <v>-7.79</v>
      </c>
      <c r="CU85" s="191">
        <v>-1.85</v>
      </c>
      <c r="CV85" s="191">
        <v>-1.85</v>
      </c>
      <c r="CW85" s="191">
        <v>-1.85</v>
      </c>
      <c r="CX85" s="191">
        <v>-2.97</v>
      </c>
      <c r="CY85" s="191">
        <v>-1.85</v>
      </c>
      <c r="CZ85" s="191">
        <v>-3.38</v>
      </c>
      <c r="DA85" s="191">
        <v>-3.79</v>
      </c>
      <c r="DB85" s="191">
        <v>-4</v>
      </c>
      <c r="DC85" s="191">
        <v>-2.05</v>
      </c>
      <c r="DD85" s="191">
        <v>-0.41</v>
      </c>
      <c r="DE85" s="191">
        <v>-0.51</v>
      </c>
      <c r="DF85" s="191">
        <v>-1.23</v>
      </c>
      <c r="DG85" s="192">
        <v>-0.51</v>
      </c>
      <c r="DH85" s="180"/>
      <c r="DI85" s="191" t="s">
        <v>491</v>
      </c>
      <c r="DJ85" s="191">
        <v>0</v>
      </c>
      <c r="DK85" s="191">
        <v>0</v>
      </c>
      <c r="DL85" s="191">
        <v>0</v>
      </c>
      <c r="DM85" s="191">
        <v>0</v>
      </c>
      <c r="DN85" s="191">
        <v>0</v>
      </c>
      <c r="DO85" s="191">
        <v>0</v>
      </c>
      <c r="DP85" s="191">
        <v>0</v>
      </c>
      <c r="DQ85" s="191">
        <v>0</v>
      </c>
      <c r="DR85" s="191">
        <v>0</v>
      </c>
      <c r="DS85" s="191">
        <v>0</v>
      </c>
      <c r="DT85" s="191">
        <v>0</v>
      </c>
      <c r="DU85" s="191">
        <v>0</v>
      </c>
      <c r="DV85" s="191">
        <v>0</v>
      </c>
      <c r="DW85" s="191">
        <v>0</v>
      </c>
      <c r="DX85" s="191">
        <v>0</v>
      </c>
      <c r="DY85" s="192">
        <v>0</v>
      </c>
    </row>
    <row r="86" s="180" customFormat="1" spans="1:129">
      <c r="A86" s="190" t="s">
        <v>492</v>
      </c>
      <c r="B86" s="191">
        <v>-65.7</v>
      </c>
      <c r="C86" s="192">
        <v>0</v>
      </c>
      <c r="E86" s="191" t="s">
        <v>492</v>
      </c>
      <c r="F86" s="191">
        <v>0</v>
      </c>
      <c r="G86" s="191">
        <v>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  <c r="V86" s="191">
        <v>0</v>
      </c>
      <c r="W86" s="191">
        <v>-0.9</v>
      </c>
      <c r="X86" s="191">
        <v>-5.5</v>
      </c>
      <c r="Y86" s="191">
        <v>-21.9</v>
      </c>
      <c r="Z86" s="191">
        <v>-3</v>
      </c>
      <c r="AA86" s="191">
        <v>0</v>
      </c>
      <c r="AB86" s="191">
        <v>0</v>
      </c>
      <c r="AC86" s="191">
        <v>0</v>
      </c>
      <c r="AD86" s="191">
        <v>0</v>
      </c>
      <c r="AE86" s="191">
        <v>0</v>
      </c>
      <c r="AF86" s="191">
        <v>0</v>
      </c>
      <c r="AG86" s="191">
        <v>0</v>
      </c>
      <c r="AH86" s="191">
        <v>0</v>
      </c>
      <c r="AI86" s="191">
        <v>0</v>
      </c>
      <c r="AJ86" s="191">
        <v>0</v>
      </c>
      <c r="AK86" s="191">
        <v>0</v>
      </c>
      <c r="AL86" s="191">
        <v>0</v>
      </c>
      <c r="AM86" s="191">
        <v>0</v>
      </c>
      <c r="AN86" s="191">
        <v>0</v>
      </c>
      <c r="AO86" s="191">
        <v>0</v>
      </c>
      <c r="AP86" s="191">
        <v>0</v>
      </c>
      <c r="AQ86" s="191">
        <v>0</v>
      </c>
      <c r="AR86" s="191">
        <v>-9.5</v>
      </c>
      <c r="AS86" s="191">
        <v>-1.8</v>
      </c>
      <c r="AT86" s="191">
        <v>-1.8</v>
      </c>
      <c r="AU86" s="191">
        <v>-1.8</v>
      </c>
      <c r="AV86" s="191">
        <v>-2.9</v>
      </c>
      <c r="AW86" s="191">
        <v>-1.8</v>
      </c>
      <c r="AX86" s="191">
        <v>-3.2</v>
      </c>
      <c r="AY86" s="191">
        <v>-3.4</v>
      </c>
      <c r="AZ86" s="191">
        <v>-3.7</v>
      </c>
      <c r="BA86" s="191">
        <v>-2</v>
      </c>
      <c r="BB86" s="191">
        <v>-0.4</v>
      </c>
      <c r="BC86" s="191">
        <v>-0.5</v>
      </c>
      <c r="BD86" s="191">
        <v>-1.1</v>
      </c>
      <c r="BE86" s="192">
        <v>-0.5</v>
      </c>
      <c r="BF86" s="180"/>
      <c r="BG86" s="191" t="s">
        <v>492</v>
      </c>
      <c r="BH86" s="191">
        <v>0</v>
      </c>
      <c r="BI86" s="191">
        <v>0</v>
      </c>
      <c r="BJ86" s="191">
        <v>0</v>
      </c>
      <c r="BK86" s="191">
        <v>0</v>
      </c>
      <c r="BL86" s="191">
        <v>0</v>
      </c>
      <c r="BM86" s="191">
        <v>0</v>
      </c>
      <c r="BN86" s="191">
        <v>0</v>
      </c>
      <c r="BO86" s="191">
        <v>0</v>
      </c>
      <c r="BP86" s="191">
        <v>0</v>
      </c>
      <c r="BQ86" s="191">
        <v>0</v>
      </c>
      <c r="BR86" s="191">
        <v>0</v>
      </c>
      <c r="BS86" s="191">
        <v>0</v>
      </c>
      <c r="BT86" s="191">
        <v>0</v>
      </c>
      <c r="BU86" s="191">
        <v>0</v>
      </c>
      <c r="BV86" s="191">
        <v>0</v>
      </c>
      <c r="BW86" s="191">
        <v>0</v>
      </c>
      <c r="BX86" s="191">
        <v>0</v>
      </c>
      <c r="BY86" s="191">
        <v>-0.92</v>
      </c>
      <c r="BZ86" s="191">
        <v>-5.64</v>
      </c>
      <c r="CA86" s="191">
        <v>-22.45</v>
      </c>
      <c r="CB86" s="191">
        <v>-3.08</v>
      </c>
      <c r="CC86" s="191">
        <v>0</v>
      </c>
      <c r="CD86" s="191">
        <v>0</v>
      </c>
      <c r="CE86" s="191">
        <v>0</v>
      </c>
      <c r="CF86" s="191">
        <v>0</v>
      </c>
      <c r="CG86" s="191">
        <v>0</v>
      </c>
      <c r="CH86" s="191">
        <v>0</v>
      </c>
      <c r="CI86" s="191">
        <v>0</v>
      </c>
      <c r="CJ86" s="191">
        <v>0</v>
      </c>
      <c r="CK86" s="191">
        <v>0</v>
      </c>
      <c r="CL86" s="191">
        <v>0</v>
      </c>
      <c r="CM86" s="191">
        <v>0</v>
      </c>
      <c r="CN86" s="191">
        <v>0</v>
      </c>
      <c r="CO86" s="191">
        <v>0</v>
      </c>
      <c r="CP86" s="191">
        <v>0</v>
      </c>
      <c r="CQ86" s="191">
        <v>0</v>
      </c>
      <c r="CR86" s="191">
        <v>0</v>
      </c>
      <c r="CS86" s="191">
        <v>0</v>
      </c>
      <c r="CT86" s="191">
        <v>-9.74</v>
      </c>
      <c r="CU86" s="191">
        <v>-1.85</v>
      </c>
      <c r="CV86" s="191">
        <v>-1.85</v>
      </c>
      <c r="CW86" s="191">
        <v>-1.85</v>
      </c>
      <c r="CX86" s="191">
        <v>-2.97</v>
      </c>
      <c r="CY86" s="191">
        <v>-1.85</v>
      </c>
      <c r="CZ86" s="191">
        <v>-3.28</v>
      </c>
      <c r="DA86" s="191">
        <v>-3.49</v>
      </c>
      <c r="DB86" s="191">
        <v>-3.79</v>
      </c>
      <c r="DC86" s="191">
        <v>-2.05</v>
      </c>
      <c r="DD86" s="191">
        <v>-0.41</v>
      </c>
      <c r="DE86" s="191">
        <v>-0.51</v>
      </c>
      <c r="DF86" s="191">
        <v>-1.13</v>
      </c>
      <c r="DG86" s="192">
        <v>-0.51</v>
      </c>
      <c r="DH86" s="180"/>
      <c r="DI86" s="191" t="s">
        <v>492</v>
      </c>
      <c r="DJ86" s="191">
        <v>0</v>
      </c>
      <c r="DK86" s="191">
        <v>0</v>
      </c>
      <c r="DL86" s="191">
        <v>0</v>
      </c>
      <c r="DM86" s="191">
        <v>0</v>
      </c>
      <c r="DN86" s="191">
        <v>0</v>
      </c>
      <c r="DO86" s="191">
        <v>0</v>
      </c>
      <c r="DP86" s="191">
        <v>0</v>
      </c>
      <c r="DQ86" s="191">
        <v>0</v>
      </c>
      <c r="DR86" s="191">
        <v>0</v>
      </c>
      <c r="DS86" s="191">
        <v>0</v>
      </c>
      <c r="DT86" s="191">
        <v>0</v>
      </c>
      <c r="DU86" s="191">
        <v>0</v>
      </c>
      <c r="DV86" s="191">
        <v>0</v>
      </c>
      <c r="DW86" s="191">
        <v>0</v>
      </c>
      <c r="DX86" s="191">
        <v>0</v>
      </c>
      <c r="DY86" s="192">
        <v>0</v>
      </c>
    </row>
    <row r="87" s="180" customFormat="1" spans="1:129">
      <c r="A87" s="190" t="s">
        <v>493</v>
      </c>
      <c r="B87" s="191">
        <v>-66.8</v>
      </c>
      <c r="C87" s="192">
        <v>0</v>
      </c>
      <c r="E87" s="191" t="s">
        <v>493</v>
      </c>
      <c r="F87" s="191">
        <v>0</v>
      </c>
      <c r="G87" s="191">
        <v>0</v>
      </c>
      <c r="H87" s="191">
        <v>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0</v>
      </c>
      <c r="V87" s="191">
        <v>0</v>
      </c>
      <c r="W87" s="191">
        <v>-0.9</v>
      </c>
      <c r="X87" s="191">
        <v>-5.5</v>
      </c>
      <c r="Y87" s="191">
        <v>-21.9</v>
      </c>
      <c r="Z87" s="191">
        <v>-3</v>
      </c>
      <c r="AA87" s="191">
        <v>0</v>
      </c>
      <c r="AB87" s="191">
        <v>0</v>
      </c>
      <c r="AC87" s="191">
        <v>0</v>
      </c>
      <c r="AD87" s="191">
        <v>0</v>
      </c>
      <c r="AE87" s="191">
        <v>0</v>
      </c>
      <c r="AF87" s="191">
        <v>0</v>
      </c>
      <c r="AG87" s="191">
        <v>0</v>
      </c>
      <c r="AH87" s="191">
        <v>0</v>
      </c>
      <c r="AI87" s="191">
        <v>0</v>
      </c>
      <c r="AJ87" s="191">
        <v>0</v>
      </c>
      <c r="AK87" s="191">
        <v>0</v>
      </c>
      <c r="AL87" s="191">
        <v>0</v>
      </c>
      <c r="AM87" s="191">
        <v>0</v>
      </c>
      <c r="AN87" s="191">
        <v>0</v>
      </c>
      <c r="AO87" s="191">
        <v>0</v>
      </c>
      <c r="AP87" s="191">
        <v>0</v>
      </c>
      <c r="AQ87" s="191">
        <v>0</v>
      </c>
      <c r="AR87" s="191">
        <v>-13</v>
      </c>
      <c r="AS87" s="191">
        <v>-1.5</v>
      </c>
      <c r="AT87" s="191">
        <v>-1.5</v>
      </c>
      <c r="AU87" s="191">
        <v>-1.5</v>
      </c>
      <c r="AV87" s="191">
        <v>-2.8</v>
      </c>
      <c r="AW87" s="191">
        <v>-1.5</v>
      </c>
      <c r="AX87" s="191">
        <v>-2.8</v>
      </c>
      <c r="AY87" s="191">
        <v>-3.1</v>
      </c>
      <c r="AZ87" s="191">
        <v>-3.7</v>
      </c>
      <c r="BA87" s="191">
        <v>-1.7</v>
      </c>
      <c r="BB87" s="191">
        <v>-0.3</v>
      </c>
      <c r="BC87" s="191">
        <v>-0.5</v>
      </c>
      <c r="BD87" s="191">
        <v>-1.1</v>
      </c>
      <c r="BE87" s="192">
        <v>-0.5</v>
      </c>
      <c r="BF87" s="180"/>
      <c r="BG87" s="191" t="s">
        <v>493</v>
      </c>
      <c r="BH87" s="191">
        <v>0</v>
      </c>
      <c r="BI87" s="191">
        <v>0</v>
      </c>
      <c r="BJ87" s="191">
        <v>0</v>
      </c>
      <c r="BK87" s="191">
        <v>0</v>
      </c>
      <c r="BL87" s="191">
        <v>0</v>
      </c>
      <c r="BM87" s="191">
        <v>0</v>
      </c>
      <c r="BN87" s="191">
        <v>0</v>
      </c>
      <c r="BO87" s="191">
        <v>0</v>
      </c>
      <c r="BP87" s="191">
        <v>0</v>
      </c>
      <c r="BQ87" s="191">
        <v>0</v>
      </c>
      <c r="BR87" s="191">
        <v>0</v>
      </c>
      <c r="BS87" s="191">
        <v>0</v>
      </c>
      <c r="BT87" s="191">
        <v>0</v>
      </c>
      <c r="BU87" s="191">
        <v>0</v>
      </c>
      <c r="BV87" s="191">
        <v>0</v>
      </c>
      <c r="BW87" s="191">
        <v>0</v>
      </c>
      <c r="BX87" s="191">
        <v>0</v>
      </c>
      <c r="BY87" s="191">
        <v>-0.92</v>
      </c>
      <c r="BZ87" s="191">
        <v>-5.64</v>
      </c>
      <c r="CA87" s="191">
        <v>-22.45</v>
      </c>
      <c r="CB87" s="191">
        <v>-3.08</v>
      </c>
      <c r="CC87" s="191">
        <v>0</v>
      </c>
      <c r="CD87" s="191">
        <v>0</v>
      </c>
      <c r="CE87" s="191">
        <v>0</v>
      </c>
      <c r="CF87" s="191">
        <v>0</v>
      </c>
      <c r="CG87" s="191">
        <v>0</v>
      </c>
      <c r="CH87" s="191">
        <v>0</v>
      </c>
      <c r="CI87" s="191">
        <v>0</v>
      </c>
      <c r="CJ87" s="191">
        <v>0</v>
      </c>
      <c r="CK87" s="191">
        <v>0</v>
      </c>
      <c r="CL87" s="191">
        <v>0</v>
      </c>
      <c r="CM87" s="191">
        <v>0</v>
      </c>
      <c r="CN87" s="191">
        <v>0</v>
      </c>
      <c r="CO87" s="191">
        <v>0</v>
      </c>
      <c r="CP87" s="191">
        <v>0</v>
      </c>
      <c r="CQ87" s="191">
        <v>0</v>
      </c>
      <c r="CR87" s="191">
        <v>0</v>
      </c>
      <c r="CS87" s="191">
        <v>0</v>
      </c>
      <c r="CT87" s="191">
        <v>-13.33</v>
      </c>
      <c r="CU87" s="191">
        <v>-1.54</v>
      </c>
      <c r="CV87" s="191">
        <v>-1.54</v>
      </c>
      <c r="CW87" s="191">
        <v>-1.54</v>
      </c>
      <c r="CX87" s="191">
        <v>-2.87</v>
      </c>
      <c r="CY87" s="191">
        <v>-1.54</v>
      </c>
      <c r="CZ87" s="191">
        <v>-2.87</v>
      </c>
      <c r="DA87" s="191">
        <v>-3.18</v>
      </c>
      <c r="DB87" s="191">
        <v>-3.79</v>
      </c>
      <c r="DC87" s="191">
        <v>-1.74</v>
      </c>
      <c r="DD87" s="191">
        <v>-0.31</v>
      </c>
      <c r="DE87" s="191">
        <v>-0.51</v>
      </c>
      <c r="DF87" s="191">
        <v>-1.13</v>
      </c>
      <c r="DG87" s="192">
        <v>-0.51</v>
      </c>
      <c r="DH87" s="180"/>
      <c r="DI87" s="191" t="s">
        <v>493</v>
      </c>
      <c r="DJ87" s="191">
        <v>0</v>
      </c>
      <c r="DK87" s="191">
        <v>0</v>
      </c>
      <c r="DL87" s="191">
        <v>0</v>
      </c>
      <c r="DM87" s="191">
        <v>0</v>
      </c>
      <c r="DN87" s="191">
        <v>0</v>
      </c>
      <c r="DO87" s="191">
        <v>0</v>
      </c>
      <c r="DP87" s="191">
        <v>0</v>
      </c>
      <c r="DQ87" s="191">
        <v>0</v>
      </c>
      <c r="DR87" s="191">
        <v>0</v>
      </c>
      <c r="DS87" s="191">
        <v>0</v>
      </c>
      <c r="DT87" s="191">
        <v>0</v>
      </c>
      <c r="DU87" s="191">
        <v>0</v>
      </c>
      <c r="DV87" s="191">
        <v>0</v>
      </c>
      <c r="DW87" s="191">
        <v>0</v>
      </c>
      <c r="DX87" s="191">
        <v>0</v>
      </c>
      <c r="DY87" s="192">
        <v>0</v>
      </c>
    </row>
    <row r="88" s="180" customFormat="1" spans="1:129">
      <c r="A88" s="190" t="s">
        <v>494</v>
      </c>
      <c r="B88" s="191">
        <v>-68.2</v>
      </c>
      <c r="C88" s="192">
        <v>0</v>
      </c>
      <c r="E88" s="191" t="s">
        <v>494</v>
      </c>
      <c r="F88" s="191">
        <v>0</v>
      </c>
      <c r="G88" s="191">
        <v>0</v>
      </c>
      <c r="H88" s="191">
        <v>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-0.9</v>
      </c>
      <c r="X88" s="191">
        <v>-5.5</v>
      </c>
      <c r="Y88" s="191">
        <v>-21.9</v>
      </c>
      <c r="Z88" s="191">
        <v>-3</v>
      </c>
      <c r="AA88" s="191">
        <v>0</v>
      </c>
      <c r="AB88" s="191">
        <v>0</v>
      </c>
      <c r="AC88" s="191">
        <v>0</v>
      </c>
      <c r="AD88" s="191">
        <v>0</v>
      </c>
      <c r="AE88" s="191">
        <v>0</v>
      </c>
      <c r="AF88" s="191">
        <v>0</v>
      </c>
      <c r="AG88" s="191">
        <v>0</v>
      </c>
      <c r="AH88" s="191">
        <v>0</v>
      </c>
      <c r="AI88" s="191">
        <v>0</v>
      </c>
      <c r="AJ88" s="191">
        <v>0</v>
      </c>
      <c r="AK88" s="191">
        <v>0</v>
      </c>
      <c r="AL88" s="191">
        <v>0</v>
      </c>
      <c r="AM88" s="191">
        <v>0</v>
      </c>
      <c r="AN88" s="191">
        <v>0</v>
      </c>
      <c r="AO88" s="191">
        <v>0</v>
      </c>
      <c r="AP88" s="191">
        <v>0</v>
      </c>
      <c r="AQ88" s="191">
        <v>0</v>
      </c>
      <c r="AR88" s="191">
        <v>-15.5</v>
      </c>
      <c r="AS88" s="191">
        <v>-1.4</v>
      </c>
      <c r="AT88" s="191">
        <v>-1.4</v>
      </c>
      <c r="AU88" s="191">
        <v>-1.4</v>
      </c>
      <c r="AV88" s="191">
        <v>-2.5</v>
      </c>
      <c r="AW88" s="191">
        <v>-1.4</v>
      </c>
      <c r="AX88" s="191">
        <v>-2.5</v>
      </c>
      <c r="AY88" s="191">
        <v>-3.1</v>
      </c>
      <c r="AZ88" s="191">
        <v>-3.7</v>
      </c>
      <c r="BA88" s="191">
        <v>-1.6</v>
      </c>
      <c r="BB88" s="191">
        <v>-0.3</v>
      </c>
      <c r="BC88" s="191">
        <v>-0.5</v>
      </c>
      <c r="BD88" s="191">
        <v>-1.1</v>
      </c>
      <c r="BE88" s="192">
        <v>-0.5</v>
      </c>
      <c r="BF88" s="180"/>
      <c r="BG88" s="191" t="s">
        <v>494</v>
      </c>
      <c r="BH88" s="191">
        <v>0</v>
      </c>
      <c r="BI88" s="191">
        <v>0</v>
      </c>
      <c r="BJ88" s="191">
        <v>0</v>
      </c>
      <c r="BK88" s="191">
        <v>0</v>
      </c>
      <c r="BL88" s="191">
        <v>0</v>
      </c>
      <c r="BM88" s="191">
        <v>0</v>
      </c>
      <c r="BN88" s="191">
        <v>0</v>
      </c>
      <c r="BO88" s="191">
        <v>0</v>
      </c>
      <c r="BP88" s="191">
        <v>0</v>
      </c>
      <c r="BQ88" s="191">
        <v>0</v>
      </c>
      <c r="BR88" s="191">
        <v>0</v>
      </c>
      <c r="BS88" s="191">
        <v>0</v>
      </c>
      <c r="BT88" s="191">
        <v>0</v>
      </c>
      <c r="BU88" s="191">
        <v>0</v>
      </c>
      <c r="BV88" s="191">
        <v>0</v>
      </c>
      <c r="BW88" s="191">
        <v>0</v>
      </c>
      <c r="BX88" s="191">
        <v>0</v>
      </c>
      <c r="BY88" s="191">
        <v>-0.92</v>
      </c>
      <c r="BZ88" s="191">
        <v>-5.64</v>
      </c>
      <c r="CA88" s="191">
        <v>-22.45</v>
      </c>
      <c r="CB88" s="191">
        <v>-3.08</v>
      </c>
      <c r="CC88" s="191">
        <v>0</v>
      </c>
      <c r="CD88" s="191">
        <v>0</v>
      </c>
      <c r="CE88" s="191">
        <v>0</v>
      </c>
      <c r="CF88" s="191">
        <v>0</v>
      </c>
      <c r="CG88" s="191">
        <v>0</v>
      </c>
      <c r="CH88" s="191">
        <v>0</v>
      </c>
      <c r="CI88" s="191">
        <v>0</v>
      </c>
      <c r="CJ88" s="191">
        <v>0</v>
      </c>
      <c r="CK88" s="191">
        <v>0</v>
      </c>
      <c r="CL88" s="191">
        <v>0</v>
      </c>
      <c r="CM88" s="191">
        <v>0</v>
      </c>
      <c r="CN88" s="191">
        <v>0</v>
      </c>
      <c r="CO88" s="191">
        <v>0</v>
      </c>
      <c r="CP88" s="191">
        <v>0</v>
      </c>
      <c r="CQ88" s="191">
        <v>0</v>
      </c>
      <c r="CR88" s="191">
        <v>0</v>
      </c>
      <c r="CS88" s="191">
        <v>0</v>
      </c>
      <c r="CT88" s="191">
        <v>-15.89</v>
      </c>
      <c r="CU88" s="191">
        <v>-1.44</v>
      </c>
      <c r="CV88" s="191">
        <v>-1.44</v>
      </c>
      <c r="CW88" s="191">
        <v>-1.44</v>
      </c>
      <c r="CX88" s="191">
        <v>-2.56</v>
      </c>
      <c r="CY88" s="191">
        <v>-1.44</v>
      </c>
      <c r="CZ88" s="191">
        <v>-2.56</v>
      </c>
      <c r="DA88" s="191">
        <v>-3.18</v>
      </c>
      <c r="DB88" s="191">
        <v>-3.79</v>
      </c>
      <c r="DC88" s="191">
        <v>-1.64</v>
      </c>
      <c r="DD88" s="191">
        <v>-0.31</v>
      </c>
      <c r="DE88" s="191">
        <v>-0.51</v>
      </c>
      <c r="DF88" s="191">
        <v>-1.13</v>
      </c>
      <c r="DG88" s="192">
        <v>-0.51</v>
      </c>
      <c r="DH88" s="180"/>
      <c r="DI88" s="191" t="s">
        <v>494</v>
      </c>
      <c r="DJ88" s="191">
        <v>0</v>
      </c>
      <c r="DK88" s="191">
        <v>0</v>
      </c>
      <c r="DL88" s="191">
        <v>0</v>
      </c>
      <c r="DM88" s="191">
        <v>0</v>
      </c>
      <c r="DN88" s="191">
        <v>0</v>
      </c>
      <c r="DO88" s="191">
        <v>0</v>
      </c>
      <c r="DP88" s="191">
        <v>0</v>
      </c>
      <c r="DQ88" s="191">
        <v>0</v>
      </c>
      <c r="DR88" s="191">
        <v>0</v>
      </c>
      <c r="DS88" s="191">
        <v>0</v>
      </c>
      <c r="DT88" s="191">
        <v>0</v>
      </c>
      <c r="DU88" s="191">
        <v>0</v>
      </c>
      <c r="DV88" s="191">
        <v>0</v>
      </c>
      <c r="DW88" s="191">
        <v>0</v>
      </c>
      <c r="DX88" s="191">
        <v>0</v>
      </c>
      <c r="DY88" s="192">
        <v>0</v>
      </c>
    </row>
    <row r="89" s="180" customFormat="1" spans="1:129">
      <c r="A89" s="190" t="s">
        <v>495</v>
      </c>
      <c r="B89" s="191">
        <v>-67.2</v>
      </c>
      <c r="C89" s="192">
        <v>0</v>
      </c>
      <c r="E89" s="191" t="s">
        <v>495</v>
      </c>
      <c r="F89" s="191">
        <v>0</v>
      </c>
      <c r="G89" s="191">
        <v>0</v>
      </c>
      <c r="H89" s="191">
        <v>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0</v>
      </c>
      <c r="V89" s="191">
        <v>0</v>
      </c>
      <c r="W89" s="191">
        <v>-0.9</v>
      </c>
      <c r="X89" s="191">
        <v>-5.5</v>
      </c>
      <c r="Y89" s="191">
        <v>-21.9</v>
      </c>
      <c r="Z89" s="191">
        <v>-3</v>
      </c>
      <c r="AA89" s="191">
        <v>0</v>
      </c>
      <c r="AB89" s="191">
        <v>0</v>
      </c>
      <c r="AC89" s="191">
        <v>0</v>
      </c>
      <c r="AD89" s="191">
        <v>0</v>
      </c>
      <c r="AE89" s="191">
        <v>0</v>
      </c>
      <c r="AF89" s="191">
        <v>0</v>
      </c>
      <c r="AG89" s="191">
        <v>0</v>
      </c>
      <c r="AH89" s="191">
        <v>0</v>
      </c>
      <c r="AI89" s="191">
        <v>0</v>
      </c>
      <c r="AJ89" s="191">
        <v>0</v>
      </c>
      <c r="AK89" s="191">
        <v>0</v>
      </c>
      <c r="AL89" s="191">
        <v>0</v>
      </c>
      <c r="AM89" s="191">
        <v>0</v>
      </c>
      <c r="AN89" s="191">
        <v>0</v>
      </c>
      <c r="AO89" s="191">
        <v>0</v>
      </c>
      <c r="AP89" s="191">
        <v>0</v>
      </c>
      <c r="AQ89" s="191">
        <v>0</v>
      </c>
      <c r="AR89" s="191">
        <v>-14.5</v>
      </c>
      <c r="AS89" s="191">
        <v>-1.4</v>
      </c>
      <c r="AT89" s="191">
        <v>-1.4</v>
      </c>
      <c r="AU89" s="191">
        <v>-1.4</v>
      </c>
      <c r="AV89" s="191">
        <v>-2.5</v>
      </c>
      <c r="AW89" s="191">
        <v>-1.4</v>
      </c>
      <c r="AX89" s="191">
        <v>-2.6</v>
      </c>
      <c r="AY89" s="191">
        <v>-3.1</v>
      </c>
      <c r="AZ89" s="191">
        <v>-3.7</v>
      </c>
      <c r="BA89" s="191">
        <v>-1.6</v>
      </c>
      <c r="BB89" s="191">
        <v>-0.3</v>
      </c>
      <c r="BC89" s="191">
        <v>-0.4</v>
      </c>
      <c r="BD89" s="191">
        <v>-1.2</v>
      </c>
      <c r="BE89" s="192">
        <v>-0.4</v>
      </c>
      <c r="BF89" s="180"/>
      <c r="BG89" s="191" t="s">
        <v>495</v>
      </c>
      <c r="BH89" s="191">
        <v>0</v>
      </c>
      <c r="BI89" s="191">
        <v>0</v>
      </c>
      <c r="BJ89" s="191">
        <v>0</v>
      </c>
      <c r="BK89" s="191">
        <v>0</v>
      </c>
      <c r="BL89" s="191">
        <v>0</v>
      </c>
      <c r="BM89" s="191">
        <v>0</v>
      </c>
      <c r="BN89" s="191">
        <v>0</v>
      </c>
      <c r="BO89" s="191">
        <v>0</v>
      </c>
      <c r="BP89" s="191">
        <v>0</v>
      </c>
      <c r="BQ89" s="191">
        <v>0</v>
      </c>
      <c r="BR89" s="191">
        <v>0</v>
      </c>
      <c r="BS89" s="191">
        <v>0</v>
      </c>
      <c r="BT89" s="191">
        <v>0</v>
      </c>
      <c r="BU89" s="191">
        <v>0</v>
      </c>
      <c r="BV89" s="191">
        <v>0</v>
      </c>
      <c r="BW89" s="191">
        <v>0</v>
      </c>
      <c r="BX89" s="191">
        <v>0</v>
      </c>
      <c r="BY89" s="191">
        <v>-0.92</v>
      </c>
      <c r="BZ89" s="191">
        <v>-5.64</v>
      </c>
      <c r="CA89" s="191">
        <v>-22.45</v>
      </c>
      <c r="CB89" s="191">
        <v>-3.08</v>
      </c>
      <c r="CC89" s="191">
        <v>0</v>
      </c>
      <c r="CD89" s="191">
        <v>0</v>
      </c>
      <c r="CE89" s="191">
        <v>0</v>
      </c>
      <c r="CF89" s="191">
        <v>0</v>
      </c>
      <c r="CG89" s="191">
        <v>0</v>
      </c>
      <c r="CH89" s="191">
        <v>0</v>
      </c>
      <c r="CI89" s="191">
        <v>0</v>
      </c>
      <c r="CJ89" s="191">
        <v>0</v>
      </c>
      <c r="CK89" s="191">
        <v>0</v>
      </c>
      <c r="CL89" s="191">
        <v>0</v>
      </c>
      <c r="CM89" s="191">
        <v>0</v>
      </c>
      <c r="CN89" s="191">
        <v>0</v>
      </c>
      <c r="CO89" s="191">
        <v>0</v>
      </c>
      <c r="CP89" s="191">
        <v>0</v>
      </c>
      <c r="CQ89" s="191">
        <v>0</v>
      </c>
      <c r="CR89" s="191">
        <v>0</v>
      </c>
      <c r="CS89" s="191">
        <v>0</v>
      </c>
      <c r="CT89" s="191">
        <v>-14.87</v>
      </c>
      <c r="CU89" s="191">
        <v>-1.44</v>
      </c>
      <c r="CV89" s="191">
        <v>-1.44</v>
      </c>
      <c r="CW89" s="191">
        <v>-1.44</v>
      </c>
      <c r="CX89" s="191">
        <v>-2.56</v>
      </c>
      <c r="CY89" s="191">
        <v>-1.44</v>
      </c>
      <c r="CZ89" s="191">
        <v>-2.67</v>
      </c>
      <c r="DA89" s="191">
        <v>-3.18</v>
      </c>
      <c r="DB89" s="191">
        <v>-3.79</v>
      </c>
      <c r="DC89" s="191">
        <v>-1.64</v>
      </c>
      <c r="DD89" s="191">
        <v>-0.31</v>
      </c>
      <c r="DE89" s="191">
        <v>-0.41</v>
      </c>
      <c r="DF89" s="191">
        <v>-1.23</v>
      </c>
      <c r="DG89" s="192">
        <v>-0.41</v>
      </c>
      <c r="DH89" s="180"/>
      <c r="DI89" s="191" t="s">
        <v>495</v>
      </c>
      <c r="DJ89" s="191">
        <v>0</v>
      </c>
      <c r="DK89" s="191">
        <v>0</v>
      </c>
      <c r="DL89" s="191">
        <v>0</v>
      </c>
      <c r="DM89" s="191">
        <v>0</v>
      </c>
      <c r="DN89" s="191">
        <v>0</v>
      </c>
      <c r="DO89" s="191">
        <v>0</v>
      </c>
      <c r="DP89" s="191">
        <v>0</v>
      </c>
      <c r="DQ89" s="191">
        <v>0</v>
      </c>
      <c r="DR89" s="191">
        <v>0</v>
      </c>
      <c r="DS89" s="191">
        <v>0</v>
      </c>
      <c r="DT89" s="191">
        <v>0</v>
      </c>
      <c r="DU89" s="191">
        <v>0</v>
      </c>
      <c r="DV89" s="191">
        <v>0</v>
      </c>
      <c r="DW89" s="191">
        <v>0</v>
      </c>
      <c r="DX89" s="191">
        <v>0</v>
      </c>
      <c r="DY89" s="192">
        <v>0</v>
      </c>
    </row>
    <row r="90" s="180" customFormat="1" spans="1:129">
      <c r="A90" s="190" t="s">
        <v>496</v>
      </c>
      <c r="B90" s="191">
        <v>-65.7</v>
      </c>
      <c r="C90" s="192">
        <v>0</v>
      </c>
      <c r="E90" s="191" t="s">
        <v>496</v>
      </c>
      <c r="F90" s="191">
        <v>0</v>
      </c>
      <c r="G90" s="191">
        <v>0</v>
      </c>
      <c r="H90" s="191">
        <v>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0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  <c r="V90" s="191">
        <v>0</v>
      </c>
      <c r="W90" s="191">
        <v>-0.9</v>
      </c>
      <c r="X90" s="191">
        <v>-5.5</v>
      </c>
      <c r="Y90" s="191">
        <v>-21.9</v>
      </c>
      <c r="Z90" s="191">
        <v>-3</v>
      </c>
      <c r="AA90" s="191">
        <v>0</v>
      </c>
      <c r="AB90" s="191">
        <v>0</v>
      </c>
      <c r="AC90" s="191">
        <v>0</v>
      </c>
      <c r="AD90" s="191">
        <v>0</v>
      </c>
      <c r="AE90" s="191">
        <v>0</v>
      </c>
      <c r="AF90" s="191">
        <v>0</v>
      </c>
      <c r="AG90" s="191">
        <v>0</v>
      </c>
      <c r="AH90" s="191">
        <v>0</v>
      </c>
      <c r="AI90" s="191">
        <v>0</v>
      </c>
      <c r="AJ90" s="191">
        <v>0</v>
      </c>
      <c r="AK90" s="191">
        <v>0</v>
      </c>
      <c r="AL90" s="191">
        <v>0</v>
      </c>
      <c r="AM90" s="191">
        <v>0</v>
      </c>
      <c r="AN90" s="191">
        <v>0</v>
      </c>
      <c r="AO90" s="191">
        <v>0</v>
      </c>
      <c r="AP90" s="191">
        <v>0</v>
      </c>
      <c r="AQ90" s="191">
        <v>0</v>
      </c>
      <c r="AR90" s="191">
        <v>-12.9</v>
      </c>
      <c r="AS90" s="191">
        <v>-1.4</v>
      </c>
      <c r="AT90" s="191">
        <v>-1.4</v>
      </c>
      <c r="AU90" s="191">
        <v>-1.4</v>
      </c>
      <c r="AV90" s="191">
        <v>-2.7</v>
      </c>
      <c r="AW90" s="191">
        <v>-1.4</v>
      </c>
      <c r="AX90" s="191">
        <v>-2.6</v>
      </c>
      <c r="AY90" s="191">
        <v>-3.2</v>
      </c>
      <c r="AZ90" s="191">
        <v>-3.6</v>
      </c>
      <c r="BA90" s="191">
        <v>-1.5</v>
      </c>
      <c r="BB90" s="191">
        <v>-0.3</v>
      </c>
      <c r="BC90" s="191">
        <v>-0.4</v>
      </c>
      <c r="BD90" s="191">
        <v>-1.2</v>
      </c>
      <c r="BE90" s="192">
        <v>-0.4</v>
      </c>
      <c r="BF90" s="180"/>
      <c r="BG90" s="191" t="s">
        <v>496</v>
      </c>
      <c r="BH90" s="191">
        <v>0</v>
      </c>
      <c r="BI90" s="191">
        <v>0</v>
      </c>
      <c r="BJ90" s="191">
        <v>0</v>
      </c>
      <c r="BK90" s="191">
        <v>0</v>
      </c>
      <c r="BL90" s="191">
        <v>0</v>
      </c>
      <c r="BM90" s="191">
        <v>0</v>
      </c>
      <c r="BN90" s="191">
        <v>0</v>
      </c>
      <c r="BO90" s="191">
        <v>0</v>
      </c>
      <c r="BP90" s="191">
        <v>0</v>
      </c>
      <c r="BQ90" s="191">
        <v>0</v>
      </c>
      <c r="BR90" s="191">
        <v>0</v>
      </c>
      <c r="BS90" s="191">
        <v>0</v>
      </c>
      <c r="BT90" s="191">
        <v>0</v>
      </c>
      <c r="BU90" s="191">
        <v>0</v>
      </c>
      <c r="BV90" s="191">
        <v>0</v>
      </c>
      <c r="BW90" s="191">
        <v>0</v>
      </c>
      <c r="BX90" s="191">
        <v>0</v>
      </c>
      <c r="BY90" s="191">
        <v>-0.92</v>
      </c>
      <c r="BZ90" s="191">
        <v>-5.64</v>
      </c>
      <c r="CA90" s="191">
        <v>-22.45</v>
      </c>
      <c r="CB90" s="191">
        <v>-3.08</v>
      </c>
      <c r="CC90" s="191">
        <v>0</v>
      </c>
      <c r="CD90" s="191">
        <v>0</v>
      </c>
      <c r="CE90" s="191">
        <v>0</v>
      </c>
      <c r="CF90" s="191">
        <v>0</v>
      </c>
      <c r="CG90" s="191">
        <v>0</v>
      </c>
      <c r="CH90" s="191">
        <v>0</v>
      </c>
      <c r="CI90" s="191">
        <v>0</v>
      </c>
      <c r="CJ90" s="191">
        <v>0</v>
      </c>
      <c r="CK90" s="191">
        <v>0</v>
      </c>
      <c r="CL90" s="191">
        <v>0</v>
      </c>
      <c r="CM90" s="191">
        <v>0</v>
      </c>
      <c r="CN90" s="191">
        <v>0</v>
      </c>
      <c r="CO90" s="191">
        <v>0</v>
      </c>
      <c r="CP90" s="191">
        <v>0</v>
      </c>
      <c r="CQ90" s="191">
        <v>0</v>
      </c>
      <c r="CR90" s="191">
        <v>0</v>
      </c>
      <c r="CS90" s="191">
        <v>0</v>
      </c>
      <c r="CT90" s="191">
        <v>-13.23</v>
      </c>
      <c r="CU90" s="191">
        <v>-1.44</v>
      </c>
      <c r="CV90" s="191">
        <v>-1.44</v>
      </c>
      <c r="CW90" s="191">
        <v>-1.44</v>
      </c>
      <c r="CX90" s="191">
        <v>-2.77</v>
      </c>
      <c r="CY90" s="191">
        <v>-1.44</v>
      </c>
      <c r="CZ90" s="191">
        <v>-2.67</v>
      </c>
      <c r="DA90" s="191">
        <v>-3.28</v>
      </c>
      <c r="DB90" s="191">
        <v>-3.69</v>
      </c>
      <c r="DC90" s="191">
        <v>-1.54</v>
      </c>
      <c r="DD90" s="191">
        <v>-0.31</v>
      </c>
      <c r="DE90" s="191">
        <v>-0.41</v>
      </c>
      <c r="DF90" s="191">
        <v>-1.23</v>
      </c>
      <c r="DG90" s="192">
        <v>-0.41</v>
      </c>
      <c r="DH90" s="180"/>
      <c r="DI90" s="191" t="s">
        <v>496</v>
      </c>
      <c r="DJ90" s="191">
        <v>0</v>
      </c>
      <c r="DK90" s="191">
        <v>0</v>
      </c>
      <c r="DL90" s="191">
        <v>0</v>
      </c>
      <c r="DM90" s="191">
        <v>0</v>
      </c>
      <c r="DN90" s="191">
        <v>0</v>
      </c>
      <c r="DO90" s="191">
        <v>0</v>
      </c>
      <c r="DP90" s="191">
        <v>0</v>
      </c>
      <c r="DQ90" s="191">
        <v>0</v>
      </c>
      <c r="DR90" s="191">
        <v>0</v>
      </c>
      <c r="DS90" s="191">
        <v>0</v>
      </c>
      <c r="DT90" s="191">
        <v>0</v>
      </c>
      <c r="DU90" s="191">
        <v>0</v>
      </c>
      <c r="DV90" s="191">
        <v>0</v>
      </c>
      <c r="DW90" s="191">
        <v>0</v>
      </c>
      <c r="DX90" s="191">
        <v>0</v>
      </c>
      <c r="DY90" s="192">
        <v>0</v>
      </c>
    </row>
    <row r="91" s="180" customFormat="1" spans="1:129">
      <c r="A91" s="190" t="s">
        <v>497</v>
      </c>
      <c r="B91" s="191">
        <v>-46</v>
      </c>
      <c r="C91" s="192">
        <v>2.67</v>
      </c>
      <c r="E91" s="191" t="s">
        <v>497</v>
      </c>
      <c r="F91" s="191">
        <v>0</v>
      </c>
      <c r="G91" s="191">
        <v>0</v>
      </c>
      <c r="H91" s="191">
        <v>0</v>
      </c>
      <c r="I91" s="191">
        <v>0</v>
      </c>
      <c r="J91" s="191">
        <v>0</v>
      </c>
      <c r="K91" s="191">
        <v>0</v>
      </c>
      <c r="L91" s="191">
        <v>0</v>
      </c>
      <c r="M91" s="191">
        <v>0</v>
      </c>
      <c r="N91" s="191">
        <v>0</v>
      </c>
      <c r="O91" s="191">
        <v>0</v>
      </c>
      <c r="P91" s="191">
        <v>0</v>
      </c>
      <c r="Q91" s="191">
        <v>0</v>
      </c>
      <c r="R91" s="191">
        <v>0</v>
      </c>
      <c r="S91" s="191">
        <v>0</v>
      </c>
      <c r="T91" s="191">
        <v>0</v>
      </c>
      <c r="U91" s="191">
        <v>0</v>
      </c>
      <c r="V91" s="191">
        <v>2.67</v>
      </c>
      <c r="W91" s="191">
        <v>-0.9</v>
      </c>
      <c r="X91" s="191">
        <v>-5.5</v>
      </c>
      <c r="Y91" s="191">
        <v>-5.3</v>
      </c>
      <c r="Z91" s="191">
        <v>-3</v>
      </c>
      <c r="AA91" s="191">
        <v>0</v>
      </c>
      <c r="AB91" s="191">
        <v>0</v>
      </c>
      <c r="AC91" s="191">
        <v>0</v>
      </c>
      <c r="AD91" s="191">
        <v>0</v>
      </c>
      <c r="AE91" s="191">
        <v>0</v>
      </c>
      <c r="AF91" s="191">
        <v>0</v>
      </c>
      <c r="AG91" s="191">
        <v>0</v>
      </c>
      <c r="AH91" s="191">
        <v>0</v>
      </c>
      <c r="AI91" s="191">
        <v>0</v>
      </c>
      <c r="AJ91" s="191">
        <v>0</v>
      </c>
      <c r="AK91" s="191">
        <v>0</v>
      </c>
      <c r="AL91" s="191">
        <v>0</v>
      </c>
      <c r="AM91" s="191">
        <v>0</v>
      </c>
      <c r="AN91" s="191">
        <v>0</v>
      </c>
      <c r="AO91" s="191">
        <v>0</v>
      </c>
      <c r="AP91" s="191">
        <v>0</v>
      </c>
      <c r="AQ91" s="191">
        <v>0</v>
      </c>
      <c r="AR91" s="191">
        <v>-12.4</v>
      </c>
      <c r="AS91" s="191">
        <v>-1.1</v>
      </c>
      <c r="AT91" s="191">
        <v>-1.1</v>
      </c>
      <c r="AU91" s="191">
        <v>-1.1</v>
      </c>
      <c r="AV91" s="191">
        <v>-2.3</v>
      </c>
      <c r="AW91" s="191">
        <v>-1.1</v>
      </c>
      <c r="AX91" s="191">
        <v>-2.6</v>
      </c>
      <c r="AY91" s="191">
        <v>-2.7</v>
      </c>
      <c r="AZ91" s="191">
        <v>-3.4</v>
      </c>
      <c r="BA91" s="191">
        <v>-1.3</v>
      </c>
      <c r="BB91" s="191">
        <v>-0.3</v>
      </c>
      <c r="BC91" s="191">
        <v>-0.4</v>
      </c>
      <c r="BD91" s="191">
        <v>-1.1</v>
      </c>
      <c r="BE91" s="192">
        <v>-0.4</v>
      </c>
      <c r="BF91" s="180"/>
      <c r="BG91" s="191" t="s">
        <v>497</v>
      </c>
      <c r="BH91" s="191">
        <v>0</v>
      </c>
      <c r="BI91" s="191">
        <v>0</v>
      </c>
      <c r="BJ91" s="191">
        <v>0</v>
      </c>
      <c r="BK91" s="191">
        <v>0</v>
      </c>
      <c r="BL91" s="191">
        <v>0</v>
      </c>
      <c r="BM91" s="191">
        <v>0</v>
      </c>
      <c r="BN91" s="191">
        <v>0</v>
      </c>
      <c r="BO91" s="191">
        <v>0</v>
      </c>
      <c r="BP91" s="191">
        <v>0</v>
      </c>
      <c r="BQ91" s="191">
        <v>0</v>
      </c>
      <c r="BR91" s="191">
        <v>0</v>
      </c>
      <c r="BS91" s="191">
        <v>0</v>
      </c>
      <c r="BT91" s="191">
        <v>0</v>
      </c>
      <c r="BU91" s="191">
        <v>0</v>
      </c>
      <c r="BV91" s="191">
        <v>0</v>
      </c>
      <c r="BW91" s="191">
        <v>0</v>
      </c>
      <c r="BX91" s="191">
        <v>2.6</v>
      </c>
      <c r="BY91" s="191">
        <v>-0.92</v>
      </c>
      <c r="BZ91" s="191">
        <v>-5.64</v>
      </c>
      <c r="CA91" s="191">
        <v>-5.43</v>
      </c>
      <c r="CB91" s="191">
        <v>-3.08</v>
      </c>
      <c r="CC91" s="191">
        <v>0</v>
      </c>
      <c r="CD91" s="191">
        <v>0</v>
      </c>
      <c r="CE91" s="191">
        <v>0</v>
      </c>
      <c r="CF91" s="191">
        <v>0</v>
      </c>
      <c r="CG91" s="191">
        <v>0</v>
      </c>
      <c r="CH91" s="191">
        <v>0</v>
      </c>
      <c r="CI91" s="191">
        <v>0</v>
      </c>
      <c r="CJ91" s="191">
        <v>0</v>
      </c>
      <c r="CK91" s="191">
        <v>0</v>
      </c>
      <c r="CL91" s="191">
        <v>0</v>
      </c>
      <c r="CM91" s="191">
        <v>0</v>
      </c>
      <c r="CN91" s="191">
        <v>0</v>
      </c>
      <c r="CO91" s="191">
        <v>0</v>
      </c>
      <c r="CP91" s="191">
        <v>0</v>
      </c>
      <c r="CQ91" s="191">
        <v>0</v>
      </c>
      <c r="CR91" s="191">
        <v>0</v>
      </c>
      <c r="CS91" s="191">
        <v>0</v>
      </c>
      <c r="CT91" s="191">
        <v>-12.71</v>
      </c>
      <c r="CU91" s="191">
        <v>-1.13</v>
      </c>
      <c r="CV91" s="191">
        <v>-1.13</v>
      </c>
      <c r="CW91" s="191">
        <v>-1.13</v>
      </c>
      <c r="CX91" s="191">
        <v>-2.36</v>
      </c>
      <c r="CY91" s="191">
        <v>-1.13</v>
      </c>
      <c r="CZ91" s="191">
        <v>-2.67</v>
      </c>
      <c r="DA91" s="191">
        <v>-2.77</v>
      </c>
      <c r="DB91" s="191">
        <v>-3.49</v>
      </c>
      <c r="DC91" s="191">
        <v>-1.33</v>
      </c>
      <c r="DD91" s="191">
        <v>-0.31</v>
      </c>
      <c r="DE91" s="191">
        <v>-0.41</v>
      </c>
      <c r="DF91" s="191">
        <v>-1.13</v>
      </c>
      <c r="DG91" s="192">
        <v>-0.41</v>
      </c>
      <c r="DH91" s="180"/>
      <c r="DI91" s="191" t="s">
        <v>497</v>
      </c>
      <c r="DJ91" s="191">
        <v>0</v>
      </c>
      <c r="DK91" s="191">
        <v>0</v>
      </c>
      <c r="DL91" s="191">
        <v>0</v>
      </c>
      <c r="DM91" s="191">
        <v>0</v>
      </c>
      <c r="DN91" s="191">
        <v>0</v>
      </c>
      <c r="DO91" s="191">
        <v>0</v>
      </c>
      <c r="DP91" s="191">
        <v>0</v>
      </c>
      <c r="DQ91" s="191">
        <v>0</v>
      </c>
      <c r="DR91" s="191">
        <v>0</v>
      </c>
      <c r="DS91" s="191">
        <v>2.53</v>
      </c>
      <c r="DT91" s="191">
        <v>0</v>
      </c>
      <c r="DU91" s="191">
        <v>0</v>
      </c>
      <c r="DV91" s="191">
        <v>0</v>
      </c>
      <c r="DW91" s="191">
        <v>0</v>
      </c>
      <c r="DX91" s="191">
        <v>0</v>
      </c>
      <c r="DY91" s="192">
        <v>0</v>
      </c>
    </row>
    <row r="92" s="180" customFormat="1" spans="1:129">
      <c r="A92" s="190" t="s">
        <v>498</v>
      </c>
      <c r="B92" s="191">
        <v>-48.3</v>
      </c>
      <c r="C92" s="192">
        <v>6</v>
      </c>
      <c r="E92" s="191" t="s">
        <v>498</v>
      </c>
      <c r="F92" s="191">
        <v>0</v>
      </c>
      <c r="G92" s="191">
        <v>0</v>
      </c>
      <c r="H92" s="191">
        <v>0</v>
      </c>
      <c r="I92" s="191">
        <v>0</v>
      </c>
      <c r="J92" s="191">
        <v>0</v>
      </c>
      <c r="K92" s="191">
        <v>0</v>
      </c>
      <c r="L92" s="191">
        <v>0</v>
      </c>
      <c r="M92" s="191">
        <v>0</v>
      </c>
      <c r="N92" s="191">
        <v>0</v>
      </c>
      <c r="O92" s="191">
        <v>0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0</v>
      </c>
      <c r="V92" s="191">
        <v>2.67</v>
      </c>
      <c r="W92" s="191">
        <v>-0.9</v>
      </c>
      <c r="X92" s="191">
        <v>-5.5</v>
      </c>
      <c r="Y92" s="191">
        <v>-5.3</v>
      </c>
      <c r="Z92" s="191">
        <v>-3</v>
      </c>
      <c r="AA92" s="191">
        <v>0</v>
      </c>
      <c r="AB92" s="191">
        <v>0</v>
      </c>
      <c r="AC92" s="191">
        <v>0</v>
      </c>
      <c r="AD92" s="191">
        <v>0</v>
      </c>
      <c r="AE92" s="191">
        <v>0</v>
      </c>
      <c r="AF92" s="191">
        <v>0</v>
      </c>
      <c r="AG92" s="191">
        <v>0</v>
      </c>
      <c r="AH92" s="191">
        <v>3.33</v>
      </c>
      <c r="AI92" s="191">
        <v>0</v>
      </c>
      <c r="AJ92" s="191">
        <v>0</v>
      </c>
      <c r="AK92" s="191">
        <v>0</v>
      </c>
      <c r="AL92" s="191">
        <v>0</v>
      </c>
      <c r="AM92" s="191">
        <v>0</v>
      </c>
      <c r="AN92" s="191">
        <v>0</v>
      </c>
      <c r="AO92" s="191">
        <v>0</v>
      </c>
      <c r="AP92" s="191">
        <v>0</v>
      </c>
      <c r="AQ92" s="191">
        <v>0</v>
      </c>
      <c r="AR92" s="191">
        <v>-14.5</v>
      </c>
      <c r="AS92" s="191">
        <v>-1.1</v>
      </c>
      <c r="AT92" s="191">
        <v>-1.1</v>
      </c>
      <c r="AU92" s="191">
        <v>-1.1</v>
      </c>
      <c r="AV92" s="191">
        <v>-2.3</v>
      </c>
      <c r="AW92" s="191">
        <v>-1.1</v>
      </c>
      <c r="AX92" s="191">
        <v>-2.6</v>
      </c>
      <c r="AY92" s="191">
        <v>-2.7</v>
      </c>
      <c r="AZ92" s="191">
        <v>-3.6</v>
      </c>
      <c r="BA92" s="191">
        <v>-1.3</v>
      </c>
      <c r="BB92" s="191">
        <v>-0.3</v>
      </c>
      <c r="BC92" s="191">
        <v>-0.4</v>
      </c>
      <c r="BD92" s="191">
        <v>-1.1</v>
      </c>
      <c r="BE92" s="192">
        <v>-0.4</v>
      </c>
      <c r="BF92" s="180"/>
      <c r="BG92" s="191" t="s">
        <v>498</v>
      </c>
      <c r="BH92" s="191">
        <v>0</v>
      </c>
      <c r="BI92" s="191">
        <v>0</v>
      </c>
      <c r="BJ92" s="191">
        <v>0</v>
      </c>
      <c r="BK92" s="191">
        <v>0</v>
      </c>
      <c r="BL92" s="191">
        <v>0</v>
      </c>
      <c r="BM92" s="191">
        <v>0</v>
      </c>
      <c r="BN92" s="191">
        <v>0</v>
      </c>
      <c r="BO92" s="191">
        <v>0</v>
      </c>
      <c r="BP92" s="191">
        <v>0</v>
      </c>
      <c r="BQ92" s="191">
        <v>0</v>
      </c>
      <c r="BR92" s="191">
        <v>0</v>
      </c>
      <c r="BS92" s="191">
        <v>0</v>
      </c>
      <c r="BT92" s="191">
        <v>0</v>
      </c>
      <c r="BU92" s="191">
        <v>0</v>
      </c>
      <c r="BV92" s="191">
        <v>0</v>
      </c>
      <c r="BW92" s="191">
        <v>0</v>
      </c>
      <c r="BX92" s="191">
        <v>2.6</v>
      </c>
      <c r="BY92" s="191">
        <v>-0.92</v>
      </c>
      <c r="BZ92" s="191">
        <v>-5.64</v>
      </c>
      <c r="CA92" s="191">
        <v>-5.43</v>
      </c>
      <c r="CB92" s="191">
        <v>-3.08</v>
      </c>
      <c r="CC92" s="191">
        <v>0</v>
      </c>
      <c r="CD92" s="191">
        <v>0</v>
      </c>
      <c r="CE92" s="191">
        <v>0</v>
      </c>
      <c r="CF92" s="191">
        <v>0</v>
      </c>
      <c r="CG92" s="191">
        <v>0</v>
      </c>
      <c r="CH92" s="191">
        <v>0</v>
      </c>
      <c r="CI92" s="191">
        <v>0</v>
      </c>
      <c r="CJ92" s="191">
        <v>3.25</v>
      </c>
      <c r="CK92" s="191">
        <v>0</v>
      </c>
      <c r="CL92" s="191">
        <v>0</v>
      </c>
      <c r="CM92" s="191">
        <v>0</v>
      </c>
      <c r="CN92" s="191">
        <v>0</v>
      </c>
      <c r="CO92" s="191">
        <v>0</v>
      </c>
      <c r="CP92" s="191">
        <v>0</v>
      </c>
      <c r="CQ92" s="191">
        <v>0</v>
      </c>
      <c r="CR92" s="191">
        <v>0</v>
      </c>
      <c r="CS92" s="191">
        <v>0</v>
      </c>
      <c r="CT92" s="191">
        <v>-14.87</v>
      </c>
      <c r="CU92" s="191">
        <v>-1.13</v>
      </c>
      <c r="CV92" s="191">
        <v>-1.13</v>
      </c>
      <c r="CW92" s="191">
        <v>-1.13</v>
      </c>
      <c r="CX92" s="191">
        <v>-2.36</v>
      </c>
      <c r="CY92" s="191">
        <v>-1.13</v>
      </c>
      <c r="CZ92" s="191">
        <v>-2.67</v>
      </c>
      <c r="DA92" s="191">
        <v>-2.77</v>
      </c>
      <c r="DB92" s="191">
        <v>-3.69</v>
      </c>
      <c r="DC92" s="191">
        <v>-1.33</v>
      </c>
      <c r="DD92" s="191">
        <v>-0.31</v>
      </c>
      <c r="DE92" s="191">
        <v>-0.41</v>
      </c>
      <c r="DF92" s="191">
        <v>-1.13</v>
      </c>
      <c r="DG92" s="192">
        <v>-0.41</v>
      </c>
      <c r="DH92" s="180"/>
      <c r="DI92" s="191" t="s">
        <v>498</v>
      </c>
      <c r="DJ92" s="191">
        <v>0</v>
      </c>
      <c r="DK92" s="191">
        <v>0</v>
      </c>
      <c r="DL92" s="191">
        <v>0</v>
      </c>
      <c r="DM92" s="191">
        <v>0</v>
      </c>
      <c r="DN92" s="191">
        <v>0</v>
      </c>
      <c r="DO92" s="191">
        <v>0</v>
      </c>
      <c r="DP92" s="191">
        <v>0</v>
      </c>
      <c r="DQ92" s="191">
        <v>0</v>
      </c>
      <c r="DR92" s="191">
        <v>0</v>
      </c>
      <c r="DS92" s="191">
        <v>2.53</v>
      </c>
      <c r="DT92" s="191">
        <v>0</v>
      </c>
      <c r="DU92" s="191">
        <v>0</v>
      </c>
      <c r="DV92" s="191">
        <v>0</v>
      </c>
      <c r="DW92" s="191">
        <v>0</v>
      </c>
      <c r="DX92" s="191">
        <v>0</v>
      </c>
      <c r="DY92" s="192">
        <v>0</v>
      </c>
    </row>
    <row r="93" s="180" customFormat="1" spans="1:129">
      <c r="A93" s="190" t="s">
        <v>499</v>
      </c>
      <c r="B93" s="191">
        <v>-150.5</v>
      </c>
      <c r="C93" s="192">
        <v>6</v>
      </c>
      <c r="E93" s="191" t="s">
        <v>499</v>
      </c>
      <c r="F93" s="191">
        <v>0</v>
      </c>
      <c r="G93" s="191">
        <v>-100</v>
      </c>
      <c r="H93" s="191">
        <v>0</v>
      </c>
      <c r="I93" s="191">
        <v>0</v>
      </c>
      <c r="J93" s="191">
        <v>0</v>
      </c>
      <c r="K93" s="191">
        <v>0</v>
      </c>
      <c r="L93" s="191">
        <v>0</v>
      </c>
      <c r="M93" s="191">
        <v>0</v>
      </c>
      <c r="N93" s="191">
        <v>0</v>
      </c>
      <c r="O93" s="191">
        <v>0</v>
      </c>
      <c r="P93" s="191">
        <v>0</v>
      </c>
      <c r="Q93" s="191">
        <v>0</v>
      </c>
      <c r="R93" s="191">
        <v>0</v>
      </c>
      <c r="S93" s="191">
        <v>0</v>
      </c>
      <c r="T93" s="191">
        <v>0</v>
      </c>
      <c r="U93" s="191">
        <v>0</v>
      </c>
      <c r="V93" s="191">
        <v>2.67</v>
      </c>
      <c r="W93" s="191">
        <v>-0.9</v>
      </c>
      <c r="X93" s="191">
        <v>-5.5</v>
      </c>
      <c r="Y93" s="191">
        <v>-5.3</v>
      </c>
      <c r="Z93" s="191">
        <v>-3</v>
      </c>
      <c r="AA93" s="191">
        <v>0</v>
      </c>
      <c r="AB93" s="191">
        <v>0</v>
      </c>
      <c r="AC93" s="191">
        <v>0</v>
      </c>
      <c r="AD93" s="191">
        <v>0</v>
      </c>
      <c r="AE93" s="191">
        <v>0</v>
      </c>
      <c r="AF93" s="191">
        <v>0</v>
      </c>
      <c r="AG93" s="191">
        <v>0</v>
      </c>
      <c r="AH93" s="191">
        <v>3.33</v>
      </c>
      <c r="AI93" s="191">
        <v>0</v>
      </c>
      <c r="AJ93" s="191">
        <v>0</v>
      </c>
      <c r="AK93" s="191">
        <v>0</v>
      </c>
      <c r="AL93" s="191">
        <v>0</v>
      </c>
      <c r="AM93" s="191">
        <v>0</v>
      </c>
      <c r="AN93" s="191">
        <v>0</v>
      </c>
      <c r="AO93" s="191">
        <v>0</v>
      </c>
      <c r="AP93" s="191">
        <v>0</v>
      </c>
      <c r="AQ93" s="191">
        <v>0</v>
      </c>
      <c r="AR93" s="191">
        <v>-16.8</v>
      </c>
      <c r="AS93" s="191">
        <v>-1.1</v>
      </c>
      <c r="AT93" s="191">
        <v>-1.1</v>
      </c>
      <c r="AU93" s="191">
        <v>-1.1</v>
      </c>
      <c r="AV93" s="191">
        <v>-2.1</v>
      </c>
      <c r="AW93" s="191">
        <v>-1.1</v>
      </c>
      <c r="AX93" s="191">
        <v>-2.5</v>
      </c>
      <c r="AY93" s="191">
        <v>-2.8</v>
      </c>
      <c r="AZ93" s="191">
        <v>-3.9</v>
      </c>
      <c r="BA93" s="191">
        <v>-1.2</v>
      </c>
      <c r="BB93" s="191">
        <v>-0.3</v>
      </c>
      <c r="BC93" s="191">
        <v>-0.4</v>
      </c>
      <c r="BD93" s="191">
        <v>-1</v>
      </c>
      <c r="BE93" s="192">
        <v>-0.4</v>
      </c>
      <c r="BF93" s="180"/>
      <c r="BG93" s="191" t="s">
        <v>499</v>
      </c>
      <c r="BH93" s="191">
        <v>0</v>
      </c>
      <c r="BI93" s="191">
        <v>-102.52</v>
      </c>
      <c r="BJ93" s="191">
        <v>0</v>
      </c>
      <c r="BK93" s="191">
        <v>0</v>
      </c>
      <c r="BL93" s="191">
        <v>0</v>
      </c>
      <c r="BM93" s="191">
        <v>0</v>
      </c>
      <c r="BN93" s="191">
        <v>0</v>
      </c>
      <c r="BO93" s="191">
        <v>0</v>
      </c>
      <c r="BP93" s="191">
        <v>0</v>
      </c>
      <c r="BQ93" s="191">
        <v>0</v>
      </c>
      <c r="BR93" s="191">
        <v>0</v>
      </c>
      <c r="BS93" s="191">
        <v>0</v>
      </c>
      <c r="BT93" s="191">
        <v>0</v>
      </c>
      <c r="BU93" s="191">
        <v>0</v>
      </c>
      <c r="BV93" s="191">
        <v>0</v>
      </c>
      <c r="BW93" s="191">
        <v>0</v>
      </c>
      <c r="BX93" s="191">
        <v>2.6</v>
      </c>
      <c r="BY93" s="191">
        <v>-0.92</v>
      </c>
      <c r="BZ93" s="191">
        <v>-5.64</v>
      </c>
      <c r="CA93" s="191">
        <v>-5.43</v>
      </c>
      <c r="CB93" s="191">
        <v>-3.08</v>
      </c>
      <c r="CC93" s="191">
        <v>0</v>
      </c>
      <c r="CD93" s="191">
        <v>0</v>
      </c>
      <c r="CE93" s="191">
        <v>0</v>
      </c>
      <c r="CF93" s="191">
        <v>0</v>
      </c>
      <c r="CG93" s="191">
        <v>0</v>
      </c>
      <c r="CH93" s="191">
        <v>0</v>
      </c>
      <c r="CI93" s="191">
        <v>0</v>
      </c>
      <c r="CJ93" s="191">
        <v>3.25</v>
      </c>
      <c r="CK93" s="191">
        <v>0</v>
      </c>
      <c r="CL93" s="191">
        <v>0</v>
      </c>
      <c r="CM93" s="191">
        <v>0</v>
      </c>
      <c r="CN93" s="191">
        <v>0</v>
      </c>
      <c r="CO93" s="191">
        <v>0</v>
      </c>
      <c r="CP93" s="191">
        <v>0</v>
      </c>
      <c r="CQ93" s="191">
        <v>0</v>
      </c>
      <c r="CR93" s="191">
        <v>0</v>
      </c>
      <c r="CS93" s="191">
        <v>0</v>
      </c>
      <c r="CT93" s="191">
        <v>-17.22</v>
      </c>
      <c r="CU93" s="191">
        <v>-1.13</v>
      </c>
      <c r="CV93" s="191">
        <v>-1.13</v>
      </c>
      <c r="CW93" s="191">
        <v>-1.13</v>
      </c>
      <c r="CX93" s="191">
        <v>-2.15</v>
      </c>
      <c r="CY93" s="191">
        <v>-1.13</v>
      </c>
      <c r="CZ93" s="191">
        <v>-2.56</v>
      </c>
      <c r="DA93" s="191">
        <v>-2.87</v>
      </c>
      <c r="DB93" s="191">
        <v>-4</v>
      </c>
      <c r="DC93" s="191">
        <v>-1.23</v>
      </c>
      <c r="DD93" s="191">
        <v>-0.31</v>
      </c>
      <c r="DE93" s="191">
        <v>-0.41</v>
      </c>
      <c r="DF93" s="191">
        <v>-1.03</v>
      </c>
      <c r="DG93" s="192">
        <v>-0.41</v>
      </c>
      <c r="DH93" s="180"/>
      <c r="DI93" s="191" t="s">
        <v>499</v>
      </c>
      <c r="DJ93" s="191">
        <v>0</v>
      </c>
      <c r="DK93" s="191">
        <v>0</v>
      </c>
      <c r="DL93" s="191">
        <v>0</v>
      </c>
      <c r="DM93" s="191">
        <v>0</v>
      </c>
      <c r="DN93" s="191">
        <v>0</v>
      </c>
      <c r="DO93" s="191">
        <v>0</v>
      </c>
      <c r="DP93" s="191">
        <v>0</v>
      </c>
      <c r="DQ93" s="191">
        <v>0</v>
      </c>
      <c r="DR93" s="191">
        <v>0</v>
      </c>
      <c r="DS93" s="191">
        <v>2.53</v>
      </c>
      <c r="DT93" s="191">
        <v>0</v>
      </c>
      <c r="DU93" s="191">
        <v>0</v>
      </c>
      <c r="DV93" s="191">
        <v>0</v>
      </c>
      <c r="DW93" s="191">
        <v>0</v>
      </c>
      <c r="DX93" s="191">
        <v>0</v>
      </c>
      <c r="DY93" s="192">
        <v>0</v>
      </c>
    </row>
    <row r="94" s="180" customFormat="1" spans="1:129">
      <c r="A94" s="190" t="s">
        <v>500</v>
      </c>
      <c r="B94" s="191">
        <v>-252.8</v>
      </c>
      <c r="C94" s="192">
        <v>6</v>
      </c>
      <c r="E94" s="191" t="s">
        <v>500</v>
      </c>
      <c r="F94" s="191">
        <v>0</v>
      </c>
      <c r="G94" s="191">
        <v>-200</v>
      </c>
      <c r="H94" s="191">
        <v>0</v>
      </c>
      <c r="I94" s="191">
        <v>0</v>
      </c>
      <c r="J94" s="191">
        <v>0</v>
      </c>
      <c r="K94" s="191">
        <v>0</v>
      </c>
      <c r="L94" s="191">
        <v>0</v>
      </c>
      <c r="M94" s="191">
        <v>0</v>
      </c>
      <c r="N94" s="191">
        <v>0</v>
      </c>
      <c r="O94" s="191">
        <v>0</v>
      </c>
      <c r="P94" s="191">
        <v>0</v>
      </c>
      <c r="Q94" s="191">
        <v>0</v>
      </c>
      <c r="R94" s="191">
        <v>0</v>
      </c>
      <c r="S94" s="191">
        <v>0</v>
      </c>
      <c r="T94" s="191">
        <v>0</v>
      </c>
      <c r="U94" s="191">
        <v>0</v>
      </c>
      <c r="V94" s="191">
        <v>2.67</v>
      </c>
      <c r="W94" s="191">
        <v>-0.9</v>
      </c>
      <c r="X94" s="191">
        <v>-5.5</v>
      </c>
      <c r="Y94" s="191">
        <v>-5.3</v>
      </c>
      <c r="Z94" s="191">
        <v>-3</v>
      </c>
      <c r="AA94" s="191">
        <v>0</v>
      </c>
      <c r="AB94" s="191">
        <v>0</v>
      </c>
      <c r="AC94" s="191">
        <v>0</v>
      </c>
      <c r="AD94" s="191">
        <v>0</v>
      </c>
      <c r="AE94" s="191">
        <v>0</v>
      </c>
      <c r="AF94" s="191">
        <v>0</v>
      </c>
      <c r="AG94" s="191">
        <v>0</v>
      </c>
      <c r="AH94" s="191">
        <v>3.33</v>
      </c>
      <c r="AI94" s="191">
        <v>0</v>
      </c>
      <c r="AJ94" s="191">
        <v>0</v>
      </c>
      <c r="AK94" s="191">
        <v>0</v>
      </c>
      <c r="AL94" s="191">
        <v>0</v>
      </c>
      <c r="AM94" s="191">
        <v>0</v>
      </c>
      <c r="AN94" s="191">
        <v>0</v>
      </c>
      <c r="AO94" s="191">
        <v>0</v>
      </c>
      <c r="AP94" s="191">
        <v>0</v>
      </c>
      <c r="AQ94" s="191">
        <v>0</v>
      </c>
      <c r="AR94" s="191">
        <v>-19.1</v>
      </c>
      <c r="AS94" s="191">
        <v>-1.1</v>
      </c>
      <c r="AT94" s="191">
        <v>-1.1</v>
      </c>
      <c r="AU94" s="191">
        <v>-1.1</v>
      </c>
      <c r="AV94" s="191">
        <v>-2</v>
      </c>
      <c r="AW94" s="191">
        <v>-1.1</v>
      </c>
      <c r="AX94" s="191">
        <v>-2.5</v>
      </c>
      <c r="AY94" s="191">
        <v>-2.7</v>
      </c>
      <c r="AZ94" s="191">
        <v>-4.3</v>
      </c>
      <c r="BA94" s="191">
        <v>-1.2</v>
      </c>
      <c r="BB94" s="191">
        <v>-0.3</v>
      </c>
      <c r="BC94" s="191">
        <v>-0.3</v>
      </c>
      <c r="BD94" s="191">
        <v>-1</v>
      </c>
      <c r="BE94" s="192">
        <v>-0.3</v>
      </c>
      <c r="BF94" s="180"/>
      <c r="BG94" s="191" t="s">
        <v>500</v>
      </c>
      <c r="BH94" s="191">
        <v>0</v>
      </c>
      <c r="BI94" s="191">
        <v>-205.04</v>
      </c>
      <c r="BJ94" s="191">
        <v>0</v>
      </c>
      <c r="BK94" s="191">
        <v>0</v>
      </c>
      <c r="BL94" s="191">
        <v>0</v>
      </c>
      <c r="BM94" s="191">
        <v>0</v>
      </c>
      <c r="BN94" s="191">
        <v>0</v>
      </c>
      <c r="BO94" s="191">
        <v>0</v>
      </c>
      <c r="BP94" s="191">
        <v>0</v>
      </c>
      <c r="BQ94" s="191">
        <v>0</v>
      </c>
      <c r="BR94" s="191">
        <v>0</v>
      </c>
      <c r="BS94" s="191">
        <v>0</v>
      </c>
      <c r="BT94" s="191">
        <v>0</v>
      </c>
      <c r="BU94" s="191">
        <v>0</v>
      </c>
      <c r="BV94" s="191">
        <v>0</v>
      </c>
      <c r="BW94" s="191">
        <v>0</v>
      </c>
      <c r="BX94" s="191">
        <v>2.6</v>
      </c>
      <c r="BY94" s="191">
        <v>-0.92</v>
      </c>
      <c r="BZ94" s="191">
        <v>-5.64</v>
      </c>
      <c r="CA94" s="191">
        <v>-5.43</v>
      </c>
      <c r="CB94" s="191">
        <v>-3.08</v>
      </c>
      <c r="CC94" s="191">
        <v>0</v>
      </c>
      <c r="CD94" s="191">
        <v>0</v>
      </c>
      <c r="CE94" s="191">
        <v>0</v>
      </c>
      <c r="CF94" s="191">
        <v>0</v>
      </c>
      <c r="CG94" s="191">
        <v>0</v>
      </c>
      <c r="CH94" s="191">
        <v>0</v>
      </c>
      <c r="CI94" s="191">
        <v>0</v>
      </c>
      <c r="CJ94" s="191">
        <v>3.25</v>
      </c>
      <c r="CK94" s="191">
        <v>0</v>
      </c>
      <c r="CL94" s="191">
        <v>0</v>
      </c>
      <c r="CM94" s="191">
        <v>0</v>
      </c>
      <c r="CN94" s="191">
        <v>0</v>
      </c>
      <c r="CO94" s="191">
        <v>0</v>
      </c>
      <c r="CP94" s="191">
        <v>0</v>
      </c>
      <c r="CQ94" s="191">
        <v>0</v>
      </c>
      <c r="CR94" s="191">
        <v>0</v>
      </c>
      <c r="CS94" s="191">
        <v>0</v>
      </c>
      <c r="CT94" s="191">
        <v>-19.58</v>
      </c>
      <c r="CU94" s="191">
        <v>-1.13</v>
      </c>
      <c r="CV94" s="191">
        <v>-1.13</v>
      </c>
      <c r="CW94" s="191">
        <v>-1.13</v>
      </c>
      <c r="CX94" s="191">
        <v>-2.05</v>
      </c>
      <c r="CY94" s="191">
        <v>-1.13</v>
      </c>
      <c r="CZ94" s="191">
        <v>-2.56</v>
      </c>
      <c r="DA94" s="191">
        <v>-2.77</v>
      </c>
      <c r="DB94" s="191">
        <v>-4.41</v>
      </c>
      <c r="DC94" s="191">
        <v>-1.23</v>
      </c>
      <c r="DD94" s="191">
        <v>-0.31</v>
      </c>
      <c r="DE94" s="191">
        <v>-0.31</v>
      </c>
      <c r="DF94" s="191">
        <v>-1.03</v>
      </c>
      <c r="DG94" s="192">
        <v>-0.31</v>
      </c>
      <c r="DH94" s="180"/>
      <c r="DI94" s="191" t="s">
        <v>500</v>
      </c>
      <c r="DJ94" s="191">
        <v>0</v>
      </c>
      <c r="DK94" s="191">
        <v>0</v>
      </c>
      <c r="DL94" s="191">
        <v>0</v>
      </c>
      <c r="DM94" s="191">
        <v>0</v>
      </c>
      <c r="DN94" s="191">
        <v>0</v>
      </c>
      <c r="DO94" s="191">
        <v>0</v>
      </c>
      <c r="DP94" s="191">
        <v>0</v>
      </c>
      <c r="DQ94" s="191">
        <v>0</v>
      </c>
      <c r="DR94" s="191">
        <v>0</v>
      </c>
      <c r="DS94" s="191">
        <v>2.53</v>
      </c>
      <c r="DT94" s="191">
        <v>0</v>
      </c>
      <c r="DU94" s="191">
        <v>0</v>
      </c>
      <c r="DV94" s="191">
        <v>0</v>
      </c>
      <c r="DW94" s="191">
        <v>0</v>
      </c>
      <c r="DX94" s="191">
        <v>0</v>
      </c>
      <c r="DY94" s="192">
        <v>0</v>
      </c>
    </row>
    <row r="95" s="180" customFormat="1" spans="1:129">
      <c r="A95" s="190" t="s">
        <v>501</v>
      </c>
      <c r="B95" s="191">
        <v>-450.9</v>
      </c>
      <c r="C95" s="192">
        <v>86.81</v>
      </c>
      <c r="E95" s="191" t="s">
        <v>501</v>
      </c>
      <c r="F95" s="191">
        <v>9.42</v>
      </c>
      <c r="G95" s="191">
        <v>-400</v>
      </c>
      <c r="H95" s="191">
        <v>0</v>
      </c>
      <c r="I95" s="191">
        <v>0</v>
      </c>
      <c r="J95" s="191">
        <v>0</v>
      </c>
      <c r="K95" s="191">
        <v>0</v>
      </c>
      <c r="L95" s="191">
        <v>0</v>
      </c>
      <c r="M95" s="191">
        <v>0</v>
      </c>
      <c r="N95" s="191">
        <v>0</v>
      </c>
      <c r="O95" s="191">
        <v>0</v>
      </c>
      <c r="P95" s="191">
        <v>0</v>
      </c>
      <c r="Q95" s="191">
        <v>0</v>
      </c>
      <c r="R95" s="191">
        <v>0</v>
      </c>
      <c r="S95" s="191">
        <v>0</v>
      </c>
      <c r="T95" s="191">
        <v>0</v>
      </c>
      <c r="U95" s="191">
        <v>0</v>
      </c>
      <c r="V95" s="191">
        <v>2.67</v>
      </c>
      <c r="W95" s="191">
        <v>-0.9</v>
      </c>
      <c r="X95" s="191">
        <v>-5.5</v>
      </c>
      <c r="Y95" s="191">
        <v>-5.3</v>
      </c>
      <c r="Z95" s="191">
        <v>-3</v>
      </c>
      <c r="AA95" s="191">
        <v>0</v>
      </c>
      <c r="AB95" s="191">
        <v>0</v>
      </c>
      <c r="AC95" s="191">
        <v>0</v>
      </c>
      <c r="AD95" s="191">
        <v>0</v>
      </c>
      <c r="AE95" s="191">
        <v>0</v>
      </c>
      <c r="AF95" s="191">
        <v>0</v>
      </c>
      <c r="AG95" s="191">
        <v>0</v>
      </c>
      <c r="AH95" s="191">
        <v>3.33</v>
      </c>
      <c r="AI95" s="191">
        <v>0</v>
      </c>
      <c r="AJ95" s="191">
        <v>0</v>
      </c>
      <c r="AK95" s="191">
        <v>0</v>
      </c>
      <c r="AL95" s="191">
        <v>0</v>
      </c>
      <c r="AM95" s="191">
        <v>0</v>
      </c>
      <c r="AN95" s="191">
        <v>0</v>
      </c>
      <c r="AO95" s="191">
        <v>71.39</v>
      </c>
      <c r="AP95" s="191">
        <v>0</v>
      </c>
      <c r="AQ95" s="191">
        <v>0</v>
      </c>
      <c r="AR95" s="191">
        <v>-18.5</v>
      </c>
      <c r="AS95" s="191">
        <v>-0.8</v>
      </c>
      <c r="AT95" s="191">
        <v>-0.8</v>
      </c>
      <c r="AU95" s="191">
        <v>-0.8</v>
      </c>
      <c r="AV95" s="191">
        <v>-2</v>
      </c>
      <c r="AW95" s="191">
        <v>-0.8</v>
      </c>
      <c r="AX95" s="191">
        <v>-2.1</v>
      </c>
      <c r="AY95" s="191">
        <v>-2.6</v>
      </c>
      <c r="AZ95" s="191">
        <v>-5</v>
      </c>
      <c r="BA95" s="191">
        <v>-1</v>
      </c>
      <c r="BB95" s="191">
        <v>-0.2</v>
      </c>
      <c r="BC95" s="191">
        <v>-0.3</v>
      </c>
      <c r="BD95" s="191">
        <v>-1</v>
      </c>
      <c r="BE95" s="192">
        <v>-0.3</v>
      </c>
      <c r="BF95" s="180"/>
      <c r="BG95" s="191" t="s">
        <v>501</v>
      </c>
      <c r="BH95" s="191">
        <v>9.19</v>
      </c>
      <c r="BI95" s="191">
        <v>-410.09</v>
      </c>
      <c r="BJ95" s="191">
        <v>0</v>
      </c>
      <c r="BK95" s="191">
        <v>0</v>
      </c>
      <c r="BL95" s="191">
        <v>0</v>
      </c>
      <c r="BM95" s="191">
        <v>0</v>
      </c>
      <c r="BN95" s="191">
        <v>0</v>
      </c>
      <c r="BO95" s="191">
        <v>0</v>
      </c>
      <c r="BP95" s="191">
        <v>0</v>
      </c>
      <c r="BQ95" s="191">
        <v>0</v>
      </c>
      <c r="BR95" s="191">
        <v>0</v>
      </c>
      <c r="BS95" s="191">
        <v>0</v>
      </c>
      <c r="BT95" s="191">
        <v>0</v>
      </c>
      <c r="BU95" s="191">
        <v>0</v>
      </c>
      <c r="BV95" s="191">
        <v>0</v>
      </c>
      <c r="BW95" s="191">
        <v>0</v>
      </c>
      <c r="BX95" s="191">
        <v>2.6</v>
      </c>
      <c r="BY95" s="191">
        <v>-0.92</v>
      </c>
      <c r="BZ95" s="191">
        <v>-5.64</v>
      </c>
      <c r="CA95" s="191">
        <v>-5.43</v>
      </c>
      <c r="CB95" s="191">
        <v>-3.08</v>
      </c>
      <c r="CC95" s="191">
        <v>0</v>
      </c>
      <c r="CD95" s="191">
        <v>0</v>
      </c>
      <c r="CE95" s="191">
        <v>0</v>
      </c>
      <c r="CF95" s="191">
        <v>0</v>
      </c>
      <c r="CG95" s="191">
        <v>0</v>
      </c>
      <c r="CH95" s="191">
        <v>0</v>
      </c>
      <c r="CI95" s="191">
        <v>0</v>
      </c>
      <c r="CJ95" s="191">
        <v>3.25</v>
      </c>
      <c r="CK95" s="191">
        <v>0</v>
      </c>
      <c r="CL95" s="191">
        <v>0</v>
      </c>
      <c r="CM95" s="191">
        <v>0</v>
      </c>
      <c r="CN95" s="191">
        <v>0</v>
      </c>
      <c r="CO95" s="191">
        <v>0</v>
      </c>
      <c r="CP95" s="191">
        <v>0</v>
      </c>
      <c r="CQ95" s="191">
        <v>69.63</v>
      </c>
      <c r="CR95" s="191">
        <v>0</v>
      </c>
      <c r="CS95" s="191">
        <v>0</v>
      </c>
      <c r="CT95" s="191">
        <v>-18.97</v>
      </c>
      <c r="CU95" s="191">
        <v>-0.82</v>
      </c>
      <c r="CV95" s="191">
        <v>-0.82</v>
      </c>
      <c r="CW95" s="191">
        <v>-0.82</v>
      </c>
      <c r="CX95" s="191">
        <v>-2.05</v>
      </c>
      <c r="CY95" s="191">
        <v>-0.82</v>
      </c>
      <c r="CZ95" s="191">
        <v>-2.15</v>
      </c>
      <c r="DA95" s="191">
        <v>-2.67</v>
      </c>
      <c r="DB95" s="191">
        <v>-5.13</v>
      </c>
      <c r="DC95" s="191">
        <v>-1.03</v>
      </c>
      <c r="DD95" s="191">
        <v>-0.21</v>
      </c>
      <c r="DE95" s="191">
        <v>-0.31</v>
      </c>
      <c r="DF95" s="191">
        <v>-1.03</v>
      </c>
      <c r="DG95" s="192">
        <v>-0.31</v>
      </c>
      <c r="DH95" s="180"/>
      <c r="DI95" s="191" t="s">
        <v>501</v>
      </c>
      <c r="DJ95" s="191">
        <v>0</v>
      </c>
      <c r="DK95" s="191">
        <v>0</v>
      </c>
      <c r="DL95" s="191">
        <v>0</v>
      </c>
      <c r="DM95" s="191">
        <v>0</v>
      </c>
      <c r="DN95" s="191">
        <v>0</v>
      </c>
      <c r="DO95" s="191">
        <v>0</v>
      </c>
      <c r="DP95" s="191">
        <v>0</v>
      </c>
      <c r="DQ95" s="191">
        <v>0</v>
      </c>
      <c r="DR95" s="191">
        <v>0</v>
      </c>
      <c r="DS95" s="191">
        <v>2.53</v>
      </c>
      <c r="DT95" s="191">
        <v>0</v>
      </c>
      <c r="DU95" s="191">
        <v>0</v>
      </c>
      <c r="DV95" s="191">
        <v>0</v>
      </c>
      <c r="DW95" s="191">
        <v>0</v>
      </c>
      <c r="DX95" s="191">
        <v>0</v>
      </c>
      <c r="DY95" s="192">
        <v>0</v>
      </c>
    </row>
    <row r="96" s="180" customFormat="1" spans="1:129">
      <c r="A96" s="190" t="s">
        <v>502</v>
      </c>
      <c r="B96" s="191">
        <v>-452.5</v>
      </c>
      <c r="C96" s="192">
        <v>88.81</v>
      </c>
      <c r="E96" s="191" t="s">
        <v>502</v>
      </c>
      <c r="F96" s="191">
        <v>11.42</v>
      </c>
      <c r="G96" s="191">
        <v>-400</v>
      </c>
      <c r="H96" s="191">
        <v>0</v>
      </c>
      <c r="I96" s="191">
        <v>0</v>
      </c>
      <c r="J96" s="191">
        <v>0</v>
      </c>
      <c r="K96" s="191">
        <v>0</v>
      </c>
      <c r="L96" s="191">
        <v>0</v>
      </c>
      <c r="M96" s="191">
        <v>0</v>
      </c>
      <c r="N96" s="191">
        <v>0</v>
      </c>
      <c r="O96" s="191">
        <v>0</v>
      </c>
      <c r="P96" s="191">
        <v>0</v>
      </c>
      <c r="Q96" s="191">
        <v>0</v>
      </c>
      <c r="R96" s="191">
        <v>0</v>
      </c>
      <c r="S96" s="191">
        <v>0</v>
      </c>
      <c r="T96" s="191">
        <v>0</v>
      </c>
      <c r="U96" s="191">
        <v>0</v>
      </c>
      <c r="V96" s="191">
        <v>2.67</v>
      </c>
      <c r="W96" s="191">
        <v>-0.9</v>
      </c>
      <c r="X96" s="191">
        <v>-5.5</v>
      </c>
      <c r="Y96" s="191">
        <v>-5.3</v>
      </c>
      <c r="Z96" s="191">
        <v>-3</v>
      </c>
      <c r="AA96" s="191">
        <v>0</v>
      </c>
      <c r="AB96" s="191">
        <v>0</v>
      </c>
      <c r="AC96" s="191">
        <v>0</v>
      </c>
      <c r="AD96" s="191">
        <v>0</v>
      </c>
      <c r="AE96" s="191">
        <v>0</v>
      </c>
      <c r="AF96" s="191">
        <v>0</v>
      </c>
      <c r="AG96" s="191">
        <v>0</v>
      </c>
      <c r="AH96" s="191">
        <v>3.33</v>
      </c>
      <c r="AI96" s="191">
        <v>0</v>
      </c>
      <c r="AJ96" s="191">
        <v>0</v>
      </c>
      <c r="AK96" s="191">
        <v>0</v>
      </c>
      <c r="AL96" s="191">
        <v>0</v>
      </c>
      <c r="AM96" s="191">
        <v>0</v>
      </c>
      <c r="AN96" s="191">
        <v>0</v>
      </c>
      <c r="AO96" s="191">
        <v>71.39</v>
      </c>
      <c r="AP96" s="191">
        <v>0</v>
      </c>
      <c r="AQ96" s="191">
        <v>0</v>
      </c>
      <c r="AR96" s="191">
        <v>-19.6</v>
      </c>
      <c r="AS96" s="191">
        <v>-0.8</v>
      </c>
      <c r="AT96" s="191">
        <v>-0.8</v>
      </c>
      <c r="AU96" s="191">
        <v>-0.8</v>
      </c>
      <c r="AV96" s="191">
        <v>-1.9</v>
      </c>
      <c r="AW96" s="191">
        <v>-0.8</v>
      </c>
      <c r="AX96" s="191">
        <v>-2.1</v>
      </c>
      <c r="AY96" s="191">
        <v>-2.6</v>
      </c>
      <c r="AZ96" s="191">
        <v>-5.5</v>
      </c>
      <c r="BA96" s="191">
        <v>-1.1</v>
      </c>
      <c r="BB96" s="191">
        <v>-0.2</v>
      </c>
      <c r="BC96" s="191">
        <v>-0.3</v>
      </c>
      <c r="BD96" s="191">
        <v>-1</v>
      </c>
      <c r="BE96" s="192">
        <v>-0.3</v>
      </c>
      <c r="BF96" s="180"/>
      <c r="BG96" s="191" t="s">
        <v>502</v>
      </c>
      <c r="BH96" s="191">
        <v>11.14</v>
      </c>
      <c r="BI96" s="191">
        <v>-410.09</v>
      </c>
      <c r="BJ96" s="191">
        <v>0</v>
      </c>
      <c r="BK96" s="191">
        <v>0</v>
      </c>
      <c r="BL96" s="191">
        <v>0</v>
      </c>
      <c r="BM96" s="191">
        <v>0</v>
      </c>
      <c r="BN96" s="191">
        <v>0</v>
      </c>
      <c r="BO96" s="191">
        <v>0</v>
      </c>
      <c r="BP96" s="191">
        <v>0</v>
      </c>
      <c r="BQ96" s="191">
        <v>0</v>
      </c>
      <c r="BR96" s="191">
        <v>0</v>
      </c>
      <c r="BS96" s="191">
        <v>0</v>
      </c>
      <c r="BT96" s="191">
        <v>0</v>
      </c>
      <c r="BU96" s="191">
        <v>0</v>
      </c>
      <c r="BV96" s="191">
        <v>0</v>
      </c>
      <c r="BW96" s="191">
        <v>0</v>
      </c>
      <c r="BX96" s="191">
        <v>2.6</v>
      </c>
      <c r="BY96" s="191">
        <v>-0.92</v>
      </c>
      <c r="BZ96" s="191">
        <v>-5.64</v>
      </c>
      <c r="CA96" s="191">
        <v>-5.43</v>
      </c>
      <c r="CB96" s="191">
        <v>-3.08</v>
      </c>
      <c r="CC96" s="191">
        <v>0</v>
      </c>
      <c r="CD96" s="191">
        <v>0</v>
      </c>
      <c r="CE96" s="191">
        <v>0</v>
      </c>
      <c r="CF96" s="191">
        <v>0</v>
      </c>
      <c r="CG96" s="191">
        <v>0</v>
      </c>
      <c r="CH96" s="191">
        <v>0</v>
      </c>
      <c r="CI96" s="191">
        <v>0</v>
      </c>
      <c r="CJ96" s="191">
        <v>3.25</v>
      </c>
      <c r="CK96" s="191">
        <v>0</v>
      </c>
      <c r="CL96" s="191">
        <v>0</v>
      </c>
      <c r="CM96" s="191">
        <v>0</v>
      </c>
      <c r="CN96" s="191">
        <v>0</v>
      </c>
      <c r="CO96" s="191">
        <v>0</v>
      </c>
      <c r="CP96" s="191">
        <v>0</v>
      </c>
      <c r="CQ96" s="191">
        <v>69.63</v>
      </c>
      <c r="CR96" s="191">
        <v>0</v>
      </c>
      <c r="CS96" s="191">
        <v>0</v>
      </c>
      <c r="CT96" s="191">
        <v>-20.09</v>
      </c>
      <c r="CU96" s="191">
        <v>-0.82</v>
      </c>
      <c r="CV96" s="191">
        <v>-0.82</v>
      </c>
      <c r="CW96" s="191">
        <v>-0.82</v>
      </c>
      <c r="CX96" s="191">
        <v>-1.95</v>
      </c>
      <c r="CY96" s="191">
        <v>-0.82</v>
      </c>
      <c r="CZ96" s="191">
        <v>-2.15</v>
      </c>
      <c r="DA96" s="191">
        <v>-2.67</v>
      </c>
      <c r="DB96" s="191">
        <v>-5.64</v>
      </c>
      <c r="DC96" s="191">
        <v>-1.13</v>
      </c>
      <c r="DD96" s="191">
        <v>-0.21</v>
      </c>
      <c r="DE96" s="191">
        <v>-0.31</v>
      </c>
      <c r="DF96" s="191">
        <v>-1.03</v>
      </c>
      <c r="DG96" s="192">
        <v>-0.31</v>
      </c>
      <c r="DH96" s="180"/>
      <c r="DI96" s="191" t="s">
        <v>502</v>
      </c>
      <c r="DJ96" s="191">
        <v>0</v>
      </c>
      <c r="DK96" s="191">
        <v>0</v>
      </c>
      <c r="DL96" s="191">
        <v>0</v>
      </c>
      <c r="DM96" s="191">
        <v>0</v>
      </c>
      <c r="DN96" s="191">
        <v>0</v>
      </c>
      <c r="DO96" s="191">
        <v>0</v>
      </c>
      <c r="DP96" s="191">
        <v>0</v>
      </c>
      <c r="DQ96" s="191">
        <v>0</v>
      </c>
      <c r="DR96" s="191">
        <v>0</v>
      </c>
      <c r="DS96" s="191">
        <v>2.53</v>
      </c>
      <c r="DT96" s="191">
        <v>0</v>
      </c>
      <c r="DU96" s="191">
        <v>0</v>
      </c>
      <c r="DV96" s="191">
        <v>0</v>
      </c>
      <c r="DW96" s="191">
        <v>0</v>
      </c>
      <c r="DX96" s="191">
        <v>0</v>
      </c>
      <c r="DY96" s="192">
        <v>0</v>
      </c>
    </row>
    <row r="97" s="180" customFormat="1" spans="1:129">
      <c r="A97" s="190" t="s">
        <v>503</v>
      </c>
      <c r="B97" s="191">
        <v>-451.7</v>
      </c>
      <c r="C97" s="192">
        <v>88.81</v>
      </c>
      <c r="E97" s="191" t="s">
        <v>503</v>
      </c>
      <c r="F97" s="191">
        <v>11.42</v>
      </c>
      <c r="G97" s="191">
        <v>-400</v>
      </c>
      <c r="H97" s="191">
        <v>0</v>
      </c>
      <c r="I97" s="191">
        <v>0</v>
      </c>
      <c r="J97" s="191">
        <v>0</v>
      </c>
      <c r="K97" s="191">
        <v>0</v>
      </c>
      <c r="L97" s="191">
        <v>0</v>
      </c>
      <c r="M97" s="191">
        <v>0</v>
      </c>
      <c r="N97" s="191">
        <v>0</v>
      </c>
      <c r="O97" s="191">
        <v>0</v>
      </c>
      <c r="P97" s="191">
        <v>0</v>
      </c>
      <c r="Q97" s="191">
        <v>0</v>
      </c>
      <c r="R97" s="191">
        <v>0</v>
      </c>
      <c r="S97" s="191">
        <v>0</v>
      </c>
      <c r="T97" s="191">
        <v>0</v>
      </c>
      <c r="U97" s="191">
        <v>0</v>
      </c>
      <c r="V97" s="191">
        <v>2.67</v>
      </c>
      <c r="W97" s="191">
        <v>-0.9</v>
      </c>
      <c r="X97" s="191">
        <v>-5.5</v>
      </c>
      <c r="Y97" s="191">
        <v>-5.3</v>
      </c>
      <c r="Z97" s="191">
        <v>-3</v>
      </c>
      <c r="AA97" s="191">
        <v>0</v>
      </c>
      <c r="AB97" s="191">
        <v>0</v>
      </c>
      <c r="AC97" s="191">
        <v>0</v>
      </c>
      <c r="AD97" s="191">
        <v>0</v>
      </c>
      <c r="AE97" s="191">
        <v>0</v>
      </c>
      <c r="AF97" s="191">
        <v>0</v>
      </c>
      <c r="AG97" s="191">
        <v>0</v>
      </c>
      <c r="AH97" s="191">
        <v>3.33</v>
      </c>
      <c r="AI97" s="191">
        <v>0</v>
      </c>
      <c r="AJ97" s="191">
        <v>0</v>
      </c>
      <c r="AK97" s="191">
        <v>0</v>
      </c>
      <c r="AL97" s="191">
        <v>0</v>
      </c>
      <c r="AM97" s="191">
        <v>0</v>
      </c>
      <c r="AN97" s="191">
        <v>0</v>
      </c>
      <c r="AO97" s="191">
        <v>71.39</v>
      </c>
      <c r="AP97" s="191">
        <v>0</v>
      </c>
      <c r="AQ97" s="191">
        <v>0</v>
      </c>
      <c r="AR97" s="191">
        <v>-19.2</v>
      </c>
      <c r="AS97" s="191">
        <v>-0.7</v>
      </c>
      <c r="AT97" s="191">
        <v>-0.7</v>
      </c>
      <c r="AU97" s="191">
        <v>-0.7</v>
      </c>
      <c r="AV97" s="191">
        <v>-1.9</v>
      </c>
      <c r="AW97" s="191">
        <v>-0.7</v>
      </c>
      <c r="AX97" s="191">
        <v>-2</v>
      </c>
      <c r="AY97" s="191">
        <v>-2.5</v>
      </c>
      <c r="AZ97" s="191">
        <v>-5.8</v>
      </c>
      <c r="BA97" s="191">
        <v>-1.1</v>
      </c>
      <c r="BB97" s="191">
        <v>-0.2</v>
      </c>
      <c r="BC97" s="191">
        <v>-0.3</v>
      </c>
      <c r="BD97" s="191">
        <v>-0.9</v>
      </c>
      <c r="BE97" s="192">
        <v>-0.3</v>
      </c>
      <c r="BF97" s="180"/>
      <c r="BG97" s="191" t="s">
        <v>503</v>
      </c>
      <c r="BH97" s="191">
        <v>11.14</v>
      </c>
      <c r="BI97" s="191">
        <v>-410.09</v>
      </c>
      <c r="BJ97" s="191">
        <v>0</v>
      </c>
      <c r="BK97" s="191">
        <v>0</v>
      </c>
      <c r="BL97" s="191">
        <v>0</v>
      </c>
      <c r="BM97" s="191">
        <v>0</v>
      </c>
      <c r="BN97" s="191">
        <v>0</v>
      </c>
      <c r="BO97" s="191">
        <v>0</v>
      </c>
      <c r="BP97" s="191">
        <v>0</v>
      </c>
      <c r="BQ97" s="191">
        <v>0</v>
      </c>
      <c r="BR97" s="191">
        <v>0</v>
      </c>
      <c r="BS97" s="191">
        <v>0</v>
      </c>
      <c r="BT97" s="191">
        <v>0</v>
      </c>
      <c r="BU97" s="191">
        <v>0</v>
      </c>
      <c r="BV97" s="191">
        <v>0</v>
      </c>
      <c r="BW97" s="191">
        <v>0</v>
      </c>
      <c r="BX97" s="191">
        <v>2.6</v>
      </c>
      <c r="BY97" s="191">
        <v>-0.92</v>
      </c>
      <c r="BZ97" s="191">
        <v>-5.64</v>
      </c>
      <c r="CA97" s="191">
        <v>-5.43</v>
      </c>
      <c r="CB97" s="191">
        <v>-3.08</v>
      </c>
      <c r="CC97" s="191">
        <v>0</v>
      </c>
      <c r="CD97" s="191">
        <v>0</v>
      </c>
      <c r="CE97" s="191">
        <v>0</v>
      </c>
      <c r="CF97" s="191">
        <v>0</v>
      </c>
      <c r="CG97" s="191">
        <v>0</v>
      </c>
      <c r="CH97" s="191">
        <v>0</v>
      </c>
      <c r="CI97" s="191">
        <v>0</v>
      </c>
      <c r="CJ97" s="191">
        <v>3.25</v>
      </c>
      <c r="CK97" s="191">
        <v>0</v>
      </c>
      <c r="CL97" s="191">
        <v>0</v>
      </c>
      <c r="CM97" s="191">
        <v>0</v>
      </c>
      <c r="CN97" s="191">
        <v>0</v>
      </c>
      <c r="CO97" s="191">
        <v>0</v>
      </c>
      <c r="CP97" s="191">
        <v>0</v>
      </c>
      <c r="CQ97" s="191">
        <v>69.63</v>
      </c>
      <c r="CR97" s="191">
        <v>0</v>
      </c>
      <c r="CS97" s="191">
        <v>0</v>
      </c>
      <c r="CT97" s="191">
        <v>-19.68</v>
      </c>
      <c r="CU97" s="191">
        <v>-0.72</v>
      </c>
      <c r="CV97" s="191">
        <v>-0.72</v>
      </c>
      <c r="CW97" s="191">
        <v>-0.72</v>
      </c>
      <c r="CX97" s="191">
        <v>-1.95</v>
      </c>
      <c r="CY97" s="191">
        <v>-0.72</v>
      </c>
      <c r="CZ97" s="191">
        <v>-2.05</v>
      </c>
      <c r="DA97" s="191">
        <v>-2.56</v>
      </c>
      <c r="DB97" s="191">
        <v>-5.95</v>
      </c>
      <c r="DC97" s="191">
        <v>-1.13</v>
      </c>
      <c r="DD97" s="191">
        <v>-0.21</v>
      </c>
      <c r="DE97" s="191">
        <v>-0.31</v>
      </c>
      <c r="DF97" s="191">
        <v>-0.92</v>
      </c>
      <c r="DG97" s="192">
        <v>-0.31</v>
      </c>
      <c r="DH97" s="180"/>
      <c r="DI97" s="191" t="s">
        <v>503</v>
      </c>
      <c r="DJ97" s="191">
        <v>0</v>
      </c>
      <c r="DK97" s="191">
        <v>0</v>
      </c>
      <c r="DL97" s="191">
        <v>0</v>
      </c>
      <c r="DM97" s="191">
        <v>0</v>
      </c>
      <c r="DN97" s="191">
        <v>0</v>
      </c>
      <c r="DO97" s="191">
        <v>0</v>
      </c>
      <c r="DP97" s="191">
        <v>0</v>
      </c>
      <c r="DQ97" s="191">
        <v>0</v>
      </c>
      <c r="DR97" s="191">
        <v>0</v>
      </c>
      <c r="DS97" s="191">
        <v>2.53</v>
      </c>
      <c r="DT97" s="191">
        <v>0</v>
      </c>
      <c r="DU97" s="191">
        <v>0</v>
      </c>
      <c r="DV97" s="191">
        <v>0</v>
      </c>
      <c r="DW97" s="191">
        <v>0</v>
      </c>
      <c r="DX97" s="191">
        <v>0</v>
      </c>
      <c r="DY97" s="192">
        <v>0</v>
      </c>
    </row>
    <row r="98" s="180" customFormat="1" spans="1:129">
      <c r="A98" s="190" t="s">
        <v>504</v>
      </c>
      <c r="B98" s="191">
        <v>-325</v>
      </c>
      <c r="C98" s="192">
        <v>102.61</v>
      </c>
      <c r="E98" s="191" t="s">
        <v>504</v>
      </c>
      <c r="F98" s="191">
        <v>11.42</v>
      </c>
      <c r="G98" s="191">
        <v>-273.7</v>
      </c>
      <c r="H98" s="191">
        <v>0</v>
      </c>
      <c r="I98" s="191">
        <v>0</v>
      </c>
      <c r="J98" s="191">
        <v>0</v>
      </c>
      <c r="K98" s="191">
        <v>0</v>
      </c>
      <c r="L98" s="191">
        <v>0</v>
      </c>
      <c r="M98" s="191">
        <v>0</v>
      </c>
      <c r="N98" s="191">
        <v>0</v>
      </c>
      <c r="O98" s="191">
        <v>0</v>
      </c>
      <c r="P98" s="191">
        <v>0</v>
      </c>
      <c r="Q98" s="191">
        <v>0</v>
      </c>
      <c r="R98" s="191">
        <v>5.71</v>
      </c>
      <c r="S98" s="191">
        <v>0</v>
      </c>
      <c r="T98" s="191">
        <v>0</v>
      </c>
      <c r="U98" s="191">
        <v>0</v>
      </c>
      <c r="V98" s="191">
        <v>2.67</v>
      </c>
      <c r="W98" s="191">
        <v>-0.9</v>
      </c>
      <c r="X98" s="191">
        <v>-5.5</v>
      </c>
      <c r="Y98" s="191">
        <v>-5.3</v>
      </c>
      <c r="Z98" s="191">
        <v>-3</v>
      </c>
      <c r="AA98" s="191">
        <v>0</v>
      </c>
      <c r="AB98" s="191">
        <v>0</v>
      </c>
      <c r="AC98" s="191">
        <v>0</v>
      </c>
      <c r="AD98" s="191">
        <v>0</v>
      </c>
      <c r="AE98" s="191">
        <v>0</v>
      </c>
      <c r="AF98" s="191">
        <v>0</v>
      </c>
      <c r="AG98" s="191">
        <v>0</v>
      </c>
      <c r="AH98" s="191">
        <v>3.33</v>
      </c>
      <c r="AI98" s="191">
        <v>0</v>
      </c>
      <c r="AJ98" s="191">
        <v>7.14</v>
      </c>
      <c r="AK98" s="191">
        <v>0.95</v>
      </c>
      <c r="AL98" s="191">
        <v>0</v>
      </c>
      <c r="AM98" s="191">
        <v>0</v>
      </c>
      <c r="AN98" s="191">
        <v>0</v>
      </c>
      <c r="AO98" s="191">
        <v>71.39</v>
      </c>
      <c r="AP98" s="191">
        <v>0</v>
      </c>
      <c r="AQ98" s="191">
        <v>0</v>
      </c>
      <c r="AR98" s="191">
        <v>-18.9</v>
      </c>
      <c r="AS98" s="191">
        <v>-0.7</v>
      </c>
      <c r="AT98" s="191">
        <v>-0.7</v>
      </c>
      <c r="AU98" s="191">
        <v>-0.7</v>
      </c>
      <c r="AV98" s="191">
        <v>-1.8</v>
      </c>
      <c r="AW98" s="191">
        <v>-0.7</v>
      </c>
      <c r="AX98" s="191">
        <v>-2</v>
      </c>
      <c r="AY98" s="191">
        <v>-2.5</v>
      </c>
      <c r="AZ98" s="191">
        <v>-5.8</v>
      </c>
      <c r="BA98" s="191">
        <v>-1.1</v>
      </c>
      <c r="BB98" s="191">
        <v>-0.2</v>
      </c>
      <c r="BC98" s="191">
        <v>-0.3</v>
      </c>
      <c r="BD98" s="191">
        <v>-0.9</v>
      </c>
      <c r="BE98" s="192">
        <v>-0.3</v>
      </c>
      <c r="BF98" s="180"/>
      <c r="BG98" s="191" t="s">
        <v>504</v>
      </c>
      <c r="BH98" s="191">
        <v>11.14</v>
      </c>
      <c r="BI98" s="191">
        <v>-280.6</v>
      </c>
      <c r="BJ98" s="191">
        <v>0</v>
      </c>
      <c r="BK98" s="191">
        <v>0</v>
      </c>
      <c r="BL98" s="191">
        <v>0</v>
      </c>
      <c r="BM98" s="191">
        <v>0</v>
      </c>
      <c r="BN98" s="191">
        <v>0</v>
      </c>
      <c r="BO98" s="191">
        <v>0</v>
      </c>
      <c r="BP98" s="191">
        <v>0</v>
      </c>
      <c r="BQ98" s="191">
        <v>0</v>
      </c>
      <c r="BR98" s="191">
        <v>0</v>
      </c>
      <c r="BS98" s="191">
        <v>0</v>
      </c>
      <c r="BT98" s="191">
        <v>5.57</v>
      </c>
      <c r="BU98" s="191">
        <v>0</v>
      </c>
      <c r="BV98" s="191">
        <v>0</v>
      </c>
      <c r="BW98" s="191">
        <v>0</v>
      </c>
      <c r="BX98" s="191">
        <v>2.6</v>
      </c>
      <c r="BY98" s="191">
        <v>-0.92</v>
      </c>
      <c r="BZ98" s="191">
        <v>-5.64</v>
      </c>
      <c r="CA98" s="191">
        <v>-5.43</v>
      </c>
      <c r="CB98" s="191">
        <v>-3.08</v>
      </c>
      <c r="CC98" s="191">
        <v>0</v>
      </c>
      <c r="CD98" s="191">
        <v>0</v>
      </c>
      <c r="CE98" s="191">
        <v>0</v>
      </c>
      <c r="CF98" s="191">
        <v>0</v>
      </c>
      <c r="CG98" s="191">
        <v>0</v>
      </c>
      <c r="CH98" s="191">
        <v>0</v>
      </c>
      <c r="CI98" s="191">
        <v>0</v>
      </c>
      <c r="CJ98" s="191">
        <v>3.25</v>
      </c>
      <c r="CK98" s="191">
        <v>0</v>
      </c>
      <c r="CL98" s="191">
        <v>6.96</v>
      </c>
      <c r="CM98" s="191">
        <v>0.93</v>
      </c>
      <c r="CN98" s="191">
        <v>0</v>
      </c>
      <c r="CO98" s="191">
        <v>0</v>
      </c>
      <c r="CP98" s="191">
        <v>0</v>
      </c>
      <c r="CQ98" s="191">
        <v>69.63</v>
      </c>
      <c r="CR98" s="191">
        <v>0</v>
      </c>
      <c r="CS98" s="191">
        <v>0</v>
      </c>
      <c r="CT98" s="191">
        <v>-19.38</v>
      </c>
      <c r="CU98" s="191">
        <v>-0.72</v>
      </c>
      <c r="CV98" s="191">
        <v>-0.72</v>
      </c>
      <c r="CW98" s="191">
        <v>-0.72</v>
      </c>
      <c r="CX98" s="191">
        <v>-1.85</v>
      </c>
      <c r="CY98" s="191">
        <v>-0.72</v>
      </c>
      <c r="CZ98" s="191">
        <v>-2.05</v>
      </c>
      <c r="DA98" s="191">
        <v>-2.56</v>
      </c>
      <c r="DB98" s="191">
        <v>-5.95</v>
      </c>
      <c r="DC98" s="191">
        <v>-1.13</v>
      </c>
      <c r="DD98" s="191">
        <v>-0.21</v>
      </c>
      <c r="DE98" s="191">
        <v>-0.31</v>
      </c>
      <c r="DF98" s="191">
        <v>-0.92</v>
      </c>
      <c r="DG98" s="192">
        <v>-0.31</v>
      </c>
      <c r="DH98" s="180"/>
      <c r="DI98" s="191" t="s">
        <v>504</v>
      </c>
      <c r="DJ98" s="191">
        <v>0</v>
      </c>
      <c r="DK98" s="191">
        <v>0</v>
      </c>
      <c r="DL98" s="191">
        <v>0</v>
      </c>
      <c r="DM98" s="191">
        <v>0</v>
      </c>
      <c r="DN98" s="191">
        <v>0</v>
      </c>
      <c r="DO98" s="191">
        <v>0</v>
      </c>
      <c r="DP98" s="191">
        <v>5.42</v>
      </c>
      <c r="DQ98" s="191">
        <v>0</v>
      </c>
      <c r="DR98" s="191">
        <v>0</v>
      </c>
      <c r="DS98" s="191">
        <v>2.53</v>
      </c>
      <c r="DT98" s="191">
        <v>0</v>
      </c>
      <c r="DU98" s="191">
        <v>0</v>
      </c>
      <c r="DV98" s="191">
        <v>0</v>
      </c>
      <c r="DW98" s="191">
        <v>0</v>
      </c>
      <c r="DX98" s="191">
        <v>0</v>
      </c>
      <c r="DY98" s="192">
        <v>0</v>
      </c>
    </row>
    <row r="99" s="180" customFormat="1" spans="1:129">
      <c r="A99" s="190" t="s">
        <v>505</v>
      </c>
      <c r="B99" s="191">
        <v>-46.6</v>
      </c>
      <c r="C99" s="192">
        <v>77.96</v>
      </c>
      <c r="E99" s="191" t="s">
        <v>505</v>
      </c>
      <c r="F99" s="191">
        <v>0</v>
      </c>
      <c r="G99" s="191">
        <v>0</v>
      </c>
      <c r="H99" s="191">
        <v>0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>
        <v>0</v>
      </c>
      <c r="O99" s="191">
        <v>0</v>
      </c>
      <c r="P99" s="191">
        <v>0</v>
      </c>
      <c r="Q99" s="191">
        <v>0</v>
      </c>
      <c r="R99" s="191">
        <v>0</v>
      </c>
      <c r="S99" s="191">
        <v>0</v>
      </c>
      <c r="T99" s="191">
        <v>0</v>
      </c>
      <c r="U99" s="191">
        <v>0</v>
      </c>
      <c r="V99" s="191">
        <v>2.67</v>
      </c>
      <c r="W99" s="191">
        <v>-0.9</v>
      </c>
      <c r="X99" s="191">
        <v>-5.5</v>
      </c>
      <c r="Y99" s="191">
        <v>-2.4</v>
      </c>
      <c r="Z99" s="191">
        <v>-3</v>
      </c>
      <c r="AA99" s="191">
        <v>0</v>
      </c>
      <c r="AB99" s="191">
        <v>0</v>
      </c>
      <c r="AC99" s="191">
        <v>0</v>
      </c>
      <c r="AD99" s="191">
        <v>0</v>
      </c>
      <c r="AE99" s="191">
        <v>0</v>
      </c>
      <c r="AF99" s="191">
        <v>0</v>
      </c>
      <c r="AG99" s="191">
        <v>0</v>
      </c>
      <c r="AH99" s="191">
        <v>3.33</v>
      </c>
      <c r="AI99" s="191">
        <v>0</v>
      </c>
      <c r="AJ99" s="191">
        <v>0</v>
      </c>
      <c r="AK99" s="191">
        <v>0</v>
      </c>
      <c r="AL99" s="191">
        <v>0.57</v>
      </c>
      <c r="AM99" s="191">
        <v>0</v>
      </c>
      <c r="AN99" s="191">
        <v>0</v>
      </c>
      <c r="AO99" s="191">
        <v>71.39</v>
      </c>
      <c r="AP99" s="191">
        <v>0</v>
      </c>
      <c r="AQ99" s="191">
        <v>0</v>
      </c>
      <c r="AR99" s="191">
        <v>-18.1</v>
      </c>
      <c r="AS99" s="191">
        <v>-0.7</v>
      </c>
      <c r="AT99" s="191">
        <v>-0.7</v>
      </c>
      <c r="AU99" s="191">
        <v>-0.7</v>
      </c>
      <c r="AV99" s="191">
        <v>-1.6</v>
      </c>
      <c r="AW99" s="191">
        <v>-0.7</v>
      </c>
      <c r="AX99" s="191">
        <v>-1.9</v>
      </c>
      <c r="AY99" s="191">
        <v>-2.4</v>
      </c>
      <c r="AZ99" s="191">
        <v>-5.6</v>
      </c>
      <c r="BA99" s="191">
        <v>-1</v>
      </c>
      <c r="BB99" s="191">
        <v>-0.2</v>
      </c>
      <c r="BC99" s="191">
        <v>-0.2</v>
      </c>
      <c r="BD99" s="191">
        <v>-0.8</v>
      </c>
      <c r="BE99" s="192">
        <v>-0.2</v>
      </c>
      <c r="BF99" s="180"/>
      <c r="BG99" s="191" t="s">
        <v>505</v>
      </c>
      <c r="BH99" s="191">
        <v>0</v>
      </c>
      <c r="BI99" s="191">
        <v>0</v>
      </c>
      <c r="BJ99" s="191">
        <v>0</v>
      </c>
      <c r="BK99" s="191">
        <v>0</v>
      </c>
      <c r="BL99" s="191">
        <v>0</v>
      </c>
      <c r="BM99" s="191">
        <v>0</v>
      </c>
      <c r="BN99" s="191">
        <v>0</v>
      </c>
      <c r="BO99" s="191">
        <v>0</v>
      </c>
      <c r="BP99" s="191">
        <v>0</v>
      </c>
      <c r="BQ99" s="191">
        <v>0</v>
      </c>
      <c r="BR99" s="191">
        <v>0</v>
      </c>
      <c r="BS99" s="191">
        <v>0</v>
      </c>
      <c r="BT99" s="191">
        <v>0</v>
      </c>
      <c r="BU99" s="191">
        <v>0</v>
      </c>
      <c r="BV99" s="191">
        <v>0</v>
      </c>
      <c r="BW99" s="191">
        <v>0</v>
      </c>
      <c r="BX99" s="191">
        <v>2.6</v>
      </c>
      <c r="BY99" s="191">
        <v>-0.92</v>
      </c>
      <c r="BZ99" s="191">
        <v>-5.64</v>
      </c>
      <c r="CA99" s="191">
        <v>-2.46</v>
      </c>
      <c r="CB99" s="191">
        <v>-3.08</v>
      </c>
      <c r="CC99" s="191">
        <v>0</v>
      </c>
      <c r="CD99" s="191">
        <v>0</v>
      </c>
      <c r="CE99" s="191">
        <v>0</v>
      </c>
      <c r="CF99" s="191">
        <v>0</v>
      </c>
      <c r="CG99" s="191">
        <v>0</v>
      </c>
      <c r="CH99" s="191">
        <v>0</v>
      </c>
      <c r="CI99" s="191">
        <v>0</v>
      </c>
      <c r="CJ99" s="191">
        <v>3.25</v>
      </c>
      <c r="CK99" s="191">
        <v>0</v>
      </c>
      <c r="CL99" s="191">
        <v>0</v>
      </c>
      <c r="CM99" s="191">
        <v>0</v>
      </c>
      <c r="CN99" s="191">
        <v>0.56</v>
      </c>
      <c r="CO99" s="191">
        <v>0</v>
      </c>
      <c r="CP99" s="191">
        <v>0</v>
      </c>
      <c r="CQ99" s="191">
        <v>69.63</v>
      </c>
      <c r="CR99" s="191">
        <v>0</v>
      </c>
      <c r="CS99" s="191">
        <v>0</v>
      </c>
      <c r="CT99" s="191">
        <v>-18.56</v>
      </c>
      <c r="CU99" s="191">
        <v>-0.72</v>
      </c>
      <c r="CV99" s="191">
        <v>-0.72</v>
      </c>
      <c r="CW99" s="191">
        <v>-0.72</v>
      </c>
      <c r="CX99" s="191">
        <v>-1.64</v>
      </c>
      <c r="CY99" s="191">
        <v>-0.72</v>
      </c>
      <c r="CZ99" s="191">
        <v>-1.95</v>
      </c>
      <c r="DA99" s="191">
        <v>-2.46</v>
      </c>
      <c r="DB99" s="191">
        <v>-5.74</v>
      </c>
      <c r="DC99" s="191">
        <v>-1.03</v>
      </c>
      <c r="DD99" s="191">
        <v>-0.21</v>
      </c>
      <c r="DE99" s="191">
        <v>-0.21</v>
      </c>
      <c r="DF99" s="191">
        <v>-0.82</v>
      </c>
      <c r="DG99" s="192">
        <v>-0.21</v>
      </c>
      <c r="DH99" s="180"/>
      <c r="DI99" s="191" t="s">
        <v>505</v>
      </c>
      <c r="DJ99" s="191">
        <v>0</v>
      </c>
      <c r="DK99" s="191">
        <v>0</v>
      </c>
      <c r="DL99" s="191">
        <v>0</v>
      </c>
      <c r="DM99" s="191">
        <v>0</v>
      </c>
      <c r="DN99" s="191">
        <v>0</v>
      </c>
      <c r="DO99" s="191">
        <v>0</v>
      </c>
      <c r="DP99" s="191">
        <v>0</v>
      </c>
      <c r="DQ99" s="191">
        <v>0</v>
      </c>
      <c r="DR99" s="191">
        <v>0</v>
      </c>
      <c r="DS99" s="191">
        <v>2.53</v>
      </c>
      <c r="DT99" s="191">
        <v>0</v>
      </c>
      <c r="DU99" s="191">
        <v>0</v>
      </c>
      <c r="DV99" s="191">
        <v>0.54</v>
      </c>
      <c r="DW99" s="191">
        <v>0</v>
      </c>
      <c r="DX99" s="191">
        <v>0</v>
      </c>
      <c r="DY99" s="192">
        <v>0</v>
      </c>
    </row>
    <row r="100" s="180" customFormat="1" spans="1:129">
      <c r="A100" s="190" t="s">
        <v>506</v>
      </c>
      <c r="B100" s="191">
        <v>-45.2</v>
      </c>
      <c r="C100" s="192">
        <v>77.96</v>
      </c>
      <c r="E100" s="191" t="s">
        <v>506</v>
      </c>
      <c r="F100" s="191">
        <v>0</v>
      </c>
      <c r="G100" s="191">
        <v>0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0</v>
      </c>
      <c r="O100" s="191">
        <v>0</v>
      </c>
      <c r="P100" s="191">
        <v>0</v>
      </c>
      <c r="Q100" s="191">
        <v>0</v>
      </c>
      <c r="R100" s="191">
        <v>0</v>
      </c>
      <c r="S100" s="191">
        <v>0</v>
      </c>
      <c r="T100" s="191">
        <v>0</v>
      </c>
      <c r="U100" s="191">
        <v>0</v>
      </c>
      <c r="V100" s="191">
        <v>2.67</v>
      </c>
      <c r="W100" s="191">
        <v>-0.9</v>
      </c>
      <c r="X100" s="191">
        <v>-5.5</v>
      </c>
      <c r="Y100" s="191">
        <v>-2.4</v>
      </c>
      <c r="Z100" s="191">
        <v>-3</v>
      </c>
      <c r="AA100" s="191">
        <v>0</v>
      </c>
      <c r="AB100" s="191">
        <v>0</v>
      </c>
      <c r="AC100" s="191">
        <v>0</v>
      </c>
      <c r="AD100" s="191">
        <v>0</v>
      </c>
      <c r="AE100" s="191">
        <v>0</v>
      </c>
      <c r="AF100" s="191">
        <v>0</v>
      </c>
      <c r="AG100" s="191">
        <v>0</v>
      </c>
      <c r="AH100" s="191">
        <v>3.33</v>
      </c>
      <c r="AI100" s="191">
        <v>0</v>
      </c>
      <c r="AJ100" s="191">
        <v>0</v>
      </c>
      <c r="AK100" s="191">
        <v>0</v>
      </c>
      <c r="AL100" s="191">
        <v>0.57</v>
      </c>
      <c r="AM100" s="191">
        <v>0</v>
      </c>
      <c r="AN100" s="191">
        <v>0</v>
      </c>
      <c r="AO100" s="191">
        <v>71.39</v>
      </c>
      <c r="AP100" s="191">
        <v>0</v>
      </c>
      <c r="AQ100" s="191">
        <v>0</v>
      </c>
      <c r="AR100" s="191">
        <v>-17</v>
      </c>
      <c r="AS100" s="191">
        <v>-0.8</v>
      </c>
      <c r="AT100" s="191">
        <v>-0.8</v>
      </c>
      <c r="AU100" s="191">
        <v>-0.8</v>
      </c>
      <c r="AV100" s="191">
        <v>-1.6</v>
      </c>
      <c r="AW100" s="191">
        <v>-0.8</v>
      </c>
      <c r="AX100" s="191">
        <v>-1.8</v>
      </c>
      <c r="AY100" s="191">
        <v>-2.3</v>
      </c>
      <c r="AZ100" s="191">
        <v>-5.2</v>
      </c>
      <c r="BA100" s="191">
        <v>-0.9</v>
      </c>
      <c r="BB100" s="191">
        <v>-0.2</v>
      </c>
      <c r="BC100" s="191">
        <v>-0.2</v>
      </c>
      <c r="BD100" s="191">
        <v>-0.8</v>
      </c>
      <c r="BE100" s="192">
        <v>-0.2</v>
      </c>
      <c r="BF100" s="180"/>
      <c r="BG100" s="191" t="s">
        <v>506</v>
      </c>
      <c r="BH100" s="191">
        <v>0</v>
      </c>
      <c r="BI100" s="191">
        <v>0</v>
      </c>
      <c r="BJ100" s="191">
        <v>0</v>
      </c>
      <c r="BK100" s="191">
        <v>0</v>
      </c>
      <c r="BL100" s="191">
        <v>0</v>
      </c>
      <c r="BM100" s="191">
        <v>0</v>
      </c>
      <c r="BN100" s="191">
        <v>0</v>
      </c>
      <c r="BO100" s="191">
        <v>0</v>
      </c>
      <c r="BP100" s="191">
        <v>0</v>
      </c>
      <c r="BQ100" s="191">
        <v>0</v>
      </c>
      <c r="BR100" s="191">
        <v>0</v>
      </c>
      <c r="BS100" s="191">
        <v>0</v>
      </c>
      <c r="BT100" s="191">
        <v>0</v>
      </c>
      <c r="BU100" s="191">
        <v>0</v>
      </c>
      <c r="BV100" s="191">
        <v>0</v>
      </c>
      <c r="BW100" s="191">
        <v>0</v>
      </c>
      <c r="BX100" s="191">
        <v>2.6</v>
      </c>
      <c r="BY100" s="191">
        <v>-0.92</v>
      </c>
      <c r="BZ100" s="191">
        <v>-5.64</v>
      </c>
      <c r="CA100" s="191">
        <v>-2.46</v>
      </c>
      <c r="CB100" s="191">
        <v>-3.08</v>
      </c>
      <c r="CC100" s="191">
        <v>0</v>
      </c>
      <c r="CD100" s="191">
        <v>0</v>
      </c>
      <c r="CE100" s="191">
        <v>0</v>
      </c>
      <c r="CF100" s="191">
        <v>0</v>
      </c>
      <c r="CG100" s="191">
        <v>0</v>
      </c>
      <c r="CH100" s="191">
        <v>0</v>
      </c>
      <c r="CI100" s="191">
        <v>0</v>
      </c>
      <c r="CJ100" s="191">
        <v>3.25</v>
      </c>
      <c r="CK100" s="191">
        <v>0</v>
      </c>
      <c r="CL100" s="191">
        <v>0</v>
      </c>
      <c r="CM100" s="191">
        <v>0</v>
      </c>
      <c r="CN100" s="191">
        <v>0.56</v>
      </c>
      <c r="CO100" s="191">
        <v>0</v>
      </c>
      <c r="CP100" s="191">
        <v>0</v>
      </c>
      <c r="CQ100" s="191">
        <v>69.63</v>
      </c>
      <c r="CR100" s="191">
        <v>0</v>
      </c>
      <c r="CS100" s="191">
        <v>0</v>
      </c>
      <c r="CT100" s="191">
        <v>-17.43</v>
      </c>
      <c r="CU100" s="191">
        <v>-0.82</v>
      </c>
      <c r="CV100" s="191">
        <v>-0.82</v>
      </c>
      <c r="CW100" s="191">
        <v>-0.82</v>
      </c>
      <c r="CX100" s="191">
        <v>-1.64</v>
      </c>
      <c r="CY100" s="191">
        <v>-0.82</v>
      </c>
      <c r="CZ100" s="191">
        <v>-1.85</v>
      </c>
      <c r="DA100" s="191">
        <v>-2.36</v>
      </c>
      <c r="DB100" s="191">
        <v>-5.33</v>
      </c>
      <c r="DC100" s="191">
        <v>-0.92</v>
      </c>
      <c r="DD100" s="191">
        <v>-0.21</v>
      </c>
      <c r="DE100" s="191">
        <v>-0.21</v>
      </c>
      <c r="DF100" s="191">
        <v>-0.82</v>
      </c>
      <c r="DG100" s="192">
        <v>-0.21</v>
      </c>
      <c r="DH100" s="180"/>
      <c r="DI100" s="191" t="s">
        <v>506</v>
      </c>
      <c r="DJ100" s="191">
        <v>0</v>
      </c>
      <c r="DK100" s="191">
        <v>0</v>
      </c>
      <c r="DL100" s="191">
        <v>0</v>
      </c>
      <c r="DM100" s="191">
        <v>0</v>
      </c>
      <c r="DN100" s="191">
        <v>0</v>
      </c>
      <c r="DO100" s="191">
        <v>0</v>
      </c>
      <c r="DP100" s="191">
        <v>0</v>
      </c>
      <c r="DQ100" s="191">
        <v>0</v>
      </c>
      <c r="DR100" s="191">
        <v>0</v>
      </c>
      <c r="DS100" s="191">
        <v>2.53</v>
      </c>
      <c r="DT100" s="191">
        <v>0</v>
      </c>
      <c r="DU100" s="191">
        <v>0</v>
      </c>
      <c r="DV100" s="191">
        <v>0.54</v>
      </c>
      <c r="DW100" s="191">
        <v>0</v>
      </c>
      <c r="DX100" s="191">
        <v>0</v>
      </c>
      <c r="DY100" s="192">
        <v>0</v>
      </c>
    </row>
    <row r="101" s="180" customFormat="1" spans="1:129">
      <c r="A101" s="190" t="s">
        <v>507</v>
      </c>
      <c r="B101" s="191">
        <v>-42.2</v>
      </c>
      <c r="C101" s="192">
        <v>77.96</v>
      </c>
      <c r="E101" s="191" t="s">
        <v>507</v>
      </c>
      <c r="F101" s="191">
        <v>0</v>
      </c>
      <c r="G101" s="191">
        <v>0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0</v>
      </c>
      <c r="O101" s="191">
        <v>0</v>
      </c>
      <c r="P101" s="191">
        <v>0</v>
      </c>
      <c r="Q101" s="191">
        <v>0</v>
      </c>
      <c r="R101" s="191">
        <v>0</v>
      </c>
      <c r="S101" s="191">
        <v>0</v>
      </c>
      <c r="T101" s="191">
        <v>0</v>
      </c>
      <c r="U101" s="191">
        <v>0</v>
      </c>
      <c r="V101" s="191">
        <v>2.67</v>
      </c>
      <c r="W101" s="191">
        <v>-0.9</v>
      </c>
      <c r="X101" s="191">
        <v>-5.5</v>
      </c>
      <c r="Y101" s="191">
        <v>-2.4</v>
      </c>
      <c r="Z101" s="191">
        <v>-3</v>
      </c>
      <c r="AA101" s="191">
        <v>0</v>
      </c>
      <c r="AB101" s="191">
        <v>0</v>
      </c>
      <c r="AC101" s="191">
        <v>0</v>
      </c>
      <c r="AD101" s="191">
        <v>0</v>
      </c>
      <c r="AE101" s="191">
        <v>0</v>
      </c>
      <c r="AF101" s="191">
        <v>0</v>
      </c>
      <c r="AG101" s="191">
        <v>0</v>
      </c>
      <c r="AH101" s="191">
        <v>3.33</v>
      </c>
      <c r="AI101" s="191">
        <v>0</v>
      </c>
      <c r="AJ101" s="191">
        <v>0</v>
      </c>
      <c r="AK101" s="191">
        <v>0</v>
      </c>
      <c r="AL101" s="191">
        <v>0.57</v>
      </c>
      <c r="AM101" s="191">
        <v>0</v>
      </c>
      <c r="AN101" s="191">
        <v>0</v>
      </c>
      <c r="AO101" s="191">
        <v>71.39</v>
      </c>
      <c r="AP101" s="191">
        <v>0</v>
      </c>
      <c r="AQ101" s="191">
        <v>0</v>
      </c>
      <c r="AR101" s="191">
        <v>-14.8</v>
      </c>
      <c r="AS101" s="191">
        <v>-0.8</v>
      </c>
      <c r="AT101" s="191">
        <v>-0.8</v>
      </c>
      <c r="AU101" s="191">
        <v>-0.8</v>
      </c>
      <c r="AV101" s="191">
        <v>-1.5</v>
      </c>
      <c r="AW101" s="191">
        <v>-0.8</v>
      </c>
      <c r="AX101" s="191">
        <v>-1.8</v>
      </c>
      <c r="AY101" s="191">
        <v>-2.1</v>
      </c>
      <c r="AZ101" s="191">
        <v>-4.7</v>
      </c>
      <c r="BA101" s="191">
        <v>-0.9</v>
      </c>
      <c r="BB101" s="191">
        <v>-0.2</v>
      </c>
      <c r="BC101" s="191">
        <v>-0.2</v>
      </c>
      <c r="BD101" s="191">
        <v>-0.8</v>
      </c>
      <c r="BE101" s="192">
        <v>-0.2</v>
      </c>
      <c r="BF101" s="180"/>
      <c r="BG101" s="191" t="s">
        <v>507</v>
      </c>
      <c r="BH101" s="191">
        <v>0</v>
      </c>
      <c r="BI101" s="191">
        <v>0</v>
      </c>
      <c r="BJ101" s="191">
        <v>0</v>
      </c>
      <c r="BK101" s="191">
        <v>0</v>
      </c>
      <c r="BL101" s="191">
        <v>0</v>
      </c>
      <c r="BM101" s="191">
        <v>0</v>
      </c>
      <c r="BN101" s="191">
        <v>0</v>
      </c>
      <c r="BO101" s="191">
        <v>0</v>
      </c>
      <c r="BP101" s="191">
        <v>0</v>
      </c>
      <c r="BQ101" s="191">
        <v>0</v>
      </c>
      <c r="BR101" s="191">
        <v>0</v>
      </c>
      <c r="BS101" s="191">
        <v>0</v>
      </c>
      <c r="BT101" s="191">
        <v>0</v>
      </c>
      <c r="BU101" s="191">
        <v>0</v>
      </c>
      <c r="BV101" s="191">
        <v>0</v>
      </c>
      <c r="BW101" s="191">
        <v>0</v>
      </c>
      <c r="BX101" s="191">
        <v>2.6</v>
      </c>
      <c r="BY101" s="191">
        <v>-0.92</v>
      </c>
      <c r="BZ101" s="191">
        <v>-5.64</v>
      </c>
      <c r="CA101" s="191">
        <v>-2.46</v>
      </c>
      <c r="CB101" s="191">
        <v>-3.08</v>
      </c>
      <c r="CC101" s="191">
        <v>0</v>
      </c>
      <c r="CD101" s="191">
        <v>0</v>
      </c>
      <c r="CE101" s="191">
        <v>0</v>
      </c>
      <c r="CF101" s="191">
        <v>0</v>
      </c>
      <c r="CG101" s="191">
        <v>0</v>
      </c>
      <c r="CH101" s="191">
        <v>0</v>
      </c>
      <c r="CI101" s="191">
        <v>0</v>
      </c>
      <c r="CJ101" s="191">
        <v>3.25</v>
      </c>
      <c r="CK101" s="191">
        <v>0</v>
      </c>
      <c r="CL101" s="191">
        <v>0</v>
      </c>
      <c r="CM101" s="191">
        <v>0</v>
      </c>
      <c r="CN101" s="191">
        <v>0.56</v>
      </c>
      <c r="CO101" s="191">
        <v>0</v>
      </c>
      <c r="CP101" s="191">
        <v>0</v>
      </c>
      <c r="CQ101" s="191">
        <v>69.63</v>
      </c>
      <c r="CR101" s="191">
        <v>0</v>
      </c>
      <c r="CS101" s="191">
        <v>0</v>
      </c>
      <c r="CT101" s="191">
        <v>-15.17</v>
      </c>
      <c r="CU101" s="191">
        <v>-0.82</v>
      </c>
      <c r="CV101" s="191">
        <v>-0.82</v>
      </c>
      <c r="CW101" s="191">
        <v>-0.82</v>
      </c>
      <c r="CX101" s="191">
        <v>-1.54</v>
      </c>
      <c r="CY101" s="191">
        <v>-0.82</v>
      </c>
      <c r="CZ101" s="191">
        <v>-1.85</v>
      </c>
      <c r="DA101" s="191">
        <v>-2.15</v>
      </c>
      <c r="DB101" s="191">
        <v>-4.82</v>
      </c>
      <c r="DC101" s="191">
        <v>-0.92</v>
      </c>
      <c r="DD101" s="191">
        <v>-0.21</v>
      </c>
      <c r="DE101" s="191">
        <v>-0.21</v>
      </c>
      <c r="DF101" s="191">
        <v>-0.82</v>
      </c>
      <c r="DG101" s="192">
        <v>-0.21</v>
      </c>
      <c r="DH101" s="180"/>
      <c r="DI101" s="191" t="s">
        <v>507</v>
      </c>
      <c r="DJ101" s="191">
        <v>0</v>
      </c>
      <c r="DK101" s="191">
        <v>0</v>
      </c>
      <c r="DL101" s="191">
        <v>0</v>
      </c>
      <c r="DM101" s="191">
        <v>0</v>
      </c>
      <c r="DN101" s="191">
        <v>0</v>
      </c>
      <c r="DO101" s="191">
        <v>0</v>
      </c>
      <c r="DP101" s="191">
        <v>0</v>
      </c>
      <c r="DQ101" s="191">
        <v>0</v>
      </c>
      <c r="DR101" s="191">
        <v>0</v>
      </c>
      <c r="DS101" s="191">
        <v>2.53</v>
      </c>
      <c r="DT101" s="191">
        <v>0</v>
      </c>
      <c r="DU101" s="191">
        <v>0</v>
      </c>
      <c r="DV101" s="191">
        <v>0.54</v>
      </c>
      <c r="DW101" s="191">
        <v>0</v>
      </c>
      <c r="DX101" s="191">
        <v>0</v>
      </c>
      <c r="DY101" s="192">
        <v>0</v>
      </c>
    </row>
    <row r="102" s="180" customFormat="1" spans="1:129">
      <c r="A102" s="190" t="s">
        <v>508</v>
      </c>
      <c r="B102" s="191">
        <v>-39.8</v>
      </c>
      <c r="C102" s="192">
        <v>77.96</v>
      </c>
      <c r="E102" s="191" t="s">
        <v>508</v>
      </c>
      <c r="F102" s="191">
        <v>0</v>
      </c>
      <c r="G102" s="191">
        <v>0</v>
      </c>
      <c r="H102" s="191">
        <v>0</v>
      </c>
      <c r="I102" s="191">
        <v>0</v>
      </c>
      <c r="J102" s="191">
        <v>0</v>
      </c>
      <c r="K102" s="191">
        <v>0</v>
      </c>
      <c r="L102" s="191">
        <v>0</v>
      </c>
      <c r="M102" s="191">
        <v>0</v>
      </c>
      <c r="N102" s="191">
        <v>0</v>
      </c>
      <c r="O102" s="191">
        <v>0</v>
      </c>
      <c r="P102" s="191">
        <v>0</v>
      </c>
      <c r="Q102" s="191">
        <v>0</v>
      </c>
      <c r="R102" s="191">
        <v>0</v>
      </c>
      <c r="S102" s="191">
        <v>0</v>
      </c>
      <c r="T102" s="191">
        <v>0</v>
      </c>
      <c r="U102" s="191">
        <v>0</v>
      </c>
      <c r="V102" s="191">
        <v>2.67</v>
      </c>
      <c r="W102" s="191">
        <v>-0.9</v>
      </c>
      <c r="X102" s="191">
        <v>-5.5</v>
      </c>
      <c r="Y102" s="191">
        <v>-2.4</v>
      </c>
      <c r="Z102" s="191">
        <v>-3</v>
      </c>
      <c r="AA102" s="191">
        <v>0</v>
      </c>
      <c r="AB102" s="191">
        <v>0</v>
      </c>
      <c r="AC102" s="191">
        <v>0</v>
      </c>
      <c r="AD102" s="191">
        <v>0</v>
      </c>
      <c r="AE102" s="191">
        <v>0</v>
      </c>
      <c r="AF102" s="191">
        <v>0</v>
      </c>
      <c r="AG102" s="191">
        <v>0</v>
      </c>
      <c r="AH102" s="191">
        <v>3.33</v>
      </c>
      <c r="AI102" s="191">
        <v>0</v>
      </c>
      <c r="AJ102" s="191">
        <v>0</v>
      </c>
      <c r="AK102" s="191">
        <v>0</v>
      </c>
      <c r="AL102" s="191">
        <v>0.57</v>
      </c>
      <c r="AM102" s="191">
        <v>0</v>
      </c>
      <c r="AN102" s="191">
        <v>0</v>
      </c>
      <c r="AO102" s="191">
        <v>71.39</v>
      </c>
      <c r="AP102" s="191">
        <v>0</v>
      </c>
      <c r="AQ102" s="191">
        <v>0</v>
      </c>
      <c r="AR102" s="191">
        <v>-13.3</v>
      </c>
      <c r="AS102" s="191">
        <v>-0.7</v>
      </c>
      <c r="AT102" s="191">
        <v>-0.7</v>
      </c>
      <c r="AU102" s="191">
        <v>-0.7</v>
      </c>
      <c r="AV102" s="191">
        <v>-1.5</v>
      </c>
      <c r="AW102" s="191">
        <v>-0.7</v>
      </c>
      <c r="AX102" s="191">
        <v>-1.8</v>
      </c>
      <c r="AY102" s="191">
        <v>-2</v>
      </c>
      <c r="AZ102" s="191">
        <v>-4.3</v>
      </c>
      <c r="BA102" s="191">
        <v>-1</v>
      </c>
      <c r="BB102" s="191">
        <v>-0.2</v>
      </c>
      <c r="BC102" s="191">
        <v>-0.2</v>
      </c>
      <c r="BD102" s="191">
        <v>-0.7</v>
      </c>
      <c r="BE102" s="192">
        <v>-0.2</v>
      </c>
      <c r="BF102" s="180"/>
      <c r="BG102" s="191" t="s">
        <v>508</v>
      </c>
      <c r="BH102" s="191">
        <v>0</v>
      </c>
      <c r="BI102" s="191">
        <v>0</v>
      </c>
      <c r="BJ102" s="191">
        <v>0</v>
      </c>
      <c r="BK102" s="191">
        <v>0</v>
      </c>
      <c r="BL102" s="191">
        <v>0</v>
      </c>
      <c r="BM102" s="191">
        <v>0</v>
      </c>
      <c r="BN102" s="191">
        <v>0</v>
      </c>
      <c r="BO102" s="191">
        <v>0</v>
      </c>
      <c r="BP102" s="191">
        <v>0</v>
      </c>
      <c r="BQ102" s="191">
        <v>0</v>
      </c>
      <c r="BR102" s="191">
        <v>0</v>
      </c>
      <c r="BS102" s="191">
        <v>0</v>
      </c>
      <c r="BT102" s="191">
        <v>0</v>
      </c>
      <c r="BU102" s="191">
        <v>0</v>
      </c>
      <c r="BV102" s="191">
        <v>0</v>
      </c>
      <c r="BW102" s="191">
        <v>0</v>
      </c>
      <c r="BX102" s="191">
        <v>2.6</v>
      </c>
      <c r="BY102" s="191">
        <v>-0.92</v>
      </c>
      <c r="BZ102" s="191">
        <v>-5.64</v>
      </c>
      <c r="CA102" s="191">
        <v>-2.46</v>
      </c>
      <c r="CB102" s="191">
        <v>-3.08</v>
      </c>
      <c r="CC102" s="191">
        <v>0</v>
      </c>
      <c r="CD102" s="191">
        <v>0</v>
      </c>
      <c r="CE102" s="191">
        <v>0</v>
      </c>
      <c r="CF102" s="191">
        <v>0</v>
      </c>
      <c r="CG102" s="191">
        <v>0</v>
      </c>
      <c r="CH102" s="191">
        <v>0</v>
      </c>
      <c r="CI102" s="191">
        <v>0</v>
      </c>
      <c r="CJ102" s="191">
        <v>3.25</v>
      </c>
      <c r="CK102" s="191">
        <v>0</v>
      </c>
      <c r="CL102" s="191">
        <v>0</v>
      </c>
      <c r="CM102" s="191">
        <v>0</v>
      </c>
      <c r="CN102" s="191">
        <v>0.56</v>
      </c>
      <c r="CO102" s="191">
        <v>0</v>
      </c>
      <c r="CP102" s="191">
        <v>0</v>
      </c>
      <c r="CQ102" s="191">
        <v>69.63</v>
      </c>
      <c r="CR102" s="191">
        <v>0</v>
      </c>
      <c r="CS102" s="191">
        <v>0</v>
      </c>
      <c r="CT102" s="191">
        <v>-13.64</v>
      </c>
      <c r="CU102" s="191">
        <v>-0.72</v>
      </c>
      <c r="CV102" s="191">
        <v>-0.72</v>
      </c>
      <c r="CW102" s="191">
        <v>-0.72</v>
      </c>
      <c r="CX102" s="191">
        <v>-1.54</v>
      </c>
      <c r="CY102" s="191">
        <v>-0.72</v>
      </c>
      <c r="CZ102" s="191">
        <v>-1.85</v>
      </c>
      <c r="DA102" s="191">
        <v>-2.05</v>
      </c>
      <c r="DB102" s="191">
        <v>-4.41</v>
      </c>
      <c r="DC102" s="191">
        <v>-1.03</v>
      </c>
      <c r="DD102" s="191">
        <v>-0.21</v>
      </c>
      <c r="DE102" s="191">
        <v>-0.21</v>
      </c>
      <c r="DF102" s="191">
        <v>-0.72</v>
      </c>
      <c r="DG102" s="192">
        <v>-0.21</v>
      </c>
      <c r="DH102" s="180"/>
      <c r="DI102" s="191" t="s">
        <v>508</v>
      </c>
      <c r="DJ102" s="191">
        <v>0</v>
      </c>
      <c r="DK102" s="191">
        <v>0</v>
      </c>
      <c r="DL102" s="191">
        <v>0</v>
      </c>
      <c r="DM102" s="191">
        <v>0</v>
      </c>
      <c r="DN102" s="191">
        <v>0</v>
      </c>
      <c r="DO102" s="191">
        <v>0</v>
      </c>
      <c r="DP102" s="191">
        <v>0</v>
      </c>
      <c r="DQ102" s="191">
        <v>0</v>
      </c>
      <c r="DR102" s="191">
        <v>0</v>
      </c>
      <c r="DS102" s="191">
        <v>2.53</v>
      </c>
      <c r="DT102" s="191">
        <v>0</v>
      </c>
      <c r="DU102" s="191">
        <v>0</v>
      </c>
      <c r="DV102" s="191">
        <v>0.54</v>
      </c>
      <c r="DW102" s="191">
        <v>0</v>
      </c>
      <c r="DX102" s="191">
        <v>0</v>
      </c>
      <c r="DY102" s="192">
        <v>0</v>
      </c>
    </row>
    <row r="103" s="180" customFormat="1" spans="1:129">
      <c r="A103" s="190" t="s">
        <v>509</v>
      </c>
      <c r="B103" s="191">
        <v>-39.9</v>
      </c>
      <c r="C103" s="192">
        <v>140.54</v>
      </c>
      <c r="E103" s="191" t="s">
        <v>509</v>
      </c>
      <c r="F103" s="191">
        <v>0</v>
      </c>
      <c r="G103" s="191">
        <v>0</v>
      </c>
      <c r="H103" s="191">
        <v>0</v>
      </c>
      <c r="I103" s="191">
        <v>0</v>
      </c>
      <c r="J103" s="191">
        <v>0</v>
      </c>
      <c r="K103" s="191">
        <v>0</v>
      </c>
      <c r="L103" s="191">
        <v>0</v>
      </c>
      <c r="M103" s="191">
        <v>0</v>
      </c>
      <c r="N103" s="191">
        <v>0</v>
      </c>
      <c r="O103" s="191">
        <v>0</v>
      </c>
      <c r="P103" s="191">
        <v>0</v>
      </c>
      <c r="Q103" s="191">
        <v>5.52</v>
      </c>
      <c r="R103" s="191">
        <v>0</v>
      </c>
      <c r="S103" s="191">
        <v>0</v>
      </c>
      <c r="T103" s="191">
        <v>0.67</v>
      </c>
      <c r="U103" s="191">
        <v>0</v>
      </c>
      <c r="V103" s="191">
        <v>2.67</v>
      </c>
      <c r="W103" s="191">
        <v>-0.9</v>
      </c>
      <c r="X103" s="191">
        <v>-5.5</v>
      </c>
      <c r="Y103" s="191">
        <v>-2.4</v>
      </c>
      <c r="Z103" s="191">
        <v>-3</v>
      </c>
      <c r="AA103" s="191">
        <v>19.04</v>
      </c>
      <c r="AB103" s="191">
        <v>0</v>
      </c>
      <c r="AC103" s="191">
        <v>0</v>
      </c>
      <c r="AD103" s="191">
        <v>0</v>
      </c>
      <c r="AE103" s="191">
        <v>0</v>
      </c>
      <c r="AF103" s="191">
        <v>0</v>
      </c>
      <c r="AG103" s="191">
        <v>0</v>
      </c>
      <c r="AH103" s="191">
        <v>3.33</v>
      </c>
      <c r="AI103" s="191">
        <v>30.21</v>
      </c>
      <c r="AJ103" s="191">
        <v>7.14</v>
      </c>
      <c r="AK103" s="191">
        <v>0</v>
      </c>
      <c r="AL103" s="191">
        <v>0.57</v>
      </c>
      <c r="AM103" s="191">
        <v>0</v>
      </c>
      <c r="AN103" s="191">
        <v>0</v>
      </c>
      <c r="AO103" s="191">
        <v>71.39</v>
      </c>
      <c r="AP103" s="191">
        <v>0</v>
      </c>
      <c r="AQ103" s="191">
        <v>0</v>
      </c>
      <c r="AR103" s="191">
        <v>-13.8</v>
      </c>
      <c r="AS103" s="191">
        <v>-0.7</v>
      </c>
      <c r="AT103" s="191">
        <v>-0.7</v>
      </c>
      <c r="AU103" s="191">
        <v>-0.7</v>
      </c>
      <c r="AV103" s="191">
        <v>-1.5</v>
      </c>
      <c r="AW103" s="191">
        <v>-0.7</v>
      </c>
      <c r="AX103" s="191">
        <v>-1.8</v>
      </c>
      <c r="AY103" s="191">
        <v>-1.8</v>
      </c>
      <c r="AZ103" s="191">
        <v>-4</v>
      </c>
      <c r="BA103" s="191">
        <v>-1.1</v>
      </c>
      <c r="BB103" s="191">
        <v>-0.2</v>
      </c>
      <c r="BC103" s="191">
        <v>-0.2</v>
      </c>
      <c r="BD103" s="191">
        <v>-0.7</v>
      </c>
      <c r="BE103" s="192">
        <v>-0.2</v>
      </c>
      <c r="BF103" s="180"/>
      <c r="BG103" s="191" t="s">
        <v>509</v>
      </c>
      <c r="BH103" s="191">
        <v>0</v>
      </c>
      <c r="BI103" s="191">
        <v>0</v>
      </c>
      <c r="BJ103" s="191">
        <v>0</v>
      </c>
      <c r="BK103" s="191">
        <v>0</v>
      </c>
      <c r="BL103" s="191">
        <v>0</v>
      </c>
      <c r="BM103" s="191">
        <v>0</v>
      </c>
      <c r="BN103" s="191">
        <v>0</v>
      </c>
      <c r="BO103" s="191">
        <v>0</v>
      </c>
      <c r="BP103" s="191">
        <v>0</v>
      </c>
      <c r="BQ103" s="191">
        <v>0</v>
      </c>
      <c r="BR103" s="191">
        <v>0</v>
      </c>
      <c r="BS103" s="191">
        <v>5.38</v>
      </c>
      <c r="BT103" s="191">
        <v>0</v>
      </c>
      <c r="BU103" s="191">
        <v>0</v>
      </c>
      <c r="BV103" s="191">
        <v>0.65</v>
      </c>
      <c r="BW103" s="191">
        <v>0</v>
      </c>
      <c r="BX103" s="191">
        <v>2.6</v>
      </c>
      <c r="BY103" s="191">
        <v>-0.92</v>
      </c>
      <c r="BZ103" s="191">
        <v>-5.64</v>
      </c>
      <c r="CA103" s="191">
        <v>-2.46</v>
      </c>
      <c r="CB103" s="191">
        <v>-3.08</v>
      </c>
      <c r="CC103" s="191">
        <v>18.57</v>
      </c>
      <c r="CD103" s="191">
        <v>0</v>
      </c>
      <c r="CE103" s="191">
        <v>0</v>
      </c>
      <c r="CF103" s="191">
        <v>0</v>
      </c>
      <c r="CG103" s="191">
        <v>0</v>
      </c>
      <c r="CH103" s="191">
        <v>0</v>
      </c>
      <c r="CI103" s="191">
        <v>0</v>
      </c>
      <c r="CJ103" s="191">
        <v>3.25</v>
      </c>
      <c r="CK103" s="191">
        <v>29.47</v>
      </c>
      <c r="CL103" s="191">
        <v>6.96</v>
      </c>
      <c r="CM103" s="191">
        <v>0</v>
      </c>
      <c r="CN103" s="191">
        <v>0.56</v>
      </c>
      <c r="CO103" s="191">
        <v>0</v>
      </c>
      <c r="CP103" s="191">
        <v>0</v>
      </c>
      <c r="CQ103" s="191">
        <v>69.63</v>
      </c>
      <c r="CR103" s="191">
        <v>0</v>
      </c>
      <c r="CS103" s="191">
        <v>0</v>
      </c>
      <c r="CT103" s="191">
        <v>-14.15</v>
      </c>
      <c r="CU103" s="191">
        <v>-0.72</v>
      </c>
      <c r="CV103" s="191">
        <v>-0.72</v>
      </c>
      <c r="CW103" s="191">
        <v>-0.72</v>
      </c>
      <c r="CX103" s="191">
        <v>-1.54</v>
      </c>
      <c r="CY103" s="191">
        <v>-0.72</v>
      </c>
      <c r="CZ103" s="191">
        <v>-1.85</v>
      </c>
      <c r="DA103" s="191">
        <v>-1.85</v>
      </c>
      <c r="DB103" s="191">
        <v>-4.1</v>
      </c>
      <c r="DC103" s="191">
        <v>-1.13</v>
      </c>
      <c r="DD103" s="191">
        <v>-0.21</v>
      </c>
      <c r="DE103" s="191">
        <v>-0.21</v>
      </c>
      <c r="DF103" s="191">
        <v>-0.72</v>
      </c>
      <c r="DG103" s="192">
        <v>-0.21</v>
      </c>
      <c r="DH103" s="180"/>
      <c r="DI103" s="191" t="s">
        <v>509</v>
      </c>
      <c r="DJ103" s="191">
        <v>0</v>
      </c>
      <c r="DK103" s="191">
        <v>0</v>
      </c>
      <c r="DL103" s="191">
        <v>0</v>
      </c>
      <c r="DM103" s="191">
        <v>0</v>
      </c>
      <c r="DN103" s="191">
        <v>0</v>
      </c>
      <c r="DO103" s="191">
        <v>5.23</v>
      </c>
      <c r="DP103" s="191">
        <v>0</v>
      </c>
      <c r="DQ103" s="191">
        <v>0.63</v>
      </c>
      <c r="DR103" s="191">
        <v>0</v>
      </c>
      <c r="DS103" s="191">
        <v>2.53</v>
      </c>
      <c r="DT103" s="191">
        <v>0</v>
      </c>
      <c r="DU103" s="191">
        <v>0</v>
      </c>
      <c r="DV103" s="191">
        <v>0.54</v>
      </c>
      <c r="DW103" s="191">
        <v>0</v>
      </c>
      <c r="DX103" s="191">
        <v>0</v>
      </c>
      <c r="DY103" s="192">
        <v>0</v>
      </c>
    </row>
    <row r="104" s="180" customFormat="1" spans="1:129">
      <c r="A104" s="190" t="s">
        <v>510</v>
      </c>
      <c r="B104" s="191">
        <v>-38.2</v>
      </c>
      <c r="C104" s="192">
        <v>179.34</v>
      </c>
      <c r="E104" s="191" t="s">
        <v>510</v>
      </c>
      <c r="F104" s="191">
        <v>11.42</v>
      </c>
      <c r="G104" s="191">
        <v>0</v>
      </c>
      <c r="H104" s="191">
        <v>0</v>
      </c>
      <c r="I104" s="191">
        <v>0</v>
      </c>
      <c r="J104" s="191">
        <v>0</v>
      </c>
      <c r="K104" s="191">
        <v>0</v>
      </c>
      <c r="L104" s="191">
        <v>0</v>
      </c>
      <c r="M104" s="191">
        <v>0</v>
      </c>
      <c r="N104" s="191">
        <v>0</v>
      </c>
      <c r="O104" s="191">
        <v>0</v>
      </c>
      <c r="P104" s="191">
        <v>0</v>
      </c>
      <c r="Q104" s="191">
        <v>5.52</v>
      </c>
      <c r="R104" s="191">
        <v>0</v>
      </c>
      <c r="S104" s="191">
        <v>0</v>
      </c>
      <c r="T104" s="191">
        <v>0.67</v>
      </c>
      <c r="U104" s="191">
        <v>1.9</v>
      </c>
      <c r="V104" s="191">
        <v>2.67</v>
      </c>
      <c r="W104" s="191">
        <v>-0.9</v>
      </c>
      <c r="X104" s="191">
        <v>-5.5</v>
      </c>
      <c r="Y104" s="191">
        <v>-2.4</v>
      </c>
      <c r="Z104" s="191">
        <v>-3</v>
      </c>
      <c r="AA104" s="191">
        <v>19.04</v>
      </c>
      <c r="AB104" s="191">
        <v>0</v>
      </c>
      <c r="AC104" s="191">
        <v>0</v>
      </c>
      <c r="AD104" s="191">
        <v>3.62</v>
      </c>
      <c r="AE104" s="191">
        <v>13.52</v>
      </c>
      <c r="AF104" s="191">
        <v>0</v>
      </c>
      <c r="AG104" s="191">
        <v>0</v>
      </c>
      <c r="AH104" s="191">
        <v>3.33</v>
      </c>
      <c r="AI104" s="191">
        <v>38.55</v>
      </c>
      <c r="AJ104" s="191">
        <v>7.14</v>
      </c>
      <c r="AK104" s="191">
        <v>0</v>
      </c>
      <c r="AL104" s="191">
        <v>0.57</v>
      </c>
      <c r="AM104" s="191">
        <v>0</v>
      </c>
      <c r="AN104" s="191">
        <v>0</v>
      </c>
      <c r="AO104" s="191">
        <v>71.39</v>
      </c>
      <c r="AP104" s="191">
        <v>0</v>
      </c>
      <c r="AQ104" s="191">
        <v>0</v>
      </c>
      <c r="AR104" s="191">
        <v>-13.4</v>
      </c>
      <c r="AS104" s="191">
        <v>-0.6</v>
      </c>
      <c r="AT104" s="191">
        <v>-0.6</v>
      </c>
      <c r="AU104" s="191">
        <v>-0.6</v>
      </c>
      <c r="AV104" s="191">
        <v>-1.4</v>
      </c>
      <c r="AW104" s="191">
        <v>-0.6</v>
      </c>
      <c r="AX104" s="191">
        <v>-1.6</v>
      </c>
      <c r="AY104" s="191">
        <v>-1.6</v>
      </c>
      <c r="AZ104" s="191">
        <v>-3.7</v>
      </c>
      <c r="BA104" s="191">
        <v>-1.1</v>
      </c>
      <c r="BB104" s="191">
        <v>-0.2</v>
      </c>
      <c r="BC104" s="191">
        <v>-0.2</v>
      </c>
      <c r="BD104" s="191">
        <v>-0.6</v>
      </c>
      <c r="BE104" s="192">
        <v>-0.2</v>
      </c>
      <c r="BF104" s="180"/>
      <c r="BG104" s="191" t="s">
        <v>510</v>
      </c>
      <c r="BH104" s="191">
        <v>11.14</v>
      </c>
      <c r="BI104" s="191">
        <v>0</v>
      </c>
      <c r="BJ104" s="191">
        <v>0</v>
      </c>
      <c r="BK104" s="191">
        <v>0</v>
      </c>
      <c r="BL104" s="191">
        <v>0</v>
      </c>
      <c r="BM104" s="191">
        <v>0</v>
      </c>
      <c r="BN104" s="191">
        <v>0</v>
      </c>
      <c r="BO104" s="191">
        <v>0</v>
      </c>
      <c r="BP104" s="191">
        <v>0</v>
      </c>
      <c r="BQ104" s="191">
        <v>0</v>
      </c>
      <c r="BR104" s="191">
        <v>0</v>
      </c>
      <c r="BS104" s="191">
        <v>5.38</v>
      </c>
      <c r="BT104" s="191">
        <v>0</v>
      </c>
      <c r="BU104" s="191">
        <v>0</v>
      </c>
      <c r="BV104" s="191">
        <v>0.65</v>
      </c>
      <c r="BW104" s="191">
        <v>1.85</v>
      </c>
      <c r="BX104" s="191">
        <v>2.6</v>
      </c>
      <c r="BY104" s="191">
        <v>-0.92</v>
      </c>
      <c r="BZ104" s="191">
        <v>-5.64</v>
      </c>
      <c r="CA104" s="191">
        <v>-2.46</v>
      </c>
      <c r="CB104" s="191">
        <v>-3.08</v>
      </c>
      <c r="CC104" s="191">
        <v>18.57</v>
      </c>
      <c r="CD104" s="191">
        <v>0</v>
      </c>
      <c r="CE104" s="191">
        <v>0</v>
      </c>
      <c r="CF104" s="191">
        <v>3.53</v>
      </c>
      <c r="CG104" s="191">
        <v>13.19</v>
      </c>
      <c r="CH104" s="191">
        <v>0</v>
      </c>
      <c r="CI104" s="191">
        <v>0</v>
      </c>
      <c r="CJ104" s="191">
        <v>3.25</v>
      </c>
      <c r="CK104" s="191">
        <v>37.6</v>
      </c>
      <c r="CL104" s="191">
        <v>6.96</v>
      </c>
      <c r="CM104" s="191">
        <v>0</v>
      </c>
      <c r="CN104" s="191">
        <v>0.56</v>
      </c>
      <c r="CO104" s="191">
        <v>0</v>
      </c>
      <c r="CP104" s="191">
        <v>0</v>
      </c>
      <c r="CQ104" s="191">
        <v>69.63</v>
      </c>
      <c r="CR104" s="191">
        <v>0</v>
      </c>
      <c r="CS104" s="191">
        <v>0</v>
      </c>
      <c r="CT104" s="191">
        <v>-13.74</v>
      </c>
      <c r="CU104" s="191">
        <v>-0.62</v>
      </c>
      <c r="CV104" s="191">
        <v>-0.62</v>
      </c>
      <c r="CW104" s="191">
        <v>-0.62</v>
      </c>
      <c r="CX104" s="191">
        <v>-1.44</v>
      </c>
      <c r="CY104" s="191">
        <v>-0.62</v>
      </c>
      <c r="CZ104" s="191">
        <v>-1.64</v>
      </c>
      <c r="DA104" s="191">
        <v>-1.64</v>
      </c>
      <c r="DB104" s="191">
        <v>-3.79</v>
      </c>
      <c r="DC104" s="191">
        <v>-1.13</v>
      </c>
      <c r="DD104" s="191">
        <v>-0.21</v>
      </c>
      <c r="DE104" s="191">
        <v>-0.21</v>
      </c>
      <c r="DF104" s="191">
        <v>-0.62</v>
      </c>
      <c r="DG104" s="192">
        <v>-0.21</v>
      </c>
      <c r="DH104" s="180"/>
      <c r="DI104" s="191" t="s">
        <v>510</v>
      </c>
      <c r="DJ104" s="191">
        <v>0</v>
      </c>
      <c r="DK104" s="191">
        <v>0</v>
      </c>
      <c r="DL104" s="191">
        <v>0</v>
      </c>
      <c r="DM104" s="191">
        <v>0</v>
      </c>
      <c r="DN104" s="191">
        <v>0</v>
      </c>
      <c r="DO104" s="191">
        <v>5.23</v>
      </c>
      <c r="DP104" s="191">
        <v>0</v>
      </c>
      <c r="DQ104" s="191">
        <v>0.63</v>
      </c>
      <c r="DR104" s="191">
        <v>1.8</v>
      </c>
      <c r="DS104" s="191">
        <v>2.53</v>
      </c>
      <c r="DT104" s="191">
        <v>0</v>
      </c>
      <c r="DU104" s="191">
        <v>0</v>
      </c>
      <c r="DV104" s="191">
        <v>0.54</v>
      </c>
      <c r="DW104" s="191">
        <v>0</v>
      </c>
      <c r="DX104" s="191">
        <v>0</v>
      </c>
      <c r="DY104" s="192">
        <v>0</v>
      </c>
    </row>
    <row r="105" s="180" customFormat="1" spans="1:129">
      <c r="A105" s="190" t="s">
        <v>511</v>
      </c>
      <c r="B105" s="191">
        <v>-38.1</v>
      </c>
      <c r="C105" s="192">
        <v>191.14</v>
      </c>
      <c r="E105" s="191" t="s">
        <v>511</v>
      </c>
      <c r="F105" s="191">
        <v>11.42</v>
      </c>
      <c r="G105" s="191">
        <v>0</v>
      </c>
      <c r="H105" s="191">
        <v>0</v>
      </c>
      <c r="I105" s="191">
        <v>0</v>
      </c>
      <c r="J105" s="191">
        <v>0</v>
      </c>
      <c r="K105" s="191">
        <v>0</v>
      </c>
      <c r="L105" s="191">
        <v>0</v>
      </c>
      <c r="M105" s="191">
        <v>0</v>
      </c>
      <c r="N105" s="191">
        <v>3.81</v>
      </c>
      <c r="O105" s="191">
        <v>0</v>
      </c>
      <c r="P105" s="191">
        <v>0</v>
      </c>
      <c r="Q105" s="191">
        <v>5.52</v>
      </c>
      <c r="R105" s="191">
        <v>0</v>
      </c>
      <c r="S105" s="191">
        <v>0</v>
      </c>
      <c r="T105" s="191">
        <v>0.67</v>
      </c>
      <c r="U105" s="191">
        <v>1.9</v>
      </c>
      <c r="V105" s="191">
        <v>2.67</v>
      </c>
      <c r="W105" s="191">
        <v>-0.9</v>
      </c>
      <c r="X105" s="191">
        <v>-5.5</v>
      </c>
      <c r="Y105" s="191">
        <v>-2.4</v>
      </c>
      <c r="Z105" s="191">
        <v>-3</v>
      </c>
      <c r="AA105" s="191">
        <v>19.04</v>
      </c>
      <c r="AB105" s="191">
        <v>0</v>
      </c>
      <c r="AC105" s="191">
        <v>7.04</v>
      </c>
      <c r="AD105" s="191">
        <v>3.62</v>
      </c>
      <c r="AE105" s="191">
        <v>13.52</v>
      </c>
      <c r="AF105" s="191">
        <v>0</v>
      </c>
      <c r="AG105" s="191">
        <v>0</v>
      </c>
      <c r="AH105" s="191">
        <v>3.33</v>
      </c>
      <c r="AI105" s="191">
        <v>38.55</v>
      </c>
      <c r="AJ105" s="191">
        <v>7.14</v>
      </c>
      <c r="AK105" s="191">
        <v>0.95</v>
      </c>
      <c r="AL105" s="191">
        <v>0.57</v>
      </c>
      <c r="AM105" s="191">
        <v>0</v>
      </c>
      <c r="AN105" s="191">
        <v>0</v>
      </c>
      <c r="AO105" s="191">
        <v>71.39</v>
      </c>
      <c r="AP105" s="191">
        <v>0</v>
      </c>
      <c r="AQ105" s="191">
        <v>0</v>
      </c>
      <c r="AR105" s="191">
        <v>-14.1</v>
      </c>
      <c r="AS105" s="191">
        <v>-0.6</v>
      </c>
      <c r="AT105" s="191">
        <v>-0.6</v>
      </c>
      <c r="AU105" s="191">
        <v>-0.6</v>
      </c>
      <c r="AV105" s="191">
        <v>-1.3</v>
      </c>
      <c r="AW105" s="191">
        <v>-0.6</v>
      </c>
      <c r="AX105" s="191">
        <v>-1.5</v>
      </c>
      <c r="AY105" s="191">
        <v>-1.4</v>
      </c>
      <c r="AZ105" s="191">
        <v>-3.5</v>
      </c>
      <c r="BA105" s="191">
        <v>-1</v>
      </c>
      <c r="BB105" s="191">
        <v>-0.2</v>
      </c>
      <c r="BC105" s="191">
        <v>-0.2</v>
      </c>
      <c r="BD105" s="191">
        <v>-0.5</v>
      </c>
      <c r="BE105" s="192">
        <v>-0.2</v>
      </c>
      <c r="BF105" s="180"/>
      <c r="BG105" s="191" t="s">
        <v>511</v>
      </c>
      <c r="BH105" s="191">
        <v>11.14</v>
      </c>
      <c r="BI105" s="191">
        <v>0</v>
      </c>
      <c r="BJ105" s="191">
        <v>0</v>
      </c>
      <c r="BK105" s="191">
        <v>0</v>
      </c>
      <c r="BL105" s="191">
        <v>0</v>
      </c>
      <c r="BM105" s="191">
        <v>0</v>
      </c>
      <c r="BN105" s="191">
        <v>0</v>
      </c>
      <c r="BO105" s="191">
        <v>0</v>
      </c>
      <c r="BP105" s="191">
        <v>3.72</v>
      </c>
      <c r="BQ105" s="191">
        <v>0</v>
      </c>
      <c r="BR105" s="191">
        <v>0</v>
      </c>
      <c r="BS105" s="191">
        <v>5.38</v>
      </c>
      <c r="BT105" s="191">
        <v>0</v>
      </c>
      <c r="BU105" s="191">
        <v>0</v>
      </c>
      <c r="BV105" s="191">
        <v>0.65</v>
      </c>
      <c r="BW105" s="191">
        <v>1.85</v>
      </c>
      <c r="BX105" s="191">
        <v>2.6</v>
      </c>
      <c r="BY105" s="191">
        <v>-0.92</v>
      </c>
      <c r="BZ105" s="191">
        <v>-5.64</v>
      </c>
      <c r="CA105" s="191">
        <v>-2.46</v>
      </c>
      <c r="CB105" s="191">
        <v>-3.08</v>
      </c>
      <c r="CC105" s="191">
        <v>18.57</v>
      </c>
      <c r="CD105" s="191">
        <v>0</v>
      </c>
      <c r="CE105" s="191">
        <v>6.87</v>
      </c>
      <c r="CF105" s="191">
        <v>3.53</v>
      </c>
      <c r="CG105" s="191">
        <v>13.19</v>
      </c>
      <c r="CH105" s="191">
        <v>0</v>
      </c>
      <c r="CI105" s="191">
        <v>0</v>
      </c>
      <c r="CJ105" s="191">
        <v>3.25</v>
      </c>
      <c r="CK105" s="191">
        <v>37.6</v>
      </c>
      <c r="CL105" s="191">
        <v>6.96</v>
      </c>
      <c r="CM105" s="191">
        <v>0.93</v>
      </c>
      <c r="CN105" s="191">
        <v>0.56</v>
      </c>
      <c r="CO105" s="191">
        <v>0</v>
      </c>
      <c r="CP105" s="191">
        <v>0</v>
      </c>
      <c r="CQ105" s="191">
        <v>69.63</v>
      </c>
      <c r="CR105" s="191">
        <v>0</v>
      </c>
      <c r="CS105" s="191">
        <v>0</v>
      </c>
      <c r="CT105" s="191">
        <v>-14.46</v>
      </c>
      <c r="CU105" s="191">
        <v>-0.62</v>
      </c>
      <c r="CV105" s="191">
        <v>-0.62</v>
      </c>
      <c r="CW105" s="191">
        <v>-0.62</v>
      </c>
      <c r="CX105" s="191">
        <v>-1.33</v>
      </c>
      <c r="CY105" s="191">
        <v>-0.62</v>
      </c>
      <c r="CZ105" s="191">
        <v>-1.54</v>
      </c>
      <c r="DA105" s="191">
        <v>-1.44</v>
      </c>
      <c r="DB105" s="191">
        <v>-3.59</v>
      </c>
      <c r="DC105" s="191">
        <v>-1.03</v>
      </c>
      <c r="DD105" s="191">
        <v>-0.21</v>
      </c>
      <c r="DE105" s="191">
        <v>-0.21</v>
      </c>
      <c r="DF105" s="191">
        <v>-0.51</v>
      </c>
      <c r="DG105" s="192">
        <v>-0.21</v>
      </c>
      <c r="DH105" s="180"/>
      <c r="DI105" s="191" t="s">
        <v>511</v>
      </c>
      <c r="DJ105" s="191">
        <v>0</v>
      </c>
      <c r="DK105" s="191">
        <v>0</v>
      </c>
      <c r="DL105" s="191">
        <v>0</v>
      </c>
      <c r="DM105" s="191">
        <v>0</v>
      </c>
      <c r="DN105" s="191">
        <v>0</v>
      </c>
      <c r="DO105" s="191">
        <v>5.23</v>
      </c>
      <c r="DP105" s="191">
        <v>0</v>
      </c>
      <c r="DQ105" s="191">
        <v>0.63</v>
      </c>
      <c r="DR105" s="191">
        <v>1.8</v>
      </c>
      <c r="DS105" s="191">
        <v>2.53</v>
      </c>
      <c r="DT105" s="191">
        <v>0</v>
      </c>
      <c r="DU105" s="191">
        <v>6.67</v>
      </c>
      <c r="DV105" s="191">
        <v>0.54</v>
      </c>
      <c r="DW105" s="191">
        <v>0</v>
      </c>
      <c r="DX105" s="191">
        <v>0</v>
      </c>
      <c r="DY105" s="192">
        <v>0</v>
      </c>
    </row>
    <row r="106" s="180" customFormat="1" spans="1:129">
      <c r="A106" s="190" t="s">
        <v>512</v>
      </c>
      <c r="B106" s="191">
        <v>-37.2</v>
      </c>
      <c r="C106" s="192">
        <v>225.98</v>
      </c>
      <c r="E106" s="191" t="s">
        <v>512</v>
      </c>
      <c r="F106" s="191">
        <v>11.42</v>
      </c>
      <c r="G106" s="191">
        <v>0</v>
      </c>
      <c r="H106" s="191">
        <v>2.38</v>
      </c>
      <c r="I106" s="191">
        <v>1.14</v>
      </c>
      <c r="J106" s="191">
        <v>0</v>
      </c>
      <c r="K106" s="191">
        <v>0.76</v>
      </c>
      <c r="L106" s="191">
        <v>8.57</v>
      </c>
      <c r="M106" s="191">
        <v>0</v>
      </c>
      <c r="N106" s="191">
        <v>3.81</v>
      </c>
      <c r="O106" s="191">
        <v>1.14</v>
      </c>
      <c r="P106" s="191">
        <v>0</v>
      </c>
      <c r="Q106" s="191">
        <v>5.52</v>
      </c>
      <c r="R106" s="191">
        <v>5.71</v>
      </c>
      <c r="S106" s="191">
        <v>6.66</v>
      </c>
      <c r="T106" s="191">
        <v>0.67</v>
      </c>
      <c r="U106" s="191">
        <v>1.9</v>
      </c>
      <c r="V106" s="191">
        <v>2.67</v>
      </c>
      <c r="W106" s="191">
        <v>-0.9</v>
      </c>
      <c r="X106" s="191">
        <v>-5.5</v>
      </c>
      <c r="Y106" s="191">
        <v>-2.4</v>
      </c>
      <c r="Z106" s="191">
        <v>-3</v>
      </c>
      <c r="AA106" s="191">
        <v>19.04</v>
      </c>
      <c r="AB106" s="191">
        <v>0</v>
      </c>
      <c r="AC106" s="191">
        <v>7.04</v>
      </c>
      <c r="AD106" s="191">
        <v>3.62</v>
      </c>
      <c r="AE106" s="191">
        <v>13.52</v>
      </c>
      <c r="AF106" s="191">
        <v>0</v>
      </c>
      <c r="AG106" s="191">
        <v>0</v>
      </c>
      <c r="AH106" s="191">
        <v>3.33</v>
      </c>
      <c r="AI106" s="191">
        <v>38.55</v>
      </c>
      <c r="AJ106" s="191">
        <v>7.14</v>
      </c>
      <c r="AK106" s="191">
        <v>0.95</v>
      </c>
      <c r="AL106" s="191">
        <v>0.57</v>
      </c>
      <c r="AM106" s="191">
        <v>0</v>
      </c>
      <c r="AN106" s="191">
        <v>0.86</v>
      </c>
      <c r="AO106" s="191">
        <v>71.39</v>
      </c>
      <c r="AP106" s="191">
        <v>0</v>
      </c>
      <c r="AQ106" s="191">
        <v>7.62</v>
      </c>
      <c r="AR106" s="191">
        <v>-14</v>
      </c>
      <c r="AS106" s="191">
        <v>-0.6</v>
      </c>
      <c r="AT106" s="191">
        <v>-0.6</v>
      </c>
      <c r="AU106" s="191">
        <v>-0.6</v>
      </c>
      <c r="AV106" s="191">
        <v>-1.3</v>
      </c>
      <c r="AW106" s="191">
        <v>-0.6</v>
      </c>
      <c r="AX106" s="191">
        <v>-1.3</v>
      </c>
      <c r="AY106" s="191">
        <v>-1.2</v>
      </c>
      <c r="AZ106" s="191">
        <v>-3.3</v>
      </c>
      <c r="BA106" s="191">
        <v>-0.9</v>
      </c>
      <c r="BB106" s="191">
        <v>-0.2</v>
      </c>
      <c r="BC106" s="191">
        <v>-0.2</v>
      </c>
      <c r="BD106" s="191">
        <v>-0.4</v>
      </c>
      <c r="BE106" s="192">
        <v>-0.2</v>
      </c>
      <c r="BF106" s="180"/>
      <c r="BG106" s="191" t="s">
        <v>512</v>
      </c>
      <c r="BH106" s="191">
        <v>11.14</v>
      </c>
      <c r="BI106" s="191">
        <v>0</v>
      </c>
      <c r="BJ106" s="191">
        <v>2.32</v>
      </c>
      <c r="BK106" s="191">
        <v>1.11</v>
      </c>
      <c r="BL106" s="191">
        <v>0</v>
      </c>
      <c r="BM106" s="191">
        <v>0.74</v>
      </c>
      <c r="BN106" s="191">
        <v>8.36</v>
      </c>
      <c r="BO106" s="191">
        <v>0</v>
      </c>
      <c r="BP106" s="191">
        <v>3.72</v>
      </c>
      <c r="BQ106" s="191">
        <v>1.11</v>
      </c>
      <c r="BR106" s="191">
        <v>0</v>
      </c>
      <c r="BS106" s="191">
        <v>5.38</v>
      </c>
      <c r="BT106" s="191">
        <v>5.57</v>
      </c>
      <c r="BU106" s="191">
        <v>6.5</v>
      </c>
      <c r="BV106" s="191">
        <v>0.65</v>
      </c>
      <c r="BW106" s="191">
        <v>1.85</v>
      </c>
      <c r="BX106" s="191">
        <v>2.6</v>
      </c>
      <c r="BY106" s="191">
        <v>-0.92</v>
      </c>
      <c r="BZ106" s="191">
        <v>-5.64</v>
      </c>
      <c r="CA106" s="191">
        <v>-2.46</v>
      </c>
      <c r="CB106" s="191">
        <v>-3.08</v>
      </c>
      <c r="CC106" s="191">
        <v>18.57</v>
      </c>
      <c r="CD106" s="191">
        <v>0</v>
      </c>
      <c r="CE106" s="191">
        <v>6.87</v>
      </c>
      <c r="CF106" s="191">
        <v>3.53</v>
      </c>
      <c r="CG106" s="191">
        <v>13.19</v>
      </c>
      <c r="CH106" s="191">
        <v>0</v>
      </c>
      <c r="CI106" s="191">
        <v>0</v>
      </c>
      <c r="CJ106" s="191">
        <v>3.25</v>
      </c>
      <c r="CK106" s="191">
        <v>37.6</v>
      </c>
      <c r="CL106" s="191">
        <v>6.96</v>
      </c>
      <c r="CM106" s="191">
        <v>0.93</v>
      </c>
      <c r="CN106" s="191">
        <v>0.56</v>
      </c>
      <c r="CO106" s="191">
        <v>0</v>
      </c>
      <c r="CP106" s="191">
        <v>0.84</v>
      </c>
      <c r="CQ106" s="191">
        <v>69.63</v>
      </c>
      <c r="CR106" s="191">
        <v>0</v>
      </c>
      <c r="CS106" s="191">
        <v>7.43</v>
      </c>
      <c r="CT106" s="191">
        <v>-14.35</v>
      </c>
      <c r="CU106" s="191">
        <v>-0.62</v>
      </c>
      <c r="CV106" s="191">
        <v>-0.62</v>
      </c>
      <c r="CW106" s="191">
        <v>-0.62</v>
      </c>
      <c r="CX106" s="191">
        <v>-1.33</v>
      </c>
      <c r="CY106" s="191">
        <v>-0.62</v>
      </c>
      <c r="CZ106" s="191">
        <v>-1.33</v>
      </c>
      <c r="DA106" s="191">
        <v>-1.23</v>
      </c>
      <c r="DB106" s="191">
        <v>-3.38</v>
      </c>
      <c r="DC106" s="191">
        <v>-0.92</v>
      </c>
      <c r="DD106" s="191">
        <v>-0.21</v>
      </c>
      <c r="DE106" s="191">
        <v>-0.21</v>
      </c>
      <c r="DF106" s="191">
        <v>-0.41</v>
      </c>
      <c r="DG106" s="192">
        <v>-0.21</v>
      </c>
      <c r="DH106" s="180"/>
      <c r="DI106" s="191" t="s">
        <v>512</v>
      </c>
      <c r="DJ106" s="191">
        <v>2.25</v>
      </c>
      <c r="DK106" s="191">
        <v>1.08</v>
      </c>
      <c r="DL106" s="191">
        <v>0.72</v>
      </c>
      <c r="DM106" s="191">
        <v>1.08</v>
      </c>
      <c r="DN106" s="191">
        <v>0</v>
      </c>
      <c r="DO106" s="191">
        <v>5.23</v>
      </c>
      <c r="DP106" s="191">
        <v>5.42</v>
      </c>
      <c r="DQ106" s="191">
        <v>0.63</v>
      </c>
      <c r="DR106" s="191">
        <v>1.8</v>
      </c>
      <c r="DS106" s="191">
        <v>2.53</v>
      </c>
      <c r="DT106" s="191">
        <v>0</v>
      </c>
      <c r="DU106" s="191">
        <v>6.67</v>
      </c>
      <c r="DV106" s="191">
        <v>0.54</v>
      </c>
      <c r="DW106" s="191">
        <v>0.81</v>
      </c>
      <c r="DX106" s="191">
        <v>0</v>
      </c>
      <c r="DY106" s="192">
        <v>7.21</v>
      </c>
    </row>
    <row r="107" s="180" customFormat="1" ht="30" spans="1:129">
      <c r="A107" s="193" t="s">
        <v>513</v>
      </c>
      <c r="B107" s="194">
        <v>-1770.4</v>
      </c>
      <c r="C107" s="195">
        <v>8016.2825</v>
      </c>
      <c r="E107" s="196" t="s">
        <v>514</v>
      </c>
      <c r="F107" s="196">
        <v>91.2425</v>
      </c>
      <c r="G107" s="196">
        <v>6080.7475</v>
      </c>
      <c r="H107" s="196">
        <v>16.325</v>
      </c>
      <c r="I107" s="196">
        <v>7.695</v>
      </c>
      <c r="J107" s="196">
        <v>1.905</v>
      </c>
      <c r="K107" s="196">
        <v>0.38</v>
      </c>
      <c r="L107" s="196">
        <v>4.285</v>
      </c>
      <c r="M107" s="196">
        <v>2.855</v>
      </c>
      <c r="N107" s="196">
        <v>20.0025</v>
      </c>
      <c r="O107" s="196">
        <v>0.855</v>
      </c>
      <c r="P107" s="196">
        <v>7.6875</v>
      </c>
      <c r="Q107" s="196">
        <v>43.59</v>
      </c>
      <c r="R107" s="196">
        <v>47.1075</v>
      </c>
      <c r="S107" s="196">
        <v>3.33</v>
      </c>
      <c r="T107" s="196">
        <v>4.69</v>
      </c>
      <c r="U107" s="196">
        <v>14.8025</v>
      </c>
      <c r="V107" s="196">
        <v>45.39</v>
      </c>
      <c r="W107" s="196">
        <v>0</v>
      </c>
      <c r="X107" s="196">
        <v>0</v>
      </c>
      <c r="Y107" s="196">
        <v>0</v>
      </c>
      <c r="Z107" s="196">
        <v>0</v>
      </c>
      <c r="AA107" s="196">
        <v>250.585</v>
      </c>
      <c r="AB107" s="196">
        <v>0.3575</v>
      </c>
      <c r="AC107" s="196">
        <v>35.2</v>
      </c>
      <c r="AD107" s="196">
        <v>22.71</v>
      </c>
      <c r="AE107" s="196">
        <v>87.3425</v>
      </c>
      <c r="AF107" s="196">
        <v>70.9775</v>
      </c>
      <c r="AG107" s="196">
        <v>3.57</v>
      </c>
      <c r="AH107" s="196">
        <v>69.3625</v>
      </c>
      <c r="AI107" s="196">
        <v>289.8225</v>
      </c>
      <c r="AJ107" s="196">
        <v>55.575</v>
      </c>
      <c r="AK107" s="196">
        <v>7.63</v>
      </c>
      <c r="AL107" s="196">
        <v>4.56</v>
      </c>
      <c r="AM107" s="196">
        <v>0</v>
      </c>
      <c r="AN107" s="196">
        <v>0.5</v>
      </c>
      <c r="AO107" s="196">
        <v>709.1425</v>
      </c>
      <c r="AP107" s="196">
        <v>14.1525</v>
      </c>
      <c r="AQ107" s="196">
        <v>1.905</v>
      </c>
      <c r="AR107" s="196">
        <v>0</v>
      </c>
      <c r="AS107" s="196">
        <v>0</v>
      </c>
      <c r="AT107" s="196">
        <v>0</v>
      </c>
      <c r="AU107" s="196">
        <v>0</v>
      </c>
      <c r="AV107" s="196">
        <v>0</v>
      </c>
      <c r="AW107" s="196">
        <v>0</v>
      </c>
      <c r="AX107" s="196">
        <v>0</v>
      </c>
      <c r="AY107" s="196">
        <v>0</v>
      </c>
      <c r="AZ107" s="196">
        <v>0</v>
      </c>
      <c r="BA107" s="196">
        <v>0</v>
      </c>
      <c r="BB107" s="196">
        <v>0</v>
      </c>
      <c r="BC107" s="196">
        <v>0</v>
      </c>
      <c r="BD107" s="196">
        <v>0</v>
      </c>
      <c r="BE107" s="197">
        <v>0</v>
      </c>
      <c r="BF107" s="180"/>
      <c r="BG107" s="196" t="s">
        <v>514</v>
      </c>
      <c r="BH107" s="196">
        <v>89.005</v>
      </c>
      <c r="BI107" s="196">
        <v>5931.1675</v>
      </c>
      <c r="BJ107" s="196">
        <v>15.925</v>
      </c>
      <c r="BK107" s="196">
        <v>7.4925</v>
      </c>
      <c r="BL107" s="196">
        <v>1.8575</v>
      </c>
      <c r="BM107" s="196">
        <v>0.37</v>
      </c>
      <c r="BN107" s="196">
        <v>4.18</v>
      </c>
      <c r="BO107" s="196">
        <v>2.785</v>
      </c>
      <c r="BP107" s="196">
        <v>19.53</v>
      </c>
      <c r="BQ107" s="196">
        <v>0.8325</v>
      </c>
      <c r="BR107" s="196">
        <v>7.51</v>
      </c>
      <c r="BS107" s="196">
        <v>42.49</v>
      </c>
      <c r="BT107" s="196">
        <v>45.9525</v>
      </c>
      <c r="BU107" s="196">
        <v>3.25</v>
      </c>
      <c r="BV107" s="196">
        <v>4.55</v>
      </c>
      <c r="BW107" s="196">
        <v>14.4475</v>
      </c>
      <c r="BX107" s="196">
        <v>44.2</v>
      </c>
      <c r="BY107" s="196">
        <v>0</v>
      </c>
      <c r="BZ107" s="196">
        <v>0</v>
      </c>
      <c r="CA107" s="196">
        <v>0</v>
      </c>
      <c r="CB107" s="196">
        <v>0</v>
      </c>
      <c r="CC107" s="196">
        <v>244.3875</v>
      </c>
      <c r="CD107" s="196">
        <v>0.3475</v>
      </c>
      <c r="CE107" s="196">
        <v>34.35</v>
      </c>
      <c r="CF107" s="196">
        <v>22.1475</v>
      </c>
      <c r="CG107" s="196">
        <v>85.2075</v>
      </c>
      <c r="CH107" s="196">
        <v>69.245</v>
      </c>
      <c r="CI107" s="196">
        <v>3.48</v>
      </c>
      <c r="CJ107" s="196">
        <v>67.69</v>
      </c>
      <c r="CK107" s="196">
        <v>282.6825</v>
      </c>
      <c r="CL107" s="196">
        <v>54.175</v>
      </c>
      <c r="CM107" s="196">
        <v>7.47</v>
      </c>
      <c r="CN107" s="196">
        <v>4.48</v>
      </c>
      <c r="CO107" s="196">
        <v>0</v>
      </c>
      <c r="CP107" s="196">
        <v>0.4875</v>
      </c>
      <c r="CQ107" s="196">
        <v>691.6625</v>
      </c>
      <c r="CR107" s="196">
        <v>13.8125</v>
      </c>
      <c r="CS107" s="196">
        <v>1.8575</v>
      </c>
      <c r="CT107" s="196">
        <v>0</v>
      </c>
      <c r="CU107" s="196">
        <v>0</v>
      </c>
      <c r="CV107" s="196">
        <v>0</v>
      </c>
      <c r="CW107" s="196">
        <v>0</v>
      </c>
      <c r="CX107" s="196">
        <v>0</v>
      </c>
      <c r="CY107" s="196">
        <v>0</v>
      </c>
      <c r="CZ107" s="196">
        <v>0</v>
      </c>
      <c r="DA107" s="196">
        <v>0</v>
      </c>
      <c r="DB107" s="196">
        <v>0</v>
      </c>
      <c r="DC107" s="196">
        <v>0</v>
      </c>
      <c r="DD107" s="196">
        <v>0</v>
      </c>
      <c r="DE107" s="196">
        <v>0</v>
      </c>
      <c r="DF107" s="196">
        <v>0</v>
      </c>
      <c r="DG107" s="197">
        <v>0</v>
      </c>
      <c r="DH107" s="180"/>
      <c r="DI107" s="196" t="s">
        <v>514</v>
      </c>
      <c r="DJ107" s="196">
        <v>15.4675</v>
      </c>
      <c r="DK107" s="196">
        <v>7.29</v>
      </c>
      <c r="DL107" s="196">
        <v>0.36</v>
      </c>
      <c r="DM107" s="196">
        <v>0.81</v>
      </c>
      <c r="DN107" s="196">
        <v>7.3</v>
      </c>
      <c r="DO107" s="196">
        <v>41.31</v>
      </c>
      <c r="DP107" s="196">
        <v>44.715</v>
      </c>
      <c r="DQ107" s="196">
        <v>4.41</v>
      </c>
      <c r="DR107" s="196">
        <v>14.055</v>
      </c>
      <c r="DS107" s="196">
        <v>43.01</v>
      </c>
      <c r="DT107" s="196">
        <v>0.3375</v>
      </c>
      <c r="DU107" s="196">
        <v>33.35</v>
      </c>
      <c r="DV107" s="196">
        <v>4.32</v>
      </c>
      <c r="DW107" s="196">
        <v>0.4725</v>
      </c>
      <c r="DX107" s="196">
        <v>13.3875</v>
      </c>
      <c r="DY107" s="197">
        <v>1.8025</v>
      </c>
    </row>
    <row r="108" s="180" customFormat="1" ht="30" spans="3:129">
      <c r="C108" s="180" t="s">
        <v>114</v>
      </c>
      <c r="E108" s="194" t="s">
        <v>515</v>
      </c>
      <c r="F108" s="194">
        <v>0</v>
      </c>
      <c r="G108" s="194">
        <v>-443.425</v>
      </c>
      <c r="H108" s="194">
        <v>0</v>
      </c>
      <c r="I108" s="194">
        <v>0</v>
      </c>
      <c r="J108" s="194">
        <v>0</v>
      </c>
      <c r="K108" s="194">
        <v>0</v>
      </c>
      <c r="L108" s="194">
        <v>0</v>
      </c>
      <c r="M108" s="194">
        <v>0</v>
      </c>
      <c r="N108" s="194">
        <v>0</v>
      </c>
      <c r="O108" s="194">
        <v>0</v>
      </c>
      <c r="P108" s="194">
        <v>0</v>
      </c>
      <c r="Q108" s="194">
        <v>0</v>
      </c>
      <c r="R108" s="194">
        <v>0</v>
      </c>
      <c r="S108" s="194">
        <v>0</v>
      </c>
      <c r="T108" s="194">
        <v>0</v>
      </c>
      <c r="U108" s="194">
        <v>0</v>
      </c>
      <c r="V108" s="194">
        <v>0</v>
      </c>
      <c r="W108" s="194">
        <v>-21.6</v>
      </c>
      <c r="X108" s="194">
        <v>-132</v>
      </c>
      <c r="Y108" s="194">
        <v>-169.6</v>
      </c>
      <c r="Z108" s="194">
        <v>-72</v>
      </c>
      <c r="AA108" s="194">
        <v>0</v>
      </c>
      <c r="AB108" s="194">
        <v>0</v>
      </c>
      <c r="AC108" s="194">
        <v>0</v>
      </c>
      <c r="AD108" s="194">
        <v>0</v>
      </c>
      <c r="AE108" s="194">
        <v>0</v>
      </c>
      <c r="AF108" s="194">
        <v>0</v>
      </c>
      <c r="AG108" s="194">
        <v>0</v>
      </c>
      <c r="AH108" s="194">
        <v>0</v>
      </c>
      <c r="AI108" s="194">
        <v>0</v>
      </c>
      <c r="AJ108" s="194">
        <v>0</v>
      </c>
      <c r="AK108" s="194">
        <v>0</v>
      </c>
      <c r="AL108" s="194">
        <v>0</v>
      </c>
      <c r="AM108" s="194">
        <v>-344.625</v>
      </c>
      <c r="AN108" s="194">
        <v>0</v>
      </c>
      <c r="AO108" s="194">
        <v>0</v>
      </c>
      <c r="AP108" s="194">
        <v>0</v>
      </c>
      <c r="AQ108" s="194">
        <v>0</v>
      </c>
      <c r="AR108" s="194">
        <v>-212.25</v>
      </c>
      <c r="AS108" s="194">
        <v>-20.9</v>
      </c>
      <c r="AT108" s="194">
        <v>-20.8</v>
      </c>
      <c r="AU108" s="194">
        <v>-20.8</v>
      </c>
      <c r="AV108" s="194">
        <v>-49.375</v>
      </c>
      <c r="AW108" s="194">
        <v>-20.8</v>
      </c>
      <c r="AX108" s="194">
        <v>-43.025</v>
      </c>
      <c r="AY108" s="194">
        <v>-55.225</v>
      </c>
      <c r="AZ108" s="194">
        <v>-77.375</v>
      </c>
      <c r="BA108" s="194">
        <v>-28.475</v>
      </c>
      <c r="BB108" s="194">
        <v>-7.25</v>
      </c>
      <c r="BC108" s="194">
        <v>-6.725</v>
      </c>
      <c r="BD108" s="194">
        <v>-17.425</v>
      </c>
      <c r="BE108" s="195">
        <v>-6.725</v>
      </c>
      <c r="BF108" s="180"/>
      <c r="BG108" s="194" t="s">
        <v>515</v>
      </c>
      <c r="BH108" s="194">
        <v>0</v>
      </c>
      <c r="BI108" s="194">
        <v>-454.6075</v>
      </c>
      <c r="BJ108" s="194">
        <v>0</v>
      </c>
      <c r="BK108" s="194">
        <v>0</v>
      </c>
      <c r="BL108" s="194">
        <v>0</v>
      </c>
      <c r="BM108" s="194">
        <v>0</v>
      </c>
      <c r="BN108" s="194">
        <v>0</v>
      </c>
      <c r="BO108" s="194">
        <v>0</v>
      </c>
      <c r="BP108" s="194">
        <v>0</v>
      </c>
      <c r="BQ108" s="194">
        <v>0</v>
      </c>
      <c r="BR108" s="194">
        <v>0</v>
      </c>
      <c r="BS108" s="194">
        <v>0</v>
      </c>
      <c r="BT108" s="194">
        <v>0</v>
      </c>
      <c r="BU108" s="194">
        <v>0</v>
      </c>
      <c r="BV108" s="194">
        <v>0</v>
      </c>
      <c r="BW108" s="194">
        <v>0</v>
      </c>
      <c r="BX108" s="194">
        <v>0</v>
      </c>
      <c r="BY108" s="194">
        <v>-22.08</v>
      </c>
      <c r="BZ108" s="194">
        <v>-135.36</v>
      </c>
      <c r="CA108" s="194">
        <v>-173.84</v>
      </c>
      <c r="CB108" s="194">
        <v>-73.92</v>
      </c>
      <c r="CC108" s="194">
        <v>0</v>
      </c>
      <c r="CD108" s="194">
        <v>0</v>
      </c>
      <c r="CE108" s="194">
        <v>0</v>
      </c>
      <c r="CF108" s="194">
        <v>0</v>
      </c>
      <c r="CG108" s="194">
        <v>0</v>
      </c>
      <c r="CH108" s="194">
        <v>0</v>
      </c>
      <c r="CI108" s="194">
        <v>0</v>
      </c>
      <c r="CJ108" s="194">
        <v>0</v>
      </c>
      <c r="CK108" s="194">
        <v>0</v>
      </c>
      <c r="CL108" s="194">
        <v>0</v>
      </c>
      <c r="CM108" s="194">
        <v>0</v>
      </c>
      <c r="CN108" s="194">
        <v>0</v>
      </c>
      <c r="CO108" s="194">
        <v>-353.3025</v>
      </c>
      <c r="CP108" s="194">
        <v>0</v>
      </c>
      <c r="CQ108" s="194">
        <v>0</v>
      </c>
      <c r="CR108" s="194">
        <v>0</v>
      </c>
      <c r="CS108" s="194">
        <v>0</v>
      </c>
      <c r="CT108" s="194">
        <v>-217.6</v>
      </c>
      <c r="CU108" s="194">
        <v>-21.465</v>
      </c>
      <c r="CV108" s="194">
        <v>-21.3625</v>
      </c>
      <c r="CW108" s="194">
        <v>-21.3625</v>
      </c>
      <c r="CX108" s="194">
        <v>-50.63</v>
      </c>
      <c r="CY108" s="194">
        <v>-21.3625</v>
      </c>
      <c r="CZ108" s="194">
        <v>-44.1325</v>
      </c>
      <c r="DA108" s="194">
        <v>-56.6325</v>
      </c>
      <c r="DB108" s="194">
        <v>-79.35</v>
      </c>
      <c r="DC108" s="194">
        <v>-29.215</v>
      </c>
      <c r="DD108" s="194">
        <v>-7.51</v>
      </c>
      <c r="DE108" s="194">
        <v>-6.965</v>
      </c>
      <c r="DF108" s="194">
        <v>-17.875</v>
      </c>
      <c r="DG108" s="195">
        <v>-6.965</v>
      </c>
      <c r="DH108" s="180"/>
      <c r="DI108" s="194" t="s">
        <v>515</v>
      </c>
      <c r="DJ108" s="194">
        <v>0</v>
      </c>
      <c r="DK108" s="194">
        <v>0</v>
      </c>
      <c r="DL108" s="194">
        <v>0</v>
      </c>
      <c r="DM108" s="194">
        <v>0</v>
      </c>
      <c r="DN108" s="194">
        <v>0</v>
      </c>
      <c r="DO108" s="194">
        <v>0</v>
      </c>
      <c r="DP108" s="194">
        <v>0</v>
      </c>
      <c r="DQ108" s="194">
        <v>0</v>
      </c>
      <c r="DR108" s="194">
        <v>0</v>
      </c>
      <c r="DS108" s="194">
        <v>0</v>
      </c>
      <c r="DT108" s="194">
        <v>0</v>
      </c>
      <c r="DU108" s="194">
        <v>0</v>
      </c>
      <c r="DV108" s="194">
        <v>0</v>
      </c>
      <c r="DW108" s="194">
        <v>0</v>
      </c>
      <c r="DX108" s="194">
        <v>0</v>
      </c>
      <c r="DY108" s="195">
        <v>0</v>
      </c>
    </row>
    <row r="109" s="180" customFormat="1" ht="30" spans="3:129">
      <c r="C109" s="180" t="s">
        <v>114</v>
      </c>
      <c r="E109" s="194" t="s">
        <v>516</v>
      </c>
      <c r="F109" s="194" t="s">
        <v>517</v>
      </c>
      <c r="G109" s="194" t="s">
        <v>517</v>
      </c>
      <c r="H109" s="194" t="s">
        <v>517</v>
      </c>
      <c r="I109" s="194" t="s">
        <v>517</v>
      </c>
      <c r="J109" s="194" t="s">
        <v>517</v>
      </c>
      <c r="K109" s="194" t="s">
        <v>517</v>
      </c>
      <c r="L109" s="194" t="s">
        <v>517</v>
      </c>
      <c r="M109" s="194" t="s">
        <v>517</v>
      </c>
      <c r="N109" s="194" t="s">
        <v>517</v>
      </c>
      <c r="O109" s="194" t="s">
        <v>517</v>
      </c>
      <c r="P109" s="194" t="s">
        <v>517</v>
      </c>
      <c r="Q109" s="194" t="s">
        <v>517</v>
      </c>
      <c r="R109" s="194" t="s">
        <v>517</v>
      </c>
      <c r="S109" s="194" t="s">
        <v>517</v>
      </c>
      <c r="T109" s="194" t="s">
        <v>517</v>
      </c>
      <c r="U109" s="194" t="s">
        <v>517</v>
      </c>
      <c r="V109" s="194" t="s">
        <v>517</v>
      </c>
      <c r="W109" s="194" t="s">
        <v>517</v>
      </c>
      <c r="X109" s="194" t="s">
        <v>517</v>
      </c>
      <c r="Y109" s="194" t="s">
        <v>517</v>
      </c>
      <c r="Z109" s="194" t="s">
        <v>517</v>
      </c>
      <c r="AA109" s="194" t="s">
        <v>517</v>
      </c>
      <c r="AB109" s="194" t="s">
        <v>517</v>
      </c>
      <c r="AC109" s="194" t="s">
        <v>517</v>
      </c>
      <c r="AD109" s="194" t="s">
        <v>517</v>
      </c>
      <c r="AE109" s="194" t="s">
        <v>517</v>
      </c>
      <c r="AF109" s="194" t="s">
        <v>517</v>
      </c>
      <c r="AG109" s="194" t="s">
        <v>517</v>
      </c>
      <c r="AH109" s="194" t="s">
        <v>517</v>
      </c>
      <c r="AI109" s="194" t="s">
        <v>517</v>
      </c>
      <c r="AJ109" s="194" t="s">
        <v>517</v>
      </c>
      <c r="AK109" s="194" t="s">
        <v>517</v>
      </c>
      <c r="AL109" s="194" t="s">
        <v>517</v>
      </c>
      <c r="AM109" s="194" t="s">
        <v>517</v>
      </c>
      <c r="AN109" s="194" t="s">
        <v>517</v>
      </c>
      <c r="AO109" s="194" t="s">
        <v>517</v>
      </c>
      <c r="AP109" s="194" t="s">
        <v>517</v>
      </c>
      <c r="AQ109" s="194" t="s">
        <v>517</v>
      </c>
      <c r="AR109" s="194" t="s">
        <v>517</v>
      </c>
      <c r="AS109" s="194" t="s">
        <v>517</v>
      </c>
      <c r="AT109" s="194" t="s">
        <v>517</v>
      </c>
      <c r="AU109" s="194" t="s">
        <v>517</v>
      </c>
      <c r="AV109" s="194" t="s">
        <v>517</v>
      </c>
      <c r="AW109" s="194" t="s">
        <v>517</v>
      </c>
      <c r="AX109" s="194" t="s">
        <v>517</v>
      </c>
      <c r="AY109" s="194" t="s">
        <v>517</v>
      </c>
      <c r="AZ109" s="194" t="s">
        <v>517</v>
      </c>
      <c r="BA109" s="194" t="s">
        <v>517</v>
      </c>
      <c r="BB109" s="194" t="s">
        <v>517</v>
      </c>
      <c r="BC109" s="194" t="s">
        <v>517</v>
      </c>
      <c r="BD109" s="194" t="s">
        <v>517</v>
      </c>
      <c r="BE109" s="195" t="s">
        <v>518</v>
      </c>
      <c r="BF109" s="180"/>
      <c r="BG109" s="194" t="s">
        <v>519</v>
      </c>
      <c r="BH109" s="194" t="s">
        <v>520</v>
      </c>
      <c r="BI109" s="194" t="s">
        <v>520</v>
      </c>
      <c r="BJ109" s="194" t="s">
        <v>520</v>
      </c>
      <c r="BK109" s="194" t="s">
        <v>520</v>
      </c>
      <c r="BL109" s="194" t="s">
        <v>520</v>
      </c>
      <c r="BM109" s="194" t="s">
        <v>520</v>
      </c>
      <c r="BN109" s="194" t="s">
        <v>520</v>
      </c>
      <c r="BO109" s="194" t="s">
        <v>520</v>
      </c>
      <c r="BP109" s="194" t="s">
        <v>520</v>
      </c>
      <c r="BQ109" s="194" t="s">
        <v>520</v>
      </c>
      <c r="BR109" s="194" t="s">
        <v>520</v>
      </c>
      <c r="BS109" s="194" t="s">
        <v>520</v>
      </c>
      <c r="BT109" s="194" t="s">
        <v>520</v>
      </c>
      <c r="BU109" s="194" t="s">
        <v>520</v>
      </c>
      <c r="BV109" s="194" t="s">
        <v>520</v>
      </c>
      <c r="BW109" s="194" t="s">
        <v>520</v>
      </c>
      <c r="BX109" s="194" t="s">
        <v>520</v>
      </c>
      <c r="BY109" s="194" t="s">
        <v>520</v>
      </c>
      <c r="BZ109" s="194" t="s">
        <v>520</v>
      </c>
      <c r="CA109" s="194" t="s">
        <v>520</v>
      </c>
      <c r="CB109" s="194" t="s">
        <v>520</v>
      </c>
      <c r="CC109" s="194" t="s">
        <v>520</v>
      </c>
      <c r="CD109" s="194" t="s">
        <v>520</v>
      </c>
      <c r="CE109" s="194" t="s">
        <v>520</v>
      </c>
      <c r="CF109" s="194" t="s">
        <v>520</v>
      </c>
      <c r="CG109" s="194" t="s">
        <v>520</v>
      </c>
      <c r="CH109" s="194" t="s">
        <v>520</v>
      </c>
      <c r="CI109" s="194" t="s">
        <v>520</v>
      </c>
      <c r="CJ109" s="194" t="s">
        <v>520</v>
      </c>
      <c r="CK109" s="194" t="s">
        <v>520</v>
      </c>
      <c r="CL109" s="194" t="s">
        <v>520</v>
      </c>
      <c r="CM109" s="194" t="s">
        <v>520</v>
      </c>
      <c r="CN109" s="194" t="s">
        <v>520</v>
      </c>
      <c r="CO109" s="194" t="s">
        <v>520</v>
      </c>
      <c r="CP109" s="194" t="s">
        <v>520</v>
      </c>
      <c r="CQ109" s="194" t="s">
        <v>520</v>
      </c>
      <c r="CR109" s="194" t="s">
        <v>520</v>
      </c>
      <c r="CS109" s="194" t="s">
        <v>520</v>
      </c>
      <c r="CT109" s="194" t="s">
        <v>520</v>
      </c>
      <c r="CU109" s="194" t="s">
        <v>520</v>
      </c>
      <c r="CV109" s="194" t="s">
        <v>520</v>
      </c>
      <c r="CW109" s="194" t="s">
        <v>520</v>
      </c>
      <c r="CX109" s="194" t="s">
        <v>520</v>
      </c>
      <c r="CY109" s="194" t="s">
        <v>520</v>
      </c>
      <c r="CZ109" s="194" t="s">
        <v>520</v>
      </c>
      <c r="DA109" s="194" t="s">
        <v>520</v>
      </c>
      <c r="DB109" s="194" t="s">
        <v>520</v>
      </c>
      <c r="DC109" s="194" t="s">
        <v>520</v>
      </c>
      <c r="DD109" s="194" t="s">
        <v>520</v>
      </c>
      <c r="DE109" s="194" t="s">
        <v>520</v>
      </c>
      <c r="DF109" s="194" t="s">
        <v>520</v>
      </c>
      <c r="DG109" s="195" t="s">
        <v>521</v>
      </c>
      <c r="DH109" s="180"/>
      <c r="DI109" s="194" t="s">
        <v>522</v>
      </c>
      <c r="DJ109" s="194" t="s">
        <v>523</v>
      </c>
      <c r="DK109" s="194" t="s">
        <v>523</v>
      </c>
      <c r="DL109" s="194" t="s">
        <v>524</v>
      </c>
      <c r="DM109" s="194" t="s">
        <v>524</v>
      </c>
      <c r="DN109" s="194" t="s">
        <v>524</v>
      </c>
      <c r="DO109" s="194" t="s">
        <v>524</v>
      </c>
      <c r="DP109" s="194" t="s">
        <v>524</v>
      </c>
      <c r="DQ109" s="194" t="s">
        <v>524</v>
      </c>
      <c r="DR109" s="194" t="s">
        <v>524</v>
      </c>
      <c r="DS109" s="194" t="s">
        <v>524</v>
      </c>
      <c r="DT109" s="194" t="s">
        <v>524</v>
      </c>
      <c r="DU109" s="194" t="s">
        <v>523</v>
      </c>
      <c r="DV109" s="194" t="s">
        <v>523</v>
      </c>
      <c r="DW109" s="194" t="s">
        <v>523</v>
      </c>
      <c r="DX109" s="194" t="s">
        <v>523</v>
      </c>
      <c r="DY109" s="195" t="s">
        <v>523</v>
      </c>
    </row>
    <row r="110" s="180" customFormat="1" ht="30" spans="3:129">
      <c r="C110" s="180" t="s">
        <v>114</v>
      </c>
      <c r="E110" s="194" t="s">
        <v>525</v>
      </c>
      <c r="F110" s="194" t="s">
        <v>526</v>
      </c>
      <c r="G110" s="194" t="s">
        <v>526</v>
      </c>
      <c r="H110" s="194" t="s">
        <v>526</v>
      </c>
      <c r="I110" s="194" t="s">
        <v>526</v>
      </c>
      <c r="J110" s="194" t="s">
        <v>526</v>
      </c>
      <c r="K110" s="194" t="s">
        <v>526</v>
      </c>
      <c r="L110" s="194" t="s">
        <v>526</v>
      </c>
      <c r="M110" s="194" t="s">
        <v>526</v>
      </c>
      <c r="N110" s="194" t="s">
        <v>526</v>
      </c>
      <c r="O110" s="194" t="s">
        <v>526</v>
      </c>
      <c r="P110" s="194" t="s">
        <v>526</v>
      </c>
      <c r="Q110" s="194" t="s">
        <v>526</v>
      </c>
      <c r="R110" s="194" t="s">
        <v>526</v>
      </c>
      <c r="S110" s="194" t="s">
        <v>526</v>
      </c>
      <c r="T110" s="194" t="s">
        <v>526</v>
      </c>
      <c r="U110" s="194" t="s">
        <v>526</v>
      </c>
      <c r="V110" s="194" t="s">
        <v>526</v>
      </c>
      <c r="W110" s="194" t="s">
        <v>526</v>
      </c>
      <c r="X110" s="194" t="s">
        <v>526</v>
      </c>
      <c r="Y110" s="194" t="s">
        <v>526</v>
      </c>
      <c r="Z110" s="194" t="s">
        <v>526</v>
      </c>
      <c r="AA110" s="194" t="s">
        <v>526</v>
      </c>
      <c r="AB110" s="194" t="s">
        <v>526</v>
      </c>
      <c r="AC110" s="194" t="s">
        <v>526</v>
      </c>
      <c r="AD110" s="194" t="s">
        <v>526</v>
      </c>
      <c r="AE110" s="194" t="s">
        <v>526</v>
      </c>
      <c r="AF110" s="194" t="s">
        <v>526</v>
      </c>
      <c r="AG110" s="194" t="s">
        <v>526</v>
      </c>
      <c r="AH110" s="194" t="s">
        <v>526</v>
      </c>
      <c r="AI110" s="194" t="s">
        <v>526</v>
      </c>
      <c r="AJ110" s="194" t="s">
        <v>526</v>
      </c>
      <c r="AK110" s="194" t="s">
        <v>526</v>
      </c>
      <c r="AL110" s="194" t="s">
        <v>526</v>
      </c>
      <c r="AM110" s="194" t="s">
        <v>526</v>
      </c>
      <c r="AN110" s="194" t="s">
        <v>526</v>
      </c>
      <c r="AO110" s="194" t="s">
        <v>526</v>
      </c>
      <c r="AP110" s="194" t="s">
        <v>526</v>
      </c>
      <c r="AQ110" s="194" t="s">
        <v>526</v>
      </c>
      <c r="AR110" s="194" t="s">
        <v>526</v>
      </c>
      <c r="AS110" s="194" t="s">
        <v>526</v>
      </c>
      <c r="AT110" s="194" t="s">
        <v>526</v>
      </c>
      <c r="AU110" s="194" t="s">
        <v>526</v>
      </c>
      <c r="AV110" s="194" t="s">
        <v>526</v>
      </c>
      <c r="AW110" s="194" t="s">
        <v>526</v>
      </c>
      <c r="AX110" s="194" t="s">
        <v>526</v>
      </c>
      <c r="AY110" s="194" t="s">
        <v>526</v>
      </c>
      <c r="AZ110" s="194" t="s">
        <v>526</v>
      </c>
      <c r="BA110" s="194" t="s">
        <v>526</v>
      </c>
      <c r="BB110" s="194" t="s">
        <v>526</v>
      </c>
      <c r="BC110" s="194" t="s">
        <v>526</v>
      </c>
      <c r="BD110" s="194" t="s">
        <v>526</v>
      </c>
      <c r="BE110" s="195" t="s">
        <v>527</v>
      </c>
      <c r="BF110" s="180"/>
      <c r="BG110" s="198" t="s">
        <v>528</v>
      </c>
      <c r="BH110" s="198" t="s">
        <v>520</v>
      </c>
      <c r="BI110" s="198" t="s">
        <v>520</v>
      </c>
      <c r="BJ110" s="198" t="s">
        <v>520</v>
      </c>
      <c r="BK110" s="198" t="s">
        <v>520</v>
      </c>
      <c r="BL110" s="198" t="s">
        <v>520</v>
      </c>
      <c r="BM110" s="198" t="s">
        <v>520</v>
      </c>
      <c r="BN110" s="198" t="s">
        <v>520</v>
      </c>
      <c r="BO110" s="198" t="s">
        <v>520</v>
      </c>
      <c r="BP110" s="198" t="s">
        <v>520</v>
      </c>
      <c r="BQ110" s="198" t="s">
        <v>520</v>
      </c>
      <c r="BR110" s="198" t="s">
        <v>520</v>
      </c>
      <c r="BS110" s="198" t="s">
        <v>520</v>
      </c>
      <c r="BT110" s="198" t="s">
        <v>520</v>
      </c>
      <c r="BU110" s="198" t="s">
        <v>520</v>
      </c>
      <c r="BV110" s="198" t="s">
        <v>520</v>
      </c>
      <c r="BW110" s="198" t="s">
        <v>520</v>
      </c>
      <c r="BX110" s="198" t="s">
        <v>520</v>
      </c>
      <c r="BY110" s="198" t="s">
        <v>520</v>
      </c>
      <c r="BZ110" s="198" t="s">
        <v>520</v>
      </c>
      <c r="CA110" s="198" t="s">
        <v>520</v>
      </c>
      <c r="CB110" s="198" t="s">
        <v>520</v>
      </c>
      <c r="CC110" s="198" t="s">
        <v>520</v>
      </c>
      <c r="CD110" s="198" t="s">
        <v>520</v>
      </c>
      <c r="CE110" s="198" t="s">
        <v>520</v>
      </c>
      <c r="CF110" s="198" t="s">
        <v>520</v>
      </c>
      <c r="CG110" s="198" t="s">
        <v>520</v>
      </c>
      <c r="CH110" s="198" t="s">
        <v>520</v>
      </c>
      <c r="CI110" s="198" t="s">
        <v>520</v>
      </c>
      <c r="CJ110" s="198" t="s">
        <v>520</v>
      </c>
      <c r="CK110" s="198" t="s">
        <v>520</v>
      </c>
      <c r="CL110" s="198" t="s">
        <v>520</v>
      </c>
      <c r="CM110" s="198" t="s">
        <v>520</v>
      </c>
      <c r="CN110" s="198" t="s">
        <v>520</v>
      </c>
      <c r="CO110" s="198" t="s">
        <v>520</v>
      </c>
      <c r="CP110" s="198" t="s">
        <v>520</v>
      </c>
      <c r="CQ110" s="198" t="s">
        <v>520</v>
      </c>
      <c r="CR110" s="198" t="s">
        <v>520</v>
      </c>
      <c r="CS110" s="198" t="s">
        <v>520</v>
      </c>
      <c r="CT110" s="198" t="s">
        <v>520</v>
      </c>
      <c r="CU110" s="198" t="s">
        <v>520</v>
      </c>
      <c r="CV110" s="198" t="s">
        <v>520</v>
      </c>
      <c r="CW110" s="198" t="s">
        <v>520</v>
      </c>
      <c r="CX110" s="198" t="s">
        <v>520</v>
      </c>
      <c r="CY110" s="198" t="s">
        <v>520</v>
      </c>
      <c r="CZ110" s="198" t="s">
        <v>520</v>
      </c>
      <c r="DA110" s="198" t="s">
        <v>520</v>
      </c>
      <c r="DB110" s="198" t="s">
        <v>520</v>
      </c>
      <c r="DC110" s="198" t="s">
        <v>520</v>
      </c>
      <c r="DD110" s="198" t="s">
        <v>520</v>
      </c>
      <c r="DE110" s="198" t="s">
        <v>520</v>
      </c>
      <c r="DF110" s="198" t="s">
        <v>520</v>
      </c>
      <c r="DG110" s="199" t="s">
        <v>521</v>
      </c>
      <c r="DH110" s="180"/>
      <c r="DI110" s="200" t="s">
        <v>529</v>
      </c>
      <c r="DJ110" s="201" t="s">
        <v>523</v>
      </c>
      <c r="DK110" s="201" t="s">
        <v>523</v>
      </c>
      <c r="DL110" s="201" t="s">
        <v>524</v>
      </c>
      <c r="DM110" s="201" t="s">
        <v>524</v>
      </c>
      <c r="DN110" s="201" t="s">
        <v>524</v>
      </c>
      <c r="DO110" s="201" t="s">
        <v>524</v>
      </c>
      <c r="DP110" s="201" t="s">
        <v>524</v>
      </c>
      <c r="DQ110" s="201" t="s">
        <v>524</v>
      </c>
      <c r="DR110" s="201" t="s">
        <v>524</v>
      </c>
      <c r="DS110" s="201" t="s">
        <v>524</v>
      </c>
      <c r="DT110" s="201" t="s">
        <v>524</v>
      </c>
      <c r="DU110" s="201" t="s">
        <v>523</v>
      </c>
      <c r="DV110" s="201" t="s">
        <v>523</v>
      </c>
      <c r="DW110" s="201" t="s">
        <v>523</v>
      </c>
      <c r="DX110" s="201" t="s">
        <v>523</v>
      </c>
      <c r="DY110" s="202" t="s">
        <v>523</v>
      </c>
    </row>
    <row r="112" s="180" customFormat="1" spans="1:113">
      <c r="A112" s="180" t="s">
        <v>114</v>
      </c>
      <c r="BG112" s="180" t="s">
        <v>530</v>
      </c>
      <c r="DI112" s="180" t="s">
        <v>531</v>
      </c>
    </row>
    <row r="113" s="180" customFormat="1" spans="1:1">
      <c r="A113" s="180" t="s">
        <v>532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E9"/>
    <mergeCell ref="BG9:DG9"/>
    <mergeCell ref="DI9:DY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5" customWidth="1"/>
    <col min="4" max="4" width="9" style="85"/>
    <col min="5" max="6" width="13.6666666666667" style="85" customWidth="1"/>
    <col min="7" max="7" width="9" style="85"/>
    <col min="8" max="9" width="13.6666666666667" style="85" customWidth="1"/>
    <col min="10" max="16384" width="9" style="85"/>
  </cols>
  <sheetData>
    <row r="1" spans="1:3">
      <c r="A1" s="160"/>
      <c r="B1" s="160"/>
      <c r="C1" s="160"/>
    </row>
    <row r="2" spans="1:3">
      <c r="A2" s="160"/>
      <c r="B2" s="160"/>
      <c r="C2" s="160"/>
    </row>
    <row r="3" spans="1:3">
      <c r="A3" s="160"/>
      <c r="B3" s="160"/>
      <c r="C3" s="160"/>
    </row>
    <row r="4" spans="1:3">
      <c r="A4" s="160"/>
      <c r="B4" s="160"/>
      <c r="C4" s="160"/>
    </row>
    <row r="5" spans="1:3">
      <c r="A5" s="160"/>
      <c r="B5" s="160"/>
      <c r="C5" s="161"/>
    </row>
    <row r="6" spans="1:3">
      <c r="A6" s="160"/>
      <c r="B6" s="160"/>
      <c r="C6" s="162"/>
    </row>
    <row r="7" spans="1:3">
      <c r="A7" s="160"/>
      <c r="B7" s="160"/>
      <c r="C7" s="161"/>
    </row>
    <row r="10" ht="30" customHeight="1" spans="1:9">
      <c r="A10" s="163"/>
      <c r="B10" s="163"/>
      <c r="C10" s="163"/>
      <c r="E10" s="163"/>
      <c r="F10" s="163"/>
      <c r="H10" s="163"/>
      <c r="I10" s="163"/>
    </row>
    <row r="11" spans="1:9">
      <c r="A11" s="164"/>
      <c r="B11" s="165"/>
      <c r="C11" s="166"/>
      <c r="E11" s="165"/>
      <c r="F11" s="166"/>
      <c r="H11" s="165"/>
      <c r="I11" s="166"/>
    </row>
    <row r="12" spans="1:9">
      <c r="A12" s="167"/>
      <c r="B12" s="168"/>
      <c r="C12" s="169"/>
      <c r="E12" s="168"/>
      <c r="F12" s="169"/>
      <c r="H12" s="168"/>
      <c r="I12" s="169"/>
    </row>
    <row r="13" spans="1:9">
      <c r="A13" s="167"/>
      <c r="B13" s="168"/>
      <c r="C13" s="169"/>
      <c r="E13" s="168"/>
      <c r="F13" s="169"/>
      <c r="H13" s="168"/>
      <c r="I13" s="169"/>
    </row>
    <row r="14" spans="1:9">
      <c r="A14" s="167"/>
      <c r="B14" s="168"/>
      <c r="C14" s="169"/>
      <c r="E14" s="168"/>
      <c r="F14" s="169"/>
      <c r="H14" s="168"/>
      <c r="I14" s="169"/>
    </row>
    <row r="15" spans="1:9">
      <c r="A15" s="167"/>
      <c r="B15" s="168"/>
      <c r="C15" s="169"/>
      <c r="E15" s="168"/>
      <c r="F15" s="169"/>
      <c r="H15" s="168"/>
      <c r="I15" s="169"/>
    </row>
    <row r="16" spans="1:9">
      <c r="A16" s="167"/>
      <c r="B16" s="168"/>
      <c r="C16" s="169"/>
      <c r="E16" s="168"/>
      <c r="F16" s="169"/>
      <c r="H16" s="168"/>
      <c r="I16" s="169"/>
    </row>
    <row r="17" spans="1:9">
      <c r="A17" s="167"/>
      <c r="B17" s="168"/>
      <c r="C17" s="169"/>
      <c r="E17" s="168"/>
      <c r="F17" s="169"/>
      <c r="H17" s="168"/>
      <c r="I17" s="169"/>
    </row>
    <row r="18" spans="1:9">
      <c r="A18" s="167"/>
      <c r="B18" s="168"/>
      <c r="C18" s="169"/>
      <c r="E18" s="168"/>
      <c r="F18" s="169"/>
      <c r="H18" s="168"/>
      <c r="I18" s="169"/>
    </row>
    <row r="19" spans="1:9">
      <c r="A19" s="167"/>
      <c r="B19" s="168"/>
      <c r="C19" s="169"/>
      <c r="E19" s="168"/>
      <c r="F19" s="169"/>
      <c r="H19" s="168"/>
      <c r="I19" s="169"/>
    </row>
    <row r="20" spans="1:9">
      <c r="A20" s="167"/>
      <c r="B20" s="168"/>
      <c r="C20" s="169"/>
      <c r="E20" s="168"/>
      <c r="F20" s="169"/>
      <c r="H20" s="168"/>
      <c r="I20" s="169"/>
    </row>
    <row r="21" spans="1:9">
      <c r="A21" s="167"/>
      <c r="B21" s="168"/>
      <c r="C21" s="169"/>
      <c r="E21" s="168"/>
      <c r="F21" s="169"/>
      <c r="H21" s="168"/>
      <c r="I21" s="169"/>
    </row>
    <row r="22" spans="1:9">
      <c r="A22" s="167"/>
      <c r="B22" s="168"/>
      <c r="C22" s="169"/>
      <c r="E22" s="168"/>
      <c r="F22" s="169"/>
      <c r="H22" s="168"/>
      <c r="I22" s="169"/>
    </row>
    <row r="23" spans="1:9">
      <c r="A23" s="167"/>
      <c r="B23" s="168"/>
      <c r="C23" s="169"/>
      <c r="E23" s="168"/>
      <c r="F23" s="169"/>
      <c r="H23" s="168"/>
      <c r="I23" s="169"/>
    </row>
    <row r="24" spans="1:9">
      <c r="A24" s="167"/>
      <c r="B24" s="168"/>
      <c r="C24" s="169"/>
      <c r="E24" s="168"/>
      <c r="F24" s="169"/>
      <c r="H24" s="168"/>
      <c r="I24" s="169"/>
    </row>
    <row r="25" spans="1:9">
      <c r="A25" s="167"/>
      <c r="B25" s="168"/>
      <c r="C25" s="169"/>
      <c r="E25" s="168"/>
      <c r="F25" s="169"/>
      <c r="H25" s="168"/>
      <c r="I25" s="169"/>
    </row>
    <row r="26" spans="1:9">
      <c r="A26" s="167"/>
      <c r="B26" s="168"/>
      <c r="C26" s="169"/>
      <c r="E26" s="168"/>
      <c r="F26" s="169"/>
      <c r="H26" s="168"/>
      <c r="I26" s="169"/>
    </row>
    <row r="27" spans="1:9">
      <c r="A27" s="167"/>
      <c r="B27" s="168"/>
      <c r="C27" s="169"/>
      <c r="E27" s="168"/>
      <c r="F27" s="169"/>
      <c r="H27" s="168"/>
      <c r="I27" s="169"/>
    </row>
    <row r="28" spans="1:9">
      <c r="A28" s="167"/>
      <c r="B28" s="168"/>
      <c r="C28" s="169"/>
      <c r="E28" s="168"/>
      <c r="F28" s="169"/>
      <c r="H28" s="168"/>
      <c r="I28" s="169"/>
    </row>
    <row r="29" spans="1:9">
      <c r="A29" s="167"/>
      <c r="B29" s="168"/>
      <c r="C29" s="169"/>
      <c r="E29" s="168"/>
      <c r="F29" s="169"/>
      <c r="H29" s="168"/>
      <c r="I29" s="169"/>
    </row>
    <row r="30" spans="1:9">
      <c r="A30" s="167"/>
      <c r="B30" s="168"/>
      <c r="C30" s="169"/>
      <c r="E30" s="168"/>
      <c r="F30" s="169"/>
      <c r="H30" s="168"/>
      <c r="I30" s="169"/>
    </row>
    <row r="31" spans="1:9">
      <c r="A31" s="167"/>
      <c r="B31" s="168"/>
      <c r="C31" s="169"/>
      <c r="E31" s="168"/>
      <c r="F31" s="169"/>
      <c r="H31" s="168"/>
      <c r="I31" s="169"/>
    </row>
    <row r="32" spans="1:9">
      <c r="A32" s="167"/>
      <c r="B32" s="168"/>
      <c r="C32" s="169"/>
      <c r="E32" s="168"/>
      <c r="F32" s="169"/>
      <c r="H32" s="168"/>
      <c r="I32" s="169"/>
    </row>
    <row r="33" spans="1:9">
      <c r="A33" s="167"/>
      <c r="B33" s="168"/>
      <c r="C33" s="169"/>
      <c r="E33" s="168"/>
      <c r="F33" s="169"/>
      <c r="H33" s="168"/>
      <c r="I33" s="169"/>
    </row>
    <row r="34" spans="1:9">
      <c r="A34" s="167"/>
      <c r="B34" s="168"/>
      <c r="C34" s="169"/>
      <c r="E34" s="168"/>
      <c r="F34" s="169"/>
      <c r="H34" s="168"/>
      <c r="I34" s="169"/>
    </row>
    <row r="35" spans="1:9">
      <c r="A35" s="167"/>
      <c r="B35" s="168"/>
      <c r="C35" s="169"/>
      <c r="E35" s="168"/>
      <c r="F35" s="169"/>
      <c r="H35" s="168"/>
      <c r="I35" s="169"/>
    </row>
    <row r="36" spans="1:9">
      <c r="A36" s="167"/>
      <c r="B36" s="168"/>
      <c r="C36" s="169"/>
      <c r="E36" s="168"/>
      <c r="F36" s="169"/>
      <c r="H36" s="168"/>
      <c r="I36" s="169"/>
    </row>
    <row r="37" spans="1:9">
      <c r="A37" s="167"/>
      <c r="B37" s="168"/>
      <c r="C37" s="169"/>
      <c r="E37" s="168"/>
      <c r="F37" s="169"/>
      <c r="H37" s="168"/>
      <c r="I37" s="169"/>
    </row>
    <row r="38" spans="1:9">
      <c r="A38" s="167"/>
      <c r="B38" s="168"/>
      <c r="C38" s="169"/>
      <c r="E38" s="168"/>
      <c r="F38" s="169"/>
      <c r="H38" s="168"/>
      <c r="I38" s="169"/>
    </row>
    <row r="39" spans="1:9">
      <c r="A39" s="167"/>
      <c r="B39" s="168"/>
      <c r="C39" s="169"/>
      <c r="E39" s="168"/>
      <c r="F39" s="169"/>
      <c r="H39" s="168"/>
      <c r="I39" s="169"/>
    </row>
    <row r="40" spans="1:9">
      <c r="A40" s="167"/>
      <c r="B40" s="168"/>
      <c r="C40" s="169"/>
      <c r="E40" s="168"/>
      <c r="F40" s="169"/>
      <c r="H40" s="168"/>
      <c r="I40" s="169"/>
    </row>
    <row r="41" spans="1:9">
      <c r="A41" s="167"/>
      <c r="B41" s="168"/>
      <c r="C41" s="169"/>
      <c r="E41" s="168"/>
      <c r="F41" s="169"/>
      <c r="H41" s="168"/>
      <c r="I41" s="169"/>
    </row>
    <row r="42" spans="1:9">
      <c r="A42" s="167"/>
      <c r="B42" s="168"/>
      <c r="C42" s="169"/>
      <c r="E42" s="168"/>
      <c r="F42" s="169"/>
      <c r="H42" s="168"/>
      <c r="I42" s="169"/>
    </row>
    <row r="43" spans="1:9">
      <c r="A43" s="167"/>
      <c r="B43" s="168"/>
      <c r="C43" s="169"/>
      <c r="E43" s="168"/>
      <c r="F43" s="169"/>
      <c r="H43" s="168"/>
      <c r="I43" s="169"/>
    </row>
    <row r="44" spans="1:9">
      <c r="A44" s="167"/>
      <c r="B44" s="168"/>
      <c r="C44" s="169"/>
      <c r="E44" s="168"/>
      <c r="F44" s="169"/>
      <c r="H44" s="168"/>
      <c r="I44" s="169"/>
    </row>
    <row r="45" spans="1:9">
      <c r="A45" s="167"/>
      <c r="B45" s="168"/>
      <c r="C45" s="169"/>
      <c r="E45" s="168"/>
      <c r="F45" s="169"/>
      <c r="H45" s="168"/>
      <c r="I45" s="169"/>
    </row>
    <row r="46" spans="1:9">
      <c r="A46" s="167"/>
      <c r="B46" s="168"/>
      <c r="C46" s="169"/>
      <c r="E46" s="168"/>
      <c r="F46" s="169"/>
      <c r="H46" s="168"/>
      <c r="I46" s="169"/>
    </row>
    <row r="47" spans="1:9">
      <c r="A47" s="167"/>
      <c r="B47" s="168"/>
      <c r="C47" s="169"/>
      <c r="E47" s="168"/>
      <c r="F47" s="169"/>
      <c r="H47" s="168"/>
      <c r="I47" s="169"/>
    </row>
    <row r="48" spans="1:9">
      <c r="A48" s="167"/>
      <c r="B48" s="168"/>
      <c r="C48" s="169"/>
      <c r="E48" s="168"/>
      <c r="F48" s="169"/>
      <c r="H48" s="168"/>
      <c r="I48" s="169"/>
    </row>
    <row r="49" spans="1:9">
      <c r="A49" s="167"/>
      <c r="B49" s="168"/>
      <c r="C49" s="169"/>
      <c r="E49" s="168"/>
      <c r="F49" s="169"/>
      <c r="H49" s="168"/>
      <c r="I49" s="169"/>
    </row>
    <row r="50" spans="1:9">
      <c r="A50" s="167"/>
      <c r="B50" s="168"/>
      <c r="C50" s="169"/>
      <c r="E50" s="168"/>
      <c r="F50" s="169"/>
      <c r="H50" s="168"/>
      <c r="I50" s="169"/>
    </row>
    <row r="51" spans="1:9">
      <c r="A51" s="167"/>
      <c r="B51" s="168"/>
      <c r="C51" s="169"/>
      <c r="E51" s="168"/>
      <c r="F51" s="169"/>
      <c r="H51" s="168"/>
      <c r="I51" s="169"/>
    </row>
    <row r="52" spans="1:9">
      <c r="A52" s="167"/>
      <c r="B52" s="168"/>
      <c r="C52" s="169"/>
      <c r="E52" s="168"/>
      <c r="F52" s="169"/>
      <c r="H52" s="168"/>
      <c r="I52" s="169"/>
    </row>
    <row r="53" spans="1:9">
      <c r="A53" s="167"/>
      <c r="B53" s="168"/>
      <c r="C53" s="169"/>
      <c r="E53" s="168"/>
      <c r="F53" s="169"/>
      <c r="H53" s="168"/>
      <c r="I53" s="169"/>
    </row>
    <row r="54" spans="1:9">
      <c r="A54" s="167"/>
      <c r="B54" s="168"/>
      <c r="C54" s="169"/>
      <c r="E54" s="168"/>
      <c r="F54" s="169"/>
      <c r="H54" s="168"/>
      <c r="I54" s="169"/>
    </row>
    <row r="55" spans="1:9">
      <c r="A55" s="167"/>
      <c r="B55" s="168"/>
      <c r="C55" s="169"/>
      <c r="E55" s="168"/>
      <c r="F55" s="169"/>
      <c r="H55" s="168"/>
      <c r="I55" s="169"/>
    </row>
    <row r="56" spans="1:9">
      <c r="A56" s="167"/>
      <c r="B56" s="168"/>
      <c r="C56" s="169"/>
      <c r="E56" s="168"/>
      <c r="F56" s="169"/>
      <c r="H56" s="168"/>
      <c r="I56" s="169"/>
    </row>
    <row r="57" spans="1:9">
      <c r="A57" s="167"/>
      <c r="B57" s="168"/>
      <c r="C57" s="169"/>
      <c r="E57" s="168"/>
      <c r="F57" s="169"/>
      <c r="H57" s="168"/>
      <c r="I57" s="169"/>
    </row>
    <row r="58" spans="1:9">
      <c r="A58" s="167"/>
      <c r="B58" s="168"/>
      <c r="C58" s="169"/>
      <c r="E58" s="168"/>
      <c r="F58" s="169"/>
      <c r="H58" s="168"/>
      <c r="I58" s="169"/>
    </row>
    <row r="59" spans="1:9">
      <c r="A59" s="167"/>
      <c r="B59" s="168"/>
      <c r="C59" s="169"/>
      <c r="E59" s="168"/>
      <c r="F59" s="169"/>
      <c r="H59" s="168"/>
      <c r="I59" s="169"/>
    </row>
    <row r="60" spans="1:9">
      <c r="A60" s="167"/>
      <c r="B60" s="168"/>
      <c r="C60" s="169"/>
      <c r="E60" s="168"/>
      <c r="F60" s="169"/>
      <c r="H60" s="168"/>
      <c r="I60" s="169"/>
    </row>
    <row r="61" spans="1:9">
      <c r="A61" s="167"/>
      <c r="B61" s="168"/>
      <c r="C61" s="169"/>
      <c r="E61" s="168"/>
      <c r="F61" s="169"/>
      <c r="H61" s="168"/>
      <c r="I61" s="169"/>
    </row>
    <row r="62" spans="1:9">
      <c r="A62" s="167"/>
      <c r="B62" s="168"/>
      <c r="C62" s="169"/>
      <c r="E62" s="168"/>
      <c r="F62" s="169"/>
      <c r="H62" s="168"/>
      <c r="I62" s="169"/>
    </row>
    <row r="63" spans="1:9">
      <c r="A63" s="167"/>
      <c r="B63" s="168"/>
      <c r="C63" s="169"/>
      <c r="E63" s="168"/>
      <c r="F63" s="169"/>
      <c r="H63" s="168"/>
      <c r="I63" s="169"/>
    </row>
    <row r="64" spans="1:9">
      <c r="A64" s="167"/>
      <c r="B64" s="168"/>
      <c r="C64" s="169"/>
      <c r="E64" s="168"/>
      <c r="F64" s="169"/>
      <c r="H64" s="168"/>
      <c r="I64" s="169"/>
    </row>
    <row r="65" spans="1:9">
      <c r="A65" s="167"/>
      <c r="B65" s="168"/>
      <c r="C65" s="169"/>
      <c r="E65" s="168"/>
      <c r="F65" s="169"/>
      <c r="H65" s="168"/>
      <c r="I65" s="169"/>
    </row>
    <row r="66" spans="1:9">
      <c r="A66" s="167"/>
      <c r="B66" s="168"/>
      <c r="C66" s="169"/>
      <c r="E66" s="168"/>
      <c r="F66" s="169"/>
      <c r="H66" s="168"/>
      <c r="I66" s="169"/>
    </row>
    <row r="67" spans="1:9">
      <c r="A67" s="167"/>
      <c r="B67" s="168"/>
      <c r="C67" s="169"/>
      <c r="E67" s="168"/>
      <c r="F67" s="169"/>
      <c r="H67" s="168"/>
      <c r="I67" s="169"/>
    </row>
    <row r="68" spans="1:9">
      <c r="A68" s="167"/>
      <c r="B68" s="168"/>
      <c r="C68" s="169"/>
      <c r="E68" s="168"/>
      <c r="F68" s="169"/>
      <c r="H68" s="168"/>
      <c r="I68" s="169"/>
    </row>
    <row r="69" spans="1:9">
      <c r="A69" s="167"/>
      <c r="B69" s="168"/>
      <c r="C69" s="169"/>
      <c r="E69" s="168"/>
      <c r="F69" s="169"/>
      <c r="H69" s="168"/>
      <c r="I69" s="169"/>
    </row>
    <row r="70" spans="1:9">
      <c r="A70" s="167"/>
      <c r="B70" s="168"/>
      <c r="C70" s="169"/>
      <c r="E70" s="168"/>
      <c r="F70" s="169"/>
      <c r="H70" s="168"/>
      <c r="I70" s="169"/>
    </row>
    <row r="71" spans="1:9">
      <c r="A71" s="167"/>
      <c r="B71" s="168"/>
      <c r="C71" s="169"/>
      <c r="E71" s="168"/>
      <c r="F71" s="169"/>
      <c r="H71" s="168"/>
      <c r="I71" s="169"/>
    </row>
    <row r="72" spans="1:9">
      <c r="A72" s="167"/>
      <c r="B72" s="168"/>
      <c r="C72" s="169"/>
      <c r="E72" s="168"/>
      <c r="F72" s="169"/>
      <c r="H72" s="168"/>
      <c r="I72" s="169"/>
    </row>
    <row r="73" spans="1:9">
      <c r="A73" s="167"/>
      <c r="B73" s="168"/>
      <c r="C73" s="169"/>
      <c r="E73" s="168"/>
      <c r="F73" s="169"/>
      <c r="H73" s="168"/>
      <c r="I73" s="169"/>
    </row>
    <row r="74" spans="1:9">
      <c r="A74" s="167"/>
      <c r="B74" s="168"/>
      <c r="C74" s="169"/>
      <c r="E74" s="168"/>
      <c r="F74" s="169"/>
      <c r="H74" s="168"/>
      <c r="I74" s="169"/>
    </row>
    <row r="75" spans="1:9">
      <c r="A75" s="167"/>
      <c r="B75" s="168"/>
      <c r="C75" s="169"/>
      <c r="E75" s="168"/>
      <c r="F75" s="169"/>
      <c r="H75" s="168"/>
      <c r="I75" s="169"/>
    </row>
    <row r="76" spans="1:9">
      <c r="A76" s="167"/>
      <c r="B76" s="168"/>
      <c r="C76" s="169"/>
      <c r="E76" s="168"/>
      <c r="F76" s="169"/>
      <c r="H76" s="168"/>
      <c r="I76" s="169"/>
    </row>
    <row r="77" spans="1:9">
      <c r="A77" s="167"/>
      <c r="B77" s="168"/>
      <c r="C77" s="169"/>
      <c r="E77" s="168"/>
      <c r="F77" s="169"/>
      <c r="H77" s="168"/>
      <c r="I77" s="169"/>
    </row>
    <row r="78" spans="1:9">
      <c r="A78" s="167"/>
      <c r="B78" s="168"/>
      <c r="C78" s="169"/>
      <c r="E78" s="168"/>
      <c r="F78" s="169"/>
      <c r="H78" s="168"/>
      <c r="I78" s="169"/>
    </row>
    <row r="79" spans="1:9">
      <c r="A79" s="167"/>
      <c r="B79" s="168"/>
      <c r="C79" s="169"/>
      <c r="E79" s="168"/>
      <c r="F79" s="169"/>
      <c r="H79" s="168"/>
      <c r="I79" s="169"/>
    </row>
    <row r="80" spans="1:9">
      <c r="A80" s="167"/>
      <c r="B80" s="168"/>
      <c r="C80" s="169"/>
      <c r="E80" s="168"/>
      <c r="F80" s="169"/>
      <c r="H80" s="168"/>
      <c r="I80" s="169"/>
    </row>
    <row r="81" spans="1:9">
      <c r="A81" s="167"/>
      <c r="B81" s="168"/>
      <c r="C81" s="169"/>
      <c r="E81" s="168"/>
      <c r="F81" s="169"/>
      <c r="H81" s="168"/>
      <c r="I81" s="169"/>
    </row>
    <row r="82" spans="1:9">
      <c r="A82" s="167"/>
      <c r="B82" s="168"/>
      <c r="C82" s="169"/>
      <c r="E82" s="168"/>
      <c r="F82" s="169"/>
      <c r="H82" s="168"/>
      <c r="I82" s="169"/>
    </row>
    <row r="83" spans="1:9">
      <c r="A83" s="167"/>
      <c r="B83" s="168"/>
      <c r="C83" s="169"/>
      <c r="E83" s="168"/>
      <c r="F83" s="169"/>
      <c r="H83" s="168"/>
      <c r="I83" s="169"/>
    </row>
    <row r="84" spans="1:9">
      <c r="A84" s="167"/>
      <c r="B84" s="168"/>
      <c r="C84" s="169"/>
      <c r="E84" s="168"/>
      <c r="F84" s="169"/>
      <c r="H84" s="168"/>
      <c r="I84" s="169"/>
    </row>
    <row r="85" spans="1:9">
      <c r="A85" s="167"/>
      <c r="B85" s="168"/>
      <c r="C85" s="169"/>
      <c r="E85" s="168"/>
      <c r="F85" s="169"/>
      <c r="H85" s="168"/>
      <c r="I85" s="169"/>
    </row>
    <row r="86" spans="1:9">
      <c r="A86" s="167"/>
      <c r="B86" s="168"/>
      <c r="C86" s="169"/>
      <c r="E86" s="168"/>
      <c r="F86" s="169"/>
      <c r="H86" s="168"/>
      <c r="I86" s="169"/>
    </row>
    <row r="87" spans="1:9">
      <c r="A87" s="167"/>
      <c r="B87" s="168"/>
      <c r="C87" s="169"/>
      <c r="E87" s="168"/>
      <c r="F87" s="169"/>
      <c r="H87" s="168"/>
      <c r="I87" s="169"/>
    </row>
    <row r="88" spans="1:9">
      <c r="A88" s="167"/>
      <c r="B88" s="168"/>
      <c r="C88" s="169"/>
      <c r="E88" s="168"/>
      <c r="F88" s="169"/>
      <c r="H88" s="168"/>
      <c r="I88" s="169"/>
    </row>
    <row r="89" spans="1:9">
      <c r="A89" s="167"/>
      <c r="B89" s="168"/>
      <c r="C89" s="169"/>
      <c r="E89" s="168"/>
      <c r="F89" s="169"/>
      <c r="H89" s="168"/>
      <c r="I89" s="169"/>
    </row>
    <row r="90" spans="1:9">
      <c r="A90" s="167"/>
      <c r="B90" s="168"/>
      <c r="C90" s="169"/>
      <c r="E90" s="168"/>
      <c r="F90" s="169"/>
      <c r="H90" s="168"/>
      <c r="I90" s="169"/>
    </row>
    <row r="91" spans="1:9">
      <c r="A91" s="167"/>
      <c r="B91" s="168"/>
      <c r="C91" s="169"/>
      <c r="E91" s="168"/>
      <c r="F91" s="169"/>
      <c r="H91" s="168"/>
      <c r="I91" s="169"/>
    </row>
    <row r="92" spans="1:9">
      <c r="A92" s="167"/>
      <c r="B92" s="168"/>
      <c r="C92" s="169"/>
      <c r="E92" s="168"/>
      <c r="F92" s="169"/>
      <c r="H92" s="168"/>
      <c r="I92" s="169"/>
    </row>
    <row r="93" spans="1:9">
      <c r="A93" s="167"/>
      <c r="B93" s="168"/>
      <c r="C93" s="169"/>
      <c r="E93" s="168"/>
      <c r="F93" s="169"/>
      <c r="H93" s="168"/>
      <c r="I93" s="169"/>
    </row>
    <row r="94" spans="1:9">
      <c r="A94" s="167"/>
      <c r="B94" s="168"/>
      <c r="C94" s="169"/>
      <c r="E94" s="168"/>
      <c r="F94" s="169"/>
      <c r="H94" s="168"/>
      <c r="I94" s="169"/>
    </row>
    <row r="95" spans="1:9">
      <c r="A95" s="167"/>
      <c r="B95" s="168"/>
      <c r="C95" s="169"/>
      <c r="E95" s="168"/>
      <c r="F95" s="169"/>
      <c r="H95" s="168"/>
      <c r="I95" s="169"/>
    </row>
    <row r="96" spans="1:9">
      <c r="A96" s="167"/>
      <c r="B96" s="168"/>
      <c r="C96" s="169"/>
      <c r="E96" s="168"/>
      <c r="F96" s="169"/>
      <c r="H96" s="168"/>
      <c r="I96" s="169"/>
    </row>
    <row r="97" spans="1:9">
      <c r="A97" s="167"/>
      <c r="B97" s="168"/>
      <c r="C97" s="169"/>
      <c r="E97" s="168"/>
      <c r="F97" s="169"/>
      <c r="H97" s="168"/>
      <c r="I97" s="169"/>
    </row>
    <row r="98" spans="1:9">
      <c r="A98" s="167"/>
      <c r="B98" s="168"/>
      <c r="C98" s="169"/>
      <c r="E98" s="168"/>
      <c r="F98" s="169"/>
      <c r="H98" s="168"/>
      <c r="I98" s="169"/>
    </row>
    <row r="99" spans="1:9">
      <c r="A99" s="167"/>
      <c r="B99" s="168"/>
      <c r="C99" s="169"/>
      <c r="E99" s="168"/>
      <c r="F99" s="169"/>
      <c r="H99" s="168"/>
      <c r="I99" s="169"/>
    </row>
    <row r="100" spans="1:9">
      <c r="A100" s="167"/>
      <c r="B100" s="168"/>
      <c r="C100" s="169"/>
      <c r="E100" s="168"/>
      <c r="F100" s="169"/>
      <c r="H100" s="168"/>
      <c r="I100" s="169"/>
    </row>
    <row r="101" spans="1:9">
      <c r="A101" s="167"/>
      <c r="B101" s="168"/>
      <c r="C101" s="169"/>
      <c r="E101" s="168"/>
      <c r="F101" s="169"/>
      <c r="H101" s="168"/>
      <c r="I101" s="169"/>
    </row>
    <row r="102" spans="1:9">
      <c r="A102" s="167"/>
      <c r="B102" s="168"/>
      <c r="C102" s="169"/>
      <c r="E102" s="168"/>
      <c r="F102" s="169"/>
      <c r="H102" s="168"/>
      <c r="I102" s="169"/>
    </row>
    <row r="103" spans="1:9">
      <c r="A103" s="167"/>
      <c r="B103" s="168"/>
      <c r="C103" s="169"/>
      <c r="E103" s="168"/>
      <c r="F103" s="169"/>
      <c r="H103" s="168"/>
      <c r="I103" s="169"/>
    </row>
    <row r="104" spans="1:9">
      <c r="A104" s="167"/>
      <c r="B104" s="168"/>
      <c r="C104" s="169"/>
      <c r="E104" s="168"/>
      <c r="F104" s="169"/>
      <c r="H104" s="168"/>
      <c r="I104" s="169"/>
    </row>
    <row r="105" spans="1:9">
      <c r="A105" s="167"/>
      <c r="B105" s="168"/>
      <c r="C105" s="169"/>
      <c r="E105" s="168"/>
      <c r="F105" s="169"/>
      <c r="H105" s="168"/>
      <c r="I105" s="169"/>
    </row>
    <row r="106" spans="1:9">
      <c r="A106" s="167"/>
      <c r="B106" s="168"/>
      <c r="C106" s="169"/>
      <c r="E106" s="168"/>
      <c r="F106" s="169"/>
      <c r="H106" s="168"/>
      <c r="I106" s="169"/>
    </row>
    <row r="107" spans="1:9">
      <c r="A107" s="170"/>
      <c r="B107" s="171"/>
      <c r="C107" s="172"/>
      <c r="E107" s="168"/>
      <c r="F107" s="169"/>
      <c r="H107" s="168"/>
      <c r="I107" s="169"/>
    </row>
    <row r="108" spans="1:9">
      <c r="A108" s="173"/>
      <c r="B108" s="174"/>
      <c r="C108" s="175"/>
      <c r="E108" s="176"/>
      <c r="F108" s="177"/>
      <c r="H108" s="176"/>
      <c r="I108" s="177"/>
    </row>
    <row r="109" spans="5:9">
      <c r="E109" s="174"/>
      <c r="F109" s="175"/>
      <c r="H109" s="174"/>
      <c r="I109" s="175"/>
    </row>
    <row r="110" spans="5:9">
      <c r="E110" s="174"/>
      <c r="F110" s="175"/>
      <c r="H110" s="174"/>
      <c r="I110" s="175"/>
    </row>
    <row r="111" spans="5:9">
      <c r="E111" s="165"/>
      <c r="F111" s="166"/>
      <c r="H111" s="178"/>
      <c r="I111" s="179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workbookViewId="0">
      <selection activeCell="H13" sqref="H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0" customWidth="1"/>
    <col min="10" max="10" width="12.4380952380952" style="121" customWidth="1"/>
    <col min="11" max="11" width="14.6666666666667" style="122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0" t="s">
        <v>567</v>
      </c>
      <c r="B1" s="70"/>
      <c r="C1" s="70"/>
      <c r="D1" s="70"/>
      <c r="E1" s="70"/>
      <c r="F1" s="70"/>
      <c r="G1" s="70"/>
      <c r="H1" s="70"/>
    </row>
    <row r="2" ht="19.5" customHeight="1" spans="1:20">
      <c r="A2" s="70" t="str">
        <f>GNA!A2</f>
        <v>Schedule Breakup Report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ht="19.5" customHeight="1" spans="1:8">
      <c r="A3" s="123"/>
      <c r="B3" s="123"/>
      <c r="C3" s="123"/>
      <c r="D3" s="123"/>
      <c r="E3" s="123"/>
      <c r="F3" s="123"/>
      <c r="G3" s="123"/>
      <c r="H3" s="123"/>
    </row>
    <row r="4" customHeight="1" spans="1:8">
      <c r="A4" s="124"/>
      <c r="B4" s="124"/>
      <c r="C4" s="124"/>
      <c r="D4" s="124"/>
      <c r="E4" s="124"/>
      <c r="F4" s="123"/>
      <c r="G4" s="123"/>
      <c r="H4" s="123"/>
    </row>
    <row r="5" ht="16.5" spans="1:11">
      <c r="A5" s="78" t="s">
        <v>568</v>
      </c>
      <c r="B5" s="78"/>
      <c r="C5" s="78"/>
      <c r="D5" s="78"/>
      <c r="E5" s="78"/>
      <c r="F5" s="125"/>
      <c r="G5" s="125"/>
      <c r="H5" s="125"/>
      <c r="J5" s="121">
        <v>468</v>
      </c>
      <c r="K5" s="133">
        <f>(1-J6/J5)*100</f>
        <v>3.98076923076923</v>
      </c>
    </row>
    <row r="6" ht="16.5" spans="1:17">
      <c r="A6" s="78" t="s">
        <v>231</v>
      </c>
      <c r="B6" s="78"/>
      <c r="C6" s="78"/>
      <c r="D6" s="126"/>
      <c r="E6" s="126"/>
      <c r="F6" s="125"/>
      <c r="G6" s="125"/>
      <c r="H6" s="125"/>
      <c r="J6" s="121">
        <v>449.37</v>
      </c>
      <c r="K6" s="134"/>
      <c r="L6" s="122"/>
      <c r="M6" s="122"/>
      <c r="N6" s="122"/>
      <c r="O6" s="122"/>
      <c r="P6" s="122"/>
      <c r="Q6" s="122"/>
    </row>
    <row r="7" ht="16.5" spans="1:8">
      <c r="A7" s="78" t="s">
        <v>232</v>
      </c>
      <c r="B7" s="78"/>
      <c r="C7" s="127" t="s">
        <v>281</v>
      </c>
      <c r="D7" s="127" t="s">
        <v>281</v>
      </c>
      <c r="E7" s="127" t="s">
        <v>569</v>
      </c>
      <c r="F7" s="127"/>
      <c r="G7" s="127"/>
      <c r="H7" s="127"/>
    </row>
    <row r="8" ht="16.5" spans="1:8">
      <c r="A8" s="78" t="s">
        <v>233</v>
      </c>
      <c r="B8" s="78"/>
      <c r="C8" s="127"/>
      <c r="D8" s="127"/>
      <c r="E8" s="127"/>
      <c r="F8" s="127"/>
      <c r="G8" s="127"/>
      <c r="H8" s="127"/>
    </row>
    <row r="9" ht="48.75" customHeight="1" spans="1:20">
      <c r="A9" s="78" t="s">
        <v>235</v>
      </c>
      <c r="B9" s="78"/>
      <c r="C9" s="127" t="s">
        <v>220</v>
      </c>
      <c r="D9" s="127" t="s">
        <v>220</v>
      </c>
      <c r="E9" s="128" t="s">
        <v>12</v>
      </c>
      <c r="F9" s="128" t="s">
        <v>10</v>
      </c>
      <c r="G9" s="128" t="s">
        <v>570</v>
      </c>
      <c r="H9" s="128" t="s">
        <v>571</v>
      </c>
      <c r="J9" s="135" t="s">
        <v>572</v>
      </c>
      <c r="K9" s="135"/>
      <c r="L9" s="135"/>
      <c r="M9" s="135"/>
      <c r="N9" s="135"/>
      <c r="O9" s="135"/>
      <c r="P9" s="135"/>
      <c r="Q9" s="135"/>
      <c r="R9" s="135"/>
      <c r="S9" s="151"/>
      <c r="T9" s="152"/>
    </row>
    <row r="10" ht="17.3" spans="1:15">
      <c r="A10" s="78" t="s">
        <v>236</v>
      </c>
      <c r="B10" s="78"/>
      <c r="C10" s="78" t="s">
        <v>237</v>
      </c>
      <c r="D10" s="78" t="s">
        <v>237</v>
      </c>
      <c r="E10" s="129"/>
      <c r="F10" s="78"/>
      <c r="G10" s="78"/>
      <c r="H10" s="78"/>
      <c r="L10" s="136" t="s">
        <v>573</v>
      </c>
      <c r="M10" s="136"/>
      <c r="N10" s="136"/>
      <c r="O10" s="136"/>
    </row>
    <row r="11" ht="16.2" customHeight="1" spans="1:17">
      <c r="A11" s="78" t="s">
        <v>574</v>
      </c>
      <c r="B11" s="78"/>
      <c r="C11" s="130" t="s">
        <v>575</v>
      </c>
      <c r="D11" s="130" t="s">
        <v>576</v>
      </c>
      <c r="E11" s="78"/>
      <c r="F11" s="78"/>
      <c r="G11" s="78"/>
      <c r="H11" s="78"/>
      <c r="I11" s="137" t="s">
        <v>577</v>
      </c>
      <c r="J11" s="137"/>
      <c r="K11" s="138" t="s">
        <v>578</v>
      </c>
      <c r="L11" s="139">
        <v>0.0481</v>
      </c>
      <c r="M11" s="140" t="s">
        <v>579</v>
      </c>
      <c r="N11" s="140"/>
      <c r="O11" s="140">
        <v>0.0257</v>
      </c>
      <c r="P11" s="141" t="s">
        <v>580</v>
      </c>
      <c r="Q11" s="141"/>
    </row>
    <row r="12" ht="40.5" customHeight="1" spans="1:17">
      <c r="A12" s="78" t="s">
        <v>145</v>
      </c>
      <c r="B12" s="78" t="s">
        <v>146</v>
      </c>
      <c r="C12" s="78"/>
      <c r="D12" s="78"/>
      <c r="E12" s="78"/>
      <c r="F12" s="78"/>
      <c r="G12" s="78"/>
      <c r="H12" s="78"/>
      <c r="I12" s="142" t="s">
        <v>581</v>
      </c>
      <c r="J12" s="143" t="s">
        <v>582</v>
      </c>
      <c r="K12" s="144" t="s">
        <v>583</v>
      </c>
      <c r="L12" s="144" t="s">
        <v>584</v>
      </c>
      <c r="M12" s="144" t="s">
        <v>585</v>
      </c>
      <c r="N12" s="144" t="s">
        <v>586</v>
      </c>
      <c r="O12" s="145" t="s">
        <v>587</v>
      </c>
      <c r="P12" s="142" t="s">
        <v>588</v>
      </c>
      <c r="Q12" s="153" t="s">
        <v>589</v>
      </c>
    </row>
    <row r="13" ht="16.5" spans="1:20">
      <c r="A13" s="78">
        <v>1</v>
      </c>
      <c r="B13" s="78" t="s">
        <v>14</v>
      </c>
      <c r="C13" s="131">
        <f>GNA!F13</f>
        <v>219.46</v>
      </c>
      <c r="D13" s="131">
        <f>GNA!E13</f>
        <v>0</v>
      </c>
      <c r="E13" s="132">
        <f>RTM!ZZ12</f>
        <v>0</v>
      </c>
      <c r="F13" s="132">
        <f>IEX!AM11</f>
        <v>0</v>
      </c>
      <c r="G13" s="132">
        <f>TGNA!L13+TGNA!M13+TGNA!N13</f>
        <v>0</v>
      </c>
      <c r="H13" s="132">
        <v>0</v>
      </c>
      <c r="I13" s="146">
        <f t="shared" ref="I13:I76" si="0">J13*(1-$L$11)</f>
        <v>219.460545</v>
      </c>
      <c r="J13" s="147">
        <v>230.55</v>
      </c>
      <c r="K13" s="148">
        <f t="shared" ref="K13:K76" si="1">-E13*(1+$O$11)</f>
        <v>0</v>
      </c>
      <c r="L13" s="148">
        <f t="shared" ref="L13:L76" si="2">-F13*(1+$O$11)</f>
        <v>0</v>
      </c>
      <c r="M13" s="148">
        <f t="shared" ref="M13:M76" si="3">-G13*(1+$O$11)</f>
        <v>0</v>
      </c>
      <c r="N13" s="148">
        <f t="shared" ref="N13:N76" si="4">-H13*(1+$O$11)</f>
        <v>0</v>
      </c>
      <c r="O13" s="149">
        <f t="shared" ref="O13:O76" si="5">ROUND(K13+L13+M13+N13,0)</f>
        <v>0</v>
      </c>
      <c r="P13" s="150">
        <f t="shared" ref="P13:P76" si="6">Q13*(1-$L$11)</f>
        <v>0</v>
      </c>
      <c r="Q13" s="147">
        <v>0</v>
      </c>
      <c r="T13" s="154"/>
    </row>
    <row r="14" ht="16.5" spans="1:18">
      <c r="A14" s="78">
        <v>2</v>
      </c>
      <c r="B14" s="78" t="s">
        <v>15</v>
      </c>
      <c r="C14" s="131">
        <f>GNA!F14</f>
        <v>219.46</v>
      </c>
      <c r="D14" s="131">
        <f>GNA!E14</f>
        <v>0</v>
      </c>
      <c r="E14" s="132">
        <f>RTM!ZZ13</f>
        <v>0</v>
      </c>
      <c r="F14" s="132">
        <f>IEX!AM12</f>
        <v>0</v>
      </c>
      <c r="G14" s="132">
        <f>TGNA!L14+TGNA!M14+TGNA!N14</f>
        <v>0</v>
      </c>
      <c r="H14" s="132">
        <v>0</v>
      </c>
      <c r="I14" s="146">
        <f t="shared" si="0"/>
        <v>219.460545</v>
      </c>
      <c r="J14" s="147">
        <v>230.55</v>
      </c>
      <c r="K14" s="148">
        <f t="shared" si="1"/>
        <v>0</v>
      </c>
      <c r="L14" s="148">
        <f t="shared" si="2"/>
        <v>0</v>
      </c>
      <c r="M14" s="148">
        <f t="shared" si="3"/>
        <v>0</v>
      </c>
      <c r="N14" s="148">
        <f t="shared" si="4"/>
        <v>0</v>
      </c>
      <c r="O14" s="149">
        <f t="shared" si="5"/>
        <v>0</v>
      </c>
      <c r="P14" s="150">
        <f t="shared" si="6"/>
        <v>0</v>
      </c>
      <c r="Q14" s="147">
        <v>0</v>
      </c>
      <c r="R14" s="1"/>
    </row>
    <row r="15" ht="16.5" spans="1:17">
      <c r="A15" s="78">
        <v>3</v>
      </c>
      <c r="B15" s="78" t="s">
        <v>16</v>
      </c>
      <c r="C15" s="131">
        <f>GNA!F15</f>
        <v>219.46</v>
      </c>
      <c r="D15" s="131">
        <f>GNA!E15</f>
        <v>0</v>
      </c>
      <c r="E15" s="132">
        <f>RTM!ZZ14</f>
        <v>0</v>
      </c>
      <c r="F15" s="132">
        <f>IEX!AM13</f>
        <v>0</v>
      </c>
      <c r="G15" s="132">
        <f>TGNA!L15+TGNA!M15+TGNA!N15</f>
        <v>0</v>
      </c>
      <c r="H15" s="132">
        <v>0</v>
      </c>
      <c r="I15" s="146">
        <f t="shared" si="0"/>
        <v>219.460545</v>
      </c>
      <c r="J15" s="147">
        <v>230.55</v>
      </c>
      <c r="K15" s="148">
        <f t="shared" si="1"/>
        <v>0</v>
      </c>
      <c r="L15" s="148">
        <f t="shared" si="2"/>
        <v>0</v>
      </c>
      <c r="M15" s="148">
        <f t="shared" si="3"/>
        <v>0</v>
      </c>
      <c r="N15" s="148">
        <f t="shared" si="4"/>
        <v>0</v>
      </c>
      <c r="O15" s="149">
        <f t="shared" si="5"/>
        <v>0</v>
      </c>
      <c r="P15" s="150">
        <f t="shared" si="6"/>
        <v>0</v>
      </c>
      <c r="Q15" s="147">
        <v>0</v>
      </c>
    </row>
    <row r="16" ht="16.5" spans="1:17">
      <c r="A16" s="78">
        <v>4</v>
      </c>
      <c r="B16" s="78" t="s">
        <v>17</v>
      </c>
      <c r="C16" s="131">
        <f>GNA!F16</f>
        <v>219.46</v>
      </c>
      <c r="D16" s="131">
        <f>GNA!E16</f>
        <v>0</v>
      </c>
      <c r="E16" s="132">
        <f>RTM!ZZ15</f>
        <v>0</v>
      </c>
      <c r="F16" s="132">
        <f>IEX!AM14</f>
        <v>0</v>
      </c>
      <c r="G16" s="132">
        <f>TGNA!L16+TGNA!M16+TGNA!N16</f>
        <v>0</v>
      </c>
      <c r="H16" s="132">
        <v>0</v>
      </c>
      <c r="I16" s="146">
        <f t="shared" si="0"/>
        <v>219.460545</v>
      </c>
      <c r="J16" s="147">
        <v>230.55</v>
      </c>
      <c r="K16" s="148">
        <f t="shared" si="1"/>
        <v>0</v>
      </c>
      <c r="L16" s="148">
        <f t="shared" si="2"/>
        <v>0</v>
      </c>
      <c r="M16" s="148">
        <f t="shared" si="3"/>
        <v>0</v>
      </c>
      <c r="N16" s="148">
        <f t="shared" si="4"/>
        <v>0</v>
      </c>
      <c r="O16" s="149">
        <f t="shared" si="5"/>
        <v>0</v>
      </c>
      <c r="P16" s="150">
        <f t="shared" si="6"/>
        <v>0</v>
      </c>
      <c r="Q16" s="147">
        <v>0</v>
      </c>
    </row>
    <row r="17" ht="16.5" spans="1:17">
      <c r="A17" s="78">
        <v>5</v>
      </c>
      <c r="B17" s="78" t="s">
        <v>18</v>
      </c>
      <c r="C17" s="131">
        <f>GNA!F17</f>
        <v>219.46</v>
      </c>
      <c r="D17" s="131">
        <f>GNA!E17</f>
        <v>0</v>
      </c>
      <c r="E17" s="132">
        <f>RTM!ZZ16</f>
        <v>0</v>
      </c>
      <c r="F17" s="132">
        <f>IEX!AM15</f>
        <v>0</v>
      </c>
      <c r="G17" s="132">
        <f>TGNA!L17+TGNA!M17+TGNA!N17</f>
        <v>0</v>
      </c>
      <c r="H17" s="132">
        <v>0</v>
      </c>
      <c r="I17" s="146">
        <f t="shared" si="0"/>
        <v>219.460545</v>
      </c>
      <c r="J17" s="147">
        <v>230.55</v>
      </c>
      <c r="K17" s="148">
        <f t="shared" si="1"/>
        <v>0</v>
      </c>
      <c r="L17" s="148">
        <f t="shared" si="2"/>
        <v>0</v>
      </c>
      <c r="M17" s="148">
        <f t="shared" si="3"/>
        <v>0</v>
      </c>
      <c r="N17" s="148">
        <f t="shared" si="4"/>
        <v>0</v>
      </c>
      <c r="O17" s="149">
        <f t="shared" si="5"/>
        <v>0</v>
      </c>
      <c r="P17" s="150">
        <f t="shared" si="6"/>
        <v>0</v>
      </c>
      <c r="Q17" s="147">
        <v>0</v>
      </c>
    </row>
    <row r="18" ht="16.5" spans="1:17">
      <c r="A18" s="78">
        <v>6</v>
      </c>
      <c r="B18" s="78" t="s">
        <v>19</v>
      </c>
      <c r="C18" s="131">
        <f>GNA!F18</f>
        <v>219.46</v>
      </c>
      <c r="D18" s="131">
        <f>GNA!E18</f>
        <v>0</v>
      </c>
      <c r="E18" s="132">
        <f>RTM!ZZ17</f>
        <v>0</v>
      </c>
      <c r="F18" s="132">
        <f>IEX!AM16</f>
        <v>0</v>
      </c>
      <c r="G18" s="132">
        <f>TGNA!L18+TGNA!M18+TGNA!N18</f>
        <v>0</v>
      </c>
      <c r="H18" s="132">
        <v>0</v>
      </c>
      <c r="I18" s="146">
        <f t="shared" si="0"/>
        <v>219.460545</v>
      </c>
      <c r="J18" s="147">
        <v>230.55</v>
      </c>
      <c r="K18" s="148">
        <f t="shared" si="1"/>
        <v>0</v>
      </c>
      <c r="L18" s="148">
        <f t="shared" si="2"/>
        <v>0</v>
      </c>
      <c r="M18" s="148">
        <f t="shared" si="3"/>
        <v>0</v>
      </c>
      <c r="N18" s="148">
        <f t="shared" si="4"/>
        <v>0</v>
      </c>
      <c r="O18" s="149">
        <f t="shared" si="5"/>
        <v>0</v>
      </c>
      <c r="P18" s="150">
        <f t="shared" si="6"/>
        <v>0</v>
      </c>
      <c r="Q18" s="147">
        <v>0</v>
      </c>
    </row>
    <row r="19" ht="16.5" spans="1:17">
      <c r="A19" s="78">
        <v>7</v>
      </c>
      <c r="B19" s="78" t="s">
        <v>20</v>
      </c>
      <c r="C19" s="131">
        <f>GNA!F19</f>
        <v>120.7</v>
      </c>
      <c r="D19" s="131">
        <f>GNA!E19</f>
        <v>0</v>
      </c>
      <c r="E19" s="132">
        <f>RTM!ZZ18</f>
        <v>0</v>
      </c>
      <c r="F19" s="132">
        <f>IEX!AM17</f>
        <v>0</v>
      </c>
      <c r="G19" s="132">
        <f>TGNA!L19+TGNA!M19+TGNA!N19</f>
        <v>0</v>
      </c>
      <c r="H19" s="132">
        <v>0</v>
      </c>
      <c r="I19" s="146">
        <f t="shared" si="0"/>
        <v>219.460545</v>
      </c>
      <c r="J19" s="147">
        <v>230.55</v>
      </c>
      <c r="K19" s="148">
        <f t="shared" si="1"/>
        <v>0</v>
      </c>
      <c r="L19" s="148">
        <f t="shared" si="2"/>
        <v>0</v>
      </c>
      <c r="M19" s="148">
        <f t="shared" si="3"/>
        <v>0</v>
      </c>
      <c r="N19" s="148">
        <f t="shared" si="4"/>
        <v>0</v>
      </c>
      <c r="O19" s="149">
        <f t="shared" si="5"/>
        <v>0</v>
      </c>
      <c r="P19" s="150">
        <f t="shared" si="6"/>
        <v>0</v>
      </c>
      <c r="Q19" s="147">
        <v>0</v>
      </c>
    </row>
    <row r="20" ht="16.5" spans="1:17">
      <c r="A20" s="78">
        <v>8</v>
      </c>
      <c r="B20" s="78" t="s">
        <v>21</v>
      </c>
      <c r="C20" s="131">
        <f>GNA!F20</f>
        <v>120.7</v>
      </c>
      <c r="D20" s="131">
        <f>GNA!E20</f>
        <v>0</v>
      </c>
      <c r="E20" s="132">
        <f>RTM!ZZ19</f>
        <v>0</v>
      </c>
      <c r="F20" s="132">
        <f>IEX!AM18</f>
        <v>0</v>
      </c>
      <c r="G20" s="132">
        <f>TGNA!L20+TGNA!M20+TGNA!N20</f>
        <v>0</v>
      </c>
      <c r="H20" s="132">
        <v>0</v>
      </c>
      <c r="I20" s="146">
        <f t="shared" si="0"/>
        <v>219.460545</v>
      </c>
      <c r="J20" s="147">
        <v>230.55</v>
      </c>
      <c r="K20" s="148">
        <f t="shared" si="1"/>
        <v>0</v>
      </c>
      <c r="L20" s="148">
        <f t="shared" si="2"/>
        <v>0</v>
      </c>
      <c r="M20" s="148">
        <f t="shared" si="3"/>
        <v>0</v>
      </c>
      <c r="N20" s="148">
        <f t="shared" si="4"/>
        <v>0</v>
      </c>
      <c r="O20" s="149">
        <f t="shared" si="5"/>
        <v>0</v>
      </c>
      <c r="P20" s="150">
        <f t="shared" si="6"/>
        <v>0</v>
      </c>
      <c r="Q20" s="147">
        <v>0</v>
      </c>
    </row>
    <row r="21" ht="16.5" spans="1:17">
      <c r="A21" s="78">
        <v>9</v>
      </c>
      <c r="B21" s="78" t="s">
        <v>22</v>
      </c>
      <c r="C21" s="131">
        <f>GNA!F21</f>
        <v>120.7</v>
      </c>
      <c r="D21" s="131">
        <f>GNA!E21</f>
        <v>0</v>
      </c>
      <c r="E21" s="132">
        <f>RTM!ZZ20</f>
        <v>0</v>
      </c>
      <c r="F21" s="132">
        <f>IEX!AM19</f>
        <v>0</v>
      </c>
      <c r="G21" s="132">
        <f>TGNA!L21+TGNA!M21+TGNA!N21</f>
        <v>0</v>
      </c>
      <c r="H21" s="132">
        <v>0</v>
      </c>
      <c r="I21" s="146">
        <f t="shared" si="0"/>
        <v>219.460545</v>
      </c>
      <c r="J21" s="147">
        <v>230.55</v>
      </c>
      <c r="K21" s="148">
        <f t="shared" si="1"/>
        <v>0</v>
      </c>
      <c r="L21" s="148">
        <f t="shared" si="2"/>
        <v>0</v>
      </c>
      <c r="M21" s="148">
        <f t="shared" si="3"/>
        <v>0</v>
      </c>
      <c r="N21" s="148">
        <f t="shared" si="4"/>
        <v>0</v>
      </c>
      <c r="O21" s="149">
        <f t="shared" si="5"/>
        <v>0</v>
      </c>
      <c r="P21" s="150">
        <f t="shared" si="6"/>
        <v>0</v>
      </c>
      <c r="Q21" s="147">
        <v>0</v>
      </c>
    </row>
    <row r="22" ht="16.5" spans="1:17">
      <c r="A22" s="78">
        <v>10</v>
      </c>
      <c r="B22" s="78" t="s">
        <v>23</v>
      </c>
      <c r="C22" s="131">
        <f>GNA!F22</f>
        <v>120.7</v>
      </c>
      <c r="D22" s="131">
        <f>GNA!E22</f>
        <v>0</v>
      </c>
      <c r="E22" s="132">
        <f>RTM!ZZ21</f>
        <v>0</v>
      </c>
      <c r="F22" s="132">
        <f>IEX!AM20</f>
        <v>0</v>
      </c>
      <c r="G22" s="132">
        <f>TGNA!L22+TGNA!M22+TGNA!N22</f>
        <v>0</v>
      </c>
      <c r="H22" s="132">
        <v>0</v>
      </c>
      <c r="I22" s="146">
        <f t="shared" si="0"/>
        <v>219.460545</v>
      </c>
      <c r="J22" s="147">
        <v>230.55</v>
      </c>
      <c r="K22" s="148">
        <f t="shared" si="1"/>
        <v>0</v>
      </c>
      <c r="L22" s="148">
        <f t="shared" si="2"/>
        <v>0</v>
      </c>
      <c r="M22" s="148">
        <f t="shared" si="3"/>
        <v>0</v>
      </c>
      <c r="N22" s="148">
        <f t="shared" si="4"/>
        <v>0</v>
      </c>
      <c r="O22" s="149">
        <f t="shared" si="5"/>
        <v>0</v>
      </c>
      <c r="P22" s="150">
        <f t="shared" si="6"/>
        <v>0</v>
      </c>
      <c r="Q22" s="147">
        <v>0</v>
      </c>
    </row>
    <row r="23" ht="16.5" spans="1:17">
      <c r="A23" s="78">
        <v>11</v>
      </c>
      <c r="B23" s="78" t="s">
        <v>24</v>
      </c>
      <c r="C23" s="131">
        <f>GNA!F23</f>
        <v>120.7</v>
      </c>
      <c r="D23" s="131">
        <f>GNA!E23</f>
        <v>0</v>
      </c>
      <c r="E23" s="132">
        <f>RTM!ZZ22</f>
        <v>0</v>
      </c>
      <c r="F23" s="132">
        <f>IEX!AM21</f>
        <v>0</v>
      </c>
      <c r="G23" s="132">
        <f>TGNA!L23+TGNA!M23+TGNA!N23</f>
        <v>0</v>
      </c>
      <c r="H23" s="132">
        <v>0</v>
      </c>
      <c r="I23" s="146">
        <f t="shared" si="0"/>
        <v>219.460545</v>
      </c>
      <c r="J23" s="147">
        <v>230.55</v>
      </c>
      <c r="K23" s="148">
        <f t="shared" si="1"/>
        <v>0</v>
      </c>
      <c r="L23" s="148">
        <f t="shared" si="2"/>
        <v>0</v>
      </c>
      <c r="M23" s="148">
        <f t="shared" si="3"/>
        <v>0</v>
      </c>
      <c r="N23" s="148">
        <f t="shared" si="4"/>
        <v>0</v>
      </c>
      <c r="O23" s="149">
        <f t="shared" si="5"/>
        <v>0</v>
      </c>
      <c r="P23" s="150">
        <f t="shared" si="6"/>
        <v>0</v>
      </c>
      <c r="Q23" s="147">
        <v>0</v>
      </c>
    </row>
    <row r="24" ht="16.5" spans="1:17">
      <c r="A24" s="78">
        <v>12</v>
      </c>
      <c r="B24" s="78" t="s">
        <v>25</v>
      </c>
      <c r="C24" s="131">
        <f>GNA!F24</f>
        <v>120.7</v>
      </c>
      <c r="D24" s="131">
        <f>GNA!E24</f>
        <v>0</v>
      </c>
      <c r="E24" s="132">
        <f>RTM!ZZ23</f>
        <v>0</v>
      </c>
      <c r="F24" s="132">
        <f>IEX!AM22</f>
        <v>0</v>
      </c>
      <c r="G24" s="132">
        <f>TGNA!L24+TGNA!M24+TGNA!N24</f>
        <v>0</v>
      </c>
      <c r="H24" s="132">
        <v>0</v>
      </c>
      <c r="I24" s="146">
        <f t="shared" si="0"/>
        <v>219.460545</v>
      </c>
      <c r="J24" s="147">
        <v>230.55</v>
      </c>
      <c r="K24" s="148">
        <f t="shared" si="1"/>
        <v>0</v>
      </c>
      <c r="L24" s="148">
        <f t="shared" si="2"/>
        <v>0</v>
      </c>
      <c r="M24" s="148">
        <f t="shared" si="3"/>
        <v>0</v>
      </c>
      <c r="N24" s="148">
        <f t="shared" si="4"/>
        <v>0</v>
      </c>
      <c r="O24" s="149">
        <f t="shared" si="5"/>
        <v>0</v>
      </c>
      <c r="P24" s="150">
        <f t="shared" si="6"/>
        <v>0</v>
      </c>
      <c r="Q24" s="147">
        <v>0</v>
      </c>
    </row>
    <row r="25" ht="16.5" spans="1:17">
      <c r="A25" s="78">
        <v>13</v>
      </c>
      <c r="B25" s="78" t="s">
        <v>26</v>
      </c>
      <c r="C25" s="131">
        <f>GNA!F25</f>
        <v>120.7</v>
      </c>
      <c r="D25" s="131">
        <f>GNA!E25</f>
        <v>0</v>
      </c>
      <c r="E25" s="132">
        <f>RTM!ZZ24</f>
        <v>0</v>
      </c>
      <c r="F25" s="132">
        <f>IEX!AM23</f>
        <v>0</v>
      </c>
      <c r="G25" s="132">
        <f>TGNA!L25+TGNA!M25+TGNA!N25</f>
        <v>0</v>
      </c>
      <c r="H25" s="132">
        <v>0</v>
      </c>
      <c r="I25" s="146">
        <f t="shared" si="0"/>
        <v>219.460545</v>
      </c>
      <c r="J25" s="147">
        <v>230.55</v>
      </c>
      <c r="K25" s="148">
        <f t="shared" si="1"/>
        <v>0</v>
      </c>
      <c r="L25" s="148">
        <f t="shared" si="2"/>
        <v>0</v>
      </c>
      <c r="M25" s="148">
        <f t="shared" si="3"/>
        <v>0</v>
      </c>
      <c r="N25" s="148">
        <f t="shared" si="4"/>
        <v>0</v>
      </c>
      <c r="O25" s="149">
        <f t="shared" si="5"/>
        <v>0</v>
      </c>
      <c r="P25" s="150">
        <f t="shared" si="6"/>
        <v>0</v>
      </c>
      <c r="Q25" s="147">
        <v>0</v>
      </c>
    </row>
    <row r="26" ht="16.5" spans="1:17">
      <c r="A26" s="78">
        <v>14</v>
      </c>
      <c r="B26" s="78" t="s">
        <v>27</v>
      </c>
      <c r="C26" s="131">
        <f>GNA!F26</f>
        <v>120.7</v>
      </c>
      <c r="D26" s="131">
        <f>GNA!E26</f>
        <v>0</v>
      </c>
      <c r="E26" s="132">
        <f>RTM!ZZ25</f>
        <v>0</v>
      </c>
      <c r="F26" s="132">
        <f>IEX!AM24</f>
        <v>0</v>
      </c>
      <c r="G26" s="132">
        <f>TGNA!L26+TGNA!M26+TGNA!N26</f>
        <v>0</v>
      </c>
      <c r="H26" s="132">
        <v>0</v>
      </c>
      <c r="I26" s="146">
        <f t="shared" si="0"/>
        <v>219.460545</v>
      </c>
      <c r="J26" s="147">
        <v>230.55</v>
      </c>
      <c r="K26" s="148">
        <f t="shared" si="1"/>
        <v>0</v>
      </c>
      <c r="L26" s="148">
        <f t="shared" si="2"/>
        <v>0</v>
      </c>
      <c r="M26" s="148">
        <f t="shared" si="3"/>
        <v>0</v>
      </c>
      <c r="N26" s="148">
        <f t="shared" si="4"/>
        <v>0</v>
      </c>
      <c r="O26" s="149">
        <f t="shared" si="5"/>
        <v>0</v>
      </c>
      <c r="P26" s="150">
        <f t="shared" si="6"/>
        <v>0</v>
      </c>
      <c r="Q26" s="147">
        <v>0</v>
      </c>
    </row>
    <row r="27" ht="16.5" spans="1:17">
      <c r="A27" s="78">
        <v>15</v>
      </c>
      <c r="B27" s="78" t="s">
        <v>28</v>
      </c>
      <c r="C27" s="131">
        <f>GNA!F27</f>
        <v>120.7</v>
      </c>
      <c r="D27" s="131">
        <f>GNA!E27</f>
        <v>0</v>
      </c>
      <c r="E27" s="132">
        <f>RTM!ZZ26</f>
        <v>0</v>
      </c>
      <c r="F27" s="132">
        <f>IEX!AM25</f>
        <v>0</v>
      </c>
      <c r="G27" s="132">
        <f>TGNA!L27+TGNA!M27+TGNA!N27</f>
        <v>0</v>
      </c>
      <c r="H27" s="132">
        <v>0</v>
      </c>
      <c r="I27" s="146">
        <f t="shared" si="0"/>
        <v>219.460545</v>
      </c>
      <c r="J27" s="147">
        <v>230.55</v>
      </c>
      <c r="K27" s="148">
        <f t="shared" si="1"/>
        <v>0</v>
      </c>
      <c r="L27" s="148">
        <f t="shared" si="2"/>
        <v>0</v>
      </c>
      <c r="M27" s="148">
        <f t="shared" si="3"/>
        <v>0</v>
      </c>
      <c r="N27" s="148">
        <f t="shared" si="4"/>
        <v>0</v>
      </c>
      <c r="O27" s="149">
        <f t="shared" si="5"/>
        <v>0</v>
      </c>
      <c r="P27" s="150">
        <f t="shared" si="6"/>
        <v>0</v>
      </c>
      <c r="Q27" s="147">
        <v>0</v>
      </c>
    </row>
    <row r="28" ht="16.5" spans="1:17">
      <c r="A28" s="78">
        <v>16</v>
      </c>
      <c r="B28" s="78" t="s">
        <v>29</v>
      </c>
      <c r="C28" s="131">
        <f>GNA!F28</f>
        <v>120.7</v>
      </c>
      <c r="D28" s="131">
        <f>GNA!E28</f>
        <v>0</v>
      </c>
      <c r="E28" s="132">
        <f>RTM!ZZ27</f>
        <v>0</v>
      </c>
      <c r="F28" s="132">
        <f>IEX!AM26</f>
        <v>0</v>
      </c>
      <c r="G28" s="132">
        <f>TGNA!L28+TGNA!M28+TGNA!N28</f>
        <v>0</v>
      </c>
      <c r="H28" s="132">
        <v>0</v>
      </c>
      <c r="I28" s="146">
        <f t="shared" si="0"/>
        <v>219.460545</v>
      </c>
      <c r="J28" s="147">
        <v>230.55</v>
      </c>
      <c r="K28" s="148">
        <f t="shared" si="1"/>
        <v>0</v>
      </c>
      <c r="L28" s="148">
        <f t="shared" si="2"/>
        <v>0</v>
      </c>
      <c r="M28" s="148">
        <f t="shared" si="3"/>
        <v>0</v>
      </c>
      <c r="N28" s="148">
        <f t="shared" si="4"/>
        <v>0</v>
      </c>
      <c r="O28" s="149">
        <f t="shared" si="5"/>
        <v>0</v>
      </c>
      <c r="P28" s="150">
        <f t="shared" si="6"/>
        <v>0</v>
      </c>
      <c r="Q28" s="147">
        <v>0</v>
      </c>
    </row>
    <row r="29" ht="16.5" spans="1:17">
      <c r="A29" s="78">
        <v>17</v>
      </c>
      <c r="B29" s="78" t="s">
        <v>30</v>
      </c>
      <c r="C29" s="131">
        <f>GNA!F29</f>
        <v>219.46</v>
      </c>
      <c r="D29" s="131">
        <f>GNA!E29</f>
        <v>0</v>
      </c>
      <c r="E29" s="132">
        <f>RTM!ZZ28</f>
        <v>0</v>
      </c>
      <c r="F29" s="132">
        <f>IEX!AM27</f>
        <v>0</v>
      </c>
      <c r="G29" s="132">
        <f>TGNA!L29+TGNA!M29+TGNA!N29</f>
        <v>0</v>
      </c>
      <c r="H29" s="132">
        <v>0</v>
      </c>
      <c r="I29" s="146">
        <f t="shared" si="0"/>
        <v>219.460545</v>
      </c>
      <c r="J29" s="147">
        <v>230.55</v>
      </c>
      <c r="K29" s="148">
        <f t="shared" si="1"/>
        <v>0</v>
      </c>
      <c r="L29" s="148">
        <f t="shared" si="2"/>
        <v>0</v>
      </c>
      <c r="M29" s="148">
        <f t="shared" si="3"/>
        <v>0</v>
      </c>
      <c r="N29" s="148">
        <f t="shared" si="4"/>
        <v>0</v>
      </c>
      <c r="O29" s="149">
        <f t="shared" si="5"/>
        <v>0</v>
      </c>
      <c r="P29" s="150">
        <f t="shared" si="6"/>
        <v>0</v>
      </c>
      <c r="Q29" s="147">
        <v>0</v>
      </c>
    </row>
    <row r="30" ht="16.5" spans="1:17">
      <c r="A30" s="78">
        <v>18</v>
      </c>
      <c r="B30" s="78" t="s">
        <v>31</v>
      </c>
      <c r="C30" s="131">
        <f>GNA!F30</f>
        <v>219.46</v>
      </c>
      <c r="D30" s="131">
        <f>GNA!E30</f>
        <v>0</v>
      </c>
      <c r="E30" s="132">
        <f>RTM!ZZ29</f>
        <v>0</v>
      </c>
      <c r="F30" s="132">
        <f>IEX!AM28</f>
        <v>0</v>
      </c>
      <c r="G30" s="132">
        <f>TGNA!L30+TGNA!M30+TGNA!N30</f>
        <v>0</v>
      </c>
      <c r="H30" s="132">
        <v>0</v>
      </c>
      <c r="I30" s="146">
        <f t="shared" si="0"/>
        <v>219.460545</v>
      </c>
      <c r="J30" s="147">
        <v>230.55</v>
      </c>
      <c r="K30" s="148">
        <f t="shared" si="1"/>
        <v>0</v>
      </c>
      <c r="L30" s="148">
        <f t="shared" si="2"/>
        <v>0</v>
      </c>
      <c r="M30" s="148">
        <f t="shared" si="3"/>
        <v>0</v>
      </c>
      <c r="N30" s="148">
        <f t="shared" si="4"/>
        <v>0</v>
      </c>
      <c r="O30" s="149">
        <f t="shared" si="5"/>
        <v>0</v>
      </c>
      <c r="P30" s="150">
        <f t="shared" si="6"/>
        <v>0</v>
      </c>
      <c r="Q30" s="147">
        <v>0</v>
      </c>
    </row>
    <row r="31" ht="16.5" spans="1:17">
      <c r="A31" s="78">
        <v>19</v>
      </c>
      <c r="B31" s="78" t="s">
        <v>32</v>
      </c>
      <c r="C31" s="131">
        <f>GNA!F31</f>
        <v>219.46</v>
      </c>
      <c r="D31" s="131">
        <f>GNA!E31</f>
        <v>0</v>
      </c>
      <c r="E31" s="132">
        <f>RTM!ZZ30</f>
        <v>0</v>
      </c>
      <c r="F31" s="132">
        <f>IEX!AM29</f>
        <v>0</v>
      </c>
      <c r="G31" s="132">
        <f>TGNA!L31+TGNA!M31+TGNA!N31</f>
        <v>0</v>
      </c>
      <c r="H31" s="132">
        <v>0</v>
      </c>
      <c r="I31" s="146">
        <f t="shared" si="0"/>
        <v>219.460545</v>
      </c>
      <c r="J31" s="147">
        <v>230.55</v>
      </c>
      <c r="K31" s="148">
        <f t="shared" si="1"/>
        <v>0</v>
      </c>
      <c r="L31" s="148">
        <f t="shared" si="2"/>
        <v>0</v>
      </c>
      <c r="M31" s="148">
        <f t="shared" si="3"/>
        <v>0</v>
      </c>
      <c r="N31" s="148">
        <f t="shared" si="4"/>
        <v>0</v>
      </c>
      <c r="O31" s="149">
        <f t="shared" si="5"/>
        <v>0</v>
      </c>
      <c r="P31" s="150">
        <f t="shared" si="6"/>
        <v>0</v>
      </c>
      <c r="Q31" s="147">
        <v>0</v>
      </c>
    </row>
    <row r="32" ht="16.5" spans="1:17">
      <c r="A32" s="78">
        <v>20</v>
      </c>
      <c r="B32" s="78" t="s">
        <v>33</v>
      </c>
      <c r="C32" s="131">
        <f>GNA!F32</f>
        <v>219.46</v>
      </c>
      <c r="D32" s="131">
        <f>GNA!E32</f>
        <v>0</v>
      </c>
      <c r="E32" s="132">
        <f>RTM!ZZ31</f>
        <v>0</v>
      </c>
      <c r="F32" s="132">
        <f>IEX!AM30</f>
        <v>0</v>
      </c>
      <c r="G32" s="132">
        <f>TGNA!L32+TGNA!M32+TGNA!N32</f>
        <v>0</v>
      </c>
      <c r="H32" s="132">
        <v>0</v>
      </c>
      <c r="I32" s="146">
        <f t="shared" si="0"/>
        <v>219.460545</v>
      </c>
      <c r="J32" s="147">
        <v>230.55</v>
      </c>
      <c r="K32" s="148">
        <f t="shared" si="1"/>
        <v>0</v>
      </c>
      <c r="L32" s="148">
        <f t="shared" si="2"/>
        <v>0</v>
      </c>
      <c r="M32" s="148">
        <f t="shared" si="3"/>
        <v>0</v>
      </c>
      <c r="N32" s="148">
        <f t="shared" si="4"/>
        <v>0</v>
      </c>
      <c r="O32" s="149">
        <f t="shared" si="5"/>
        <v>0</v>
      </c>
      <c r="P32" s="150">
        <f t="shared" si="6"/>
        <v>0</v>
      </c>
      <c r="Q32" s="147">
        <v>0</v>
      </c>
    </row>
    <row r="33" ht="16.5" spans="1:17">
      <c r="A33" s="78">
        <v>21</v>
      </c>
      <c r="B33" s="78" t="s">
        <v>34</v>
      </c>
      <c r="C33" s="131">
        <f>GNA!F33</f>
        <v>219.46</v>
      </c>
      <c r="D33" s="131">
        <f>GNA!E33</f>
        <v>0</v>
      </c>
      <c r="E33" s="132">
        <f>RTM!ZZ32</f>
        <v>0</v>
      </c>
      <c r="F33" s="132">
        <f>IEX!AM31</f>
        <v>0</v>
      </c>
      <c r="G33" s="132">
        <f>TGNA!L33+TGNA!M33+TGNA!N33</f>
        <v>0</v>
      </c>
      <c r="H33" s="132">
        <v>0</v>
      </c>
      <c r="I33" s="146">
        <f t="shared" si="0"/>
        <v>219.460545</v>
      </c>
      <c r="J33" s="147">
        <v>230.55</v>
      </c>
      <c r="K33" s="148">
        <f t="shared" si="1"/>
        <v>0</v>
      </c>
      <c r="L33" s="148">
        <f t="shared" si="2"/>
        <v>0</v>
      </c>
      <c r="M33" s="148">
        <f t="shared" si="3"/>
        <v>0</v>
      </c>
      <c r="N33" s="148">
        <f t="shared" si="4"/>
        <v>0</v>
      </c>
      <c r="O33" s="149">
        <f t="shared" si="5"/>
        <v>0</v>
      </c>
      <c r="P33" s="150">
        <f t="shared" si="6"/>
        <v>0</v>
      </c>
      <c r="Q33" s="147">
        <v>0</v>
      </c>
    </row>
    <row r="34" ht="16.5" spans="1:17">
      <c r="A34" s="78">
        <v>22</v>
      </c>
      <c r="B34" s="78" t="s">
        <v>35</v>
      </c>
      <c r="C34" s="131">
        <f>GNA!F34</f>
        <v>219.46</v>
      </c>
      <c r="D34" s="131">
        <f>GNA!E34</f>
        <v>0</v>
      </c>
      <c r="E34" s="132">
        <f>RTM!ZZ33</f>
        <v>0</v>
      </c>
      <c r="F34" s="132">
        <f>IEX!AM32</f>
        <v>0</v>
      </c>
      <c r="G34" s="132">
        <f>TGNA!L34+TGNA!M34+TGNA!N34</f>
        <v>0</v>
      </c>
      <c r="H34" s="132">
        <v>0</v>
      </c>
      <c r="I34" s="146">
        <f t="shared" si="0"/>
        <v>219.460545</v>
      </c>
      <c r="J34" s="147">
        <v>230.55</v>
      </c>
      <c r="K34" s="148">
        <f t="shared" si="1"/>
        <v>0</v>
      </c>
      <c r="L34" s="148">
        <f t="shared" si="2"/>
        <v>0</v>
      </c>
      <c r="M34" s="148">
        <f t="shared" si="3"/>
        <v>0</v>
      </c>
      <c r="N34" s="148">
        <f t="shared" si="4"/>
        <v>0</v>
      </c>
      <c r="O34" s="149">
        <f t="shared" si="5"/>
        <v>0</v>
      </c>
      <c r="P34" s="150">
        <f t="shared" si="6"/>
        <v>0</v>
      </c>
      <c r="Q34" s="147">
        <v>0</v>
      </c>
    </row>
    <row r="35" ht="16.5" spans="1:17">
      <c r="A35" s="78">
        <v>23</v>
      </c>
      <c r="B35" s="78" t="s">
        <v>36</v>
      </c>
      <c r="C35" s="131">
        <f>GNA!F35</f>
        <v>219.46</v>
      </c>
      <c r="D35" s="131">
        <f>GNA!E35</f>
        <v>0</v>
      </c>
      <c r="E35" s="132">
        <f>RTM!ZZ34</f>
        <v>0</v>
      </c>
      <c r="F35" s="132">
        <f>IEX!AM33</f>
        <v>-21.9</v>
      </c>
      <c r="G35" s="132">
        <f>TGNA!L35+TGNA!M35+TGNA!N35</f>
        <v>0</v>
      </c>
      <c r="H35" s="132">
        <v>0</v>
      </c>
      <c r="I35" s="146">
        <f t="shared" si="0"/>
        <v>219.460545</v>
      </c>
      <c r="J35" s="147">
        <v>230.55</v>
      </c>
      <c r="K35" s="148">
        <f t="shared" si="1"/>
        <v>0</v>
      </c>
      <c r="L35" s="148">
        <f t="shared" si="2"/>
        <v>22.46283</v>
      </c>
      <c r="M35" s="148">
        <f t="shared" si="3"/>
        <v>0</v>
      </c>
      <c r="N35" s="148">
        <f t="shared" si="4"/>
        <v>0</v>
      </c>
      <c r="O35" s="149">
        <f t="shared" si="5"/>
        <v>22</v>
      </c>
      <c r="P35" s="150">
        <f t="shared" si="6"/>
        <v>0</v>
      </c>
      <c r="Q35" s="147">
        <v>0</v>
      </c>
    </row>
    <row r="36" ht="16.5" spans="1:17">
      <c r="A36" s="78">
        <v>24</v>
      </c>
      <c r="B36" s="78" t="s">
        <v>37</v>
      </c>
      <c r="C36" s="131">
        <f>GNA!F36</f>
        <v>219.46</v>
      </c>
      <c r="D36" s="131">
        <f>GNA!E36</f>
        <v>0</v>
      </c>
      <c r="E36" s="132">
        <f>RTM!ZZ35</f>
        <v>0</v>
      </c>
      <c r="F36" s="132">
        <f>IEX!AM34</f>
        <v>-71.9</v>
      </c>
      <c r="G36" s="132">
        <f>TGNA!L36+TGNA!M36+TGNA!N36</f>
        <v>0</v>
      </c>
      <c r="H36" s="132">
        <v>0</v>
      </c>
      <c r="I36" s="146">
        <f t="shared" si="0"/>
        <v>219.460545</v>
      </c>
      <c r="J36" s="147">
        <v>230.55</v>
      </c>
      <c r="K36" s="148">
        <f t="shared" si="1"/>
        <v>0</v>
      </c>
      <c r="L36" s="148">
        <f t="shared" si="2"/>
        <v>73.74783</v>
      </c>
      <c r="M36" s="148">
        <f t="shared" si="3"/>
        <v>0</v>
      </c>
      <c r="N36" s="148">
        <f t="shared" si="4"/>
        <v>0</v>
      </c>
      <c r="O36" s="149">
        <f t="shared" si="5"/>
        <v>74</v>
      </c>
      <c r="P36" s="150">
        <f t="shared" si="6"/>
        <v>0</v>
      </c>
      <c r="Q36" s="147">
        <v>0</v>
      </c>
    </row>
    <row r="37" ht="16.5" spans="1:17">
      <c r="A37" s="78">
        <v>25</v>
      </c>
      <c r="B37" s="78" t="s">
        <v>38</v>
      </c>
      <c r="C37" s="131">
        <f>GNA!F37</f>
        <v>219.46</v>
      </c>
      <c r="D37" s="131">
        <f>GNA!E37</f>
        <v>0</v>
      </c>
      <c r="E37" s="132">
        <f>RTM!ZZ36</f>
        <v>0</v>
      </c>
      <c r="F37" s="132">
        <f>IEX!AM35</f>
        <v>0</v>
      </c>
      <c r="G37" s="132">
        <f>TGNA!L37+TGNA!M37+TGNA!N37</f>
        <v>-121.9</v>
      </c>
      <c r="H37" s="132">
        <v>0</v>
      </c>
      <c r="I37" s="146">
        <f t="shared" si="0"/>
        <v>219.460545</v>
      </c>
      <c r="J37" s="147">
        <v>230.55</v>
      </c>
      <c r="K37" s="148">
        <f t="shared" si="1"/>
        <v>0</v>
      </c>
      <c r="L37" s="148">
        <f t="shared" si="2"/>
        <v>0</v>
      </c>
      <c r="M37" s="148">
        <f t="shared" si="3"/>
        <v>125.03283</v>
      </c>
      <c r="N37" s="148">
        <f t="shared" si="4"/>
        <v>0</v>
      </c>
      <c r="O37" s="149">
        <f t="shared" si="5"/>
        <v>125</v>
      </c>
      <c r="P37" s="150">
        <f t="shared" si="6"/>
        <v>0</v>
      </c>
      <c r="Q37" s="147">
        <v>0</v>
      </c>
    </row>
    <row r="38" ht="16.5" spans="1:17">
      <c r="A38" s="78">
        <v>26</v>
      </c>
      <c r="B38" s="78" t="s">
        <v>39</v>
      </c>
      <c r="C38" s="131">
        <f>GNA!F38</f>
        <v>219.46</v>
      </c>
      <c r="D38" s="131">
        <f>GNA!E38</f>
        <v>0</v>
      </c>
      <c r="E38" s="132">
        <f>RTM!ZZ37</f>
        <v>0</v>
      </c>
      <c r="F38" s="132">
        <f>IEX!AM36</f>
        <v>0</v>
      </c>
      <c r="G38" s="132">
        <f>TGNA!L38+TGNA!M38+TGNA!N38</f>
        <v>-121.9</v>
      </c>
      <c r="H38" s="132">
        <v>0</v>
      </c>
      <c r="I38" s="146">
        <f t="shared" si="0"/>
        <v>219.460545</v>
      </c>
      <c r="J38" s="147">
        <v>230.55</v>
      </c>
      <c r="K38" s="148">
        <f t="shared" si="1"/>
        <v>0</v>
      </c>
      <c r="L38" s="148">
        <f t="shared" si="2"/>
        <v>0</v>
      </c>
      <c r="M38" s="148">
        <f t="shared" si="3"/>
        <v>125.03283</v>
      </c>
      <c r="N38" s="148">
        <f t="shared" si="4"/>
        <v>0</v>
      </c>
      <c r="O38" s="149">
        <f t="shared" si="5"/>
        <v>125</v>
      </c>
      <c r="P38" s="150">
        <f t="shared" si="6"/>
        <v>0</v>
      </c>
      <c r="Q38" s="147">
        <v>0</v>
      </c>
    </row>
    <row r="39" ht="16.5" spans="1:17">
      <c r="A39" s="78">
        <v>27</v>
      </c>
      <c r="B39" s="78" t="s">
        <v>40</v>
      </c>
      <c r="C39" s="131">
        <f>GNA!F39</f>
        <v>219.46</v>
      </c>
      <c r="D39" s="131">
        <f>GNA!E39</f>
        <v>0</v>
      </c>
      <c r="E39" s="132">
        <f>RTM!ZZ38</f>
        <v>0</v>
      </c>
      <c r="F39" s="132">
        <f>IEX!AM37</f>
        <v>0</v>
      </c>
      <c r="G39" s="132">
        <f>TGNA!L39+TGNA!M39+TGNA!N39</f>
        <v>-121.9</v>
      </c>
      <c r="H39" s="132">
        <v>0</v>
      </c>
      <c r="I39" s="146">
        <f t="shared" si="0"/>
        <v>219.460545</v>
      </c>
      <c r="J39" s="147">
        <v>230.55</v>
      </c>
      <c r="K39" s="148">
        <f t="shared" si="1"/>
        <v>0</v>
      </c>
      <c r="L39" s="148">
        <f t="shared" si="2"/>
        <v>0</v>
      </c>
      <c r="M39" s="148">
        <f t="shared" si="3"/>
        <v>125.03283</v>
      </c>
      <c r="N39" s="148">
        <f t="shared" si="4"/>
        <v>0</v>
      </c>
      <c r="O39" s="149">
        <f t="shared" si="5"/>
        <v>125</v>
      </c>
      <c r="P39" s="150">
        <f t="shared" si="6"/>
        <v>0</v>
      </c>
      <c r="Q39" s="147">
        <v>0</v>
      </c>
    </row>
    <row r="40" ht="16.5" spans="1:17">
      <c r="A40" s="78">
        <v>28</v>
      </c>
      <c r="B40" s="78" t="s">
        <v>41</v>
      </c>
      <c r="C40" s="131">
        <f>GNA!F40</f>
        <v>219.46</v>
      </c>
      <c r="D40" s="131">
        <f>GNA!E40</f>
        <v>0</v>
      </c>
      <c r="E40" s="132">
        <f>RTM!ZZ39</f>
        <v>0</v>
      </c>
      <c r="F40" s="132">
        <f>IEX!AM38</f>
        <v>0</v>
      </c>
      <c r="G40" s="132">
        <f>TGNA!L40+TGNA!M40+TGNA!N40</f>
        <v>-121.9</v>
      </c>
      <c r="H40" s="132">
        <v>0</v>
      </c>
      <c r="I40" s="146">
        <f t="shared" si="0"/>
        <v>219.460545</v>
      </c>
      <c r="J40" s="147">
        <v>230.55</v>
      </c>
      <c r="K40" s="148">
        <f t="shared" si="1"/>
        <v>0</v>
      </c>
      <c r="L40" s="148">
        <f t="shared" si="2"/>
        <v>0</v>
      </c>
      <c r="M40" s="148">
        <f t="shared" si="3"/>
        <v>125.03283</v>
      </c>
      <c r="N40" s="148">
        <f t="shared" si="4"/>
        <v>0</v>
      </c>
      <c r="O40" s="149">
        <f t="shared" si="5"/>
        <v>125</v>
      </c>
      <c r="P40" s="150">
        <f t="shared" si="6"/>
        <v>0</v>
      </c>
      <c r="Q40" s="147">
        <v>0</v>
      </c>
    </row>
    <row r="41" ht="16.5" spans="1:17">
      <c r="A41" s="78">
        <v>29</v>
      </c>
      <c r="B41" s="78" t="s">
        <v>42</v>
      </c>
      <c r="C41" s="131">
        <f>GNA!F41</f>
        <v>219.46</v>
      </c>
      <c r="D41" s="131">
        <f>GNA!E41</f>
        <v>0</v>
      </c>
      <c r="E41" s="132">
        <f>RTM!ZZ40</f>
        <v>0</v>
      </c>
      <c r="F41" s="132">
        <f>IEX!AM39</f>
        <v>0</v>
      </c>
      <c r="G41" s="132">
        <f>TGNA!L41+TGNA!M41+TGNA!N41</f>
        <v>-121.9</v>
      </c>
      <c r="H41" s="132">
        <v>0</v>
      </c>
      <c r="I41" s="146">
        <f t="shared" si="0"/>
        <v>219.460545</v>
      </c>
      <c r="J41" s="147">
        <v>230.55</v>
      </c>
      <c r="K41" s="148">
        <f t="shared" si="1"/>
        <v>0</v>
      </c>
      <c r="L41" s="148">
        <f t="shared" si="2"/>
        <v>0</v>
      </c>
      <c r="M41" s="148">
        <f t="shared" si="3"/>
        <v>125.03283</v>
      </c>
      <c r="N41" s="148">
        <f t="shared" si="4"/>
        <v>0</v>
      </c>
      <c r="O41" s="149">
        <f t="shared" si="5"/>
        <v>125</v>
      </c>
      <c r="P41" s="150">
        <f t="shared" si="6"/>
        <v>0</v>
      </c>
      <c r="Q41" s="147">
        <v>0</v>
      </c>
    </row>
    <row r="42" ht="16.5" spans="1:17">
      <c r="A42" s="78">
        <v>30</v>
      </c>
      <c r="B42" s="78" t="s">
        <v>43</v>
      </c>
      <c r="C42" s="131">
        <f>GNA!F42</f>
        <v>219.46</v>
      </c>
      <c r="D42" s="131">
        <f>GNA!E42</f>
        <v>0</v>
      </c>
      <c r="E42" s="132">
        <f>RTM!ZZ41</f>
        <v>0</v>
      </c>
      <c r="F42" s="132">
        <f>IEX!AM40</f>
        <v>0</v>
      </c>
      <c r="G42" s="132">
        <f>TGNA!L42+TGNA!M42+TGNA!N42</f>
        <v>-121.9</v>
      </c>
      <c r="H42" s="132">
        <v>0</v>
      </c>
      <c r="I42" s="146">
        <f t="shared" si="0"/>
        <v>219.460545</v>
      </c>
      <c r="J42" s="147">
        <v>230.55</v>
      </c>
      <c r="K42" s="148">
        <f t="shared" si="1"/>
        <v>0</v>
      </c>
      <c r="L42" s="148">
        <f t="shared" si="2"/>
        <v>0</v>
      </c>
      <c r="M42" s="148">
        <f t="shared" si="3"/>
        <v>125.03283</v>
      </c>
      <c r="N42" s="148">
        <f t="shared" si="4"/>
        <v>0</v>
      </c>
      <c r="O42" s="149">
        <f t="shared" si="5"/>
        <v>125</v>
      </c>
      <c r="P42" s="150">
        <f t="shared" si="6"/>
        <v>0</v>
      </c>
      <c r="Q42" s="147">
        <v>0</v>
      </c>
    </row>
    <row r="43" ht="16.5" spans="1:17">
      <c r="A43" s="78">
        <v>31</v>
      </c>
      <c r="B43" s="78" t="s">
        <v>44</v>
      </c>
      <c r="C43" s="131">
        <f>GNA!F43</f>
        <v>219.46</v>
      </c>
      <c r="D43" s="131">
        <f>GNA!E43</f>
        <v>0</v>
      </c>
      <c r="E43" s="132">
        <f>RTM!ZZ42</f>
        <v>0</v>
      </c>
      <c r="F43" s="132">
        <f>IEX!AM41</f>
        <v>0</v>
      </c>
      <c r="G43" s="132">
        <f>TGNA!L43+TGNA!M43+TGNA!N43</f>
        <v>-121.9</v>
      </c>
      <c r="H43" s="132">
        <v>0</v>
      </c>
      <c r="I43" s="146">
        <f t="shared" si="0"/>
        <v>219.460545</v>
      </c>
      <c r="J43" s="147">
        <v>230.55</v>
      </c>
      <c r="K43" s="148">
        <f t="shared" si="1"/>
        <v>0</v>
      </c>
      <c r="L43" s="148">
        <f t="shared" si="2"/>
        <v>0</v>
      </c>
      <c r="M43" s="148">
        <f t="shared" si="3"/>
        <v>125.03283</v>
      </c>
      <c r="N43" s="148">
        <f t="shared" si="4"/>
        <v>0</v>
      </c>
      <c r="O43" s="149">
        <f t="shared" si="5"/>
        <v>125</v>
      </c>
      <c r="P43" s="150">
        <f t="shared" si="6"/>
        <v>0</v>
      </c>
      <c r="Q43" s="147">
        <v>0</v>
      </c>
    </row>
    <row r="44" ht="16.5" spans="1:17">
      <c r="A44" s="78">
        <v>32</v>
      </c>
      <c r="B44" s="78" t="s">
        <v>45</v>
      </c>
      <c r="C44" s="131">
        <f>GNA!F44</f>
        <v>219.46</v>
      </c>
      <c r="D44" s="131">
        <f>GNA!E44</f>
        <v>0</v>
      </c>
      <c r="E44" s="132">
        <f>RTM!ZZ43</f>
        <v>0</v>
      </c>
      <c r="F44" s="132">
        <f>IEX!AM42</f>
        <v>0</v>
      </c>
      <c r="G44" s="132">
        <f>TGNA!L44+TGNA!M44+TGNA!N44</f>
        <v>-121.9</v>
      </c>
      <c r="H44" s="132">
        <v>0</v>
      </c>
      <c r="I44" s="146">
        <f t="shared" si="0"/>
        <v>219.460545</v>
      </c>
      <c r="J44" s="147">
        <v>230.55</v>
      </c>
      <c r="K44" s="148">
        <f t="shared" si="1"/>
        <v>0</v>
      </c>
      <c r="L44" s="148">
        <f t="shared" si="2"/>
        <v>0</v>
      </c>
      <c r="M44" s="148">
        <f t="shared" si="3"/>
        <v>125.03283</v>
      </c>
      <c r="N44" s="148">
        <f t="shared" si="4"/>
        <v>0</v>
      </c>
      <c r="O44" s="149">
        <f t="shared" si="5"/>
        <v>125</v>
      </c>
      <c r="P44" s="150">
        <f t="shared" si="6"/>
        <v>0</v>
      </c>
      <c r="Q44" s="147">
        <v>0</v>
      </c>
    </row>
    <row r="45" ht="16.5" spans="1:17">
      <c r="A45" s="78">
        <v>33</v>
      </c>
      <c r="B45" s="78" t="s">
        <v>46</v>
      </c>
      <c r="C45" s="131">
        <f>GNA!F45</f>
        <v>219.46</v>
      </c>
      <c r="D45" s="131">
        <f>GNA!E45</f>
        <v>0</v>
      </c>
      <c r="E45" s="132">
        <f>RTM!ZZ44</f>
        <v>0</v>
      </c>
      <c r="F45" s="132">
        <f>IEX!AM43</f>
        <v>0</v>
      </c>
      <c r="G45" s="132">
        <f>TGNA!L45+TGNA!M45+TGNA!N45</f>
        <v>-121.9</v>
      </c>
      <c r="H45" s="132">
        <v>0</v>
      </c>
      <c r="I45" s="146">
        <f t="shared" si="0"/>
        <v>219.460545</v>
      </c>
      <c r="J45" s="147">
        <v>230.55</v>
      </c>
      <c r="K45" s="148">
        <f t="shared" si="1"/>
        <v>0</v>
      </c>
      <c r="L45" s="148">
        <f t="shared" si="2"/>
        <v>0</v>
      </c>
      <c r="M45" s="148">
        <f t="shared" si="3"/>
        <v>125.03283</v>
      </c>
      <c r="N45" s="148">
        <f t="shared" si="4"/>
        <v>0</v>
      </c>
      <c r="O45" s="149">
        <f t="shared" si="5"/>
        <v>125</v>
      </c>
      <c r="P45" s="150">
        <f t="shared" si="6"/>
        <v>0</v>
      </c>
      <c r="Q45" s="147">
        <v>0</v>
      </c>
    </row>
    <row r="46" ht="16.5" spans="1:17">
      <c r="A46" s="78">
        <v>34</v>
      </c>
      <c r="B46" s="78" t="s">
        <v>47</v>
      </c>
      <c r="C46" s="131">
        <f>GNA!F46</f>
        <v>219.46</v>
      </c>
      <c r="D46" s="131">
        <f>GNA!E46</f>
        <v>0</v>
      </c>
      <c r="E46" s="132">
        <f>RTM!ZZ45</f>
        <v>0</v>
      </c>
      <c r="F46" s="132">
        <f>IEX!AM44</f>
        <v>0</v>
      </c>
      <c r="G46" s="132">
        <f>TGNA!L46+TGNA!M46+TGNA!N46</f>
        <v>-121.9</v>
      </c>
      <c r="H46" s="132">
        <v>0</v>
      </c>
      <c r="I46" s="146">
        <f t="shared" si="0"/>
        <v>219.460545</v>
      </c>
      <c r="J46" s="147">
        <v>230.55</v>
      </c>
      <c r="K46" s="148">
        <f t="shared" si="1"/>
        <v>0</v>
      </c>
      <c r="L46" s="148">
        <f t="shared" si="2"/>
        <v>0</v>
      </c>
      <c r="M46" s="148">
        <f t="shared" si="3"/>
        <v>125.03283</v>
      </c>
      <c r="N46" s="148">
        <f t="shared" si="4"/>
        <v>0</v>
      </c>
      <c r="O46" s="149">
        <f t="shared" si="5"/>
        <v>125</v>
      </c>
      <c r="P46" s="150">
        <f t="shared" si="6"/>
        <v>0</v>
      </c>
      <c r="Q46" s="147">
        <v>0</v>
      </c>
    </row>
    <row r="47" ht="16.5" spans="1:17">
      <c r="A47" s="78">
        <v>35</v>
      </c>
      <c r="B47" s="78" t="s">
        <v>48</v>
      </c>
      <c r="C47" s="131">
        <f>GNA!F47</f>
        <v>219.46</v>
      </c>
      <c r="D47" s="131">
        <f>GNA!E47</f>
        <v>0</v>
      </c>
      <c r="E47" s="132">
        <f>RTM!ZZ46</f>
        <v>0</v>
      </c>
      <c r="F47" s="132">
        <f>IEX!AM45</f>
        <v>0</v>
      </c>
      <c r="G47" s="132">
        <f>TGNA!L47+TGNA!M47+TGNA!N47</f>
        <v>-121.9</v>
      </c>
      <c r="H47" s="132">
        <v>0</v>
      </c>
      <c r="I47" s="146">
        <f t="shared" si="0"/>
        <v>219.460545</v>
      </c>
      <c r="J47" s="147">
        <v>230.55</v>
      </c>
      <c r="K47" s="148">
        <f t="shared" si="1"/>
        <v>0</v>
      </c>
      <c r="L47" s="148">
        <f t="shared" si="2"/>
        <v>0</v>
      </c>
      <c r="M47" s="148">
        <f t="shared" si="3"/>
        <v>125.03283</v>
      </c>
      <c r="N47" s="148">
        <f t="shared" si="4"/>
        <v>0</v>
      </c>
      <c r="O47" s="149">
        <f t="shared" si="5"/>
        <v>125</v>
      </c>
      <c r="P47" s="150">
        <f t="shared" si="6"/>
        <v>0</v>
      </c>
      <c r="Q47" s="147">
        <v>0</v>
      </c>
    </row>
    <row r="48" ht="16.5" spans="1:17">
      <c r="A48" s="78">
        <v>36</v>
      </c>
      <c r="B48" s="78" t="s">
        <v>49</v>
      </c>
      <c r="C48" s="131">
        <f>GNA!F48</f>
        <v>219.46</v>
      </c>
      <c r="D48" s="131">
        <f>GNA!E48</f>
        <v>0</v>
      </c>
      <c r="E48" s="132">
        <f>RTM!ZZ47</f>
        <v>0</v>
      </c>
      <c r="F48" s="132">
        <f>IEX!AM46</f>
        <v>0</v>
      </c>
      <c r="G48" s="132">
        <f>TGNA!L48+TGNA!M48+TGNA!N48</f>
        <v>-121.9</v>
      </c>
      <c r="H48" s="132">
        <v>0</v>
      </c>
      <c r="I48" s="146">
        <f t="shared" si="0"/>
        <v>219.460545</v>
      </c>
      <c r="J48" s="147">
        <v>230.55</v>
      </c>
      <c r="K48" s="148">
        <f t="shared" si="1"/>
        <v>0</v>
      </c>
      <c r="L48" s="148">
        <f t="shared" si="2"/>
        <v>0</v>
      </c>
      <c r="M48" s="148">
        <f t="shared" si="3"/>
        <v>125.03283</v>
      </c>
      <c r="N48" s="148">
        <f t="shared" si="4"/>
        <v>0</v>
      </c>
      <c r="O48" s="149">
        <f t="shared" si="5"/>
        <v>125</v>
      </c>
      <c r="P48" s="150">
        <f t="shared" si="6"/>
        <v>0</v>
      </c>
      <c r="Q48" s="147">
        <v>0</v>
      </c>
    </row>
    <row r="49" ht="16.5" spans="1:17">
      <c r="A49" s="78">
        <v>37</v>
      </c>
      <c r="B49" s="78" t="s">
        <v>50</v>
      </c>
      <c r="C49" s="131">
        <f>GNA!F49</f>
        <v>219.46</v>
      </c>
      <c r="D49" s="131">
        <f>GNA!E49</f>
        <v>0</v>
      </c>
      <c r="E49" s="132">
        <f>RTM!ZZ48</f>
        <v>0</v>
      </c>
      <c r="F49" s="132">
        <f>IEX!AM47</f>
        <v>-121.9</v>
      </c>
      <c r="G49" s="132">
        <f>TGNA!L49+TGNA!M49+TGNA!N49</f>
        <v>0</v>
      </c>
      <c r="H49" s="132">
        <v>0</v>
      </c>
      <c r="I49" s="146">
        <f t="shared" si="0"/>
        <v>219.460545</v>
      </c>
      <c r="J49" s="147">
        <v>230.55</v>
      </c>
      <c r="K49" s="148">
        <f t="shared" si="1"/>
        <v>0</v>
      </c>
      <c r="L49" s="148">
        <f t="shared" si="2"/>
        <v>125.03283</v>
      </c>
      <c r="M49" s="148">
        <f t="shared" si="3"/>
        <v>0</v>
      </c>
      <c r="N49" s="148">
        <f t="shared" si="4"/>
        <v>0</v>
      </c>
      <c r="O49" s="149">
        <f t="shared" si="5"/>
        <v>125</v>
      </c>
      <c r="P49" s="150">
        <f t="shared" si="6"/>
        <v>0</v>
      </c>
      <c r="Q49" s="147">
        <v>0</v>
      </c>
    </row>
    <row r="50" ht="16.5" spans="1:17">
      <c r="A50" s="78">
        <v>38</v>
      </c>
      <c r="B50" s="78" t="s">
        <v>51</v>
      </c>
      <c r="C50" s="131">
        <f>GNA!F50</f>
        <v>219.46</v>
      </c>
      <c r="D50" s="131">
        <f>GNA!E50</f>
        <v>0</v>
      </c>
      <c r="E50" s="132">
        <f>RTM!ZZ49</f>
        <v>0</v>
      </c>
      <c r="F50" s="132">
        <f>IEX!AM48</f>
        <v>-121.9</v>
      </c>
      <c r="G50" s="132">
        <f>TGNA!L50+TGNA!M50+TGNA!N50</f>
        <v>0</v>
      </c>
      <c r="H50" s="132">
        <v>0</v>
      </c>
      <c r="I50" s="146">
        <f t="shared" si="0"/>
        <v>219.460545</v>
      </c>
      <c r="J50" s="147">
        <v>230.55</v>
      </c>
      <c r="K50" s="148">
        <f t="shared" si="1"/>
        <v>0</v>
      </c>
      <c r="L50" s="148">
        <f t="shared" si="2"/>
        <v>125.03283</v>
      </c>
      <c r="M50" s="148">
        <f t="shared" si="3"/>
        <v>0</v>
      </c>
      <c r="N50" s="148">
        <f t="shared" si="4"/>
        <v>0</v>
      </c>
      <c r="O50" s="149">
        <f t="shared" si="5"/>
        <v>125</v>
      </c>
      <c r="P50" s="150">
        <f t="shared" si="6"/>
        <v>0</v>
      </c>
      <c r="Q50" s="147">
        <v>0</v>
      </c>
    </row>
    <row r="51" ht="16.5" spans="1:17">
      <c r="A51" s="78">
        <v>39</v>
      </c>
      <c r="B51" s="78" t="s">
        <v>52</v>
      </c>
      <c r="C51" s="131">
        <f>GNA!F51</f>
        <v>219.46</v>
      </c>
      <c r="D51" s="131">
        <f>GNA!E51</f>
        <v>0</v>
      </c>
      <c r="E51" s="132">
        <f>RTM!ZZ50</f>
        <v>0</v>
      </c>
      <c r="F51" s="132">
        <f>IEX!AM49</f>
        <v>-121.9</v>
      </c>
      <c r="G51" s="132">
        <f>TGNA!L51+TGNA!M51+TGNA!N51</f>
        <v>0</v>
      </c>
      <c r="H51" s="132">
        <v>0</v>
      </c>
      <c r="I51" s="146">
        <f t="shared" si="0"/>
        <v>219.460545</v>
      </c>
      <c r="J51" s="147">
        <v>230.55</v>
      </c>
      <c r="K51" s="148">
        <f t="shared" si="1"/>
        <v>0</v>
      </c>
      <c r="L51" s="148">
        <f t="shared" si="2"/>
        <v>125.03283</v>
      </c>
      <c r="M51" s="148">
        <f t="shared" si="3"/>
        <v>0</v>
      </c>
      <c r="N51" s="148">
        <f t="shared" si="4"/>
        <v>0</v>
      </c>
      <c r="O51" s="149">
        <f t="shared" si="5"/>
        <v>125</v>
      </c>
      <c r="P51" s="150">
        <f t="shared" si="6"/>
        <v>0</v>
      </c>
      <c r="Q51" s="147">
        <v>0</v>
      </c>
    </row>
    <row r="52" ht="16.5" spans="1:17">
      <c r="A52" s="78">
        <v>40</v>
      </c>
      <c r="B52" s="78" t="s">
        <v>53</v>
      </c>
      <c r="C52" s="131">
        <f>GNA!F52</f>
        <v>219.46</v>
      </c>
      <c r="D52" s="131">
        <f>GNA!E52</f>
        <v>0</v>
      </c>
      <c r="E52" s="132">
        <f>RTM!ZZ51</f>
        <v>0</v>
      </c>
      <c r="F52" s="132">
        <f>IEX!AM50</f>
        <v>-121.9</v>
      </c>
      <c r="G52" s="132">
        <f>TGNA!L52+TGNA!M52+TGNA!N52</f>
        <v>0</v>
      </c>
      <c r="H52" s="132">
        <v>0</v>
      </c>
      <c r="I52" s="146">
        <f t="shared" si="0"/>
        <v>219.460545</v>
      </c>
      <c r="J52" s="147">
        <v>230.55</v>
      </c>
      <c r="K52" s="148">
        <f t="shared" si="1"/>
        <v>0</v>
      </c>
      <c r="L52" s="148">
        <f t="shared" si="2"/>
        <v>125.03283</v>
      </c>
      <c r="M52" s="148">
        <f t="shared" si="3"/>
        <v>0</v>
      </c>
      <c r="N52" s="148">
        <f t="shared" si="4"/>
        <v>0</v>
      </c>
      <c r="O52" s="149">
        <f t="shared" si="5"/>
        <v>125</v>
      </c>
      <c r="P52" s="150">
        <f t="shared" si="6"/>
        <v>0</v>
      </c>
      <c r="Q52" s="147">
        <v>0</v>
      </c>
    </row>
    <row r="53" ht="16.5" spans="1:17">
      <c r="A53" s="78">
        <v>41</v>
      </c>
      <c r="B53" s="78" t="s">
        <v>54</v>
      </c>
      <c r="C53" s="131">
        <f>GNA!F53</f>
        <v>219.46</v>
      </c>
      <c r="D53" s="131">
        <f>GNA!E53</f>
        <v>0</v>
      </c>
      <c r="E53" s="132">
        <f>RTM!ZZ52</f>
        <v>0</v>
      </c>
      <c r="F53" s="132">
        <f>IEX!AM51</f>
        <v>-121.9</v>
      </c>
      <c r="G53" s="132">
        <f>TGNA!L53+TGNA!M53+TGNA!N53</f>
        <v>0</v>
      </c>
      <c r="H53" s="132">
        <v>0</v>
      </c>
      <c r="I53" s="146">
        <f t="shared" si="0"/>
        <v>219.460545</v>
      </c>
      <c r="J53" s="147">
        <v>230.55</v>
      </c>
      <c r="K53" s="148">
        <f t="shared" si="1"/>
        <v>0</v>
      </c>
      <c r="L53" s="148">
        <f t="shared" si="2"/>
        <v>125.03283</v>
      </c>
      <c r="M53" s="148">
        <f t="shared" si="3"/>
        <v>0</v>
      </c>
      <c r="N53" s="148">
        <f t="shared" si="4"/>
        <v>0</v>
      </c>
      <c r="O53" s="149">
        <f t="shared" si="5"/>
        <v>125</v>
      </c>
      <c r="P53" s="150">
        <f t="shared" si="6"/>
        <v>0</v>
      </c>
      <c r="Q53" s="147">
        <v>0</v>
      </c>
    </row>
    <row r="54" ht="16.5" spans="1:17">
      <c r="A54" s="78">
        <v>42</v>
      </c>
      <c r="B54" s="78" t="s">
        <v>55</v>
      </c>
      <c r="C54" s="131">
        <f>GNA!F54</f>
        <v>219.46</v>
      </c>
      <c r="D54" s="131">
        <f>GNA!E54</f>
        <v>0</v>
      </c>
      <c r="E54" s="132">
        <f>RTM!ZZ53</f>
        <v>0</v>
      </c>
      <c r="F54" s="132">
        <f>IEX!AM52</f>
        <v>-121.9</v>
      </c>
      <c r="G54" s="132">
        <f>TGNA!L54+TGNA!M54+TGNA!N54</f>
        <v>0</v>
      </c>
      <c r="H54" s="132">
        <v>0</v>
      </c>
      <c r="I54" s="146">
        <f t="shared" si="0"/>
        <v>219.460545</v>
      </c>
      <c r="J54" s="147">
        <v>230.55</v>
      </c>
      <c r="K54" s="148">
        <f t="shared" si="1"/>
        <v>0</v>
      </c>
      <c r="L54" s="148">
        <f t="shared" si="2"/>
        <v>125.03283</v>
      </c>
      <c r="M54" s="148">
        <f t="shared" si="3"/>
        <v>0</v>
      </c>
      <c r="N54" s="148">
        <f t="shared" si="4"/>
        <v>0</v>
      </c>
      <c r="O54" s="149">
        <f t="shared" si="5"/>
        <v>125</v>
      </c>
      <c r="P54" s="150">
        <f t="shared" si="6"/>
        <v>0</v>
      </c>
      <c r="Q54" s="147">
        <v>0</v>
      </c>
    </row>
    <row r="55" s="1" customFormat="1" ht="16.5" spans="1:17">
      <c r="A55" s="78">
        <v>43</v>
      </c>
      <c r="B55" s="78" t="s">
        <v>56</v>
      </c>
      <c r="C55" s="131">
        <f>GNA!F55</f>
        <v>219.46</v>
      </c>
      <c r="D55" s="131">
        <f>GNA!E55</f>
        <v>0</v>
      </c>
      <c r="E55" s="132">
        <f>RTM!ZZ54</f>
        <v>0</v>
      </c>
      <c r="F55" s="132">
        <f>IEX!AM53</f>
        <v>-121.9</v>
      </c>
      <c r="G55" s="132">
        <f>TGNA!L55+TGNA!M55+TGNA!N55</f>
        <v>0</v>
      </c>
      <c r="H55" s="132">
        <v>0</v>
      </c>
      <c r="I55" s="146">
        <f t="shared" si="0"/>
        <v>219.460545</v>
      </c>
      <c r="J55" s="147">
        <v>230.55</v>
      </c>
      <c r="K55" s="148">
        <f t="shared" si="1"/>
        <v>0</v>
      </c>
      <c r="L55" s="148">
        <f t="shared" si="2"/>
        <v>125.03283</v>
      </c>
      <c r="M55" s="148">
        <f t="shared" si="3"/>
        <v>0</v>
      </c>
      <c r="N55" s="148">
        <f t="shared" si="4"/>
        <v>0</v>
      </c>
      <c r="O55" s="149">
        <f t="shared" si="5"/>
        <v>125</v>
      </c>
      <c r="P55" s="150">
        <f t="shared" si="6"/>
        <v>0</v>
      </c>
      <c r="Q55" s="147">
        <v>0</v>
      </c>
    </row>
    <row r="56" s="1" customFormat="1" ht="16.5" spans="1:17">
      <c r="A56" s="78">
        <v>44</v>
      </c>
      <c r="B56" s="78" t="s">
        <v>57</v>
      </c>
      <c r="C56" s="131">
        <f>GNA!F56</f>
        <v>219.46</v>
      </c>
      <c r="D56" s="131">
        <f>GNA!E56</f>
        <v>0</v>
      </c>
      <c r="E56" s="132">
        <f>RTM!ZZ55</f>
        <v>0</v>
      </c>
      <c r="F56" s="132">
        <f>IEX!AM54</f>
        <v>-121.9</v>
      </c>
      <c r="G56" s="132">
        <f>TGNA!L56+TGNA!M56+TGNA!N56</f>
        <v>0</v>
      </c>
      <c r="H56" s="132">
        <v>0</v>
      </c>
      <c r="I56" s="146">
        <f t="shared" si="0"/>
        <v>219.460545</v>
      </c>
      <c r="J56" s="147">
        <v>230.55</v>
      </c>
      <c r="K56" s="148">
        <f t="shared" si="1"/>
        <v>0</v>
      </c>
      <c r="L56" s="148">
        <f t="shared" si="2"/>
        <v>125.03283</v>
      </c>
      <c r="M56" s="148">
        <f t="shared" si="3"/>
        <v>0</v>
      </c>
      <c r="N56" s="148">
        <f t="shared" si="4"/>
        <v>0</v>
      </c>
      <c r="O56" s="149">
        <f t="shared" si="5"/>
        <v>125</v>
      </c>
      <c r="P56" s="150">
        <f t="shared" si="6"/>
        <v>0</v>
      </c>
      <c r="Q56" s="147">
        <v>0</v>
      </c>
    </row>
    <row r="57" ht="16.5" spans="1:17">
      <c r="A57" s="78">
        <v>45</v>
      </c>
      <c r="B57" s="78" t="s">
        <v>58</v>
      </c>
      <c r="C57" s="131">
        <f>GNA!F57</f>
        <v>219.46</v>
      </c>
      <c r="D57" s="131">
        <f>GNA!E57</f>
        <v>0</v>
      </c>
      <c r="E57" s="132">
        <f>RTM!ZZ56</f>
        <v>0</v>
      </c>
      <c r="F57" s="132">
        <f>IEX!AM55</f>
        <v>-121.9</v>
      </c>
      <c r="G57" s="132">
        <f>TGNA!L57+TGNA!M57+TGNA!N57</f>
        <v>0</v>
      </c>
      <c r="H57" s="132">
        <v>0</v>
      </c>
      <c r="I57" s="146">
        <f t="shared" si="0"/>
        <v>219.460545</v>
      </c>
      <c r="J57" s="147">
        <v>230.55</v>
      </c>
      <c r="K57" s="148">
        <f t="shared" si="1"/>
        <v>0</v>
      </c>
      <c r="L57" s="148">
        <f t="shared" si="2"/>
        <v>125.03283</v>
      </c>
      <c r="M57" s="148">
        <f t="shared" si="3"/>
        <v>0</v>
      </c>
      <c r="N57" s="148">
        <f t="shared" si="4"/>
        <v>0</v>
      </c>
      <c r="O57" s="149">
        <f t="shared" si="5"/>
        <v>125</v>
      </c>
      <c r="P57" s="150">
        <f t="shared" si="6"/>
        <v>0</v>
      </c>
      <c r="Q57" s="147">
        <v>0</v>
      </c>
    </row>
    <row r="58" ht="16.5" spans="1:17">
      <c r="A58" s="78">
        <v>46</v>
      </c>
      <c r="B58" s="78" t="s">
        <v>59</v>
      </c>
      <c r="C58" s="131">
        <f>GNA!F58</f>
        <v>219.46</v>
      </c>
      <c r="D58" s="131">
        <f>GNA!E58</f>
        <v>0</v>
      </c>
      <c r="E58" s="132">
        <f>RTM!ZZ57</f>
        <v>0</v>
      </c>
      <c r="F58" s="132">
        <f>IEX!AM56</f>
        <v>-71.9</v>
      </c>
      <c r="G58" s="132">
        <f>TGNA!L58+TGNA!M58+TGNA!N58</f>
        <v>0</v>
      </c>
      <c r="H58" s="132">
        <v>0</v>
      </c>
      <c r="I58" s="146">
        <f t="shared" si="0"/>
        <v>219.460545</v>
      </c>
      <c r="J58" s="147">
        <v>230.55</v>
      </c>
      <c r="K58" s="148">
        <f t="shared" si="1"/>
        <v>0</v>
      </c>
      <c r="L58" s="148">
        <f t="shared" si="2"/>
        <v>73.74783</v>
      </c>
      <c r="M58" s="148">
        <f t="shared" si="3"/>
        <v>0</v>
      </c>
      <c r="N58" s="148">
        <f t="shared" si="4"/>
        <v>0</v>
      </c>
      <c r="O58" s="149">
        <f t="shared" si="5"/>
        <v>74</v>
      </c>
      <c r="P58" s="150">
        <f t="shared" si="6"/>
        <v>0</v>
      </c>
      <c r="Q58" s="147">
        <v>0</v>
      </c>
    </row>
    <row r="59" ht="16.5" spans="1:17">
      <c r="A59" s="78">
        <v>47</v>
      </c>
      <c r="B59" s="78" t="s">
        <v>60</v>
      </c>
      <c r="C59" s="131">
        <f>GNA!F59</f>
        <v>219.46</v>
      </c>
      <c r="D59" s="131">
        <f>GNA!E59</f>
        <v>0</v>
      </c>
      <c r="E59" s="132">
        <f>RTM!ZZ58</f>
        <v>0</v>
      </c>
      <c r="F59" s="132">
        <f>IEX!AM57</f>
        <v>-21.9</v>
      </c>
      <c r="G59" s="132">
        <f>TGNA!L59+TGNA!M59+TGNA!N59</f>
        <v>0</v>
      </c>
      <c r="H59" s="132">
        <v>0</v>
      </c>
      <c r="I59" s="146">
        <f t="shared" si="0"/>
        <v>219.460545</v>
      </c>
      <c r="J59" s="147">
        <v>230.55</v>
      </c>
      <c r="K59" s="148">
        <f t="shared" si="1"/>
        <v>0</v>
      </c>
      <c r="L59" s="148">
        <f t="shared" si="2"/>
        <v>22.46283</v>
      </c>
      <c r="M59" s="148">
        <f t="shared" si="3"/>
        <v>0</v>
      </c>
      <c r="N59" s="148">
        <f t="shared" si="4"/>
        <v>0</v>
      </c>
      <c r="O59" s="149">
        <f t="shared" si="5"/>
        <v>22</v>
      </c>
      <c r="P59" s="150">
        <f t="shared" si="6"/>
        <v>0</v>
      </c>
      <c r="Q59" s="147">
        <v>0</v>
      </c>
    </row>
    <row r="60" ht="16.5" spans="1:17">
      <c r="A60" s="78">
        <v>48</v>
      </c>
      <c r="B60" s="78" t="s">
        <v>61</v>
      </c>
      <c r="C60" s="131">
        <f>GNA!F60</f>
        <v>219.46</v>
      </c>
      <c r="D60" s="131">
        <f>GNA!E60</f>
        <v>0</v>
      </c>
      <c r="E60" s="132">
        <f>RTM!ZZ59</f>
        <v>0</v>
      </c>
      <c r="F60" s="132">
        <f>IEX!AM58</f>
        <v>0</v>
      </c>
      <c r="G60" s="132">
        <f>TGNA!L60+TGNA!M60+TGNA!N60</f>
        <v>0</v>
      </c>
      <c r="H60" s="132">
        <v>0</v>
      </c>
      <c r="I60" s="146">
        <f t="shared" si="0"/>
        <v>219.460545</v>
      </c>
      <c r="J60" s="147">
        <v>230.55</v>
      </c>
      <c r="K60" s="148">
        <f t="shared" si="1"/>
        <v>0</v>
      </c>
      <c r="L60" s="148">
        <f t="shared" si="2"/>
        <v>0</v>
      </c>
      <c r="M60" s="148">
        <f t="shared" si="3"/>
        <v>0</v>
      </c>
      <c r="N60" s="148">
        <f t="shared" si="4"/>
        <v>0</v>
      </c>
      <c r="O60" s="149">
        <f t="shared" si="5"/>
        <v>0</v>
      </c>
      <c r="P60" s="150">
        <f t="shared" si="6"/>
        <v>0</v>
      </c>
      <c r="Q60" s="147">
        <v>0</v>
      </c>
    </row>
    <row r="61" ht="16.5" spans="1:17">
      <c r="A61" s="78">
        <v>49</v>
      </c>
      <c r="B61" s="78" t="s">
        <v>62</v>
      </c>
      <c r="C61" s="131">
        <f>GNA!F61</f>
        <v>219.46</v>
      </c>
      <c r="D61" s="131">
        <f>GNA!E61</f>
        <v>0</v>
      </c>
      <c r="E61" s="132">
        <f>RTM!ZZ60</f>
        <v>0</v>
      </c>
      <c r="F61" s="132">
        <f>IEX!AM59</f>
        <v>0</v>
      </c>
      <c r="G61" s="132">
        <f>TGNA!L61+TGNA!M61+TGNA!N61</f>
        <v>0</v>
      </c>
      <c r="H61" s="132">
        <v>0</v>
      </c>
      <c r="I61" s="146">
        <f t="shared" si="0"/>
        <v>219.460545</v>
      </c>
      <c r="J61" s="147">
        <v>230.55</v>
      </c>
      <c r="K61" s="148">
        <f t="shared" si="1"/>
        <v>0</v>
      </c>
      <c r="L61" s="148">
        <f t="shared" si="2"/>
        <v>0</v>
      </c>
      <c r="M61" s="148">
        <f t="shared" si="3"/>
        <v>0</v>
      </c>
      <c r="N61" s="148">
        <f t="shared" si="4"/>
        <v>0</v>
      </c>
      <c r="O61" s="149">
        <f t="shared" si="5"/>
        <v>0</v>
      </c>
      <c r="P61" s="150">
        <f t="shared" si="6"/>
        <v>0</v>
      </c>
      <c r="Q61" s="147">
        <v>0</v>
      </c>
    </row>
    <row r="62" ht="16.5" spans="1:17">
      <c r="A62" s="78">
        <v>50</v>
      </c>
      <c r="B62" s="78" t="s">
        <v>63</v>
      </c>
      <c r="C62" s="131">
        <f>GNA!F62</f>
        <v>219.46</v>
      </c>
      <c r="D62" s="131">
        <f>GNA!E62</f>
        <v>0</v>
      </c>
      <c r="E62" s="132">
        <f>RTM!ZZ61</f>
        <v>0</v>
      </c>
      <c r="F62" s="132">
        <f>IEX!AM60</f>
        <v>0</v>
      </c>
      <c r="G62" s="132">
        <f>TGNA!L62+TGNA!M62+TGNA!N62</f>
        <v>0</v>
      </c>
      <c r="H62" s="132">
        <v>0</v>
      </c>
      <c r="I62" s="146">
        <f t="shared" si="0"/>
        <v>219.460545</v>
      </c>
      <c r="J62" s="147">
        <v>230.55</v>
      </c>
      <c r="K62" s="148">
        <f t="shared" si="1"/>
        <v>0</v>
      </c>
      <c r="L62" s="148">
        <f t="shared" si="2"/>
        <v>0</v>
      </c>
      <c r="M62" s="148">
        <f t="shared" si="3"/>
        <v>0</v>
      </c>
      <c r="N62" s="148">
        <f t="shared" si="4"/>
        <v>0</v>
      </c>
      <c r="O62" s="149">
        <f t="shared" si="5"/>
        <v>0</v>
      </c>
      <c r="P62" s="150">
        <f t="shared" si="6"/>
        <v>0</v>
      </c>
      <c r="Q62" s="147">
        <v>0</v>
      </c>
    </row>
    <row r="63" ht="16.5" spans="1:17">
      <c r="A63" s="78">
        <v>51</v>
      </c>
      <c r="B63" s="78" t="s">
        <v>64</v>
      </c>
      <c r="C63" s="131">
        <f>GNA!F63</f>
        <v>219.46</v>
      </c>
      <c r="D63" s="131">
        <f>GNA!E63</f>
        <v>0</v>
      </c>
      <c r="E63" s="132">
        <f>RTM!ZZ62</f>
        <v>0</v>
      </c>
      <c r="F63" s="132">
        <f>IEX!AM61</f>
        <v>0</v>
      </c>
      <c r="G63" s="132">
        <f>TGNA!L63+TGNA!M63+TGNA!N63</f>
        <v>0</v>
      </c>
      <c r="H63" s="132">
        <v>0</v>
      </c>
      <c r="I63" s="146">
        <f t="shared" si="0"/>
        <v>219.460545</v>
      </c>
      <c r="J63" s="147">
        <v>230.55</v>
      </c>
      <c r="K63" s="148">
        <f t="shared" si="1"/>
        <v>0</v>
      </c>
      <c r="L63" s="148">
        <f t="shared" si="2"/>
        <v>0</v>
      </c>
      <c r="M63" s="148">
        <f t="shared" si="3"/>
        <v>0</v>
      </c>
      <c r="N63" s="148">
        <f t="shared" si="4"/>
        <v>0</v>
      </c>
      <c r="O63" s="149">
        <f t="shared" si="5"/>
        <v>0</v>
      </c>
      <c r="P63" s="150">
        <f t="shared" si="6"/>
        <v>0</v>
      </c>
      <c r="Q63" s="147">
        <v>0</v>
      </c>
    </row>
    <row r="64" ht="16.5" spans="1:17">
      <c r="A64" s="78">
        <v>52</v>
      </c>
      <c r="B64" s="78" t="s">
        <v>65</v>
      </c>
      <c r="C64" s="131">
        <f>GNA!F64</f>
        <v>219.46</v>
      </c>
      <c r="D64" s="131">
        <f>GNA!E64</f>
        <v>0</v>
      </c>
      <c r="E64" s="132">
        <f>RTM!ZZ63</f>
        <v>0</v>
      </c>
      <c r="F64" s="132">
        <f>IEX!AM62</f>
        <v>0</v>
      </c>
      <c r="G64" s="132">
        <f>TGNA!L64+TGNA!M64+TGNA!N64</f>
        <v>0</v>
      </c>
      <c r="H64" s="132">
        <v>0</v>
      </c>
      <c r="I64" s="146">
        <f t="shared" si="0"/>
        <v>219.460545</v>
      </c>
      <c r="J64" s="147">
        <v>230.55</v>
      </c>
      <c r="K64" s="148">
        <f t="shared" si="1"/>
        <v>0</v>
      </c>
      <c r="L64" s="148">
        <f t="shared" si="2"/>
        <v>0</v>
      </c>
      <c r="M64" s="148">
        <f t="shared" si="3"/>
        <v>0</v>
      </c>
      <c r="N64" s="148">
        <f t="shared" si="4"/>
        <v>0</v>
      </c>
      <c r="O64" s="149">
        <f t="shared" si="5"/>
        <v>0</v>
      </c>
      <c r="P64" s="150">
        <f t="shared" si="6"/>
        <v>0</v>
      </c>
      <c r="Q64" s="147">
        <v>0</v>
      </c>
    </row>
    <row r="65" ht="16.5" spans="1:17">
      <c r="A65" s="78">
        <v>53</v>
      </c>
      <c r="B65" s="78" t="s">
        <v>66</v>
      </c>
      <c r="C65" s="131">
        <f>GNA!F65</f>
        <v>219.46</v>
      </c>
      <c r="D65" s="131">
        <f>GNA!E65</f>
        <v>0</v>
      </c>
      <c r="E65" s="132">
        <f>RTM!ZZ64</f>
        <v>0</v>
      </c>
      <c r="F65" s="132">
        <f>IEX!AM63</f>
        <v>0</v>
      </c>
      <c r="G65" s="132">
        <f>TGNA!L65+TGNA!M65+TGNA!N65</f>
        <v>0</v>
      </c>
      <c r="H65" s="132">
        <v>0</v>
      </c>
      <c r="I65" s="146">
        <f t="shared" si="0"/>
        <v>219.460545</v>
      </c>
      <c r="J65" s="147">
        <v>230.55</v>
      </c>
      <c r="K65" s="148">
        <f t="shared" si="1"/>
        <v>0</v>
      </c>
      <c r="L65" s="148">
        <f t="shared" si="2"/>
        <v>0</v>
      </c>
      <c r="M65" s="148">
        <f t="shared" si="3"/>
        <v>0</v>
      </c>
      <c r="N65" s="148">
        <f t="shared" si="4"/>
        <v>0</v>
      </c>
      <c r="O65" s="149">
        <f t="shared" si="5"/>
        <v>0</v>
      </c>
      <c r="P65" s="150">
        <f t="shared" si="6"/>
        <v>0</v>
      </c>
      <c r="Q65" s="147">
        <v>0</v>
      </c>
    </row>
    <row r="66" ht="16.5" spans="1:17">
      <c r="A66" s="78">
        <v>54</v>
      </c>
      <c r="B66" s="78" t="s">
        <v>67</v>
      </c>
      <c r="C66" s="131">
        <f>GNA!F66</f>
        <v>219.46</v>
      </c>
      <c r="D66" s="131">
        <f>GNA!E66</f>
        <v>0</v>
      </c>
      <c r="E66" s="132">
        <f>RTM!ZZ65</f>
        <v>0</v>
      </c>
      <c r="F66" s="132">
        <f>IEX!AM64</f>
        <v>0</v>
      </c>
      <c r="G66" s="132">
        <f>TGNA!L66+TGNA!M66+TGNA!N66</f>
        <v>0</v>
      </c>
      <c r="H66" s="132">
        <v>0</v>
      </c>
      <c r="I66" s="146">
        <f t="shared" si="0"/>
        <v>219.460545</v>
      </c>
      <c r="J66" s="147">
        <v>230.55</v>
      </c>
      <c r="K66" s="148">
        <f t="shared" si="1"/>
        <v>0</v>
      </c>
      <c r="L66" s="148">
        <f t="shared" si="2"/>
        <v>0</v>
      </c>
      <c r="M66" s="148">
        <f t="shared" si="3"/>
        <v>0</v>
      </c>
      <c r="N66" s="148">
        <f t="shared" si="4"/>
        <v>0</v>
      </c>
      <c r="O66" s="149">
        <f t="shared" si="5"/>
        <v>0</v>
      </c>
      <c r="P66" s="150">
        <f t="shared" si="6"/>
        <v>0</v>
      </c>
      <c r="Q66" s="147">
        <v>0</v>
      </c>
    </row>
    <row r="67" ht="16.5" spans="1:17">
      <c r="A67" s="78">
        <v>55</v>
      </c>
      <c r="B67" s="78" t="s">
        <v>68</v>
      </c>
      <c r="C67" s="131">
        <f>GNA!F67</f>
        <v>219.46</v>
      </c>
      <c r="D67" s="131">
        <f>GNA!E67</f>
        <v>0</v>
      </c>
      <c r="E67" s="132">
        <f>RTM!ZZ66</f>
        <v>0</v>
      </c>
      <c r="F67" s="132">
        <f>IEX!AM65</f>
        <v>0</v>
      </c>
      <c r="G67" s="132">
        <f>TGNA!L67+TGNA!M67+TGNA!N67</f>
        <v>0</v>
      </c>
      <c r="H67" s="132">
        <v>0</v>
      </c>
      <c r="I67" s="146">
        <f t="shared" si="0"/>
        <v>219.460545</v>
      </c>
      <c r="J67" s="147">
        <v>230.55</v>
      </c>
      <c r="K67" s="148">
        <f t="shared" si="1"/>
        <v>0</v>
      </c>
      <c r="L67" s="148">
        <f t="shared" si="2"/>
        <v>0</v>
      </c>
      <c r="M67" s="148">
        <f t="shared" si="3"/>
        <v>0</v>
      </c>
      <c r="N67" s="148">
        <f t="shared" si="4"/>
        <v>0</v>
      </c>
      <c r="O67" s="149">
        <f t="shared" si="5"/>
        <v>0</v>
      </c>
      <c r="P67" s="150">
        <f t="shared" si="6"/>
        <v>0</v>
      </c>
      <c r="Q67" s="147">
        <v>0</v>
      </c>
    </row>
    <row r="68" ht="16.5" spans="1:17">
      <c r="A68" s="78">
        <v>56</v>
      </c>
      <c r="B68" s="78" t="s">
        <v>69</v>
      </c>
      <c r="C68" s="131">
        <f>GNA!F68</f>
        <v>219.46</v>
      </c>
      <c r="D68" s="131">
        <f>GNA!E68</f>
        <v>0</v>
      </c>
      <c r="E68" s="132">
        <f>RTM!ZZ67</f>
        <v>0</v>
      </c>
      <c r="F68" s="132">
        <f>IEX!AM66</f>
        <v>0</v>
      </c>
      <c r="G68" s="132">
        <f>TGNA!L68+TGNA!M68+TGNA!N68</f>
        <v>0</v>
      </c>
      <c r="H68" s="132">
        <v>0</v>
      </c>
      <c r="I68" s="146">
        <f t="shared" si="0"/>
        <v>219.460545</v>
      </c>
      <c r="J68" s="147">
        <v>230.55</v>
      </c>
      <c r="K68" s="148">
        <f t="shared" si="1"/>
        <v>0</v>
      </c>
      <c r="L68" s="148">
        <f t="shared" si="2"/>
        <v>0</v>
      </c>
      <c r="M68" s="148">
        <f t="shared" si="3"/>
        <v>0</v>
      </c>
      <c r="N68" s="148">
        <f t="shared" si="4"/>
        <v>0</v>
      </c>
      <c r="O68" s="149">
        <f t="shared" si="5"/>
        <v>0</v>
      </c>
      <c r="P68" s="150">
        <f t="shared" si="6"/>
        <v>0</v>
      </c>
      <c r="Q68" s="147">
        <v>0</v>
      </c>
    </row>
    <row r="69" ht="16.5" spans="1:17">
      <c r="A69" s="78">
        <v>57</v>
      </c>
      <c r="B69" s="78" t="s">
        <v>70</v>
      </c>
      <c r="C69" s="131">
        <f>GNA!F69</f>
        <v>219.46</v>
      </c>
      <c r="D69" s="131">
        <f>GNA!E69</f>
        <v>0</v>
      </c>
      <c r="E69" s="132">
        <f>RTM!ZZ68</f>
        <v>0</v>
      </c>
      <c r="F69" s="132">
        <f>IEX!AM67</f>
        <v>0</v>
      </c>
      <c r="G69" s="132">
        <f>TGNA!L69+TGNA!M69+TGNA!N69</f>
        <v>0</v>
      </c>
      <c r="H69" s="132">
        <v>0</v>
      </c>
      <c r="I69" s="146">
        <f t="shared" si="0"/>
        <v>219.460545</v>
      </c>
      <c r="J69" s="147">
        <v>230.55</v>
      </c>
      <c r="K69" s="148">
        <f t="shared" si="1"/>
        <v>0</v>
      </c>
      <c r="L69" s="148">
        <f t="shared" si="2"/>
        <v>0</v>
      </c>
      <c r="M69" s="148">
        <f t="shared" si="3"/>
        <v>0</v>
      </c>
      <c r="N69" s="148">
        <f t="shared" si="4"/>
        <v>0</v>
      </c>
      <c r="O69" s="149">
        <f t="shared" si="5"/>
        <v>0</v>
      </c>
      <c r="P69" s="150">
        <f t="shared" si="6"/>
        <v>0</v>
      </c>
      <c r="Q69" s="147">
        <v>0</v>
      </c>
    </row>
    <row r="70" ht="16.5" spans="1:17">
      <c r="A70" s="78">
        <v>58</v>
      </c>
      <c r="B70" s="78" t="s">
        <v>71</v>
      </c>
      <c r="C70" s="131">
        <f>GNA!F70</f>
        <v>219.46</v>
      </c>
      <c r="D70" s="131">
        <f>GNA!E70</f>
        <v>0</v>
      </c>
      <c r="E70" s="132">
        <f>RTM!ZZ69</f>
        <v>0</v>
      </c>
      <c r="F70" s="132">
        <f>IEX!AM68</f>
        <v>0</v>
      </c>
      <c r="G70" s="132">
        <f>TGNA!L70+TGNA!M70+TGNA!N70</f>
        <v>0</v>
      </c>
      <c r="H70" s="132">
        <v>0</v>
      </c>
      <c r="I70" s="146">
        <f t="shared" si="0"/>
        <v>219.460545</v>
      </c>
      <c r="J70" s="147">
        <v>230.55</v>
      </c>
      <c r="K70" s="148">
        <f t="shared" si="1"/>
        <v>0</v>
      </c>
      <c r="L70" s="148">
        <f t="shared" si="2"/>
        <v>0</v>
      </c>
      <c r="M70" s="148">
        <f t="shared" si="3"/>
        <v>0</v>
      </c>
      <c r="N70" s="148">
        <f t="shared" si="4"/>
        <v>0</v>
      </c>
      <c r="O70" s="149">
        <f t="shared" si="5"/>
        <v>0</v>
      </c>
      <c r="P70" s="150">
        <f t="shared" si="6"/>
        <v>0</v>
      </c>
      <c r="Q70" s="147">
        <v>0</v>
      </c>
    </row>
    <row r="71" ht="16.5" spans="1:17">
      <c r="A71" s="78">
        <v>59</v>
      </c>
      <c r="B71" s="78" t="s">
        <v>72</v>
      </c>
      <c r="C71" s="131">
        <f>GNA!F71</f>
        <v>219.46</v>
      </c>
      <c r="D71" s="131">
        <f>GNA!E71</f>
        <v>0</v>
      </c>
      <c r="E71" s="132">
        <f>RTM!ZZ70</f>
        <v>0</v>
      </c>
      <c r="F71" s="132">
        <f>IEX!AM69</f>
        <v>0</v>
      </c>
      <c r="G71" s="132">
        <f>TGNA!L71+TGNA!M71+TGNA!N71</f>
        <v>0</v>
      </c>
      <c r="H71" s="132">
        <v>0</v>
      </c>
      <c r="I71" s="146">
        <f t="shared" si="0"/>
        <v>219.460545</v>
      </c>
      <c r="J71" s="147">
        <v>230.55</v>
      </c>
      <c r="K71" s="148">
        <f t="shared" si="1"/>
        <v>0</v>
      </c>
      <c r="L71" s="148">
        <f t="shared" si="2"/>
        <v>0</v>
      </c>
      <c r="M71" s="148">
        <f t="shared" si="3"/>
        <v>0</v>
      </c>
      <c r="N71" s="148">
        <f t="shared" si="4"/>
        <v>0</v>
      </c>
      <c r="O71" s="149">
        <f t="shared" si="5"/>
        <v>0</v>
      </c>
      <c r="P71" s="150">
        <f t="shared" si="6"/>
        <v>0</v>
      </c>
      <c r="Q71" s="147">
        <v>0</v>
      </c>
    </row>
    <row r="72" ht="16.5" spans="1:17">
      <c r="A72" s="78">
        <v>60</v>
      </c>
      <c r="B72" s="78" t="s">
        <v>73</v>
      </c>
      <c r="C72" s="131">
        <f>GNA!F72</f>
        <v>219.46</v>
      </c>
      <c r="D72" s="131">
        <f>GNA!E72</f>
        <v>0</v>
      </c>
      <c r="E72" s="132">
        <f>RTM!ZZ71</f>
        <v>0</v>
      </c>
      <c r="F72" s="132">
        <f>IEX!AM70</f>
        <v>0</v>
      </c>
      <c r="G72" s="132">
        <f>TGNA!L72+TGNA!M72+TGNA!N72</f>
        <v>0</v>
      </c>
      <c r="H72" s="132">
        <v>0</v>
      </c>
      <c r="I72" s="146">
        <f t="shared" si="0"/>
        <v>219.460545</v>
      </c>
      <c r="J72" s="147">
        <v>230.55</v>
      </c>
      <c r="K72" s="148">
        <f t="shared" si="1"/>
        <v>0</v>
      </c>
      <c r="L72" s="148">
        <f t="shared" si="2"/>
        <v>0</v>
      </c>
      <c r="M72" s="148">
        <f t="shared" si="3"/>
        <v>0</v>
      </c>
      <c r="N72" s="148">
        <f t="shared" si="4"/>
        <v>0</v>
      </c>
      <c r="O72" s="149">
        <f t="shared" si="5"/>
        <v>0</v>
      </c>
      <c r="P72" s="150">
        <f t="shared" si="6"/>
        <v>0</v>
      </c>
      <c r="Q72" s="147">
        <v>0</v>
      </c>
    </row>
    <row r="73" ht="16.5" spans="1:17">
      <c r="A73" s="78">
        <v>61</v>
      </c>
      <c r="B73" s="78" t="s">
        <v>74</v>
      </c>
      <c r="C73" s="131">
        <f>GNA!F73</f>
        <v>219.46</v>
      </c>
      <c r="D73" s="131">
        <f>GNA!E73</f>
        <v>0</v>
      </c>
      <c r="E73" s="132">
        <f>RTM!ZZ72</f>
        <v>0</v>
      </c>
      <c r="F73" s="132">
        <f>IEX!AM71</f>
        <v>-21.9</v>
      </c>
      <c r="G73" s="132">
        <f>TGNA!L73+TGNA!M73+TGNA!N73</f>
        <v>0</v>
      </c>
      <c r="H73" s="132">
        <v>0</v>
      </c>
      <c r="I73" s="146">
        <f t="shared" si="0"/>
        <v>219.460545</v>
      </c>
      <c r="J73" s="147">
        <v>230.55</v>
      </c>
      <c r="K73" s="148">
        <f t="shared" si="1"/>
        <v>0</v>
      </c>
      <c r="L73" s="148">
        <f t="shared" si="2"/>
        <v>22.46283</v>
      </c>
      <c r="M73" s="148">
        <f t="shared" si="3"/>
        <v>0</v>
      </c>
      <c r="N73" s="148">
        <f t="shared" si="4"/>
        <v>0</v>
      </c>
      <c r="O73" s="149">
        <f t="shared" si="5"/>
        <v>22</v>
      </c>
      <c r="P73" s="150">
        <f t="shared" si="6"/>
        <v>0</v>
      </c>
      <c r="Q73" s="147">
        <v>0</v>
      </c>
    </row>
    <row r="74" ht="16.5" spans="1:17">
      <c r="A74" s="78">
        <v>62</v>
      </c>
      <c r="B74" s="78" t="s">
        <v>75</v>
      </c>
      <c r="C74" s="131">
        <f>GNA!F74</f>
        <v>219.46</v>
      </c>
      <c r="D74" s="131">
        <f>GNA!E74</f>
        <v>0</v>
      </c>
      <c r="E74" s="132">
        <f>RTM!ZZ73</f>
        <v>0</v>
      </c>
      <c r="F74" s="132">
        <f>IEX!AM72</f>
        <v>-71.9</v>
      </c>
      <c r="G74" s="132">
        <f>TGNA!L74+TGNA!M74+TGNA!N74</f>
        <v>0</v>
      </c>
      <c r="H74" s="132">
        <v>0</v>
      </c>
      <c r="I74" s="146">
        <f t="shared" si="0"/>
        <v>219.460545</v>
      </c>
      <c r="J74" s="147">
        <v>230.55</v>
      </c>
      <c r="K74" s="148">
        <f t="shared" si="1"/>
        <v>0</v>
      </c>
      <c r="L74" s="148">
        <f t="shared" si="2"/>
        <v>73.74783</v>
      </c>
      <c r="M74" s="148">
        <f t="shared" si="3"/>
        <v>0</v>
      </c>
      <c r="N74" s="148">
        <f t="shared" si="4"/>
        <v>0</v>
      </c>
      <c r="O74" s="149">
        <f t="shared" si="5"/>
        <v>74</v>
      </c>
      <c r="P74" s="150">
        <f t="shared" si="6"/>
        <v>0</v>
      </c>
      <c r="Q74" s="147">
        <v>0</v>
      </c>
    </row>
    <row r="75" ht="16.5" spans="1:17">
      <c r="A75" s="78">
        <v>63</v>
      </c>
      <c r="B75" s="78" t="s">
        <v>76</v>
      </c>
      <c r="C75" s="131">
        <f>GNA!F75</f>
        <v>219.46</v>
      </c>
      <c r="D75" s="131">
        <f>GNA!E75</f>
        <v>0</v>
      </c>
      <c r="E75" s="132">
        <f>RTM!ZZ74</f>
        <v>0</v>
      </c>
      <c r="F75" s="132">
        <f>IEX!AM73</f>
        <v>0</v>
      </c>
      <c r="G75" s="132">
        <f>TGNA!L75+TGNA!M75+TGNA!N75</f>
        <v>-121.9</v>
      </c>
      <c r="H75" s="132">
        <v>0</v>
      </c>
      <c r="I75" s="146">
        <f t="shared" si="0"/>
        <v>219.460545</v>
      </c>
      <c r="J75" s="147">
        <v>230.55</v>
      </c>
      <c r="K75" s="148">
        <f t="shared" si="1"/>
        <v>0</v>
      </c>
      <c r="L75" s="148">
        <f t="shared" si="2"/>
        <v>0</v>
      </c>
      <c r="M75" s="148">
        <f t="shared" si="3"/>
        <v>125.03283</v>
      </c>
      <c r="N75" s="148">
        <f t="shared" si="4"/>
        <v>0</v>
      </c>
      <c r="O75" s="149">
        <f t="shared" si="5"/>
        <v>125</v>
      </c>
      <c r="P75" s="150">
        <f t="shared" si="6"/>
        <v>0</v>
      </c>
      <c r="Q75" s="147">
        <v>0</v>
      </c>
    </row>
    <row r="76" ht="16.5" spans="1:17">
      <c r="A76" s="78">
        <v>64</v>
      </c>
      <c r="B76" s="78" t="s">
        <v>77</v>
      </c>
      <c r="C76" s="131">
        <f>GNA!F76</f>
        <v>219.46</v>
      </c>
      <c r="D76" s="131">
        <f>GNA!E76</f>
        <v>0</v>
      </c>
      <c r="E76" s="132">
        <f>RTM!ZZ75</f>
        <v>0</v>
      </c>
      <c r="F76" s="132">
        <f>IEX!AM74</f>
        <v>0</v>
      </c>
      <c r="G76" s="132">
        <f>TGNA!L76+TGNA!M76+TGNA!N76</f>
        <v>-121.9</v>
      </c>
      <c r="H76" s="132">
        <v>0</v>
      </c>
      <c r="I76" s="146">
        <f t="shared" si="0"/>
        <v>219.460545</v>
      </c>
      <c r="J76" s="147">
        <v>230.55</v>
      </c>
      <c r="K76" s="148">
        <f t="shared" si="1"/>
        <v>0</v>
      </c>
      <c r="L76" s="148">
        <f t="shared" si="2"/>
        <v>0</v>
      </c>
      <c r="M76" s="148">
        <f t="shared" si="3"/>
        <v>125.03283</v>
      </c>
      <c r="N76" s="148">
        <f t="shared" si="4"/>
        <v>0</v>
      </c>
      <c r="O76" s="149">
        <f t="shared" si="5"/>
        <v>125</v>
      </c>
      <c r="P76" s="150">
        <f t="shared" si="6"/>
        <v>0</v>
      </c>
      <c r="Q76" s="147">
        <v>0</v>
      </c>
    </row>
    <row r="77" ht="16.5" spans="1:17">
      <c r="A77" s="78">
        <v>65</v>
      </c>
      <c r="B77" s="78" t="s">
        <v>78</v>
      </c>
      <c r="C77" s="131">
        <f>GNA!F77</f>
        <v>219.46</v>
      </c>
      <c r="D77" s="131">
        <f>GNA!E77</f>
        <v>0</v>
      </c>
      <c r="E77" s="132">
        <f>RTM!ZZ76</f>
        <v>0</v>
      </c>
      <c r="F77" s="132">
        <f>IEX!AM75</f>
        <v>0</v>
      </c>
      <c r="G77" s="132">
        <f>TGNA!L77+TGNA!M77+TGNA!N77</f>
        <v>-121.9</v>
      </c>
      <c r="H77" s="132">
        <v>0</v>
      </c>
      <c r="I77" s="146">
        <f t="shared" ref="I77:I108" si="7">J77*(1-$L$11)</f>
        <v>219.460545</v>
      </c>
      <c r="J77" s="147">
        <v>230.55</v>
      </c>
      <c r="K77" s="148">
        <f t="shared" ref="K77:K108" si="8">-E77*(1+$O$11)</f>
        <v>0</v>
      </c>
      <c r="L77" s="148">
        <f t="shared" ref="L77:L108" si="9">-F77*(1+$O$11)</f>
        <v>0</v>
      </c>
      <c r="M77" s="148">
        <f t="shared" ref="M77:M108" si="10">-G77*(1+$O$11)</f>
        <v>125.03283</v>
      </c>
      <c r="N77" s="148">
        <f t="shared" ref="N77:N108" si="11">-H77*(1+$O$11)</f>
        <v>0</v>
      </c>
      <c r="O77" s="149">
        <f t="shared" ref="O77:O108" si="12">ROUND(K77+L77+M77+N77,0)</f>
        <v>125</v>
      </c>
      <c r="P77" s="150">
        <f t="shared" ref="P77:P108" si="13">Q77*(1-$L$11)</f>
        <v>0</v>
      </c>
      <c r="Q77" s="147">
        <v>0</v>
      </c>
    </row>
    <row r="78" ht="16.5" spans="1:17">
      <c r="A78" s="78">
        <v>66</v>
      </c>
      <c r="B78" s="78" t="s">
        <v>79</v>
      </c>
      <c r="C78" s="131">
        <f>GNA!F78</f>
        <v>219.46</v>
      </c>
      <c r="D78" s="131">
        <f>GNA!E78</f>
        <v>0</v>
      </c>
      <c r="E78" s="132">
        <f>RTM!ZZ77</f>
        <v>0</v>
      </c>
      <c r="F78" s="132">
        <f>IEX!AM76</f>
        <v>0</v>
      </c>
      <c r="G78" s="132">
        <f>TGNA!L78+TGNA!M78+TGNA!N78</f>
        <v>-121.9</v>
      </c>
      <c r="H78" s="132">
        <v>0</v>
      </c>
      <c r="I78" s="146">
        <f t="shared" si="7"/>
        <v>219.460545</v>
      </c>
      <c r="J78" s="147">
        <v>230.55</v>
      </c>
      <c r="K78" s="148">
        <f t="shared" si="8"/>
        <v>0</v>
      </c>
      <c r="L78" s="148">
        <f t="shared" si="9"/>
        <v>0</v>
      </c>
      <c r="M78" s="148">
        <f t="shared" si="10"/>
        <v>125.03283</v>
      </c>
      <c r="N78" s="148">
        <f t="shared" si="11"/>
        <v>0</v>
      </c>
      <c r="O78" s="149">
        <f t="shared" si="12"/>
        <v>125</v>
      </c>
      <c r="P78" s="150">
        <f t="shared" si="13"/>
        <v>0</v>
      </c>
      <c r="Q78" s="147">
        <v>0</v>
      </c>
    </row>
    <row r="79" ht="16.5" spans="1:17">
      <c r="A79" s="78">
        <v>67</v>
      </c>
      <c r="B79" s="78" t="s">
        <v>80</v>
      </c>
      <c r="C79" s="131">
        <f>GNA!F79</f>
        <v>219.46</v>
      </c>
      <c r="D79" s="131">
        <f>GNA!E79</f>
        <v>0</v>
      </c>
      <c r="E79" s="132">
        <f>RTM!ZZ78</f>
        <v>0</v>
      </c>
      <c r="F79" s="132">
        <f>IEX!AM77</f>
        <v>0</v>
      </c>
      <c r="G79" s="132">
        <f>TGNA!L79+TGNA!M79+TGNA!N79</f>
        <v>-121.9</v>
      </c>
      <c r="H79" s="132">
        <v>0</v>
      </c>
      <c r="I79" s="146">
        <f t="shared" si="7"/>
        <v>219.460545</v>
      </c>
      <c r="J79" s="147">
        <v>230.55</v>
      </c>
      <c r="K79" s="148">
        <f t="shared" si="8"/>
        <v>0</v>
      </c>
      <c r="L79" s="148">
        <f t="shared" si="9"/>
        <v>0</v>
      </c>
      <c r="M79" s="148">
        <f t="shared" si="10"/>
        <v>125.03283</v>
      </c>
      <c r="N79" s="148">
        <f t="shared" si="11"/>
        <v>0</v>
      </c>
      <c r="O79" s="149">
        <f t="shared" si="12"/>
        <v>125</v>
      </c>
      <c r="P79" s="150">
        <f t="shared" si="13"/>
        <v>0</v>
      </c>
      <c r="Q79" s="147">
        <v>0</v>
      </c>
    </row>
    <row r="80" ht="16.5" spans="1:17">
      <c r="A80" s="78">
        <v>68</v>
      </c>
      <c r="B80" s="78" t="s">
        <v>81</v>
      </c>
      <c r="C80" s="131">
        <f>GNA!F80</f>
        <v>219.46</v>
      </c>
      <c r="D80" s="131">
        <f>GNA!E80</f>
        <v>0</v>
      </c>
      <c r="E80" s="132">
        <f>RTM!ZZ79</f>
        <v>0</v>
      </c>
      <c r="F80" s="132">
        <f>IEX!AM78</f>
        <v>0</v>
      </c>
      <c r="G80" s="132">
        <f>TGNA!L80+TGNA!M80+TGNA!N80</f>
        <v>-121.9</v>
      </c>
      <c r="H80" s="132">
        <v>0</v>
      </c>
      <c r="I80" s="146">
        <f t="shared" si="7"/>
        <v>219.460545</v>
      </c>
      <c r="J80" s="147">
        <v>230.55</v>
      </c>
      <c r="K80" s="148">
        <f t="shared" si="8"/>
        <v>0</v>
      </c>
      <c r="L80" s="148">
        <f t="shared" si="9"/>
        <v>0</v>
      </c>
      <c r="M80" s="148">
        <f t="shared" si="10"/>
        <v>125.03283</v>
      </c>
      <c r="N80" s="148">
        <f t="shared" si="11"/>
        <v>0</v>
      </c>
      <c r="O80" s="149">
        <f t="shared" si="12"/>
        <v>125</v>
      </c>
      <c r="P80" s="150">
        <f t="shared" si="13"/>
        <v>0</v>
      </c>
      <c r="Q80" s="147">
        <v>0</v>
      </c>
    </row>
    <row r="81" ht="16.5" spans="1:17">
      <c r="A81" s="78">
        <v>69</v>
      </c>
      <c r="B81" s="78" t="s">
        <v>82</v>
      </c>
      <c r="C81" s="131">
        <f>GNA!F81</f>
        <v>219.46</v>
      </c>
      <c r="D81" s="131">
        <f>GNA!E81</f>
        <v>0</v>
      </c>
      <c r="E81" s="132">
        <f>RTM!ZZ80</f>
        <v>0</v>
      </c>
      <c r="F81" s="132">
        <f>IEX!AM79</f>
        <v>0</v>
      </c>
      <c r="G81" s="132">
        <f>TGNA!L81+TGNA!M81+TGNA!N81</f>
        <v>-121.9</v>
      </c>
      <c r="H81" s="132">
        <v>0</v>
      </c>
      <c r="I81" s="146">
        <f t="shared" si="7"/>
        <v>219.460545</v>
      </c>
      <c r="J81" s="147">
        <v>230.55</v>
      </c>
      <c r="K81" s="148">
        <f t="shared" si="8"/>
        <v>0</v>
      </c>
      <c r="L81" s="148">
        <f t="shared" si="9"/>
        <v>0</v>
      </c>
      <c r="M81" s="148">
        <f t="shared" si="10"/>
        <v>125.03283</v>
      </c>
      <c r="N81" s="148">
        <f t="shared" si="11"/>
        <v>0</v>
      </c>
      <c r="O81" s="149">
        <f t="shared" si="12"/>
        <v>125</v>
      </c>
      <c r="P81" s="150">
        <f t="shared" si="13"/>
        <v>0</v>
      </c>
      <c r="Q81" s="147">
        <v>0</v>
      </c>
    </row>
    <row r="82" ht="16.5" spans="1:17">
      <c r="A82" s="78">
        <v>70</v>
      </c>
      <c r="B82" s="78" t="s">
        <v>83</v>
      </c>
      <c r="C82" s="131">
        <f>GNA!F82</f>
        <v>219.46</v>
      </c>
      <c r="D82" s="131">
        <f>GNA!E82</f>
        <v>0</v>
      </c>
      <c r="E82" s="132">
        <f>RTM!ZZ81</f>
        <v>0</v>
      </c>
      <c r="F82" s="132">
        <f>IEX!AM80</f>
        <v>0</v>
      </c>
      <c r="G82" s="132">
        <f>TGNA!L82+TGNA!M82+TGNA!N82</f>
        <v>-121.9</v>
      </c>
      <c r="H82" s="132">
        <v>0</v>
      </c>
      <c r="I82" s="146">
        <f t="shared" si="7"/>
        <v>219.460545</v>
      </c>
      <c r="J82" s="147">
        <v>230.55</v>
      </c>
      <c r="K82" s="148">
        <f t="shared" si="8"/>
        <v>0</v>
      </c>
      <c r="L82" s="148">
        <f t="shared" si="9"/>
        <v>0</v>
      </c>
      <c r="M82" s="148">
        <f t="shared" si="10"/>
        <v>125.03283</v>
      </c>
      <c r="N82" s="148">
        <f t="shared" si="11"/>
        <v>0</v>
      </c>
      <c r="O82" s="149">
        <f t="shared" si="12"/>
        <v>125</v>
      </c>
      <c r="P82" s="150">
        <f t="shared" si="13"/>
        <v>0</v>
      </c>
      <c r="Q82" s="147">
        <v>0</v>
      </c>
    </row>
    <row r="83" ht="16.5" spans="1:17">
      <c r="A83" s="78">
        <v>71</v>
      </c>
      <c r="B83" s="78" t="s">
        <v>84</v>
      </c>
      <c r="C83" s="131">
        <f>GNA!F83</f>
        <v>219.46</v>
      </c>
      <c r="D83" s="131">
        <f>GNA!E83</f>
        <v>0</v>
      </c>
      <c r="E83" s="132">
        <f>RTM!ZZ82</f>
        <v>0</v>
      </c>
      <c r="F83" s="132">
        <f>IEX!AM81</f>
        <v>0</v>
      </c>
      <c r="G83" s="132">
        <f>TGNA!L83+TGNA!M83+TGNA!N83</f>
        <v>-121.9</v>
      </c>
      <c r="H83" s="132">
        <v>0</v>
      </c>
      <c r="I83" s="146">
        <f t="shared" si="7"/>
        <v>219.460545</v>
      </c>
      <c r="J83" s="147">
        <v>230.55</v>
      </c>
      <c r="K83" s="148">
        <f t="shared" si="8"/>
        <v>0</v>
      </c>
      <c r="L83" s="148">
        <f t="shared" si="9"/>
        <v>0</v>
      </c>
      <c r="M83" s="148">
        <f t="shared" si="10"/>
        <v>125.03283</v>
      </c>
      <c r="N83" s="148">
        <f t="shared" si="11"/>
        <v>0</v>
      </c>
      <c r="O83" s="149">
        <f t="shared" si="12"/>
        <v>125</v>
      </c>
      <c r="P83" s="150">
        <f t="shared" si="13"/>
        <v>0</v>
      </c>
      <c r="Q83" s="147">
        <v>0</v>
      </c>
    </row>
    <row r="84" ht="16.5" spans="1:17">
      <c r="A84" s="78">
        <v>72</v>
      </c>
      <c r="B84" s="78" t="s">
        <v>85</v>
      </c>
      <c r="C84" s="131">
        <f>GNA!F84</f>
        <v>219.46</v>
      </c>
      <c r="D84" s="131">
        <f>GNA!E84</f>
        <v>0</v>
      </c>
      <c r="E84" s="132">
        <f>RTM!ZZ83</f>
        <v>0</v>
      </c>
      <c r="F84" s="132">
        <f>IEX!AM82</f>
        <v>0</v>
      </c>
      <c r="G84" s="132">
        <f>TGNA!L84+TGNA!M84+TGNA!N84</f>
        <v>-121.9</v>
      </c>
      <c r="H84" s="132">
        <v>0</v>
      </c>
      <c r="I84" s="146">
        <f t="shared" si="7"/>
        <v>219.460545</v>
      </c>
      <c r="J84" s="147">
        <v>230.55</v>
      </c>
      <c r="K84" s="148">
        <f t="shared" si="8"/>
        <v>0</v>
      </c>
      <c r="L84" s="148">
        <f t="shared" si="9"/>
        <v>0</v>
      </c>
      <c r="M84" s="148">
        <f t="shared" si="10"/>
        <v>125.03283</v>
      </c>
      <c r="N84" s="148">
        <f t="shared" si="11"/>
        <v>0</v>
      </c>
      <c r="O84" s="149">
        <f t="shared" si="12"/>
        <v>125</v>
      </c>
      <c r="P84" s="150">
        <f t="shared" si="13"/>
        <v>0</v>
      </c>
      <c r="Q84" s="147">
        <v>0</v>
      </c>
    </row>
    <row r="85" ht="16.5" spans="1:17">
      <c r="A85" s="78">
        <v>73</v>
      </c>
      <c r="B85" s="78" t="s">
        <v>86</v>
      </c>
      <c r="C85" s="131">
        <f>GNA!F85</f>
        <v>219.46</v>
      </c>
      <c r="D85" s="131">
        <f>GNA!E85</f>
        <v>0</v>
      </c>
      <c r="E85" s="132">
        <f>RTM!ZZ84</f>
        <v>0</v>
      </c>
      <c r="F85" s="132">
        <f>IEX!AM83</f>
        <v>0</v>
      </c>
      <c r="G85" s="132">
        <f>TGNA!L85+TGNA!M85+TGNA!N85</f>
        <v>-121.9</v>
      </c>
      <c r="H85" s="132">
        <v>0</v>
      </c>
      <c r="I85" s="146">
        <f t="shared" si="7"/>
        <v>219.460545</v>
      </c>
      <c r="J85" s="147">
        <v>230.55</v>
      </c>
      <c r="K85" s="148">
        <f t="shared" si="8"/>
        <v>0</v>
      </c>
      <c r="L85" s="148">
        <f t="shared" si="9"/>
        <v>0</v>
      </c>
      <c r="M85" s="148">
        <f t="shared" si="10"/>
        <v>125.03283</v>
      </c>
      <c r="N85" s="148">
        <f t="shared" si="11"/>
        <v>0</v>
      </c>
      <c r="O85" s="149">
        <f t="shared" si="12"/>
        <v>125</v>
      </c>
      <c r="P85" s="150">
        <f t="shared" si="13"/>
        <v>0</v>
      </c>
      <c r="Q85" s="147">
        <v>0</v>
      </c>
    </row>
    <row r="86" ht="16.5" spans="1:17">
      <c r="A86" s="78">
        <v>74</v>
      </c>
      <c r="B86" s="78" t="s">
        <v>87</v>
      </c>
      <c r="C86" s="131">
        <f>GNA!F86</f>
        <v>219.46</v>
      </c>
      <c r="D86" s="131">
        <f>GNA!E86</f>
        <v>0</v>
      </c>
      <c r="E86" s="132">
        <f>RTM!ZZ85</f>
        <v>0</v>
      </c>
      <c r="F86" s="132">
        <f>IEX!AM84</f>
        <v>0</v>
      </c>
      <c r="G86" s="132">
        <f>TGNA!L86+TGNA!M86+TGNA!N86</f>
        <v>-121.9</v>
      </c>
      <c r="H86" s="132">
        <v>0</v>
      </c>
      <c r="I86" s="146">
        <f t="shared" si="7"/>
        <v>219.460545</v>
      </c>
      <c r="J86" s="147">
        <v>230.55</v>
      </c>
      <c r="K86" s="148">
        <f t="shared" si="8"/>
        <v>0</v>
      </c>
      <c r="L86" s="148">
        <f t="shared" si="9"/>
        <v>0</v>
      </c>
      <c r="M86" s="148">
        <f t="shared" si="10"/>
        <v>125.03283</v>
      </c>
      <c r="N86" s="148">
        <f t="shared" si="11"/>
        <v>0</v>
      </c>
      <c r="O86" s="149">
        <f t="shared" si="12"/>
        <v>125</v>
      </c>
      <c r="P86" s="150">
        <f t="shared" si="13"/>
        <v>0</v>
      </c>
      <c r="Q86" s="147">
        <v>0</v>
      </c>
    </row>
    <row r="87" ht="16.5" spans="1:17">
      <c r="A87" s="78">
        <v>75</v>
      </c>
      <c r="B87" s="78" t="s">
        <v>88</v>
      </c>
      <c r="C87" s="131">
        <f>GNA!F87</f>
        <v>219.46</v>
      </c>
      <c r="D87" s="131">
        <f>GNA!E87</f>
        <v>0</v>
      </c>
      <c r="E87" s="132">
        <f>RTM!ZZ86</f>
        <v>0</v>
      </c>
      <c r="F87" s="132">
        <f>IEX!AM85</f>
        <v>0</v>
      </c>
      <c r="G87" s="132">
        <f>TGNA!L87+TGNA!M87+TGNA!N87</f>
        <v>-121.9</v>
      </c>
      <c r="H87" s="132">
        <v>0</v>
      </c>
      <c r="I87" s="146">
        <f t="shared" si="7"/>
        <v>219.460545</v>
      </c>
      <c r="J87" s="147">
        <v>230.55</v>
      </c>
      <c r="K87" s="148">
        <f t="shared" si="8"/>
        <v>0</v>
      </c>
      <c r="L87" s="148">
        <f t="shared" si="9"/>
        <v>0</v>
      </c>
      <c r="M87" s="148">
        <f t="shared" si="10"/>
        <v>125.03283</v>
      </c>
      <c r="N87" s="148">
        <f t="shared" si="11"/>
        <v>0</v>
      </c>
      <c r="O87" s="149">
        <f t="shared" si="12"/>
        <v>125</v>
      </c>
      <c r="P87" s="150">
        <f t="shared" si="13"/>
        <v>0</v>
      </c>
      <c r="Q87" s="147">
        <v>0</v>
      </c>
    </row>
    <row r="88" ht="16.5" spans="1:17">
      <c r="A88" s="78">
        <v>76</v>
      </c>
      <c r="B88" s="78" t="s">
        <v>89</v>
      </c>
      <c r="C88" s="131">
        <f>GNA!F88</f>
        <v>219.46</v>
      </c>
      <c r="D88" s="131">
        <f>GNA!E88</f>
        <v>0</v>
      </c>
      <c r="E88" s="132">
        <f>RTM!ZZ87</f>
        <v>0</v>
      </c>
      <c r="F88" s="132">
        <f>IEX!AM86</f>
        <v>0</v>
      </c>
      <c r="G88" s="132">
        <f>TGNA!L88+TGNA!M88+TGNA!N88</f>
        <v>-121.9</v>
      </c>
      <c r="H88" s="132">
        <v>0</v>
      </c>
      <c r="I88" s="146">
        <f t="shared" si="7"/>
        <v>219.460545</v>
      </c>
      <c r="J88" s="147">
        <v>230.55</v>
      </c>
      <c r="K88" s="148">
        <f t="shared" si="8"/>
        <v>0</v>
      </c>
      <c r="L88" s="148">
        <f t="shared" si="9"/>
        <v>0</v>
      </c>
      <c r="M88" s="148">
        <f t="shared" si="10"/>
        <v>125.03283</v>
      </c>
      <c r="N88" s="148">
        <f t="shared" si="11"/>
        <v>0</v>
      </c>
      <c r="O88" s="149">
        <f t="shared" si="12"/>
        <v>125</v>
      </c>
      <c r="P88" s="150">
        <f t="shared" si="13"/>
        <v>0</v>
      </c>
      <c r="Q88" s="147">
        <v>0</v>
      </c>
    </row>
    <row r="89" ht="16.5" spans="1:17">
      <c r="A89" s="78">
        <v>77</v>
      </c>
      <c r="B89" s="78" t="s">
        <v>90</v>
      </c>
      <c r="C89" s="131">
        <f>GNA!F89</f>
        <v>219.46</v>
      </c>
      <c r="D89" s="131">
        <f>GNA!E89</f>
        <v>0</v>
      </c>
      <c r="E89" s="132">
        <f>RTM!ZZ88</f>
        <v>0</v>
      </c>
      <c r="F89" s="132">
        <f>IEX!AM87</f>
        <v>0</v>
      </c>
      <c r="G89" s="132">
        <f>TGNA!L89+TGNA!M89+TGNA!N89</f>
        <v>-121.9</v>
      </c>
      <c r="H89" s="132">
        <v>0</v>
      </c>
      <c r="I89" s="146">
        <f t="shared" si="7"/>
        <v>219.460545</v>
      </c>
      <c r="J89" s="147">
        <v>230.55</v>
      </c>
      <c r="K89" s="148">
        <f t="shared" si="8"/>
        <v>0</v>
      </c>
      <c r="L89" s="148">
        <f t="shared" si="9"/>
        <v>0</v>
      </c>
      <c r="M89" s="148">
        <f t="shared" si="10"/>
        <v>125.03283</v>
      </c>
      <c r="N89" s="148">
        <f t="shared" si="11"/>
        <v>0</v>
      </c>
      <c r="O89" s="149">
        <f t="shared" si="12"/>
        <v>125</v>
      </c>
      <c r="P89" s="150">
        <f t="shared" si="13"/>
        <v>0</v>
      </c>
      <c r="Q89" s="147">
        <v>0</v>
      </c>
    </row>
    <row r="90" ht="16.5" spans="1:17">
      <c r="A90" s="78">
        <v>78</v>
      </c>
      <c r="B90" s="78" t="s">
        <v>91</v>
      </c>
      <c r="C90" s="131">
        <f>GNA!F90</f>
        <v>219.46</v>
      </c>
      <c r="D90" s="131">
        <f>GNA!E90</f>
        <v>0</v>
      </c>
      <c r="E90" s="132">
        <f>RTM!ZZ89</f>
        <v>0</v>
      </c>
      <c r="F90" s="132">
        <f>IEX!AM88</f>
        <v>0</v>
      </c>
      <c r="G90" s="132">
        <f>TGNA!L90+TGNA!M90+TGNA!N90</f>
        <v>-121.9</v>
      </c>
      <c r="H90" s="132">
        <v>0</v>
      </c>
      <c r="I90" s="146">
        <f t="shared" si="7"/>
        <v>219.460545</v>
      </c>
      <c r="J90" s="147">
        <v>230.55</v>
      </c>
      <c r="K90" s="148">
        <f t="shared" si="8"/>
        <v>0</v>
      </c>
      <c r="L90" s="148">
        <f t="shared" si="9"/>
        <v>0</v>
      </c>
      <c r="M90" s="148">
        <f t="shared" si="10"/>
        <v>125.03283</v>
      </c>
      <c r="N90" s="148">
        <f t="shared" si="11"/>
        <v>0</v>
      </c>
      <c r="O90" s="149">
        <f t="shared" si="12"/>
        <v>125</v>
      </c>
      <c r="P90" s="150">
        <f t="shared" si="13"/>
        <v>0</v>
      </c>
      <c r="Q90" s="147">
        <v>0</v>
      </c>
    </row>
    <row r="91" ht="16.5" spans="1:17">
      <c r="A91" s="78">
        <v>79</v>
      </c>
      <c r="B91" s="78" t="s">
        <v>92</v>
      </c>
      <c r="C91" s="131">
        <f>GNA!F91</f>
        <v>219.46</v>
      </c>
      <c r="D91" s="131">
        <f>GNA!E91</f>
        <v>0</v>
      </c>
      <c r="E91" s="132">
        <f>RTM!ZZ90</f>
        <v>0</v>
      </c>
      <c r="F91" s="132">
        <f>IEX!AM89</f>
        <v>0</v>
      </c>
      <c r="G91" s="132">
        <f>TGNA!L91+TGNA!M91+TGNA!N91</f>
        <v>-121.9</v>
      </c>
      <c r="H91" s="132">
        <v>0</v>
      </c>
      <c r="I91" s="146">
        <f t="shared" si="7"/>
        <v>219.460545</v>
      </c>
      <c r="J91" s="147">
        <v>230.55</v>
      </c>
      <c r="K91" s="148">
        <f t="shared" si="8"/>
        <v>0</v>
      </c>
      <c r="L91" s="148">
        <f t="shared" si="9"/>
        <v>0</v>
      </c>
      <c r="M91" s="148">
        <f t="shared" si="10"/>
        <v>125.03283</v>
      </c>
      <c r="N91" s="148">
        <f t="shared" si="11"/>
        <v>0</v>
      </c>
      <c r="O91" s="149">
        <f t="shared" si="12"/>
        <v>125</v>
      </c>
      <c r="P91" s="150">
        <f t="shared" si="13"/>
        <v>0</v>
      </c>
      <c r="Q91" s="147">
        <v>0</v>
      </c>
    </row>
    <row r="92" ht="16.5" spans="1:17">
      <c r="A92" s="78">
        <v>80</v>
      </c>
      <c r="B92" s="78" t="s">
        <v>93</v>
      </c>
      <c r="C92" s="131">
        <f>GNA!F92</f>
        <v>219.46</v>
      </c>
      <c r="D92" s="131">
        <f>GNA!E92</f>
        <v>0</v>
      </c>
      <c r="E92" s="132">
        <f>RTM!ZZ91</f>
        <v>0</v>
      </c>
      <c r="F92" s="132">
        <f>IEX!AM90</f>
        <v>0</v>
      </c>
      <c r="G92" s="132">
        <f>TGNA!L92+TGNA!M92+TGNA!N92</f>
        <v>-121.9</v>
      </c>
      <c r="H92" s="132">
        <v>0</v>
      </c>
      <c r="I92" s="146">
        <f t="shared" si="7"/>
        <v>219.460545</v>
      </c>
      <c r="J92" s="147">
        <v>230.55</v>
      </c>
      <c r="K92" s="148">
        <f t="shared" si="8"/>
        <v>0</v>
      </c>
      <c r="L92" s="148">
        <f t="shared" si="9"/>
        <v>0</v>
      </c>
      <c r="M92" s="148">
        <f t="shared" si="10"/>
        <v>125.03283</v>
      </c>
      <c r="N92" s="148">
        <f t="shared" si="11"/>
        <v>0</v>
      </c>
      <c r="O92" s="149">
        <f t="shared" si="12"/>
        <v>125</v>
      </c>
      <c r="P92" s="150">
        <f t="shared" si="13"/>
        <v>0</v>
      </c>
      <c r="Q92" s="147">
        <v>0</v>
      </c>
    </row>
    <row r="93" ht="16.5" spans="1:17">
      <c r="A93" s="78">
        <v>81</v>
      </c>
      <c r="B93" s="78" t="s">
        <v>94</v>
      </c>
      <c r="C93" s="131">
        <f>GNA!F93</f>
        <v>219.46</v>
      </c>
      <c r="D93" s="131">
        <f>GNA!E93</f>
        <v>0</v>
      </c>
      <c r="E93" s="132">
        <f>RTM!ZZ92</f>
        <v>0</v>
      </c>
      <c r="F93" s="132">
        <f>IEX!AM91</f>
        <v>0</v>
      </c>
      <c r="G93" s="132">
        <f>TGNA!L93+TGNA!M93+TGNA!N93</f>
        <v>-121.9</v>
      </c>
      <c r="H93" s="132">
        <v>0</v>
      </c>
      <c r="I93" s="146">
        <f t="shared" si="7"/>
        <v>219.460545</v>
      </c>
      <c r="J93" s="147">
        <v>230.55</v>
      </c>
      <c r="K93" s="148">
        <f t="shared" si="8"/>
        <v>0</v>
      </c>
      <c r="L93" s="148">
        <f t="shared" si="9"/>
        <v>0</v>
      </c>
      <c r="M93" s="148">
        <f t="shared" si="10"/>
        <v>125.03283</v>
      </c>
      <c r="N93" s="148">
        <f t="shared" si="11"/>
        <v>0</v>
      </c>
      <c r="O93" s="149">
        <f t="shared" si="12"/>
        <v>125</v>
      </c>
      <c r="P93" s="150">
        <f t="shared" si="13"/>
        <v>0</v>
      </c>
      <c r="Q93" s="147">
        <v>0</v>
      </c>
    </row>
    <row r="94" ht="16.5" spans="1:17">
      <c r="A94" s="78">
        <v>82</v>
      </c>
      <c r="B94" s="78" t="s">
        <v>95</v>
      </c>
      <c r="C94" s="131">
        <f>GNA!F94</f>
        <v>219.46</v>
      </c>
      <c r="D94" s="131">
        <f>GNA!E94</f>
        <v>0</v>
      </c>
      <c r="E94" s="132">
        <f>RTM!ZZ93</f>
        <v>0</v>
      </c>
      <c r="F94" s="132">
        <f>IEX!AM92</f>
        <v>0</v>
      </c>
      <c r="G94" s="132">
        <f>TGNA!L94+TGNA!M94+TGNA!N94</f>
        <v>-121.9</v>
      </c>
      <c r="H94" s="132">
        <v>0</v>
      </c>
      <c r="I94" s="146">
        <f t="shared" si="7"/>
        <v>219.460545</v>
      </c>
      <c r="J94" s="147">
        <v>230.55</v>
      </c>
      <c r="K94" s="148">
        <f t="shared" si="8"/>
        <v>0</v>
      </c>
      <c r="L94" s="148">
        <f t="shared" si="9"/>
        <v>0</v>
      </c>
      <c r="M94" s="148">
        <f t="shared" si="10"/>
        <v>125.03283</v>
      </c>
      <c r="N94" s="148">
        <f t="shared" si="11"/>
        <v>0</v>
      </c>
      <c r="O94" s="149">
        <f t="shared" si="12"/>
        <v>125</v>
      </c>
      <c r="P94" s="150">
        <f t="shared" si="13"/>
        <v>0</v>
      </c>
      <c r="Q94" s="147">
        <v>0</v>
      </c>
    </row>
    <row r="95" ht="16.5" spans="1:17">
      <c r="A95" s="78">
        <v>83</v>
      </c>
      <c r="B95" s="78" t="s">
        <v>96</v>
      </c>
      <c r="C95" s="131">
        <f>GNA!F95</f>
        <v>219.46</v>
      </c>
      <c r="D95" s="131">
        <f>GNA!E95</f>
        <v>0</v>
      </c>
      <c r="E95" s="132">
        <f>RTM!ZZ94</f>
        <v>0</v>
      </c>
      <c r="F95" s="132">
        <f>IEX!AM93</f>
        <v>0</v>
      </c>
      <c r="G95" s="132">
        <f>TGNA!L95+TGNA!M95+TGNA!N95</f>
        <v>-121.9</v>
      </c>
      <c r="H95" s="132">
        <v>0</v>
      </c>
      <c r="I95" s="146">
        <f t="shared" si="7"/>
        <v>219.460545</v>
      </c>
      <c r="J95" s="147">
        <v>230.55</v>
      </c>
      <c r="K95" s="148">
        <f t="shared" si="8"/>
        <v>0</v>
      </c>
      <c r="L95" s="148">
        <f t="shared" si="9"/>
        <v>0</v>
      </c>
      <c r="M95" s="148">
        <f t="shared" si="10"/>
        <v>125.03283</v>
      </c>
      <c r="N95" s="148">
        <f t="shared" si="11"/>
        <v>0</v>
      </c>
      <c r="O95" s="149">
        <f t="shared" si="12"/>
        <v>125</v>
      </c>
      <c r="P95" s="150">
        <f t="shared" si="13"/>
        <v>0</v>
      </c>
      <c r="Q95" s="147">
        <v>0</v>
      </c>
    </row>
    <row r="96" ht="16.5" spans="1:17">
      <c r="A96" s="78">
        <v>84</v>
      </c>
      <c r="B96" s="78" t="s">
        <v>97</v>
      </c>
      <c r="C96" s="131">
        <f>GNA!F96</f>
        <v>219.46</v>
      </c>
      <c r="D96" s="131">
        <f>GNA!E96</f>
        <v>0</v>
      </c>
      <c r="E96" s="132">
        <f>RTM!ZZ95</f>
        <v>0</v>
      </c>
      <c r="F96" s="132">
        <f>IEX!AM94</f>
        <v>0</v>
      </c>
      <c r="G96" s="132">
        <f>TGNA!L96+TGNA!M96+TGNA!N96</f>
        <v>-121.9</v>
      </c>
      <c r="H96" s="132">
        <v>0</v>
      </c>
      <c r="I96" s="146">
        <f t="shared" si="7"/>
        <v>219.460545</v>
      </c>
      <c r="J96" s="147">
        <v>230.55</v>
      </c>
      <c r="K96" s="148">
        <f t="shared" si="8"/>
        <v>0</v>
      </c>
      <c r="L96" s="148">
        <f t="shared" si="9"/>
        <v>0</v>
      </c>
      <c r="M96" s="148">
        <f t="shared" si="10"/>
        <v>125.03283</v>
      </c>
      <c r="N96" s="148">
        <f t="shared" si="11"/>
        <v>0</v>
      </c>
      <c r="O96" s="149">
        <f t="shared" si="12"/>
        <v>125</v>
      </c>
      <c r="P96" s="150">
        <f t="shared" si="13"/>
        <v>0</v>
      </c>
      <c r="Q96" s="147">
        <v>0</v>
      </c>
    </row>
    <row r="97" ht="16.5" spans="1:17">
      <c r="A97" s="78">
        <v>85</v>
      </c>
      <c r="B97" s="78" t="s">
        <v>98</v>
      </c>
      <c r="C97" s="131">
        <f>GNA!F97</f>
        <v>219.46</v>
      </c>
      <c r="D97" s="131">
        <f>GNA!E97</f>
        <v>0</v>
      </c>
      <c r="E97" s="132">
        <f>RTM!ZZ96</f>
        <v>0</v>
      </c>
      <c r="F97" s="132">
        <f>IEX!AM95</f>
        <v>0</v>
      </c>
      <c r="G97" s="132">
        <f>TGNA!L97+TGNA!M97+TGNA!N97</f>
        <v>-121.9</v>
      </c>
      <c r="H97" s="132">
        <v>0</v>
      </c>
      <c r="I97" s="146">
        <f t="shared" si="7"/>
        <v>219.460545</v>
      </c>
      <c r="J97" s="147">
        <v>230.55</v>
      </c>
      <c r="K97" s="148">
        <f t="shared" si="8"/>
        <v>0</v>
      </c>
      <c r="L97" s="148">
        <f t="shared" si="9"/>
        <v>0</v>
      </c>
      <c r="M97" s="148">
        <f t="shared" si="10"/>
        <v>125.03283</v>
      </c>
      <c r="N97" s="148">
        <f t="shared" si="11"/>
        <v>0</v>
      </c>
      <c r="O97" s="149">
        <f t="shared" si="12"/>
        <v>125</v>
      </c>
      <c r="P97" s="150">
        <f t="shared" si="13"/>
        <v>0</v>
      </c>
      <c r="Q97" s="147">
        <v>0</v>
      </c>
    </row>
    <row r="98" ht="16.5" spans="1:17">
      <c r="A98" s="78">
        <v>86</v>
      </c>
      <c r="B98" s="78" t="s">
        <v>99</v>
      </c>
      <c r="C98" s="131">
        <f>GNA!F98</f>
        <v>219.46</v>
      </c>
      <c r="D98" s="131">
        <f>GNA!E98</f>
        <v>0</v>
      </c>
      <c r="E98" s="132">
        <f>RTM!ZZ97</f>
        <v>0</v>
      </c>
      <c r="F98" s="132">
        <f>IEX!AM96</f>
        <v>0</v>
      </c>
      <c r="G98" s="132">
        <f>TGNA!L98+TGNA!M98+TGNA!N98</f>
        <v>-121.9</v>
      </c>
      <c r="H98" s="132">
        <v>0</v>
      </c>
      <c r="I98" s="146">
        <f t="shared" si="7"/>
        <v>219.460545</v>
      </c>
      <c r="J98" s="147">
        <v>230.55</v>
      </c>
      <c r="K98" s="148">
        <f t="shared" si="8"/>
        <v>0</v>
      </c>
      <c r="L98" s="148">
        <f t="shared" si="9"/>
        <v>0</v>
      </c>
      <c r="M98" s="148">
        <f t="shared" si="10"/>
        <v>125.03283</v>
      </c>
      <c r="N98" s="148">
        <f t="shared" si="11"/>
        <v>0</v>
      </c>
      <c r="O98" s="149">
        <f t="shared" si="12"/>
        <v>125</v>
      </c>
      <c r="P98" s="150">
        <f t="shared" si="13"/>
        <v>0</v>
      </c>
      <c r="Q98" s="147">
        <v>0</v>
      </c>
    </row>
    <row r="99" ht="16.5" spans="1:17">
      <c r="A99" s="78">
        <v>87</v>
      </c>
      <c r="B99" s="78" t="s">
        <v>100</v>
      </c>
      <c r="C99" s="131">
        <f>GNA!F99</f>
        <v>219.46</v>
      </c>
      <c r="D99" s="131">
        <f>GNA!E99</f>
        <v>0</v>
      </c>
      <c r="E99" s="132">
        <f>RTM!ZZ98</f>
        <v>0</v>
      </c>
      <c r="F99" s="132">
        <f>IEX!AM97</f>
        <v>0</v>
      </c>
      <c r="G99" s="132">
        <f>TGNA!L99+TGNA!M99+TGNA!N99</f>
        <v>-121.9</v>
      </c>
      <c r="H99" s="132">
        <v>0</v>
      </c>
      <c r="I99" s="146">
        <f t="shared" si="7"/>
        <v>219.460545</v>
      </c>
      <c r="J99" s="147">
        <v>230.55</v>
      </c>
      <c r="K99" s="148">
        <f t="shared" si="8"/>
        <v>0</v>
      </c>
      <c r="L99" s="148">
        <f t="shared" si="9"/>
        <v>0</v>
      </c>
      <c r="M99" s="148">
        <f t="shared" si="10"/>
        <v>125.03283</v>
      </c>
      <c r="N99" s="148">
        <f t="shared" si="11"/>
        <v>0</v>
      </c>
      <c r="O99" s="149">
        <f t="shared" si="12"/>
        <v>125</v>
      </c>
      <c r="P99" s="150">
        <f t="shared" si="13"/>
        <v>0</v>
      </c>
      <c r="Q99" s="147">
        <v>0</v>
      </c>
    </row>
    <row r="100" ht="16.5" spans="1:17">
      <c r="A100" s="78">
        <v>88</v>
      </c>
      <c r="B100" s="78" t="s">
        <v>101</v>
      </c>
      <c r="C100" s="131">
        <f>GNA!F100</f>
        <v>219.46</v>
      </c>
      <c r="D100" s="131">
        <f>GNA!E100</f>
        <v>0</v>
      </c>
      <c r="E100" s="132">
        <f>RTM!ZZ99</f>
        <v>0</v>
      </c>
      <c r="F100" s="132">
        <f>IEX!AM98</f>
        <v>0</v>
      </c>
      <c r="G100" s="132">
        <f>TGNA!L100+TGNA!M100+TGNA!N100</f>
        <v>-121.9</v>
      </c>
      <c r="H100" s="132">
        <v>0</v>
      </c>
      <c r="I100" s="146">
        <f t="shared" si="7"/>
        <v>219.460545</v>
      </c>
      <c r="J100" s="147">
        <v>230.55</v>
      </c>
      <c r="K100" s="148">
        <f t="shared" si="8"/>
        <v>0</v>
      </c>
      <c r="L100" s="148">
        <f t="shared" si="9"/>
        <v>0</v>
      </c>
      <c r="M100" s="148">
        <f t="shared" si="10"/>
        <v>125.03283</v>
      </c>
      <c r="N100" s="148">
        <f t="shared" si="11"/>
        <v>0</v>
      </c>
      <c r="O100" s="149">
        <f t="shared" si="12"/>
        <v>125</v>
      </c>
      <c r="P100" s="150">
        <f t="shared" si="13"/>
        <v>0</v>
      </c>
      <c r="Q100" s="147">
        <v>0</v>
      </c>
    </row>
    <row r="101" ht="16.5" spans="1:17">
      <c r="A101" s="78">
        <v>89</v>
      </c>
      <c r="B101" s="78" t="s">
        <v>102</v>
      </c>
      <c r="C101" s="131">
        <f>GNA!F101</f>
        <v>219.46</v>
      </c>
      <c r="D101" s="131">
        <f>GNA!E101</f>
        <v>0</v>
      </c>
      <c r="E101" s="132">
        <f>RTM!ZZ100</f>
        <v>0</v>
      </c>
      <c r="F101" s="132">
        <f>IEX!AM99</f>
        <v>0</v>
      </c>
      <c r="G101" s="132">
        <f>TGNA!L101+TGNA!M101+TGNA!N101</f>
        <v>-121.9</v>
      </c>
      <c r="H101" s="132">
        <v>0</v>
      </c>
      <c r="I101" s="146">
        <f t="shared" si="7"/>
        <v>219.460545</v>
      </c>
      <c r="J101" s="147">
        <v>230.55</v>
      </c>
      <c r="K101" s="148">
        <f t="shared" si="8"/>
        <v>0</v>
      </c>
      <c r="L101" s="148">
        <f t="shared" si="9"/>
        <v>0</v>
      </c>
      <c r="M101" s="148">
        <f t="shared" si="10"/>
        <v>125.03283</v>
      </c>
      <c r="N101" s="148">
        <f t="shared" si="11"/>
        <v>0</v>
      </c>
      <c r="O101" s="149">
        <f t="shared" si="12"/>
        <v>125</v>
      </c>
      <c r="P101" s="150">
        <f t="shared" si="13"/>
        <v>0</v>
      </c>
      <c r="Q101" s="147">
        <v>0</v>
      </c>
    </row>
    <row r="102" ht="16.5" spans="1:17">
      <c r="A102" s="78">
        <v>90</v>
      </c>
      <c r="B102" s="78" t="s">
        <v>103</v>
      </c>
      <c r="C102" s="131">
        <f>GNA!F102</f>
        <v>219.46</v>
      </c>
      <c r="D102" s="131">
        <f>GNA!E102</f>
        <v>0</v>
      </c>
      <c r="E102" s="132">
        <f>RTM!ZZ101</f>
        <v>0</v>
      </c>
      <c r="F102" s="132">
        <f>IEX!AM100</f>
        <v>0</v>
      </c>
      <c r="G102" s="132">
        <f>TGNA!L102+TGNA!M102+TGNA!N102</f>
        <v>-121.9</v>
      </c>
      <c r="H102" s="132">
        <v>0</v>
      </c>
      <c r="I102" s="146">
        <f t="shared" si="7"/>
        <v>219.460545</v>
      </c>
      <c r="J102" s="147">
        <v>230.55</v>
      </c>
      <c r="K102" s="148">
        <f t="shared" si="8"/>
        <v>0</v>
      </c>
      <c r="L102" s="148">
        <f t="shared" si="9"/>
        <v>0</v>
      </c>
      <c r="M102" s="148">
        <f t="shared" si="10"/>
        <v>125.03283</v>
      </c>
      <c r="N102" s="148">
        <f t="shared" si="11"/>
        <v>0</v>
      </c>
      <c r="O102" s="149">
        <f t="shared" si="12"/>
        <v>125</v>
      </c>
      <c r="P102" s="150">
        <f t="shared" si="13"/>
        <v>0</v>
      </c>
      <c r="Q102" s="147">
        <v>0</v>
      </c>
    </row>
    <row r="103" ht="16.5" spans="1:17">
      <c r="A103" s="78">
        <v>91</v>
      </c>
      <c r="B103" s="78" t="s">
        <v>104</v>
      </c>
      <c r="C103" s="131">
        <f>GNA!F103</f>
        <v>219.46</v>
      </c>
      <c r="D103" s="131">
        <f>GNA!E103</f>
        <v>0</v>
      </c>
      <c r="E103" s="132">
        <f>RTM!ZZ102</f>
        <v>0</v>
      </c>
      <c r="F103" s="132">
        <f>IEX!AM101</f>
        <v>0</v>
      </c>
      <c r="G103" s="132">
        <f>TGNA!L103+TGNA!M103+TGNA!N103</f>
        <v>-121.9</v>
      </c>
      <c r="H103" s="132">
        <v>0</v>
      </c>
      <c r="I103" s="146">
        <f t="shared" si="7"/>
        <v>219.460545</v>
      </c>
      <c r="J103" s="147">
        <v>230.55</v>
      </c>
      <c r="K103" s="148">
        <f t="shared" si="8"/>
        <v>0</v>
      </c>
      <c r="L103" s="148">
        <f t="shared" si="9"/>
        <v>0</v>
      </c>
      <c r="M103" s="148">
        <f t="shared" si="10"/>
        <v>125.03283</v>
      </c>
      <c r="N103" s="148">
        <f t="shared" si="11"/>
        <v>0</v>
      </c>
      <c r="O103" s="149">
        <f t="shared" si="12"/>
        <v>125</v>
      </c>
      <c r="P103" s="150">
        <f t="shared" si="13"/>
        <v>0</v>
      </c>
      <c r="Q103" s="147">
        <v>0</v>
      </c>
    </row>
    <row r="104" ht="16.5" spans="1:17">
      <c r="A104" s="78">
        <v>92</v>
      </c>
      <c r="B104" s="78" t="s">
        <v>105</v>
      </c>
      <c r="C104" s="131">
        <f>GNA!F104</f>
        <v>219.46</v>
      </c>
      <c r="D104" s="131">
        <f>GNA!E104</f>
        <v>0</v>
      </c>
      <c r="E104" s="132">
        <f>RTM!ZZ103</f>
        <v>0</v>
      </c>
      <c r="F104" s="132">
        <f>IEX!AM102</f>
        <v>0</v>
      </c>
      <c r="G104" s="132">
        <f>TGNA!L104+TGNA!M104+TGNA!N104</f>
        <v>-121.9</v>
      </c>
      <c r="H104" s="132">
        <v>0</v>
      </c>
      <c r="I104" s="146">
        <f t="shared" si="7"/>
        <v>219.460545</v>
      </c>
      <c r="J104" s="147">
        <v>230.55</v>
      </c>
      <c r="K104" s="148">
        <f t="shared" si="8"/>
        <v>0</v>
      </c>
      <c r="L104" s="148">
        <f t="shared" si="9"/>
        <v>0</v>
      </c>
      <c r="M104" s="148">
        <f t="shared" si="10"/>
        <v>125.03283</v>
      </c>
      <c r="N104" s="148">
        <f t="shared" si="11"/>
        <v>0</v>
      </c>
      <c r="O104" s="149">
        <f t="shared" si="12"/>
        <v>125</v>
      </c>
      <c r="P104" s="150">
        <f t="shared" si="13"/>
        <v>0</v>
      </c>
      <c r="Q104" s="147">
        <v>0</v>
      </c>
    </row>
    <row r="105" ht="16.5" spans="1:17">
      <c r="A105" s="78">
        <v>93</v>
      </c>
      <c r="B105" s="78" t="s">
        <v>106</v>
      </c>
      <c r="C105" s="131">
        <f>GNA!F105</f>
        <v>219.46</v>
      </c>
      <c r="D105" s="131">
        <f>GNA!E105</f>
        <v>0</v>
      </c>
      <c r="E105" s="132">
        <f>RTM!ZZ104</f>
        <v>0</v>
      </c>
      <c r="F105" s="132">
        <f>IEX!AM103</f>
        <v>0</v>
      </c>
      <c r="G105" s="132">
        <f>TGNA!L105+TGNA!M105+TGNA!N105</f>
        <v>-75</v>
      </c>
      <c r="H105" s="132">
        <v>0</v>
      </c>
      <c r="I105" s="146">
        <f t="shared" si="7"/>
        <v>219.460545</v>
      </c>
      <c r="J105" s="147">
        <v>230.55</v>
      </c>
      <c r="K105" s="148">
        <f t="shared" si="8"/>
        <v>0</v>
      </c>
      <c r="L105" s="148">
        <f t="shared" si="9"/>
        <v>0</v>
      </c>
      <c r="M105" s="148">
        <f t="shared" si="10"/>
        <v>76.9275</v>
      </c>
      <c r="N105" s="148">
        <f t="shared" si="11"/>
        <v>0</v>
      </c>
      <c r="O105" s="149">
        <f t="shared" si="12"/>
        <v>77</v>
      </c>
      <c r="P105" s="150">
        <f t="shared" si="13"/>
        <v>0</v>
      </c>
      <c r="Q105" s="147">
        <v>0</v>
      </c>
    </row>
    <row r="106" ht="16.5" spans="1:17">
      <c r="A106" s="78">
        <v>94</v>
      </c>
      <c r="B106" s="78" t="s">
        <v>107</v>
      </c>
      <c r="C106" s="131">
        <f>GNA!F106</f>
        <v>219.46</v>
      </c>
      <c r="D106" s="131">
        <f>GNA!E106</f>
        <v>0</v>
      </c>
      <c r="E106" s="132">
        <f>RTM!ZZ105</f>
        <v>0</v>
      </c>
      <c r="F106" s="132">
        <f>IEX!AM104</f>
        <v>0</v>
      </c>
      <c r="G106" s="132">
        <f>TGNA!L106+TGNA!M106+TGNA!N106</f>
        <v>-75</v>
      </c>
      <c r="H106" s="132">
        <v>0</v>
      </c>
      <c r="I106" s="146">
        <f t="shared" si="7"/>
        <v>219.460545</v>
      </c>
      <c r="J106" s="147">
        <v>230.55</v>
      </c>
      <c r="K106" s="148">
        <f t="shared" si="8"/>
        <v>0</v>
      </c>
      <c r="L106" s="148">
        <f t="shared" si="9"/>
        <v>0</v>
      </c>
      <c r="M106" s="148">
        <f t="shared" si="10"/>
        <v>76.9275</v>
      </c>
      <c r="N106" s="148">
        <f t="shared" si="11"/>
        <v>0</v>
      </c>
      <c r="O106" s="149">
        <f t="shared" si="12"/>
        <v>77</v>
      </c>
      <c r="P106" s="150">
        <f t="shared" si="13"/>
        <v>0</v>
      </c>
      <c r="Q106" s="147">
        <v>0</v>
      </c>
    </row>
    <row r="107" ht="16.5" spans="1:17">
      <c r="A107" s="78">
        <v>95</v>
      </c>
      <c r="B107" s="78" t="s">
        <v>108</v>
      </c>
      <c r="C107" s="131">
        <f>GNA!F107</f>
        <v>219.46</v>
      </c>
      <c r="D107" s="131">
        <f>GNA!E107</f>
        <v>0</v>
      </c>
      <c r="E107" s="132">
        <f>RTM!ZZ106</f>
        <v>0</v>
      </c>
      <c r="F107" s="132">
        <f>IEX!AM105</f>
        <v>0</v>
      </c>
      <c r="G107" s="132">
        <f>TGNA!L107+TGNA!M107+TGNA!N107</f>
        <v>-75</v>
      </c>
      <c r="H107" s="132">
        <v>0</v>
      </c>
      <c r="I107" s="146">
        <f t="shared" si="7"/>
        <v>219.460545</v>
      </c>
      <c r="J107" s="147">
        <v>230.55</v>
      </c>
      <c r="K107" s="148">
        <f t="shared" si="8"/>
        <v>0</v>
      </c>
      <c r="L107" s="148">
        <f t="shared" si="9"/>
        <v>0</v>
      </c>
      <c r="M107" s="148">
        <f t="shared" si="10"/>
        <v>76.9275</v>
      </c>
      <c r="N107" s="148">
        <f t="shared" si="11"/>
        <v>0</v>
      </c>
      <c r="O107" s="149">
        <f t="shared" si="12"/>
        <v>77</v>
      </c>
      <c r="P107" s="150">
        <f t="shared" si="13"/>
        <v>0</v>
      </c>
      <c r="Q107" s="147">
        <v>0</v>
      </c>
    </row>
    <row r="108" ht="16.5" spans="1:17">
      <c r="A108" s="78">
        <v>96</v>
      </c>
      <c r="B108" s="78" t="s">
        <v>109</v>
      </c>
      <c r="C108" s="131">
        <f>GNA!F108</f>
        <v>219.46</v>
      </c>
      <c r="D108" s="131">
        <f>GNA!E108</f>
        <v>0</v>
      </c>
      <c r="E108" s="132">
        <f>RTM!ZZ107</f>
        <v>0</v>
      </c>
      <c r="F108" s="132">
        <f>IEX!AM106</f>
        <v>0</v>
      </c>
      <c r="G108" s="132">
        <f>TGNA!L108+TGNA!M108+TGNA!N108</f>
        <v>-75</v>
      </c>
      <c r="H108" s="132">
        <v>0</v>
      </c>
      <c r="I108" s="146">
        <f t="shared" si="7"/>
        <v>219.460545</v>
      </c>
      <c r="J108" s="147">
        <v>230.55</v>
      </c>
      <c r="K108" s="148">
        <f t="shared" si="8"/>
        <v>0</v>
      </c>
      <c r="L108" s="148">
        <f t="shared" si="9"/>
        <v>0</v>
      </c>
      <c r="M108" s="148">
        <f t="shared" si="10"/>
        <v>76.9275</v>
      </c>
      <c r="N108" s="148">
        <f t="shared" si="11"/>
        <v>0</v>
      </c>
      <c r="O108" s="149">
        <f t="shared" si="12"/>
        <v>77</v>
      </c>
      <c r="P108" s="150">
        <f t="shared" si="13"/>
        <v>0</v>
      </c>
      <c r="Q108" s="147">
        <v>0</v>
      </c>
    </row>
    <row r="109" ht="16.5" spans="1:17">
      <c r="A109" s="78"/>
      <c r="B109" s="78" t="s">
        <v>227</v>
      </c>
      <c r="C109" s="131">
        <f>GNA!F109</f>
        <v>209.17</v>
      </c>
      <c r="D109" s="131">
        <f>GNA!E109</f>
        <v>0</v>
      </c>
      <c r="E109" s="132">
        <f>RTM!ZZ108</f>
        <v>0</v>
      </c>
      <c r="F109" s="132">
        <f>IEX!AM107</f>
        <v>0</v>
      </c>
      <c r="G109" s="132">
        <f>TGNA!L109+TGNA!M109+TGNA!N109</f>
        <v>-56.46</v>
      </c>
      <c r="H109" s="132">
        <v>0</v>
      </c>
      <c r="I109" s="156">
        <f>SUM(I13:I108)/4000</f>
        <v>5.26705308000001</v>
      </c>
      <c r="J109" s="156">
        <f>SUM(J13:J108)/4000</f>
        <v>5.53319999999999</v>
      </c>
      <c r="L109" s="157"/>
      <c r="M109" s="157"/>
      <c r="N109" s="157"/>
      <c r="O109" s="156">
        <f>SUM(O13:O108)/4000</f>
        <v>1.74275</v>
      </c>
      <c r="P109" s="156">
        <f>SUM(P13:P108)/4000</f>
        <v>0</v>
      </c>
      <c r="Q109" s="156">
        <f>SUM(Q13:Q108)/4000</f>
        <v>0</v>
      </c>
    </row>
    <row r="110" ht="16.5" spans="1:16">
      <c r="A110" s="78"/>
      <c r="B110" s="78" t="s">
        <v>116</v>
      </c>
      <c r="C110" s="131">
        <f>GNA!F110</f>
        <v>219.46</v>
      </c>
      <c r="D110" s="131">
        <f>GNA!E110</f>
        <v>0</v>
      </c>
      <c r="E110" s="132">
        <f>RTM!ZZ109</f>
        <v>0</v>
      </c>
      <c r="F110" s="132">
        <f>IEX!AM108</f>
        <v>-344.625</v>
      </c>
      <c r="G110" s="132">
        <f>TGNA!L110+TGNA!M110+TGNA!N110</f>
        <v>0</v>
      </c>
      <c r="H110" s="132">
        <v>0</v>
      </c>
      <c r="I110" s="146"/>
      <c r="L110" s="158"/>
      <c r="M110" s="158"/>
      <c r="N110" s="158"/>
      <c r="O110" s="159"/>
      <c r="P110" s="146"/>
    </row>
    <row r="111" ht="16.5" spans="1:16">
      <c r="A111" s="78"/>
      <c r="B111" s="78" t="s">
        <v>115</v>
      </c>
      <c r="C111" s="131">
        <f>GNA!F111</f>
        <v>120.7</v>
      </c>
      <c r="D111" s="131">
        <f>GNA!E111</f>
        <v>0</v>
      </c>
      <c r="E111" s="132">
        <f>RTM!ZZ110</f>
        <v>0</v>
      </c>
      <c r="F111" s="132" t="str">
        <f>IEX!AM109</f>
        <v>0.00 -% </v>
      </c>
      <c r="G111" s="132">
        <f>TGNA!L111+TGNA!M111+TGNA!N111</f>
        <v>-246.9</v>
      </c>
      <c r="H111" s="132">
        <v>0</v>
      </c>
      <c r="I111" s="146"/>
      <c r="L111" s="158"/>
      <c r="M111" s="158"/>
      <c r="N111" s="158"/>
      <c r="O111" s="159"/>
      <c r="P111" s="146"/>
    </row>
    <row r="112" ht="16.5" customHeight="1" spans="1:16">
      <c r="A112" s="78"/>
      <c r="B112" s="78" t="s">
        <v>226</v>
      </c>
      <c r="C112" s="131">
        <f>GNA!F112</f>
        <v>5020.14</v>
      </c>
      <c r="D112" s="131">
        <f>GNA!E112</f>
        <v>0</v>
      </c>
      <c r="E112" s="132">
        <f>RTM!ZZ111</f>
        <v>0</v>
      </c>
      <c r="F112" s="132" t="str">
        <f>IEX!AM110</f>
        <v>4.81 -% </v>
      </c>
      <c r="G112" s="132">
        <f>TGNA!L112+TGNA!M112+TGNA!N112</f>
        <v>-1354.95</v>
      </c>
      <c r="H112" s="132">
        <v>0</v>
      </c>
      <c r="I112" s="146"/>
      <c r="L112" s="158"/>
      <c r="M112" s="158"/>
      <c r="N112" s="158"/>
      <c r="O112" s="159"/>
      <c r="P112" s="146"/>
    </row>
    <row r="113" ht="16.5" spans="1:16">
      <c r="A113" s="155" t="s">
        <v>590</v>
      </c>
      <c r="B113" s="155"/>
      <c r="C113" s="131">
        <f>GNA!G113</f>
        <v>0</v>
      </c>
      <c r="D113" s="131">
        <f>GNA!F113</f>
        <v>0</v>
      </c>
      <c r="E113" s="132">
        <f>RTM!ZZ112</f>
        <v>0</v>
      </c>
      <c r="F113" s="132">
        <f>IEX!AM111</f>
        <v>0</v>
      </c>
      <c r="G113" s="132">
        <f>TGNA!L113+TGNA!M113+TGNA!N113</f>
        <v>0</v>
      </c>
      <c r="H113" s="132">
        <v>0</v>
      </c>
      <c r="I113" s="146"/>
      <c r="L113" s="158"/>
      <c r="M113" s="158"/>
      <c r="N113" s="158"/>
      <c r="O113" s="159"/>
      <c r="P113" s="146"/>
    </row>
    <row r="114" ht="16.5" spans="3:16">
      <c r="C114" s="131">
        <f>GNA!G114</f>
        <v>0</v>
      </c>
      <c r="D114" s="131">
        <f>GNA!F114</f>
        <v>0</v>
      </c>
      <c r="P114" s="146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58" activePane="bottomLeft" state="frozen"/>
      <selection/>
      <selection pane="bottomLeft" activeCell="AA3" sqref="AA3"/>
    </sheetView>
  </sheetViews>
  <sheetFormatPr defaultColWidth="8.66666666666667" defaultRowHeight="15" customHeight="1"/>
  <cols>
    <col min="1" max="1" width="16.3333333333333" style="100" customWidth="1"/>
    <col min="2" max="2" width="12" style="101" customWidth="1"/>
    <col min="3" max="3" width="10.552380952381" style="101" customWidth="1"/>
    <col min="4" max="4" width="8.43809523809524" style="101" customWidth="1"/>
    <col min="5" max="5" width="8.33333333333333" style="101" customWidth="1"/>
    <col min="6" max="9" width="8.66666666666667" style="101"/>
    <col min="10" max="13" width="9" style="101" customWidth="1"/>
    <col min="14" max="16" width="9.55238095238095" style="101" customWidth="1"/>
    <col min="17" max="17" width="10.3333333333333" style="101" customWidth="1"/>
    <col min="18" max="18" width="9.55238095238095" style="101" customWidth="1"/>
    <col min="19" max="19" width="10.552380952381" style="101" customWidth="1"/>
    <col min="20" max="20" width="11.4380952380952" style="101" customWidth="1"/>
    <col min="21" max="21" width="9.1047619047619" style="101" customWidth="1"/>
    <col min="22" max="22" width="8.55238095238095" style="101" customWidth="1"/>
    <col min="23" max="23" width="11.2190476190476" style="101" customWidth="1"/>
    <col min="24" max="24" width="11.1047619047619" style="101" customWidth="1"/>
    <col min="25" max="25" width="9" style="101" customWidth="1"/>
    <col min="26" max="26" width="10.552380952381" style="101" customWidth="1"/>
    <col min="27" max="27" width="11.6666666666667" style="101" customWidth="1"/>
    <col min="28" max="28" width="9" style="101" customWidth="1"/>
    <col min="29" max="29" width="9.78095238095238" style="101" customWidth="1"/>
    <col min="30" max="30" width="9.55238095238095" style="101" customWidth="1"/>
    <col min="31" max="31" width="11.1047619047619" style="101" customWidth="1"/>
    <col min="33" max="34" width="10.2190476190476" style="101" customWidth="1"/>
    <col min="35" max="35" width="13" style="101" customWidth="1"/>
    <col min="36" max="36" width="11.4380952380952" style="101" customWidth="1"/>
    <col min="37" max="16384" width="8.66666666666667" style="101"/>
  </cols>
  <sheetData>
    <row r="1" spans="6:30">
      <c r="F1" s="101">
        <f>MATCH(F2,Entitlement!$A$4:$BC$4,0)+2</f>
        <v>13</v>
      </c>
      <c r="G1" s="101">
        <f>MATCH(G2,Entitlement!$A$4:$BC$4,0)+2</f>
        <v>33</v>
      </c>
      <c r="L1" s="101">
        <f>MATCH(L2,Entitlement!$A$4:$BC$4,0)</f>
        <v>52</v>
      </c>
      <c r="O1" s="101">
        <f>MATCH(O2,Entitlement!$A$4:$BC$4,0)</f>
        <v>34</v>
      </c>
      <c r="P1" s="101">
        <f>MATCH(P2,Entitlement!$A$4:$BC$4,0)</f>
        <v>37</v>
      </c>
      <c r="Q1" s="101">
        <f>MATCH(Q2,Entitlement!$A$4:$BC$4,0)</f>
        <v>43</v>
      </c>
      <c r="R1" s="101">
        <f>MATCH(R2,Entitlement!$A$4:$BC$4,0)</f>
        <v>25</v>
      </c>
      <c r="S1" s="101">
        <f>MATCH(S2,Entitlement!$A$4:$BC$4,0)</f>
        <v>19</v>
      </c>
      <c r="T1" s="101">
        <f>MATCH(T2,Entitlement!$A$4:$BC$4,0)</f>
        <v>22</v>
      </c>
      <c r="V1" s="101">
        <f>MATCH(V2,Entitlement!$A$4:$BC$4,0)</f>
        <v>40</v>
      </c>
      <c r="W1" s="101">
        <f>MATCH(W2,Entitlement!$A$4:$BC$4,0)</f>
        <v>49</v>
      </c>
      <c r="X1" s="101">
        <f>MATCH(X2,Entitlement!$A$4:$BC$4,0)</f>
        <v>16</v>
      </c>
      <c r="Y1" s="101">
        <f>MATCH(Y2,Entitlement!$A$4:$BC$4,0)</f>
        <v>28</v>
      </c>
      <c r="AD1" s="101">
        <f>MATCH(AD2,Entitlement!$A$4:$BC$4,0)</f>
        <v>46</v>
      </c>
    </row>
    <row r="2" s="96" customFormat="1" ht="48" customHeight="1" spans="1:32">
      <c r="A2" s="102" t="str">
        <f>'BD&amp;LR'!A1</f>
        <v>12/01/2026</v>
      </c>
      <c r="B2" s="8" t="s">
        <v>591</v>
      </c>
      <c r="C2" s="34" t="s">
        <v>592</v>
      </c>
      <c r="D2" s="34" t="s">
        <v>593</v>
      </c>
      <c r="E2" s="34" t="s">
        <v>594</v>
      </c>
      <c r="F2" s="28" t="s">
        <v>204</v>
      </c>
      <c r="G2" s="28" t="s">
        <v>211</v>
      </c>
      <c r="H2" s="34" t="s">
        <v>595</v>
      </c>
      <c r="I2" s="34" t="s">
        <v>596</v>
      </c>
      <c r="J2" s="34" t="s">
        <v>597</v>
      </c>
      <c r="K2" s="34" t="s">
        <v>598</v>
      </c>
      <c r="L2" s="28" t="s">
        <v>218</v>
      </c>
      <c r="M2" s="34" t="s">
        <v>599</v>
      </c>
      <c r="N2" s="66" t="s">
        <v>600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601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602</v>
      </c>
      <c r="AA2" s="29" t="s">
        <v>603</v>
      </c>
      <c r="AB2" s="29" t="s">
        <v>604</v>
      </c>
      <c r="AC2" s="29" t="s">
        <v>605</v>
      </c>
      <c r="AD2" s="28" t="s">
        <v>216</v>
      </c>
      <c r="AE2" s="109" t="s">
        <v>606</v>
      </c>
      <c r="AF2" s="96" t="s">
        <v>12</v>
      </c>
    </row>
    <row r="3" s="97" customFormat="1" ht="18" customHeight="1" spans="1:35">
      <c r="A3" s="103" t="s">
        <v>14</v>
      </c>
      <c r="B3" s="104">
        <v>1</v>
      </c>
      <c r="C3" s="105">
        <f>'Individual BD'!C3</f>
        <v>26.27</v>
      </c>
      <c r="D3" s="105">
        <f>'Individual BD'!D3</f>
        <v>170.79</v>
      </c>
      <c r="E3" s="105">
        <f>'Individual BD'!E3</f>
        <v>70.75</v>
      </c>
      <c r="F3" s="105">
        <f>(INDEX(Entitlement!$A$4:$BC$102,ROW()+1,$F$1)*(1-TPCIL!$L$11))-ISGS!G13</f>
        <v>229.674432</v>
      </c>
      <c r="G3" s="105">
        <f>(INDEX(Entitlement!$A$4:$BC$102,ROW()+1,$G$1)*(1-TPCIL!$L$11))-ISGS!N13</f>
        <v>121.433883</v>
      </c>
      <c r="H3" s="105">
        <f>'Individual BD'!F3</f>
        <v>13.77</v>
      </c>
      <c r="I3" s="105">
        <f>'Individual BD'!G3</f>
        <v>126.16</v>
      </c>
      <c r="J3" s="105">
        <f>'Individual BD'!H3</f>
        <v>196.31</v>
      </c>
      <c r="K3" s="105">
        <f>'Individual BD'!I3</f>
        <v>603.72</v>
      </c>
      <c r="L3" s="105">
        <f>(INDEX(Entitlement!$A$4:$BC$102,ROW()+1,$L$1)*(1-TPCIL!$L$11))-ISGS!U13</f>
        <v>59.103471</v>
      </c>
      <c r="M3" s="105">
        <f>'Individual BD'!J3</f>
        <v>0</v>
      </c>
      <c r="N3" s="105">
        <f>'Individual BD'!K3</f>
        <v>202.9</v>
      </c>
      <c r="O3" s="105">
        <f>(INDEX(Entitlement!$A$4:$BC$102,ROW()+1,$O$1)*(1-TPCIL!$L$11))-ISGS!O13</f>
        <v>280.896171</v>
      </c>
      <c r="P3" s="105">
        <f>(INDEX(Entitlement!$A$4:$BC$102,ROW()+1,$P$1)*(1-TPCIL!$L$11))-ISGS!P13</f>
        <v>71.021259</v>
      </c>
      <c r="Q3" s="105">
        <f>(INDEX(Entitlement!$A$4:$BC$102,ROW()+1,$Q$1)*(1-TPCIL!$L$11))-ISGS!R13</f>
        <v>198.994695</v>
      </c>
      <c r="R3" s="105">
        <f>(INDEX(Entitlement!$A$4:$BC$102,ROW()+1,$R$1)*(1-TPCIL!$L$11))-ISGS!L13</f>
        <v>6.234945</v>
      </c>
      <c r="S3" s="105">
        <f>(INDEX(Entitlement!$A$4:$BC$102,ROW()+1,$S$1)*(1-TPCIL!$L$11))-ISGS!J13</f>
        <v>17.572074</v>
      </c>
      <c r="T3" s="105">
        <f>(INDEX(Entitlement!$A$4:$BC$102,ROW()+1,$T$1)*(1-TPCIL!$L$11))-ISGS!K13</f>
        <v>35.325009</v>
      </c>
      <c r="U3" s="105">
        <f>'Individual BD'!L3</f>
        <v>0</v>
      </c>
      <c r="V3" s="105">
        <f>(INDEX(Entitlement!$A$4:$BC$102,ROW()+1,$V$1))-ISGS!Q13</f>
        <v>0</v>
      </c>
      <c r="W3" s="105">
        <f>(INDEX(Entitlement!$A$4:$BC$102,ROW()+1,$W$1)*(1-TPCIL!$L$11))-ISGS!T13</f>
        <v>0.00110800000000211</v>
      </c>
      <c r="X3" s="105">
        <f>(INDEX(Entitlement!$A$4:$BC$102,ROW()+1,$X$1)*(1-TPCIL!$L$11))-ISGS!I13</f>
        <v>0.0425159999999991</v>
      </c>
      <c r="Y3" s="105">
        <f>(INDEX(Entitlement!$A$4:$BC$102,ROW()+1,$Y$1)*(1-TPCIL!$L$11))-ISGS!M13</f>
        <v>0.00215199999999527</v>
      </c>
      <c r="Z3" s="105">
        <f>TPCIL!I13-TPCIL!C13</f>
        <v>0.000544999999988249</v>
      </c>
      <c r="AA3" s="105">
        <f>TPCIL!P13-TPCIL!D13</f>
        <v>0</v>
      </c>
      <c r="AB3" s="105">
        <f>'Individual BD'!M3</f>
        <v>0</v>
      </c>
      <c r="AC3" s="105">
        <f>'Individual BD'!N3</f>
        <v>0</v>
      </c>
      <c r="AD3" s="105">
        <f>(INDEX(Entitlement!$A$4:$BC$102,ROW()+1,$AD$1)*(1-TPCIL!$L$11))-ISGS!S13</f>
        <v>0.00303199999999038</v>
      </c>
      <c r="AE3" s="110"/>
      <c r="AF3" s="97">
        <v>500</v>
      </c>
      <c r="AG3" s="114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3.89483380250785</v>
      </c>
      <c r="AI3" s="97">
        <f>SUM($B$4:B4)</f>
        <v>2</v>
      </c>
    </row>
    <row r="4" s="97" customFormat="1" ht="18" customHeight="1" spans="1:33">
      <c r="A4" s="103" t="s">
        <v>15</v>
      </c>
      <c r="B4" s="104">
        <v>2</v>
      </c>
      <c r="C4" s="105">
        <f>'Individual BD'!C4</f>
        <v>27.21</v>
      </c>
      <c r="D4" s="105">
        <f>'Individual BD'!D4</f>
        <v>171.95</v>
      </c>
      <c r="E4" s="105">
        <f>'Individual BD'!E4</f>
        <v>68.86</v>
      </c>
      <c r="F4" s="105">
        <f>(INDEX(Entitlement!$A$4:$BC$102,ROW()+1,$F$1)*(1-TPCIL!$L$11))-ISGS!G14</f>
        <v>229.674432</v>
      </c>
      <c r="G4" s="105">
        <f>(INDEX(Entitlement!$A$4:$BC$102,ROW()+1,$G$1)*(1-TPCIL!$L$11))-ISGS!N14</f>
        <v>121.433883</v>
      </c>
      <c r="H4" s="105">
        <f>'Individual BD'!F4</f>
        <v>13.42</v>
      </c>
      <c r="I4" s="105">
        <f>'Individual BD'!G4</f>
        <v>130.63</v>
      </c>
      <c r="J4" s="105">
        <f>'Individual BD'!H4</f>
        <v>195.49</v>
      </c>
      <c r="K4" s="105">
        <f>'Individual BD'!I4</f>
        <v>609.87</v>
      </c>
      <c r="L4" s="105">
        <f>(INDEX(Entitlement!$A$4:$BC$102,ROW()+1,$L$1)*(1-TPCIL!$L$11))-ISGS!U14</f>
        <v>59.103471</v>
      </c>
      <c r="M4" s="105">
        <f>'Individual BD'!J4</f>
        <v>0</v>
      </c>
      <c r="N4" s="105">
        <f>'Individual BD'!K4</f>
        <v>201.3</v>
      </c>
      <c r="O4" s="105">
        <f>(INDEX(Entitlement!$A$4:$BC$102,ROW()+1,$O$1)*(1-TPCIL!$L$11))-ISGS!O14</f>
        <v>280.896171</v>
      </c>
      <c r="P4" s="105">
        <f>(INDEX(Entitlement!$A$4:$BC$102,ROW()+1,$P$1)*(1-TPCIL!$L$11))-ISGS!P14</f>
        <v>71.021259</v>
      </c>
      <c r="Q4" s="105">
        <f>(INDEX(Entitlement!$A$4:$BC$102,ROW()+1,$Q$1)*(1-TPCIL!$L$11))-ISGS!R14</f>
        <v>198.994695</v>
      </c>
      <c r="R4" s="105">
        <f>(INDEX(Entitlement!$A$4:$BC$102,ROW()+1,$R$1)*(1-TPCIL!$L$11))-ISGS!L14</f>
        <v>6.234945</v>
      </c>
      <c r="S4" s="105">
        <f>(INDEX(Entitlement!$A$4:$BC$102,ROW()+1,$S$1)*(1-TPCIL!$L$11))-ISGS!J14</f>
        <v>17.572074</v>
      </c>
      <c r="T4" s="105">
        <f>(INDEX(Entitlement!$A$4:$BC$102,ROW()+1,$T$1)*(1-TPCIL!$L$11))-ISGS!K14</f>
        <v>35.325009</v>
      </c>
      <c r="U4" s="105">
        <f>'Individual BD'!L4</f>
        <v>0</v>
      </c>
      <c r="V4" s="105">
        <f>(INDEX(Entitlement!$A$4:$BC$102,ROW()+1,$V$1))-ISGS!Q14</f>
        <v>0</v>
      </c>
      <c r="W4" s="105">
        <f>(INDEX(Entitlement!$A$4:$BC$102,ROW()+1,$W$1)*(1-TPCIL!$L$11))-ISGS!T14</f>
        <v>0.00110800000000211</v>
      </c>
      <c r="X4" s="105">
        <f>(INDEX(Entitlement!$A$4:$BC$102,ROW()+1,$X$1)*(1-TPCIL!$L$11))-ISGS!I14</f>
        <v>0.00251599999999996</v>
      </c>
      <c r="Y4" s="105">
        <f>(INDEX(Entitlement!$A$4:$BC$102,ROW()+1,$Y$1)*(1-TPCIL!$L$11))-ISGS!M14</f>
        <v>0.00215199999999527</v>
      </c>
      <c r="Z4" s="105">
        <f>TPCIL!I14-TPCIL!C14</f>
        <v>0.000544999999988249</v>
      </c>
      <c r="AA4" s="105">
        <f>TPCIL!P14-TPCIL!D14</f>
        <v>0</v>
      </c>
      <c r="AB4" s="105">
        <f>'Individual BD'!M4</f>
        <v>0</v>
      </c>
      <c r="AC4" s="105">
        <f>'Individual BD'!N4</f>
        <v>0</v>
      </c>
      <c r="AD4" s="105">
        <f>(INDEX(Entitlement!$A$4:$BC$102,ROW()+1,$AD$1)*(1-TPCIL!$L$11))-ISGS!S14</f>
        <v>0.00303199999999038</v>
      </c>
      <c r="AE4" s="110"/>
      <c r="AF4" s="97">
        <v>700</v>
      </c>
      <c r="AG4" s="114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3.895277761095</v>
      </c>
    </row>
    <row r="5" s="97" customFormat="1" ht="18" customHeight="1" spans="1:33">
      <c r="A5" s="103" t="s">
        <v>16</v>
      </c>
      <c r="B5" s="104">
        <v>3</v>
      </c>
      <c r="C5" s="105">
        <f>'Individual BD'!C5</f>
        <v>35.5</v>
      </c>
      <c r="D5" s="105">
        <f>'Individual BD'!D5</f>
        <v>173.44</v>
      </c>
      <c r="E5" s="105">
        <f>'Individual BD'!E5</f>
        <v>71.86</v>
      </c>
      <c r="F5" s="105">
        <f>(INDEX(Entitlement!$A$4:$BC$102,ROW()+1,$F$1)*(1-TPCIL!$L$11))-ISGS!G15</f>
        <v>229.674432</v>
      </c>
      <c r="G5" s="105">
        <f>(INDEX(Entitlement!$A$4:$BC$102,ROW()+1,$G$1)*(1-TPCIL!$L$11))-ISGS!N15</f>
        <v>121.433883</v>
      </c>
      <c r="H5" s="105">
        <f>'Individual BD'!F5</f>
        <v>16.55</v>
      </c>
      <c r="I5" s="105">
        <f>'Individual BD'!G5</f>
        <v>131.23</v>
      </c>
      <c r="J5" s="105">
        <f>'Individual BD'!H5</f>
        <v>194.96</v>
      </c>
      <c r="K5" s="105">
        <f>'Individual BD'!I5</f>
        <v>610.56</v>
      </c>
      <c r="L5" s="105">
        <f>(INDEX(Entitlement!$A$4:$BC$102,ROW()+1,$L$1)*(1-TPCIL!$L$11))-ISGS!U15</f>
        <v>59.103471</v>
      </c>
      <c r="M5" s="105">
        <f>'Individual BD'!J5</f>
        <v>0</v>
      </c>
      <c r="N5" s="105">
        <f>'Individual BD'!K5</f>
        <v>208.06</v>
      </c>
      <c r="O5" s="105">
        <f>(INDEX(Entitlement!$A$4:$BC$102,ROW()+1,$O$1)*(1-TPCIL!$L$11))-ISGS!O15</f>
        <v>280.896171</v>
      </c>
      <c r="P5" s="105">
        <f>(INDEX(Entitlement!$A$4:$BC$102,ROW()+1,$P$1)*(1-TPCIL!$L$11))-ISGS!P15</f>
        <v>71.021259</v>
      </c>
      <c r="Q5" s="105">
        <f>(INDEX(Entitlement!$A$4:$BC$102,ROW()+1,$Q$1)*(1-TPCIL!$L$11))-ISGS!R15</f>
        <v>198.994695</v>
      </c>
      <c r="R5" s="105">
        <f>(INDEX(Entitlement!$A$4:$BC$102,ROW()+1,$R$1)*(1-TPCIL!$L$11))-ISGS!L15</f>
        <v>6.234945</v>
      </c>
      <c r="S5" s="105">
        <f>(INDEX(Entitlement!$A$4:$BC$102,ROW()+1,$S$1)*(1-TPCIL!$L$11))-ISGS!J15</f>
        <v>17.572074</v>
      </c>
      <c r="T5" s="105">
        <f>(INDEX(Entitlement!$A$4:$BC$102,ROW()+1,$T$1)*(1-TPCIL!$L$11))-ISGS!K15</f>
        <v>35.325009</v>
      </c>
      <c r="U5" s="105">
        <f>'Individual BD'!L5</f>
        <v>0</v>
      </c>
      <c r="V5" s="105">
        <f>(INDEX(Entitlement!$A$4:$BC$102,ROW()+1,$V$1))-ISGS!Q15</f>
        <v>0</v>
      </c>
      <c r="W5" s="105">
        <f>(INDEX(Entitlement!$A$4:$BC$102,ROW()+1,$W$1)*(1-TPCIL!$L$11))-ISGS!T15</f>
        <v>0.00110800000000211</v>
      </c>
      <c r="X5" s="105">
        <f>(INDEX(Entitlement!$A$4:$BC$102,ROW()+1,$X$1)*(1-TPCIL!$L$11))-ISGS!I15</f>
        <v>0.00251599999999996</v>
      </c>
      <c r="Y5" s="105">
        <f>(INDEX(Entitlement!$A$4:$BC$102,ROW()+1,$Y$1)*(1-TPCIL!$L$11))-ISGS!M15</f>
        <v>0.00215199999999527</v>
      </c>
      <c r="Z5" s="105">
        <f>TPCIL!I15-TPCIL!C15</f>
        <v>0.000544999999988249</v>
      </c>
      <c r="AA5" s="105">
        <f>TPCIL!P15-TPCIL!D15</f>
        <v>0</v>
      </c>
      <c r="AB5" s="105">
        <f>'Individual BD'!M5</f>
        <v>0</v>
      </c>
      <c r="AC5" s="105">
        <f>'Individual BD'!N5</f>
        <v>0</v>
      </c>
      <c r="AD5" s="105">
        <f>(INDEX(Entitlement!$A$4:$BC$102,ROW()+1,$AD$1)*(1-TPCIL!$L$11))-ISGS!S15</f>
        <v>0.00303199999999038</v>
      </c>
      <c r="AE5" s="104"/>
      <c r="AF5" s="97">
        <v>890.84</v>
      </c>
      <c r="AG5" s="114">
        <f t="shared" si="0"/>
        <v>3.89767417981142</v>
      </c>
    </row>
    <row r="6" s="97" customFormat="1" ht="18" customHeight="1" spans="1:33">
      <c r="A6" s="103" t="s">
        <v>17</v>
      </c>
      <c r="B6" s="104">
        <v>4</v>
      </c>
      <c r="C6" s="105">
        <f>'Individual BD'!C6</f>
        <v>43.49</v>
      </c>
      <c r="D6" s="105">
        <f>'Individual BD'!D6</f>
        <v>172</v>
      </c>
      <c r="E6" s="105">
        <f>'Individual BD'!E6</f>
        <v>69.12</v>
      </c>
      <c r="F6" s="105">
        <f>(INDEX(Entitlement!$A$4:$BC$102,ROW()+1,$F$1)*(1-TPCIL!$L$11))-ISGS!G16</f>
        <v>229.674432</v>
      </c>
      <c r="G6" s="105">
        <f>(INDEX(Entitlement!$A$4:$BC$102,ROW()+1,$G$1)*(1-TPCIL!$L$11))-ISGS!N16</f>
        <v>121.433883</v>
      </c>
      <c r="H6" s="105">
        <f>'Individual BD'!F6</f>
        <v>20.0700000000001</v>
      </c>
      <c r="I6" s="105">
        <f>'Individual BD'!G6</f>
        <v>131.23</v>
      </c>
      <c r="J6" s="105">
        <f>'Individual BD'!H6</f>
        <v>195.87</v>
      </c>
      <c r="K6" s="105">
        <f>'Individual BD'!I6</f>
        <v>609.73</v>
      </c>
      <c r="L6" s="105">
        <f>(INDEX(Entitlement!$A$4:$BC$102,ROW()+1,$L$1)*(1-TPCIL!$L$11))-ISGS!U16</f>
        <v>59.103471</v>
      </c>
      <c r="M6" s="105">
        <f>'Individual BD'!J6</f>
        <v>0</v>
      </c>
      <c r="N6" s="105">
        <f>'Individual BD'!K6</f>
        <v>206.87</v>
      </c>
      <c r="O6" s="105">
        <f>(INDEX(Entitlement!$A$4:$BC$102,ROW()+1,$O$1)*(1-TPCIL!$L$11))-ISGS!O16</f>
        <v>280.896171</v>
      </c>
      <c r="P6" s="105">
        <f>(INDEX(Entitlement!$A$4:$BC$102,ROW()+1,$P$1)*(1-TPCIL!$L$11))-ISGS!P16</f>
        <v>71.021259</v>
      </c>
      <c r="Q6" s="105">
        <f>(INDEX(Entitlement!$A$4:$BC$102,ROW()+1,$Q$1)*(1-TPCIL!$L$11))-ISGS!R16</f>
        <v>198.994695</v>
      </c>
      <c r="R6" s="105">
        <f>(INDEX(Entitlement!$A$4:$BC$102,ROW()+1,$R$1)*(1-TPCIL!$L$11))-ISGS!L16</f>
        <v>6.234945</v>
      </c>
      <c r="S6" s="105">
        <f>(INDEX(Entitlement!$A$4:$BC$102,ROW()+1,$S$1)*(1-TPCIL!$L$11))-ISGS!J16</f>
        <v>17.572074</v>
      </c>
      <c r="T6" s="105">
        <f>(INDEX(Entitlement!$A$4:$BC$102,ROW()+1,$T$1)*(1-TPCIL!$L$11))-ISGS!K16</f>
        <v>35.325009</v>
      </c>
      <c r="U6" s="105">
        <f>'Individual BD'!L6</f>
        <v>0</v>
      </c>
      <c r="V6" s="105">
        <f>(INDEX(Entitlement!$A$4:$BC$102,ROW()+1,$V$1))-ISGS!Q16</f>
        <v>0</v>
      </c>
      <c r="W6" s="105">
        <f>(INDEX(Entitlement!$A$4:$BC$102,ROW()+1,$W$1)*(1-TPCIL!$L$11))-ISGS!T16</f>
        <v>0.00110800000000211</v>
      </c>
      <c r="X6" s="105">
        <f>(INDEX(Entitlement!$A$4:$BC$102,ROW()+1,$X$1)*(1-TPCIL!$L$11))-ISGS!I16</f>
        <v>0.00251599999999996</v>
      </c>
      <c r="Y6" s="105">
        <f>(INDEX(Entitlement!$A$4:$BC$102,ROW()+1,$Y$1)*(1-TPCIL!$L$11))-ISGS!M16</f>
        <v>0.00215199999999527</v>
      </c>
      <c r="Z6" s="105">
        <f>TPCIL!I16-TPCIL!C16</f>
        <v>0.000544999999988249</v>
      </c>
      <c r="AA6" s="105">
        <f>TPCIL!P16-TPCIL!D16</f>
        <v>0</v>
      </c>
      <c r="AB6" s="105">
        <f>'Individual BD'!M6</f>
        <v>0</v>
      </c>
      <c r="AC6" s="105">
        <f>'Individual BD'!N6</f>
        <v>0</v>
      </c>
      <c r="AD6" s="105">
        <f>(INDEX(Entitlement!$A$4:$BC$102,ROW()+1,$AD$1)*(1-TPCIL!$L$11))-ISGS!S16</f>
        <v>0.00303199999999038</v>
      </c>
      <c r="AE6" s="111"/>
      <c r="AF6" s="97">
        <v>892.49</v>
      </c>
      <c r="AG6" s="114">
        <f t="shared" si="0"/>
        <v>3.8991704363265</v>
      </c>
    </row>
    <row r="7" s="98" customFormat="1" ht="18" customHeight="1" spans="1:33">
      <c r="A7" s="106" t="s">
        <v>18</v>
      </c>
      <c r="B7" s="107">
        <v>5</v>
      </c>
      <c r="C7" s="105">
        <f>'Individual BD'!C7</f>
        <v>46.45</v>
      </c>
      <c r="D7" s="105">
        <f>'Individual BD'!D7</f>
        <v>172.85</v>
      </c>
      <c r="E7" s="105">
        <f>'Individual BD'!E7</f>
        <v>69.68</v>
      </c>
      <c r="F7" s="105">
        <f>(INDEX(Entitlement!$A$4:$BC$102,ROW()+1,$F$1)*(1-TPCIL!$L$11))-ISGS!G17</f>
        <v>229.674432</v>
      </c>
      <c r="G7" s="105">
        <f>(INDEX(Entitlement!$A$4:$BC$102,ROW()+1,$G$1)*(1-TPCIL!$L$11))-ISGS!N17</f>
        <v>121.433883</v>
      </c>
      <c r="H7" s="105">
        <f>'Individual BD'!F7</f>
        <v>26.0700000000001</v>
      </c>
      <c r="I7" s="105">
        <f>'Individual BD'!G7</f>
        <v>133.35</v>
      </c>
      <c r="J7" s="105">
        <f>'Individual BD'!H7</f>
        <v>197</v>
      </c>
      <c r="K7" s="105">
        <f>'Individual BD'!I7</f>
        <v>602.16</v>
      </c>
      <c r="L7" s="105">
        <f>(INDEX(Entitlement!$A$4:$BC$102,ROW()+1,$L$1)*(1-TPCIL!$L$11))-ISGS!U17</f>
        <v>59.103471</v>
      </c>
      <c r="M7" s="105">
        <f>'Individual BD'!J7</f>
        <v>0</v>
      </c>
      <c r="N7" s="105">
        <f>'Individual BD'!K7</f>
        <v>202.06</v>
      </c>
      <c r="O7" s="105">
        <f>(INDEX(Entitlement!$A$4:$BC$102,ROW()+1,$O$1)*(1-TPCIL!$L$11))-ISGS!O17</f>
        <v>280.896171</v>
      </c>
      <c r="P7" s="105">
        <f>(INDEX(Entitlement!$A$4:$BC$102,ROW()+1,$P$1)*(1-TPCIL!$L$11))-ISGS!P17</f>
        <v>71.021259</v>
      </c>
      <c r="Q7" s="105">
        <f>(INDEX(Entitlement!$A$4:$BC$102,ROW()+1,$Q$1)*(1-TPCIL!$L$11))-ISGS!R17</f>
        <v>198.994695</v>
      </c>
      <c r="R7" s="105">
        <f>(INDEX(Entitlement!$A$4:$BC$102,ROW()+1,$R$1)*(1-TPCIL!$L$11))-ISGS!L17</f>
        <v>6.234945</v>
      </c>
      <c r="S7" s="105">
        <f>(INDEX(Entitlement!$A$4:$BC$102,ROW()+1,$S$1)*(1-TPCIL!$L$11))-ISGS!J17</f>
        <v>17.572074</v>
      </c>
      <c r="T7" s="105">
        <f>(INDEX(Entitlement!$A$4:$BC$102,ROW()+1,$T$1)*(1-TPCIL!$L$11))-ISGS!K17</f>
        <v>35.325009</v>
      </c>
      <c r="U7" s="105">
        <f>'Individual BD'!L7</f>
        <v>0</v>
      </c>
      <c r="V7" s="105">
        <f>(INDEX(Entitlement!$A$4:$BC$102,ROW()+1,$V$1))-ISGS!Q17</f>
        <v>0</v>
      </c>
      <c r="W7" s="105">
        <f>(INDEX(Entitlement!$A$4:$BC$102,ROW()+1,$W$1)*(1-TPCIL!$L$11))-ISGS!T17</f>
        <v>0.00110800000000211</v>
      </c>
      <c r="X7" s="105">
        <f>(INDEX(Entitlement!$A$4:$BC$102,ROW()+1,$X$1)*(1-TPCIL!$L$11))-ISGS!I17</f>
        <v>0.00251599999999996</v>
      </c>
      <c r="Y7" s="105">
        <f>(INDEX(Entitlement!$A$4:$BC$102,ROW()+1,$Y$1)*(1-TPCIL!$L$11))-ISGS!M17</f>
        <v>0.00215199999999527</v>
      </c>
      <c r="Z7" s="105">
        <f>TPCIL!I17-TPCIL!C17</f>
        <v>0.000544999999988249</v>
      </c>
      <c r="AA7" s="105">
        <f>TPCIL!P17-TPCIL!D17</f>
        <v>0</v>
      </c>
      <c r="AB7" s="105">
        <f>'Individual BD'!M7</f>
        <v>0</v>
      </c>
      <c r="AC7" s="105">
        <f>'Individual BD'!N7</f>
        <v>0</v>
      </c>
      <c r="AD7" s="105">
        <f>(INDEX(Entitlement!$A$4:$BC$102,ROW()+1,$AD$1)*(1-TPCIL!$L$11))-ISGS!S17</f>
        <v>0.00303199999999038</v>
      </c>
      <c r="AE7" s="112"/>
      <c r="AF7" s="98">
        <v>1392.9</v>
      </c>
      <c r="AG7" s="114">
        <f t="shared" si="0"/>
        <v>3.90198317774468</v>
      </c>
    </row>
    <row r="8" s="98" customFormat="1" ht="18" customHeight="1" spans="1:33">
      <c r="A8" s="106" t="s">
        <v>19</v>
      </c>
      <c r="B8" s="107">
        <v>6</v>
      </c>
      <c r="C8" s="105">
        <f>'Individual BD'!C8</f>
        <v>50.78</v>
      </c>
      <c r="D8" s="105">
        <f>'Individual BD'!D8</f>
        <v>174.39</v>
      </c>
      <c r="E8" s="105">
        <f>'Individual BD'!E8</f>
        <v>71.19</v>
      </c>
      <c r="F8" s="105">
        <f>(INDEX(Entitlement!$A$4:$BC$102,ROW()+1,$F$1)*(1-TPCIL!$L$11))-ISGS!G18</f>
        <v>229.674432</v>
      </c>
      <c r="G8" s="105">
        <f>(INDEX(Entitlement!$A$4:$BC$102,ROW()+1,$G$1)*(1-TPCIL!$L$11))-ISGS!N18</f>
        <v>121.433883</v>
      </c>
      <c r="H8" s="105">
        <f>'Individual BD'!F8</f>
        <v>22.35</v>
      </c>
      <c r="I8" s="105">
        <f>'Individual BD'!G8</f>
        <v>136.32</v>
      </c>
      <c r="J8" s="105">
        <f>'Individual BD'!H8</f>
        <v>193.95</v>
      </c>
      <c r="K8" s="105">
        <f>'Individual BD'!I8</f>
        <v>603.23</v>
      </c>
      <c r="L8" s="105">
        <f>(INDEX(Entitlement!$A$4:$BC$102,ROW()+1,$L$1)*(1-TPCIL!$L$11))-ISGS!U18</f>
        <v>59.103471</v>
      </c>
      <c r="M8" s="105">
        <f>'Individual BD'!J8</f>
        <v>0</v>
      </c>
      <c r="N8" s="105">
        <f>'Individual BD'!K8</f>
        <v>203.98</v>
      </c>
      <c r="O8" s="105">
        <f>(INDEX(Entitlement!$A$4:$BC$102,ROW()+1,$O$1)*(1-TPCIL!$L$11))-ISGS!O18</f>
        <v>280.896171</v>
      </c>
      <c r="P8" s="105">
        <f>(INDEX(Entitlement!$A$4:$BC$102,ROW()+1,$P$1)*(1-TPCIL!$L$11))-ISGS!P18</f>
        <v>71.021259</v>
      </c>
      <c r="Q8" s="105">
        <f>(INDEX(Entitlement!$A$4:$BC$102,ROW()+1,$Q$1)*(1-TPCIL!$L$11))-ISGS!R18</f>
        <v>198.994695</v>
      </c>
      <c r="R8" s="105">
        <f>(INDEX(Entitlement!$A$4:$BC$102,ROW()+1,$R$1)*(1-TPCIL!$L$11))-ISGS!L18</f>
        <v>6.234945</v>
      </c>
      <c r="S8" s="105">
        <f>(INDEX(Entitlement!$A$4:$BC$102,ROW()+1,$S$1)*(1-TPCIL!$L$11))-ISGS!J18</f>
        <v>17.572074</v>
      </c>
      <c r="T8" s="105">
        <f>(INDEX(Entitlement!$A$4:$BC$102,ROW()+1,$T$1)*(1-TPCIL!$L$11))-ISGS!K18</f>
        <v>35.325009</v>
      </c>
      <c r="U8" s="105">
        <f>'Individual BD'!L8</f>
        <v>0</v>
      </c>
      <c r="V8" s="105">
        <f>(INDEX(Entitlement!$A$4:$BC$102,ROW()+1,$V$1))-ISGS!Q18</f>
        <v>0</v>
      </c>
      <c r="W8" s="105">
        <f>(INDEX(Entitlement!$A$4:$BC$102,ROW()+1,$W$1)*(1-TPCIL!$L$11))-ISGS!T18</f>
        <v>0.00110800000000211</v>
      </c>
      <c r="X8" s="105">
        <f>(INDEX(Entitlement!$A$4:$BC$102,ROW()+1,$X$1)*(1-TPCIL!$L$11))-ISGS!I18</f>
        <v>0.00251599999999996</v>
      </c>
      <c r="Y8" s="105">
        <f>(INDEX(Entitlement!$A$4:$BC$102,ROW()+1,$Y$1)*(1-TPCIL!$L$11))-ISGS!M18</f>
        <v>0.00215199999999527</v>
      </c>
      <c r="Z8" s="105">
        <f>TPCIL!I18-TPCIL!C18</f>
        <v>0.000544999999988249</v>
      </c>
      <c r="AA8" s="105">
        <f>TPCIL!P18-TPCIL!D18</f>
        <v>0</v>
      </c>
      <c r="AB8" s="105">
        <f>'Individual BD'!M8</f>
        <v>0</v>
      </c>
      <c r="AC8" s="105">
        <f>'Individual BD'!N8</f>
        <v>47.64</v>
      </c>
      <c r="AD8" s="105">
        <f>(INDEX(Entitlement!$A$4:$BC$102,ROW()+1,$AD$1)*(1-TPCIL!$L$11))-ISGS!S18</f>
        <v>0.00303199999999038</v>
      </c>
      <c r="AE8" s="112"/>
      <c r="AF8" s="98">
        <v>1392.9</v>
      </c>
      <c r="AG8" s="114">
        <f t="shared" si="0"/>
        <v>3.87708270022913</v>
      </c>
    </row>
    <row r="9" s="98" customFormat="1" ht="18" customHeight="1" spans="1:33">
      <c r="A9" s="106" t="s">
        <v>20</v>
      </c>
      <c r="B9" s="107">
        <v>7</v>
      </c>
      <c r="C9" s="105">
        <f>'Individual BD'!C9</f>
        <v>51.5</v>
      </c>
      <c r="D9" s="105">
        <f>'Individual BD'!D9</f>
        <v>172.76</v>
      </c>
      <c r="E9" s="105">
        <f>'Individual BD'!E9</f>
        <v>69.97</v>
      </c>
      <c r="F9" s="105">
        <f>(INDEX(Entitlement!$A$4:$BC$102,ROW()+1,$F$1)*(1-TPCIL!$L$11))-ISGS!G19</f>
        <v>229.674432</v>
      </c>
      <c r="G9" s="105">
        <f>(INDEX(Entitlement!$A$4:$BC$102,ROW()+1,$G$1)*(1-TPCIL!$L$11))-ISGS!N19</f>
        <v>121.433883</v>
      </c>
      <c r="H9" s="105">
        <f>'Individual BD'!F9</f>
        <v>22.1500000000001</v>
      </c>
      <c r="I9" s="105">
        <f>'Individual BD'!G9</f>
        <v>136.32</v>
      </c>
      <c r="J9" s="105">
        <f>'Individual BD'!H9</f>
        <v>194.41</v>
      </c>
      <c r="K9" s="105">
        <f>'Individual BD'!I9</f>
        <v>590.88</v>
      </c>
      <c r="L9" s="105">
        <f>(INDEX(Entitlement!$A$4:$BC$102,ROW()+1,$L$1)*(1-TPCIL!$L$11))-ISGS!U19</f>
        <v>59.103471</v>
      </c>
      <c r="M9" s="105">
        <f>'Individual BD'!J9</f>
        <v>0</v>
      </c>
      <c r="N9" s="105">
        <f>'Individual BD'!K9</f>
        <v>202.46</v>
      </c>
      <c r="O9" s="105">
        <f>(INDEX(Entitlement!$A$4:$BC$102,ROW()+1,$O$1)*(1-TPCIL!$L$11))-ISGS!O19</f>
        <v>280.896171</v>
      </c>
      <c r="P9" s="105">
        <f>(INDEX(Entitlement!$A$4:$BC$102,ROW()+1,$P$1)*(1-TPCIL!$L$11))-ISGS!P19</f>
        <v>71.021259</v>
      </c>
      <c r="Q9" s="105">
        <f>(INDEX(Entitlement!$A$4:$BC$102,ROW()+1,$Q$1)*(1-TPCIL!$L$11))-ISGS!R19</f>
        <v>198.994695</v>
      </c>
      <c r="R9" s="105">
        <f>(INDEX(Entitlement!$A$4:$BC$102,ROW()+1,$R$1)*(1-TPCIL!$L$11))-ISGS!L19</f>
        <v>6.644262</v>
      </c>
      <c r="S9" s="105">
        <f>(INDEX(Entitlement!$A$4:$BC$102,ROW()+1,$S$1)*(1-TPCIL!$L$11))-ISGS!J19</f>
        <v>17.572074</v>
      </c>
      <c r="T9" s="105">
        <f>(INDEX(Entitlement!$A$4:$BC$102,ROW()+1,$T$1)*(1-TPCIL!$L$11))-ISGS!K19</f>
        <v>35.325009</v>
      </c>
      <c r="U9" s="105">
        <f>'Individual BD'!L9</f>
        <v>268.34</v>
      </c>
      <c r="V9" s="105">
        <f>(INDEX(Entitlement!$A$4:$BC$102,ROW()+1,$V$1))-ISGS!Q19</f>
        <v>0</v>
      </c>
      <c r="W9" s="105">
        <f>(INDEX(Entitlement!$A$4:$BC$102,ROW()+1,$W$1)*(1-TPCIL!$L$11))-ISGS!T19</f>
        <v>3.111108</v>
      </c>
      <c r="X9" s="105">
        <f>(INDEX(Entitlement!$A$4:$BC$102,ROW()+1,$X$1)*(1-TPCIL!$L$11))-ISGS!I19</f>
        <v>2.072516</v>
      </c>
      <c r="Y9" s="105">
        <f>(INDEX(Entitlement!$A$4:$BC$102,ROW()+1,$Y$1)*(1-TPCIL!$L$11))-ISGS!M19</f>
        <v>5.08215199999999</v>
      </c>
      <c r="Z9" s="105">
        <f>TPCIL!I19-TPCIL!C19</f>
        <v>98.760545</v>
      </c>
      <c r="AA9" s="105">
        <f>TPCIL!P19-TPCIL!D19</f>
        <v>0</v>
      </c>
      <c r="AB9" s="105">
        <f>'Individual BD'!M9</f>
        <v>0</v>
      </c>
      <c r="AC9" s="105">
        <f>'Individual BD'!N9</f>
        <v>103.33</v>
      </c>
      <c r="AD9" s="105">
        <f>(INDEX(Entitlement!$A$4:$BC$102,ROW()+1,$AD$1)*(1-TPCIL!$L$11))-ISGS!S19</f>
        <v>0.00303199999999038</v>
      </c>
      <c r="AE9" s="112"/>
      <c r="AF9" s="98">
        <v>1192.89</v>
      </c>
      <c r="AG9" s="114">
        <f t="shared" si="0"/>
        <v>3.76911510011982</v>
      </c>
    </row>
    <row r="10" s="98" customFormat="1" ht="18" customHeight="1" spans="1:33">
      <c r="A10" s="106" t="s">
        <v>21</v>
      </c>
      <c r="B10" s="107">
        <v>8</v>
      </c>
      <c r="C10" s="105">
        <f>'Individual BD'!C10</f>
        <v>56.24</v>
      </c>
      <c r="D10" s="105">
        <f>'Individual BD'!D10</f>
        <v>172.94</v>
      </c>
      <c r="E10" s="105">
        <f>'Individual BD'!E10</f>
        <v>69.37</v>
      </c>
      <c r="F10" s="105">
        <f>(INDEX(Entitlement!$A$4:$BC$102,ROW()+1,$F$1)*(1-TPCIL!$L$11))-ISGS!G20</f>
        <v>229.674432</v>
      </c>
      <c r="G10" s="105">
        <f>(INDEX(Entitlement!$A$4:$BC$102,ROW()+1,$G$1)*(1-TPCIL!$L$11))-ISGS!N20</f>
        <v>121.433883</v>
      </c>
      <c r="H10" s="105">
        <f>'Individual BD'!F10</f>
        <v>18.0400000000001</v>
      </c>
      <c r="I10" s="105">
        <f>'Individual BD'!G10</f>
        <v>132.35</v>
      </c>
      <c r="J10" s="105">
        <f>'Individual BD'!H10</f>
        <v>200.88</v>
      </c>
      <c r="K10" s="105">
        <f>'Individual BD'!I10</f>
        <v>601</v>
      </c>
      <c r="L10" s="105">
        <f>(INDEX(Entitlement!$A$4:$BC$102,ROW()+1,$L$1)*(1-TPCIL!$L$11))-ISGS!U20</f>
        <v>59.103471</v>
      </c>
      <c r="M10" s="105">
        <f>'Individual BD'!J10</f>
        <v>0</v>
      </c>
      <c r="N10" s="105">
        <f>'Individual BD'!K10</f>
        <v>204.23</v>
      </c>
      <c r="O10" s="105">
        <f>(INDEX(Entitlement!$A$4:$BC$102,ROW()+1,$O$1)*(1-TPCIL!$L$11))-ISGS!O20</f>
        <v>280.896171</v>
      </c>
      <c r="P10" s="105">
        <f>(INDEX(Entitlement!$A$4:$BC$102,ROW()+1,$P$1)*(1-TPCIL!$L$11))-ISGS!P20</f>
        <v>71.021259</v>
      </c>
      <c r="Q10" s="105">
        <f>(INDEX(Entitlement!$A$4:$BC$102,ROW()+1,$Q$1)*(1-TPCIL!$L$11))-ISGS!R20</f>
        <v>198.994695</v>
      </c>
      <c r="R10" s="105">
        <f>(INDEX(Entitlement!$A$4:$BC$102,ROW()+1,$R$1)*(1-TPCIL!$L$11))-ISGS!L20</f>
        <v>6.644262</v>
      </c>
      <c r="S10" s="105">
        <f>(INDEX(Entitlement!$A$4:$BC$102,ROW()+1,$S$1)*(1-TPCIL!$L$11))-ISGS!J20</f>
        <v>17.572074</v>
      </c>
      <c r="T10" s="105">
        <f>(INDEX(Entitlement!$A$4:$BC$102,ROW()+1,$T$1)*(1-TPCIL!$L$11))-ISGS!K20</f>
        <v>35.325009</v>
      </c>
      <c r="U10" s="105">
        <f>'Individual BD'!L10</f>
        <v>267.21</v>
      </c>
      <c r="V10" s="105">
        <f>(INDEX(Entitlement!$A$4:$BC$102,ROW()+1,$V$1))-ISGS!Q20</f>
        <v>0</v>
      </c>
      <c r="W10" s="105">
        <f>(INDEX(Entitlement!$A$4:$BC$102,ROW()+1,$W$1)*(1-TPCIL!$L$11))-ISGS!T20</f>
        <v>14.711108</v>
      </c>
      <c r="X10" s="105">
        <f>(INDEX(Entitlement!$A$4:$BC$102,ROW()+1,$X$1)*(1-TPCIL!$L$11))-ISGS!I20</f>
        <v>2.072516</v>
      </c>
      <c r="Y10" s="105">
        <f>(INDEX(Entitlement!$A$4:$BC$102,ROW()+1,$Y$1)*(1-TPCIL!$L$11))-ISGS!M20</f>
        <v>7.90215199999999</v>
      </c>
      <c r="Z10" s="105">
        <f>TPCIL!I20-TPCIL!C20</f>
        <v>98.760545</v>
      </c>
      <c r="AA10" s="105">
        <f>TPCIL!P20-TPCIL!D20</f>
        <v>0</v>
      </c>
      <c r="AB10" s="105">
        <f>'Individual BD'!M10</f>
        <v>0</v>
      </c>
      <c r="AC10" s="105">
        <f>'Individual BD'!N10</f>
        <v>149.28</v>
      </c>
      <c r="AD10" s="105">
        <f>(INDEX(Entitlement!$A$4:$BC$102,ROW()+1,$AD$1)*(1-TPCIL!$L$11))-ISGS!S20</f>
        <v>0.00303199999999038</v>
      </c>
      <c r="AE10" s="112"/>
      <c r="AF10" s="98">
        <v>1193.49</v>
      </c>
      <c r="AG10" s="114">
        <f t="shared" si="0"/>
        <v>3.74778670634393</v>
      </c>
    </row>
    <row r="11" s="98" customFormat="1" ht="18" customHeight="1" spans="1:33">
      <c r="A11" s="106" t="s">
        <v>22</v>
      </c>
      <c r="B11" s="107">
        <v>9</v>
      </c>
      <c r="C11" s="105">
        <f>'Individual BD'!C11</f>
        <v>52.4</v>
      </c>
      <c r="D11" s="105">
        <f>'Individual BD'!D11</f>
        <v>170.93</v>
      </c>
      <c r="E11" s="105">
        <f>'Individual BD'!E11</f>
        <v>69.96</v>
      </c>
      <c r="F11" s="105">
        <f>(INDEX(Entitlement!$A$4:$BC$102,ROW()+1,$F$1)*(1-TPCIL!$L$11))-ISGS!G21</f>
        <v>229.674432</v>
      </c>
      <c r="G11" s="105">
        <f>(INDEX(Entitlement!$A$4:$BC$102,ROW()+1,$G$1)*(1-TPCIL!$L$11))-ISGS!N21</f>
        <v>121.433883</v>
      </c>
      <c r="H11" s="105">
        <f>'Individual BD'!F11</f>
        <v>11.1800000000001</v>
      </c>
      <c r="I11" s="105">
        <f>'Individual BD'!G11</f>
        <v>127.79</v>
      </c>
      <c r="J11" s="105">
        <f>'Individual BD'!H11</f>
        <v>195.24</v>
      </c>
      <c r="K11" s="105">
        <f>'Individual BD'!I11</f>
        <v>621.88</v>
      </c>
      <c r="L11" s="105">
        <f>(INDEX(Entitlement!$A$4:$BC$102,ROW()+1,$L$1)*(1-TPCIL!$L$11))-ISGS!U21</f>
        <v>59.103471</v>
      </c>
      <c r="M11" s="105">
        <f>'Individual BD'!J11</f>
        <v>0</v>
      </c>
      <c r="N11" s="105">
        <f>'Individual BD'!K11</f>
        <v>206.89</v>
      </c>
      <c r="O11" s="105">
        <f>(INDEX(Entitlement!$A$4:$BC$102,ROW()+1,$O$1)*(1-TPCIL!$L$11))-ISGS!O21</f>
        <v>280.896171</v>
      </c>
      <c r="P11" s="105">
        <f>(INDEX(Entitlement!$A$4:$BC$102,ROW()+1,$P$1)*(1-TPCIL!$L$11))-ISGS!P21</f>
        <v>71.021259</v>
      </c>
      <c r="Q11" s="105">
        <f>(INDEX(Entitlement!$A$4:$BC$102,ROW()+1,$Q$1)*(1-TPCIL!$L$11))-ISGS!R21</f>
        <v>198.994695</v>
      </c>
      <c r="R11" s="105">
        <f>(INDEX(Entitlement!$A$4:$BC$102,ROW()+1,$R$1)*(1-TPCIL!$L$11))-ISGS!L21</f>
        <v>6.644262</v>
      </c>
      <c r="S11" s="105">
        <f>(INDEX(Entitlement!$A$4:$BC$102,ROW()+1,$S$1)*(1-TPCIL!$L$11))-ISGS!J21</f>
        <v>17.572074</v>
      </c>
      <c r="T11" s="105">
        <f>(INDEX(Entitlement!$A$4:$BC$102,ROW()+1,$T$1)*(1-TPCIL!$L$11))-ISGS!K21</f>
        <v>35.325009</v>
      </c>
      <c r="U11" s="105">
        <f>'Individual BD'!L11</f>
        <v>259.52</v>
      </c>
      <c r="V11" s="105">
        <f>(INDEX(Entitlement!$A$4:$BC$102,ROW()+1,$V$1))-ISGS!Q21</f>
        <v>0</v>
      </c>
      <c r="W11" s="105">
        <f>(INDEX(Entitlement!$A$4:$BC$102,ROW()+1,$W$1)*(1-TPCIL!$L$11))-ISGS!T21</f>
        <v>14.711108</v>
      </c>
      <c r="X11" s="105">
        <f>(INDEX(Entitlement!$A$4:$BC$102,ROW()+1,$X$1)*(1-TPCIL!$L$11))-ISGS!I21</f>
        <v>2.072516</v>
      </c>
      <c r="Y11" s="105">
        <f>(INDEX(Entitlement!$A$4:$BC$102,ROW()+1,$Y$1)*(1-TPCIL!$L$11))-ISGS!M21</f>
        <v>7.90215199999999</v>
      </c>
      <c r="Z11" s="105">
        <f>TPCIL!I21-TPCIL!C21</f>
        <v>98.760545</v>
      </c>
      <c r="AA11" s="105">
        <f>TPCIL!P21-TPCIL!D21</f>
        <v>0</v>
      </c>
      <c r="AB11" s="105">
        <f>'Individual BD'!M11</f>
        <v>0</v>
      </c>
      <c r="AC11" s="105">
        <f>'Individual BD'!N11</f>
        <v>157.48</v>
      </c>
      <c r="AD11" s="105">
        <f>(INDEX(Entitlement!$A$4:$BC$102,ROW()+1,$AD$1)*(1-TPCIL!$L$11))-ISGS!S21</f>
        <v>0.00303199999999038</v>
      </c>
      <c r="AE11" s="107"/>
      <c r="AF11" s="98">
        <v>1392.8</v>
      </c>
      <c r="AG11" s="114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3.74259681409245</v>
      </c>
    </row>
    <row r="12" s="98" customFormat="1" ht="18" customHeight="1" spans="1:33">
      <c r="A12" s="106" t="s">
        <v>23</v>
      </c>
      <c r="B12" s="107">
        <v>10</v>
      </c>
      <c r="C12" s="105">
        <f>'Individual BD'!C12</f>
        <v>52.91</v>
      </c>
      <c r="D12" s="105">
        <f>'Individual BD'!D12</f>
        <v>174</v>
      </c>
      <c r="E12" s="105">
        <f>'Individual BD'!E12</f>
        <v>68.9</v>
      </c>
      <c r="F12" s="105">
        <f>(INDEX(Entitlement!$A$4:$BC$102,ROW()+1,$F$1)*(1-TPCIL!$L$11))-ISGS!G22</f>
        <v>229.674432</v>
      </c>
      <c r="G12" s="105">
        <f>(INDEX(Entitlement!$A$4:$BC$102,ROW()+1,$G$1)*(1-TPCIL!$L$11))-ISGS!N22</f>
        <v>121.433883</v>
      </c>
      <c r="H12" s="105">
        <f>'Individual BD'!F12</f>
        <v>9.85000000000002</v>
      </c>
      <c r="I12" s="105">
        <f>'Individual BD'!G12</f>
        <v>130.38</v>
      </c>
      <c r="J12" s="105">
        <f>'Individual BD'!H12</f>
        <v>195.48</v>
      </c>
      <c r="K12" s="105">
        <f>'Individual BD'!I12</f>
        <v>613.59</v>
      </c>
      <c r="L12" s="105">
        <f>(INDEX(Entitlement!$A$4:$BC$102,ROW()+1,$L$1)*(1-TPCIL!$L$11))-ISGS!U22</f>
        <v>59.103471</v>
      </c>
      <c r="M12" s="105">
        <f>'Individual BD'!J12</f>
        <v>0</v>
      </c>
      <c r="N12" s="105">
        <f>'Individual BD'!K12</f>
        <v>206.4</v>
      </c>
      <c r="O12" s="105">
        <f>(INDEX(Entitlement!$A$4:$BC$102,ROW()+1,$O$1)*(1-TPCIL!$L$11))-ISGS!O22</f>
        <v>280.896171</v>
      </c>
      <c r="P12" s="105">
        <f>(INDEX(Entitlement!$A$4:$BC$102,ROW()+1,$P$1)*(1-TPCIL!$L$11))-ISGS!P22</f>
        <v>71.021259</v>
      </c>
      <c r="Q12" s="105">
        <f>(INDEX(Entitlement!$A$4:$BC$102,ROW()+1,$Q$1)*(1-TPCIL!$L$11))-ISGS!R22</f>
        <v>198.994695</v>
      </c>
      <c r="R12" s="105">
        <f>(INDEX(Entitlement!$A$4:$BC$102,ROW()+1,$R$1)*(1-TPCIL!$L$11))-ISGS!L22</f>
        <v>6.644262</v>
      </c>
      <c r="S12" s="105">
        <f>(INDEX(Entitlement!$A$4:$BC$102,ROW()+1,$S$1)*(1-TPCIL!$L$11))-ISGS!J22</f>
        <v>17.572074</v>
      </c>
      <c r="T12" s="105">
        <f>(INDEX(Entitlement!$A$4:$BC$102,ROW()+1,$T$1)*(1-TPCIL!$L$11))-ISGS!K22</f>
        <v>35.325009</v>
      </c>
      <c r="U12" s="105">
        <f>'Individual BD'!L12</f>
        <v>259.78</v>
      </c>
      <c r="V12" s="105">
        <f>(INDEX(Entitlement!$A$4:$BC$102,ROW()+1,$V$1))-ISGS!Q22</f>
        <v>0</v>
      </c>
      <c r="W12" s="105">
        <f>(INDEX(Entitlement!$A$4:$BC$102,ROW()+1,$W$1)*(1-TPCIL!$L$11))-ISGS!T22</f>
        <v>14.711108</v>
      </c>
      <c r="X12" s="105">
        <f>(INDEX(Entitlement!$A$4:$BC$102,ROW()+1,$X$1)*(1-TPCIL!$L$11))-ISGS!I22</f>
        <v>2.072516</v>
      </c>
      <c r="Y12" s="105">
        <f>(INDEX(Entitlement!$A$4:$BC$102,ROW()+1,$Y$1)*(1-TPCIL!$L$11))-ISGS!M22</f>
        <v>7.90215199999999</v>
      </c>
      <c r="Z12" s="105">
        <f>TPCIL!I22-TPCIL!C22</f>
        <v>98.760545</v>
      </c>
      <c r="AA12" s="105">
        <f>TPCIL!P22-TPCIL!D22</f>
        <v>0</v>
      </c>
      <c r="AB12" s="105">
        <f>'Individual BD'!M12</f>
        <v>0</v>
      </c>
      <c r="AC12" s="105">
        <f>'Individual BD'!N12</f>
        <v>155.05</v>
      </c>
      <c r="AD12" s="105">
        <f>(INDEX(Entitlement!$A$4:$BC$102,ROW()+1,$AD$1)*(1-TPCIL!$L$11))-ISGS!S22</f>
        <v>0.00303199999999038</v>
      </c>
      <c r="AE12" s="107"/>
      <c r="AF12" s="98">
        <v>1392.89</v>
      </c>
      <c r="AG12" s="114">
        <f t="shared" si="1"/>
        <v>3.7440743337695</v>
      </c>
    </row>
    <row r="13" s="99" customFormat="1" ht="18" customHeight="1" spans="1:33">
      <c r="A13" s="108" t="s">
        <v>24</v>
      </c>
      <c r="B13" s="107">
        <v>11</v>
      </c>
      <c r="C13" s="105">
        <f>'Individual BD'!C13</f>
        <v>50.86</v>
      </c>
      <c r="D13" s="105">
        <f>'Individual BD'!D13</f>
        <v>171.15</v>
      </c>
      <c r="E13" s="105">
        <f>'Individual BD'!E13</f>
        <v>69.08</v>
      </c>
      <c r="F13" s="105">
        <f>(INDEX(Entitlement!$A$4:$BC$102,ROW()+1,$F$1)*(1-TPCIL!$L$11))-ISGS!G23</f>
        <v>229.674432</v>
      </c>
      <c r="G13" s="105">
        <f>(INDEX(Entitlement!$A$4:$BC$102,ROW()+1,$G$1)*(1-TPCIL!$L$11))-ISGS!N23</f>
        <v>121.433883</v>
      </c>
      <c r="H13" s="105">
        <f>'Individual BD'!F13</f>
        <v>10.66</v>
      </c>
      <c r="I13" s="105">
        <f>'Individual BD'!G13</f>
        <v>129.25</v>
      </c>
      <c r="J13" s="105">
        <f>'Individual BD'!H13</f>
        <v>198.32</v>
      </c>
      <c r="K13" s="105">
        <f>'Individual BD'!I13</f>
        <v>617.35</v>
      </c>
      <c r="L13" s="105">
        <f>(INDEX(Entitlement!$A$4:$BC$102,ROW()+1,$L$1)*(1-TPCIL!$L$11))-ISGS!U23</f>
        <v>59.103471</v>
      </c>
      <c r="M13" s="105">
        <f>'Individual BD'!J13</f>
        <v>0</v>
      </c>
      <c r="N13" s="105">
        <f>'Individual BD'!K13</f>
        <v>206.78</v>
      </c>
      <c r="O13" s="105">
        <f>(INDEX(Entitlement!$A$4:$BC$102,ROW()+1,$O$1)*(1-TPCIL!$L$11))-ISGS!O23</f>
        <v>280.896171</v>
      </c>
      <c r="P13" s="105">
        <f>(INDEX(Entitlement!$A$4:$BC$102,ROW()+1,$P$1)*(1-TPCIL!$L$11))-ISGS!P23</f>
        <v>71.021259</v>
      </c>
      <c r="Q13" s="105">
        <f>(INDEX(Entitlement!$A$4:$BC$102,ROW()+1,$Q$1)*(1-TPCIL!$L$11))-ISGS!R23</f>
        <v>198.994695</v>
      </c>
      <c r="R13" s="105">
        <f>(INDEX(Entitlement!$A$4:$BC$102,ROW()+1,$R$1)*(1-TPCIL!$L$11))-ISGS!L23</f>
        <v>6.644262</v>
      </c>
      <c r="S13" s="105">
        <f>(INDEX(Entitlement!$A$4:$BC$102,ROW()+1,$S$1)*(1-TPCIL!$L$11))-ISGS!J23</f>
        <v>17.572074</v>
      </c>
      <c r="T13" s="105">
        <f>(INDEX(Entitlement!$A$4:$BC$102,ROW()+1,$T$1)*(1-TPCIL!$L$11))-ISGS!K23</f>
        <v>35.325009</v>
      </c>
      <c r="U13" s="105">
        <f>'Individual BD'!L13</f>
        <v>248.44</v>
      </c>
      <c r="V13" s="105">
        <f>(INDEX(Entitlement!$A$4:$BC$102,ROW()+1,$V$1))-ISGS!Q23</f>
        <v>0</v>
      </c>
      <c r="W13" s="105">
        <f>(INDEX(Entitlement!$A$4:$BC$102,ROW()+1,$W$1)*(1-TPCIL!$L$11))-ISGS!T23</f>
        <v>14.711108</v>
      </c>
      <c r="X13" s="105">
        <f>(INDEX(Entitlement!$A$4:$BC$102,ROW()+1,$X$1)*(1-TPCIL!$L$11))-ISGS!I23</f>
        <v>2.072516</v>
      </c>
      <c r="Y13" s="105">
        <f>(INDEX(Entitlement!$A$4:$BC$102,ROW()+1,$Y$1)*(1-TPCIL!$L$11))-ISGS!M23</f>
        <v>7.90215199999999</v>
      </c>
      <c r="Z13" s="105">
        <f>TPCIL!I23-TPCIL!C23</f>
        <v>98.760545</v>
      </c>
      <c r="AA13" s="105">
        <f>TPCIL!P23-TPCIL!D23</f>
        <v>0</v>
      </c>
      <c r="AB13" s="105">
        <f>'Individual BD'!M13</f>
        <v>0</v>
      </c>
      <c r="AC13" s="105">
        <f>'Individual BD'!N13</f>
        <v>155.09</v>
      </c>
      <c r="AD13" s="105">
        <f>(INDEX(Entitlement!$A$4:$BC$102,ROW()+1,$AD$1)*(1-TPCIL!$L$11))-ISGS!S23</f>
        <v>0.00303199999999038</v>
      </c>
      <c r="AE13" s="107"/>
      <c r="AF13" s="99">
        <v>1291.78</v>
      </c>
      <c r="AG13" s="114">
        <f t="shared" si="1"/>
        <v>3.74480374288493</v>
      </c>
    </row>
    <row r="14" s="99" customFormat="1" ht="18" customHeight="1" spans="1:33">
      <c r="A14" s="108" t="s">
        <v>25</v>
      </c>
      <c r="B14" s="107">
        <v>12</v>
      </c>
      <c r="C14" s="105">
        <f>'Individual BD'!C14</f>
        <v>50.21</v>
      </c>
      <c r="D14" s="105">
        <f>'Individual BD'!D14</f>
        <v>172.35</v>
      </c>
      <c r="E14" s="105">
        <f>'Individual BD'!E14</f>
        <v>70.03</v>
      </c>
      <c r="F14" s="105">
        <f>(INDEX(Entitlement!$A$4:$BC$102,ROW()+1,$F$1)*(1-TPCIL!$L$11))-ISGS!G24</f>
        <v>229.674432</v>
      </c>
      <c r="G14" s="105">
        <f>(INDEX(Entitlement!$A$4:$BC$102,ROW()+1,$G$1)*(1-TPCIL!$L$11))-ISGS!N24</f>
        <v>121.433883</v>
      </c>
      <c r="H14" s="105">
        <f>'Individual BD'!F14</f>
        <v>8.44000000000005</v>
      </c>
      <c r="I14" s="105">
        <f>'Individual BD'!G14</f>
        <v>135.87</v>
      </c>
      <c r="J14" s="105">
        <f>'Individual BD'!H14</f>
        <v>194.96</v>
      </c>
      <c r="K14" s="105">
        <f>'Individual BD'!I14</f>
        <v>614.9</v>
      </c>
      <c r="L14" s="105">
        <f>(INDEX(Entitlement!$A$4:$BC$102,ROW()+1,$L$1)*(1-TPCIL!$L$11))-ISGS!U24</f>
        <v>59.103471</v>
      </c>
      <c r="M14" s="105">
        <f>'Individual BD'!J14</f>
        <v>0</v>
      </c>
      <c r="N14" s="105">
        <f>'Individual BD'!K14</f>
        <v>205.6</v>
      </c>
      <c r="O14" s="105">
        <f>(INDEX(Entitlement!$A$4:$BC$102,ROW()+1,$O$1)*(1-TPCIL!$L$11))-ISGS!O24</f>
        <v>280.896171</v>
      </c>
      <c r="P14" s="105">
        <f>(INDEX(Entitlement!$A$4:$BC$102,ROW()+1,$P$1)*(1-TPCIL!$L$11))-ISGS!P24</f>
        <v>71.021259</v>
      </c>
      <c r="Q14" s="105">
        <f>(INDEX(Entitlement!$A$4:$BC$102,ROW()+1,$Q$1)*(1-TPCIL!$L$11))-ISGS!R24</f>
        <v>198.994695</v>
      </c>
      <c r="R14" s="105">
        <f>(INDEX(Entitlement!$A$4:$BC$102,ROW()+1,$R$1)*(1-TPCIL!$L$11))-ISGS!L24</f>
        <v>6.644262</v>
      </c>
      <c r="S14" s="105">
        <f>(INDEX(Entitlement!$A$4:$BC$102,ROW()+1,$S$1)*(1-TPCIL!$L$11))-ISGS!J24</f>
        <v>17.572074</v>
      </c>
      <c r="T14" s="105">
        <f>(INDEX(Entitlement!$A$4:$BC$102,ROW()+1,$T$1)*(1-TPCIL!$L$11))-ISGS!K24</f>
        <v>35.325009</v>
      </c>
      <c r="U14" s="105">
        <f>'Individual BD'!L14</f>
        <v>252.05</v>
      </c>
      <c r="V14" s="105">
        <f>(INDEX(Entitlement!$A$4:$BC$102,ROW()+1,$V$1))-ISGS!Q24</f>
        <v>0</v>
      </c>
      <c r="W14" s="105">
        <f>(INDEX(Entitlement!$A$4:$BC$102,ROW()+1,$W$1)*(1-TPCIL!$L$11))-ISGS!T24</f>
        <v>14.711108</v>
      </c>
      <c r="X14" s="105">
        <f>(INDEX(Entitlement!$A$4:$BC$102,ROW()+1,$X$1)*(1-TPCIL!$L$11))-ISGS!I24</f>
        <v>2.072516</v>
      </c>
      <c r="Y14" s="105">
        <f>(INDEX(Entitlement!$A$4:$BC$102,ROW()+1,$Y$1)*(1-TPCIL!$L$11))-ISGS!M24</f>
        <v>7.90215199999999</v>
      </c>
      <c r="Z14" s="105">
        <f>TPCIL!I24-TPCIL!C24</f>
        <v>98.760545</v>
      </c>
      <c r="AA14" s="105">
        <f>TPCIL!P24-TPCIL!D24</f>
        <v>0</v>
      </c>
      <c r="AB14" s="105">
        <f>'Individual BD'!M14</f>
        <v>0</v>
      </c>
      <c r="AC14" s="105">
        <f>'Individual BD'!N14</f>
        <v>156.17</v>
      </c>
      <c r="AD14" s="105">
        <f>(INDEX(Entitlement!$A$4:$BC$102,ROW()+1,$AD$1)*(1-TPCIL!$L$11))-ISGS!S24</f>
        <v>0.00303199999999038</v>
      </c>
      <c r="AE14" s="107"/>
      <c r="AF14" s="99">
        <v>1291.79</v>
      </c>
      <c r="AG14" s="114">
        <f t="shared" si="1"/>
        <v>3.74446300826541</v>
      </c>
    </row>
    <row r="15" s="98" customFormat="1" ht="18" customHeight="1" spans="1:33">
      <c r="A15" s="106" t="s">
        <v>26</v>
      </c>
      <c r="B15" s="107">
        <v>13</v>
      </c>
      <c r="C15" s="105">
        <f>'Individual BD'!C15</f>
        <v>54.21</v>
      </c>
      <c r="D15" s="105">
        <f>'Individual BD'!D15</f>
        <v>171.67</v>
      </c>
      <c r="E15" s="105">
        <f>'Individual BD'!E15</f>
        <v>69.93</v>
      </c>
      <c r="F15" s="105">
        <f>(INDEX(Entitlement!$A$4:$BC$102,ROW()+1,$F$1)*(1-TPCIL!$L$11))-ISGS!G25</f>
        <v>229.674432</v>
      </c>
      <c r="G15" s="105">
        <f>(INDEX(Entitlement!$A$4:$BC$102,ROW()+1,$G$1)*(1-TPCIL!$L$11))-ISGS!N25</f>
        <v>121.433883</v>
      </c>
      <c r="H15" s="105">
        <f>'Individual BD'!F15</f>
        <v>9.90000000000009</v>
      </c>
      <c r="I15" s="105">
        <f>'Individual BD'!G15</f>
        <v>135.87</v>
      </c>
      <c r="J15" s="105">
        <f>'Individual BD'!H15</f>
        <v>196</v>
      </c>
      <c r="K15" s="105">
        <f>'Individual BD'!I15</f>
        <v>611.66</v>
      </c>
      <c r="L15" s="105">
        <f>(INDEX(Entitlement!$A$4:$BC$102,ROW()+1,$L$1)*(1-TPCIL!$L$11))-ISGS!U25</f>
        <v>59.103471</v>
      </c>
      <c r="M15" s="105">
        <f>'Individual BD'!J15</f>
        <v>0</v>
      </c>
      <c r="N15" s="105">
        <f>'Individual BD'!K15</f>
        <v>202.72</v>
      </c>
      <c r="O15" s="105">
        <f>(INDEX(Entitlement!$A$4:$BC$102,ROW()+1,$O$1)*(1-TPCIL!$L$11))-ISGS!O25</f>
        <v>280.896171</v>
      </c>
      <c r="P15" s="105">
        <f>(INDEX(Entitlement!$A$4:$BC$102,ROW()+1,$P$1)*(1-TPCIL!$L$11))-ISGS!P25</f>
        <v>71.021259</v>
      </c>
      <c r="Q15" s="105">
        <f>(INDEX(Entitlement!$A$4:$BC$102,ROW()+1,$Q$1)*(1-TPCIL!$L$11))-ISGS!R25</f>
        <v>198.994695</v>
      </c>
      <c r="R15" s="105">
        <f>(INDEX(Entitlement!$A$4:$BC$102,ROW()+1,$R$1)*(1-TPCIL!$L$11))-ISGS!L25</f>
        <v>6.644262</v>
      </c>
      <c r="S15" s="105">
        <f>(INDEX(Entitlement!$A$4:$BC$102,ROW()+1,$S$1)*(1-TPCIL!$L$11))-ISGS!J25</f>
        <v>17.572074</v>
      </c>
      <c r="T15" s="105">
        <f>(INDEX(Entitlement!$A$4:$BC$102,ROW()+1,$T$1)*(1-TPCIL!$L$11))-ISGS!K25</f>
        <v>35.325009</v>
      </c>
      <c r="U15" s="105">
        <f>'Individual BD'!L15</f>
        <v>253.29</v>
      </c>
      <c r="V15" s="105">
        <f>(INDEX(Entitlement!$A$4:$BC$102,ROW()+1,$V$1))-ISGS!Q25</f>
        <v>0</v>
      </c>
      <c r="W15" s="105">
        <f>(INDEX(Entitlement!$A$4:$BC$102,ROW()+1,$W$1)*(1-TPCIL!$L$11))-ISGS!T25</f>
        <v>15.121108</v>
      </c>
      <c r="X15" s="105">
        <f>(INDEX(Entitlement!$A$4:$BC$102,ROW()+1,$X$1)*(1-TPCIL!$L$11))-ISGS!I25</f>
        <v>2.112516</v>
      </c>
      <c r="Y15" s="105">
        <f>(INDEX(Entitlement!$A$4:$BC$102,ROW()+1,$Y$1)*(1-TPCIL!$L$11))-ISGS!M25</f>
        <v>9.39215199999999</v>
      </c>
      <c r="Z15" s="105">
        <f>TPCIL!I25-TPCIL!C25</f>
        <v>98.760545</v>
      </c>
      <c r="AA15" s="105">
        <f>TPCIL!P25-TPCIL!D25</f>
        <v>0</v>
      </c>
      <c r="AB15" s="105">
        <f>'Individual BD'!M15</f>
        <v>0</v>
      </c>
      <c r="AC15" s="105">
        <f>'Individual BD'!N15</f>
        <v>155.94</v>
      </c>
      <c r="AD15" s="105">
        <f>(INDEX(Entitlement!$A$4:$BC$102,ROW()+1,$AD$1)*(1-TPCIL!$L$11))-ISGS!S25</f>
        <v>0.00303199999999038</v>
      </c>
      <c r="AE15" s="107"/>
      <c r="AF15" s="98">
        <v>1391.5</v>
      </c>
      <c r="AG15" s="114">
        <f t="shared" si="1"/>
        <v>3.74504441069729</v>
      </c>
    </row>
    <row r="16" s="98" customFormat="1" ht="18" customHeight="1" spans="1:33">
      <c r="A16" s="106" t="s">
        <v>27</v>
      </c>
      <c r="B16" s="107">
        <v>14</v>
      </c>
      <c r="C16" s="105">
        <f>'Individual BD'!C16</f>
        <v>57.97</v>
      </c>
      <c r="D16" s="105">
        <f>'Individual BD'!D16</f>
        <v>172.33</v>
      </c>
      <c r="E16" s="105">
        <f>'Individual BD'!E16</f>
        <v>70.37</v>
      </c>
      <c r="F16" s="105">
        <f>(INDEX(Entitlement!$A$4:$BC$102,ROW()+1,$F$1)*(1-TPCIL!$L$11))-ISGS!G26</f>
        <v>229.674432</v>
      </c>
      <c r="G16" s="105">
        <f>(INDEX(Entitlement!$A$4:$BC$102,ROW()+1,$G$1)*(1-TPCIL!$L$11))-ISGS!N26</f>
        <v>121.433883</v>
      </c>
      <c r="H16" s="105">
        <f>'Individual BD'!F16</f>
        <v>9.04000000000008</v>
      </c>
      <c r="I16" s="105">
        <f>'Individual BD'!G16</f>
        <v>131.45</v>
      </c>
      <c r="J16" s="105">
        <f>'Individual BD'!H16</f>
        <v>197.22</v>
      </c>
      <c r="K16" s="105">
        <f>'Individual BD'!I16</f>
        <v>609.16</v>
      </c>
      <c r="L16" s="105">
        <f>(INDEX(Entitlement!$A$4:$BC$102,ROW()+1,$L$1)*(1-TPCIL!$L$11))-ISGS!U26</f>
        <v>59.103471</v>
      </c>
      <c r="M16" s="105">
        <f>'Individual BD'!J16</f>
        <v>0</v>
      </c>
      <c r="N16" s="105">
        <f>'Individual BD'!K16</f>
        <v>203.09</v>
      </c>
      <c r="O16" s="105">
        <f>(INDEX(Entitlement!$A$4:$BC$102,ROW()+1,$O$1)*(1-TPCIL!$L$11))-ISGS!O26</f>
        <v>280.896171</v>
      </c>
      <c r="P16" s="105">
        <f>(INDEX(Entitlement!$A$4:$BC$102,ROW()+1,$P$1)*(1-TPCIL!$L$11))-ISGS!P26</f>
        <v>71.021259</v>
      </c>
      <c r="Q16" s="105">
        <f>(INDEX(Entitlement!$A$4:$BC$102,ROW()+1,$Q$1)*(1-TPCIL!$L$11))-ISGS!R26</f>
        <v>198.994695</v>
      </c>
      <c r="R16" s="105">
        <f>(INDEX(Entitlement!$A$4:$BC$102,ROW()+1,$R$1)*(1-TPCIL!$L$11))-ISGS!L26</f>
        <v>6.644262</v>
      </c>
      <c r="S16" s="105">
        <f>(INDEX(Entitlement!$A$4:$BC$102,ROW()+1,$S$1)*(1-TPCIL!$L$11))-ISGS!J26</f>
        <v>17.572074</v>
      </c>
      <c r="T16" s="105">
        <f>(INDEX(Entitlement!$A$4:$BC$102,ROW()+1,$T$1)*(1-TPCIL!$L$11))-ISGS!K26</f>
        <v>35.325009</v>
      </c>
      <c r="U16" s="105">
        <f>'Individual BD'!L16</f>
        <v>232.6</v>
      </c>
      <c r="V16" s="105">
        <f>(INDEX(Entitlement!$A$4:$BC$102,ROW()+1,$V$1))-ISGS!Q26</f>
        <v>0</v>
      </c>
      <c r="W16" s="105">
        <f>(INDEX(Entitlement!$A$4:$BC$102,ROW()+1,$W$1)*(1-TPCIL!$L$11))-ISGS!T26</f>
        <v>15.121108</v>
      </c>
      <c r="X16" s="105">
        <f>(INDEX(Entitlement!$A$4:$BC$102,ROW()+1,$X$1)*(1-TPCIL!$L$11))-ISGS!I26</f>
        <v>2.112516</v>
      </c>
      <c r="Y16" s="105">
        <f>(INDEX(Entitlement!$A$4:$BC$102,ROW()+1,$Y$1)*(1-TPCIL!$L$11))-ISGS!M26</f>
        <v>9.39215199999999</v>
      </c>
      <c r="Z16" s="105">
        <f>TPCIL!I26-TPCIL!C26</f>
        <v>98.760545</v>
      </c>
      <c r="AA16" s="105">
        <f>TPCIL!P26-TPCIL!D26</f>
        <v>0</v>
      </c>
      <c r="AB16" s="105">
        <f>'Individual BD'!M16</f>
        <v>0</v>
      </c>
      <c r="AC16" s="105">
        <f>'Individual BD'!N16</f>
        <v>153.82</v>
      </c>
      <c r="AD16" s="105">
        <f>(INDEX(Entitlement!$A$4:$BC$102,ROW()+1,$AD$1)*(1-TPCIL!$L$11))-ISGS!S26</f>
        <v>0.00303199999999038</v>
      </c>
      <c r="AE16" s="107"/>
      <c r="AF16" s="98">
        <v>1392.25</v>
      </c>
      <c r="AG16" s="114">
        <f t="shared" si="1"/>
        <v>3.74917088418303</v>
      </c>
    </row>
    <row r="17" s="98" customFormat="1" ht="18" customHeight="1" spans="1:33">
      <c r="A17" s="106" t="s">
        <v>28</v>
      </c>
      <c r="B17" s="107">
        <v>15</v>
      </c>
      <c r="C17" s="105">
        <f>'Individual BD'!C17</f>
        <v>65.07</v>
      </c>
      <c r="D17" s="105">
        <f>'Individual BD'!D17</f>
        <v>172.03</v>
      </c>
      <c r="E17" s="105">
        <f>'Individual BD'!E17</f>
        <v>70</v>
      </c>
      <c r="F17" s="105">
        <f>(INDEX(Entitlement!$A$4:$BC$102,ROW()+1,$F$1)*(1-TPCIL!$L$11))-ISGS!G27</f>
        <v>229.674432</v>
      </c>
      <c r="G17" s="105">
        <f>(INDEX(Entitlement!$A$4:$BC$102,ROW()+1,$G$1)*(1-TPCIL!$L$11))-ISGS!N27</f>
        <v>121.433883</v>
      </c>
      <c r="H17" s="105">
        <f>'Individual BD'!F17</f>
        <v>12.05</v>
      </c>
      <c r="I17" s="105">
        <f>'Individual BD'!G17</f>
        <v>130.76</v>
      </c>
      <c r="J17" s="105">
        <f>'Individual BD'!H17</f>
        <v>197.14</v>
      </c>
      <c r="K17" s="105">
        <f>'Individual BD'!I17</f>
        <v>596.79</v>
      </c>
      <c r="L17" s="105">
        <f>(INDEX(Entitlement!$A$4:$BC$102,ROW()+1,$L$1)*(1-TPCIL!$L$11))-ISGS!U27</f>
        <v>59.103471</v>
      </c>
      <c r="M17" s="105">
        <f>'Individual BD'!J17</f>
        <v>0</v>
      </c>
      <c r="N17" s="105">
        <f>'Individual BD'!K17</f>
        <v>206.93</v>
      </c>
      <c r="O17" s="105">
        <f>(INDEX(Entitlement!$A$4:$BC$102,ROW()+1,$O$1)*(1-TPCIL!$L$11))-ISGS!O27</f>
        <v>280.896171</v>
      </c>
      <c r="P17" s="105">
        <f>(INDEX(Entitlement!$A$4:$BC$102,ROW()+1,$P$1)*(1-TPCIL!$L$11))-ISGS!P27</f>
        <v>71.021259</v>
      </c>
      <c r="Q17" s="105">
        <f>(INDEX(Entitlement!$A$4:$BC$102,ROW()+1,$Q$1)*(1-TPCIL!$L$11))-ISGS!R27</f>
        <v>198.994695</v>
      </c>
      <c r="R17" s="105">
        <f>(INDEX(Entitlement!$A$4:$BC$102,ROW()+1,$R$1)*(1-TPCIL!$L$11))-ISGS!L27</f>
        <v>6.85368</v>
      </c>
      <c r="S17" s="105">
        <f>(INDEX(Entitlement!$A$4:$BC$102,ROW()+1,$S$1)*(1-TPCIL!$L$11))-ISGS!J27</f>
        <v>17.572074</v>
      </c>
      <c r="T17" s="105">
        <f>(INDEX(Entitlement!$A$4:$BC$102,ROW()+1,$T$1)*(1-TPCIL!$L$11))-ISGS!K27</f>
        <v>35.325009</v>
      </c>
      <c r="U17" s="105">
        <f>'Individual BD'!L17</f>
        <v>241.83</v>
      </c>
      <c r="V17" s="105">
        <f>(INDEX(Entitlement!$A$4:$BC$102,ROW()+1,$V$1))-ISGS!Q27</f>
        <v>0</v>
      </c>
      <c r="W17" s="105">
        <f>(INDEX(Entitlement!$A$4:$BC$102,ROW()+1,$W$1)*(1-TPCIL!$L$11))-ISGS!T27</f>
        <v>0.961108000000003</v>
      </c>
      <c r="X17" s="105">
        <f>(INDEX(Entitlement!$A$4:$BC$102,ROW()+1,$X$1)*(1-TPCIL!$L$11))-ISGS!I27</f>
        <v>2.072516</v>
      </c>
      <c r="Y17" s="105">
        <f>(INDEX(Entitlement!$A$4:$BC$102,ROW()+1,$Y$1)*(1-TPCIL!$L$11))-ISGS!M27</f>
        <v>1.97215199999999</v>
      </c>
      <c r="Z17" s="105">
        <f>TPCIL!I27-TPCIL!C27</f>
        <v>98.760545</v>
      </c>
      <c r="AA17" s="105">
        <f>TPCIL!P27-TPCIL!D27</f>
        <v>0</v>
      </c>
      <c r="AB17" s="105">
        <f>'Individual BD'!M17</f>
        <v>0</v>
      </c>
      <c r="AC17" s="105">
        <f>'Individual BD'!N17</f>
        <v>152.96</v>
      </c>
      <c r="AD17" s="105">
        <f>(INDEX(Entitlement!$A$4:$BC$102,ROW()+1,$AD$1)*(1-TPCIL!$L$11))-ISGS!S27</f>
        <v>0.00303199999999038</v>
      </c>
      <c r="AE17" s="107"/>
      <c r="AF17" s="98">
        <v>1492.25</v>
      </c>
      <c r="AG17" s="114">
        <f t="shared" si="1"/>
        <v>3.75419593682444</v>
      </c>
    </row>
    <row r="18" s="98" customFormat="1" ht="18" customHeight="1" spans="1:33">
      <c r="A18" s="106" t="s">
        <v>29</v>
      </c>
      <c r="B18" s="107">
        <v>16</v>
      </c>
      <c r="C18" s="105">
        <f>'Individual BD'!C18</f>
        <v>64</v>
      </c>
      <c r="D18" s="105">
        <f>'Individual BD'!D18</f>
        <v>171.35</v>
      </c>
      <c r="E18" s="105">
        <f>'Individual BD'!E18</f>
        <v>69.53</v>
      </c>
      <c r="F18" s="105">
        <f>(INDEX(Entitlement!$A$4:$BC$102,ROW()+1,$F$1)*(1-TPCIL!$L$11))-ISGS!G28</f>
        <v>229.674432</v>
      </c>
      <c r="G18" s="105">
        <f>(INDEX(Entitlement!$A$4:$BC$102,ROW()+1,$G$1)*(1-TPCIL!$L$11))-ISGS!N28</f>
        <v>121.433883</v>
      </c>
      <c r="H18" s="105">
        <f>'Individual BD'!F18</f>
        <v>22.49</v>
      </c>
      <c r="I18" s="105">
        <f>'Individual BD'!G18</f>
        <v>128.94</v>
      </c>
      <c r="J18" s="105">
        <f>'Individual BD'!H18</f>
        <v>197.41</v>
      </c>
      <c r="K18" s="105">
        <f>'Individual BD'!I18</f>
        <v>594.4</v>
      </c>
      <c r="L18" s="105">
        <f>(INDEX(Entitlement!$A$4:$BC$102,ROW()+1,$L$1)*(1-TPCIL!$L$11))-ISGS!U28</f>
        <v>59.103471</v>
      </c>
      <c r="M18" s="105">
        <f>'Individual BD'!J18</f>
        <v>0</v>
      </c>
      <c r="N18" s="105">
        <f>'Individual BD'!K18</f>
        <v>205.58</v>
      </c>
      <c r="O18" s="105">
        <f>(INDEX(Entitlement!$A$4:$BC$102,ROW()+1,$O$1)*(1-TPCIL!$L$11))-ISGS!O28</f>
        <v>280.896171</v>
      </c>
      <c r="P18" s="105">
        <f>(INDEX(Entitlement!$A$4:$BC$102,ROW()+1,$P$1)*(1-TPCIL!$L$11))-ISGS!P28</f>
        <v>71.021259</v>
      </c>
      <c r="Q18" s="105">
        <f>(INDEX(Entitlement!$A$4:$BC$102,ROW()+1,$Q$1)*(1-TPCIL!$L$11))-ISGS!R28</f>
        <v>198.994695</v>
      </c>
      <c r="R18" s="105">
        <f>(INDEX(Entitlement!$A$4:$BC$102,ROW()+1,$R$1)*(1-TPCIL!$L$11))-ISGS!L28</f>
        <v>6.85368</v>
      </c>
      <c r="S18" s="105">
        <f>(INDEX(Entitlement!$A$4:$BC$102,ROW()+1,$S$1)*(1-TPCIL!$L$11))-ISGS!J28</f>
        <v>17.572074</v>
      </c>
      <c r="T18" s="105">
        <f>(INDEX(Entitlement!$A$4:$BC$102,ROW()+1,$T$1)*(1-TPCIL!$L$11))-ISGS!K28</f>
        <v>35.325009</v>
      </c>
      <c r="U18" s="105">
        <f>'Individual BD'!L18</f>
        <v>219.32</v>
      </c>
      <c r="V18" s="105">
        <f>(INDEX(Entitlement!$A$4:$BC$102,ROW()+1,$V$1))-ISGS!Q28</f>
        <v>0</v>
      </c>
      <c r="W18" s="105">
        <f>(INDEX(Entitlement!$A$4:$BC$102,ROW()+1,$W$1)*(1-TPCIL!$L$11))-ISGS!T28</f>
        <v>0.961108000000003</v>
      </c>
      <c r="X18" s="105">
        <f>(INDEX(Entitlement!$A$4:$BC$102,ROW()+1,$X$1)*(1-TPCIL!$L$11))-ISGS!I28</f>
        <v>2.072516</v>
      </c>
      <c r="Y18" s="105">
        <f>(INDEX(Entitlement!$A$4:$BC$102,ROW()+1,$Y$1)*(1-TPCIL!$L$11))-ISGS!M28</f>
        <v>1.97215199999999</v>
      </c>
      <c r="Z18" s="105">
        <f>TPCIL!I28-TPCIL!C28</f>
        <v>98.760545</v>
      </c>
      <c r="AA18" s="105">
        <f>TPCIL!P28-TPCIL!D28</f>
        <v>0</v>
      </c>
      <c r="AB18" s="105">
        <f>'Individual BD'!M18</f>
        <v>0</v>
      </c>
      <c r="AC18" s="105">
        <f>'Individual BD'!N18</f>
        <v>0</v>
      </c>
      <c r="AD18" s="105">
        <f>(INDEX(Entitlement!$A$4:$BC$102,ROW()+1,$AD$1)*(1-TPCIL!$L$11))-ISGS!S28</f>
        <v>0.00303199999999038</v>
      </c>
      <c r="AE18" s="107"/>
      <c r="AF18" s="98">
        <v>1492.89</v>
      </c>
      <c r="AG18" s="114">
        <f t="shared" si="1"/>
        <v>3.82549633780704</v>
      </c>
    </row>
    <row r="19" s="98" customFormat="1" ht="18" customHeight="1" spans="1:33">
      <c r="A19" s="106" t="s">
        <v>30</v>
      </c>
      <c r="B19" s="107">
        <v>17</v>
      </c>
      <c r="C19" s="105">
        <f>'Individual BD'!C19</f>
        <v>60</v>
      </c>
      <c r="D19" s="105">
        <f>'Individual BD'!D19</f>
        <v>169.9</v>
      </c>
      <c r="E19" s="105">
        <f>'Individual BD'!E19</f>
        <v>70.13</v>
      </c>
      <c r="F19" s="105">
        <f>(INDEX(Entitlement!$A$4:$BC$102,ROW()+1,$F$1)*(1-TPCIL!$L$11))-ISGS!G29</f>
        <v>229.674432</v>
      </c>
      <c r="G19" s="105">
        <f>(INDEX(Entitlement!$A$4:$BC$102,ROW()+1,$G$1)*(1-TPCIL!$L$11))-ISGS!N29</f>
        <v>121.433883</v>
      </c>
      <c r="H19" s="105">
        <f>'Individual BD'!F19</f>
        <v>26.39</v>
      </c>
      <c r="I19" s="105">
        <f>'Individual BD'!G19</f>
        <v>127.22</v>
      </c>
      <c r="J19" s="105">
        <f>'Individual BD'!H19</f>
        <v>197.11</v>
      </c>
      <c r="K19" s="105">
        <f>'Individual BD'!I19</f>
        <v>597.31</v>
      </c>
      <c r="L19" s="105">
        <f>(INDEX(Entitlement!$A$4:$BC$102,ROW()+1,$L$1)*(1-TPCIL!$L$11))-ISGS!U29</f>
        <v>59.103471</v>
      </c>
      <c r="M19" s="105">
        <f>'Individual BD'!J19</f>
        <v>0</v>
      </c>
      <c r="N19" s="105">
        <f>'Individual BD'!K19</f>
        <v>207.98</v>
      </c>
      <c r="O19" s="105">
        <f>(INDEX(Entitlement!$A$4:$BC$102,ROW()+1,$O$1)*(1-TPCIL!$L$11))-ISGS!O29</f>
        <v>280.896171</v>
      </c>
      <c r="P19" s="105">
        <f>(INDEX(Entitlement!$A$4:$BC$102,ROW()+1,$P$1)*(1-TPCIL!$L$11))-ISGS!P29</f>
        <v>71.021259</v>
      </c>
      <c r="Q19" s="105">
        <f>(INDEX(Entitlement!$A$4:$BC$102,ROW()+1,$Q$1)*(1-TPCIL!$L$11))-ISGS!R29</f>
        <v>198.994695</v>
      </c>
      <c r="R19" s="105">
        <f>(INDEX(Entitlement!$A$4:$BC$102,ROW()+1,$R$1)*(1-TPCIL!$L$11))-ISGS!L29</f>
        <v>6.85368</v>
      </c>
      <c r="S19" s="105">
        <f>(INDEX(Entitlement!$A$4:$BC$102,ROW()+1,$S$1)*(1-TPCIL!$L$11))-ISGS!J29</f>
        <v>17.572074</v>
      </c>
      <c r="T19" s="105">
        <f>(INDEX(Entitlement!$A$4:$BC$102,ROW()+1,$T$1)*(1-TPCIL!$L$11))-ISGS!K29</f>
        <v>35.325009</v>
      </c>
      <c r="U19" s="105">
        <f>'Individual BD'!L19</f>
        <v>235.54</v>
      </c>
      <c r="V19" s="105">
        <f>(INDEX(Entitlement!$A$4:$BC$102,ROW()+1,$V$1))-ISGS!Q29</f>
        <v>0</v>
      </c>
      <c r="W19" s="105">
        <f>(INDEX(Entitlement!$A$4:$BC$102,ROW()+1,$W$1)*(1-TPCIL!$L$11))-ISGS!T29</f>
        <v>0.00110800000000211</v>
      </c>
      <c r="X19" s="105">
        <f>(INDEX(Entitlement!$A$4:$BC$102,ROW()+1,$X$1)*(1-TPCIL!$L$11))-ISGS!I29</f>
        <v>0.00251599999999996</v>
      </c>
      <c r="Y19" s="105">
        <f>(INDEX(Entitlement!$A$4:$BC$102,ROW()+1,$Y$1)*(1-TPCIL!$L$11))-ISGS!M29</f>
        <v>0.00215199999999527</v>
      </c>
      <c r="Z19" s="105">
        <f>TPCIL!I29-TPCIL!C29</f>
        <v>0.000544999999988249</v>
      </c>
      <c r="AA19" s="105">
        <f>TPCIL!P29-TPCIL!D29</f>
        <v>0</v>
      </c>
      <c r="AB19" s="105">
        <f>'Individual BD'!M19</f>
        <v>0</v>
      </c>
      <c r="AC19" s="105">
        <f>'Individual BD'!N19</f>
        <v>0</v>
      </c>
      <c r="AD19" s="105">
        <f>(INDEX(Entitlement!$A$4:$BC$102,ROW()+1,$AD$1)*(1-TPCIL!$L$11))-ISGS!S29</f>
        <v>0.00303199999999038</v>
      </c>
      <c r="AE19" s="107"/>
      <c r="AF19" s="98">
        <v>1592.89</v>
      </c>
      <c r="AG19" s="114">
        <f t="shared" si="1"/>
        <v>3.85376966686054</v>
      </c>
    </row>
    <row r="20" s="98" customFormat="1" ht="18" customHeight="1" spans="1:33">
      <c r="A20" s="106" t="s">
        <v>31</v>
      </c>
      <c r="B20" s="107">
        <v>18</v>
      </c>
      <c r="C20" s="105">
        <f>'Individual BD'!C20</f>
        <v>59.8200000000001</v>
      </c>
      <c r="D20" s="105">
        <f>'Individual BD'!D20</f>
        <v>169.81</v>
      </c>
      <c r="E20" s="105">
        <f>'Individual BD'!E20</f>
        <v>68.96</v>
      </c>
      <c r="F20" s="105">
        <f>(INDEX(Entitlement!$A$4:$BC$102,ROW()+1,$F$1)*(1-TPCIL!$L$11))-ISGS!G30</f>
        <v>229.674432</v>
      </c>
      <c r="G20" s="105">
        <f>(INDEX(Entitlement!$A$4:$BC$102,ROW()+1,$G$1)*(1-TPCIL!$L$11))-ISGS!N30</f>
        <v>121.433883</v>
      </c>
      <c r="H20" s="105">
        <f>'Individual BD'!F20</f>
        <v>31.11</v>
      </c>
      <c r="I20" s="105">
        <f>'Individual BD'!G20</f>
        <v>130.93</v>
      </c>
      <c r="J20" s="105">
        <f>'Individual BD'!H20</f>
        <v>194.57</v>
      </c>
      <c r="K20" s="105">
        <f>'Individual BD'!I20</f>
        <v>599.18</v>
      </c>
      <c r="L20" s="105">
        <f>(INDEX(Entitlement!$A$4:$BC$102,ROW()+1,$L$1)*(1-TPCIL!$L$11))-ISGS!U30</f>
        <v>59.103471</v>
      </c>
      <c r="M20" s="105">
        <f>'Individual BD'!J20</f>
        <v>0</v>
      </c>
      <c r="N20" s="105">
        <f>'Individual BD'!K20</f>
        <v>205.27</v>
      </c>
      <c r="O20" s="105">
        <f>(INDEX(Entitlement!$A$4:$BC$102,ROW()+1,$O$1)*(1-TPCIL!$L$11))-ISGS!O30</f>
        <v>280.896171</v>
      </c>
      <c r="P20" s="105">
        <f>(INDEX(Entitlement!$A$4:$BC$102,ROW()+1,$P$1)*(1-TPCIL!$L$11))-ISGS!P30</f>
        <v>71.021259</v>
      </c>
      <c r="Q20" s="105">
        <f>(INDEX(Entitlement!$A$4:$BC$102,ROW()+1,$Q$1)*(1-TPCIL!$L$11))-ISGS!R30</f>
        <v>198.994695</v>
      </c>
      <c r="R20" s="105">
        <f>(INDEX(Entitlement!$A$4:$BC$102,ROW()+1,$R$1)*(1-TPCIL!$L$11))-ISGS!L30</f>
        <v>6.85368</v>
      </c>
      <c r="S20" s="105">
        <f>(INDEX(Entitlement!$A$4:$BC$102,ROW()+1,$S$1)*(1-TPCIL!$L$11))-ISGS!J30</f>
        <v>17.572074</v>
      </c>
      <c r="T20" s="105">
        <f>(INDEX(Entitlement!$A$4:$BC$102,ROW()+1,$T$1)*(1-TPCIL!$L$11))-ISGS!K30</f>
        <v>35.325009</v>
      </c>
      <c r="U20" s="105">
        <f>'Individual BD'!L20</f>
        <v>0</v>
      </c>
      <c r="V20" s="105">
        <f>(INDEX(Entitlement!$A$4:$BC$102,ROW()+1,$V$1))-ISGS!Q30</f>
        <v>0</v>
      </c>
      <c r="W20" s="105">
        <f>(INDEX(Entitlement!$A$4:$BC$102,ROW()+1,$W$1)*(1-TPCIL!$L$11))-ISGS!T30</f>
        <v>0.00110800000000211</v>
      </c>
      <c r="X20" s="105">
        <f>(INDEX(Entitlement!$A$4:$BC$102,ROW()+1,$X$1)*(1-TPCIL!$L$11))-ISGS!I30</f>
        <v>0.00251599999999996</v>
      </c>
      <c r="Y20" s="105">
        <f>(INDEX(Entitlement!$A$4:$BC$102,ROW()+1,$Y$1)*(1-TPCIL!$L$11))-ISGS!M30</f>
        <v>0.00215199999999527</v>
      </c>
      <c r="Z20" s="105">
        <f>TPCIL!I30-TPCIL!C30</f>
        <v>0.000544999999988249</v>
      </c>
      <c r="AA20" s="105">
        <f>TPCIL!P30-TPCIL!D30</f>
        <v>0</v>
      </c>
      <c r="AB20" s="105">
        <f>'Individual BD'!M20</f>
        <v>0</v>
      </c>
      <c r="AC20" s="105">
        <f>'Individual BD'!N20</f>
        <v>0</v>
      </c>
      <c r="AD20" s="105">
        <f>(INDEX(Entitlement!$A$4:$BC$102,ROW()+1,$AD$1)*(1-TPCIL!$L$11))-ISGS!S30</f>
        <v>0.00303199999999038</v>
      </c>
      <c r="AE20" s="107"/>
      <c r="AF20" s="98">
        <v>1592.26</v>
      </c>
      <c r="AG20" s="114">
        <f t="shared" si="1"/>
        <v>3.90394593434174</v>
      </c>
    </row>
    <row r="21" s="98" customFormat="1" ht="18" customHeight="1" spans="1:33">
      <c r="A21" s="106" t="s">
        <v>32</v>
      </c>
      <c r="B21" s="107">
        <v>19</v>
      </c>
      <c r="C21" s="105">
        <f>'Individual BD'!C21</f>
        <v>57.35</v>
      </c>
      <c r="D21" s="105">
        <f>'Individual BD'!D21</f>
        <v>169</v>
      </c>
      <c r="E21" s="105">
        <f>'Individual BD'!E21</f>
        <v>69.19</v>
      </c>
      <c r="F21" s="105">
        <f>(INDEX(Entitlement!$A$4:$BC$102,ROW()+1,$F$1)*(1-TPCIL!$L$11))-ISGS!G31</f>
        <v>229.674432</v>
      </c>
      <c r="G21" s="105">
        <f>(INDEX(Entitlement!$A$4:$BC$102,ROW()+1,$G$1)*(1-TPCIL!$L$11))-ISGS!N31</f>
        <v>121.433883</v>
      </c>
      <c r="H21" s="105">
        <f>'Individual BD'!F21</f>
        <v>30.36</v>
      </c>
      <c r="I21" s="105">
        <f>'Individual BD'!G21</f>
        <v>130.93</v>
      </c>
      <c r="J21" s="105">
        <f>'Individual BD'!H21</f>
        <v>198.48</v>
      </c>
      <c r="K21" s="105">
        <f>'Individual BD'!I21</f>
        <v>598.44</v>
      </c>
      <c r="L21" s="105">
        <f>(INDEX(Entitlement!$A$4:$BC$102,ROW()+1,$L$1)*(1-TPCIL!$L$11))-ISGS!U31</f>
        <v>59.103471</v>
      </c>
      <c r="M21" s="105">
        <f>'Individual BD'!J21</f>
        <v>0</v>
      </c>
      <c r="N21" s="105">
        <f>'Individual BD'!K21</f>
        <v>205.69</v>
      </c>
      <c r="O21" s="105">
        <f>(INDEX(Entitlement!$A$4:$BC$102,ROW()+1,$O$1)*(1-TPCIL!$L$11))-ISGS!O31</f>
        <v>84.986171</v>
      </c>
      <c r="P21" s="105">
        <f>(INDEX(Entitlement!$A$4:$BC$102,ROW()+1,$P$1)*(1-TPCIL!$L$11))-ISGS!P31</f>
        <v>21.201259</v>
      </c>
      <c r="Q21" s="105">
        <f>(INDEX(Entitlement!$A$4:$BC$102,ROW()+1,$Q$1)*(1-TPCIL!$L$11))-ISGS!R31</f>
        <v>130.454695</v>
      </c>
      <c r="R21" s="105">
        <f>(INDEX(Entitlement!$A$4:$BC$102,ROW()+1,$R$1)*(1-TPCIL!$L$11))-ISGS!L31</f>
        <v>0.22368</v>
      </c>
      <c r="S21" s="105">
        <f>(INDEX(Entitlement!$A$4:$BC$102,ROW()+1,$S$1)*(1-TPCIL!$L$11))-ISGS!J31</f>
        <v>-2.747926</v>
      </c>
      <c r="T21" s="105">
        <f>(INDEX(Entitlement!$A$4:$BC$102,ROW()+1,$T$1)*(1-TPCIL!$L$11))-ISGS!K31</f>
        <v>1.575009</v>
      </c>
      <c r="U21" s="105">
        <f>'Individual BD'!L21</f>
        <v>0</v>
      </c>
      <c r="V21" s="105">
        <f>(INDEX(Entitlement!$A$4:$BC$102,ROW()+1,$V$1))-ISGS!Q31</f>
        <v>0</v>
      </c>
      <c r="W21" s="105">
        <f>(INDEX(Entitlement!$A$4:$BC$102,ROW()+1,$W$1)*(1-TPCIL!$L$11))-ISGS!T31</f>
        <v>0.00110800000000211</v>
      </c>
      <c r="X21" s="105">
        <f>(INDEX(Entitlement!$A$4:$BC$102,ROW()+1,$X$1)*(1-TPCIL!$L$11))-ISGS!I31</f>
        <v>0.00251599999999996</v>
      </c>
      <c r="Y21" s="105">
        <f>(INDEX(Entitlement!$A$4:$BC$102,ROW()+1,$Y$1)*(1-TPCIL!$L$11))-ISGS!M31</f>
        <v>0.00215199999999527</v>
      </c>
      <c r="Z21" s="105">
        <f>TPCIL!I31-TPCIL!C31</f>
        <v>0.000544999999988249</v>
      </c>
      <c r="AA21" s="105">
        <f>TPCIL!P31-TPCIL!D31</f>
        <v>0</v>
      </c>
      <c r="AB21" s="105">
        <f>'Individual BD'!M21</f>
        <v>0</v>
      </c>
      <c r="AC21" s="105">
        <f>'Individual BD'!N21</f>
        <v>0</v>
      </c>
      <c r="AD21" s="105">
        <f>(INDEX(Entitlement!$A$4:$BC$102,ROW()+1,$AD$1)*(1-TPCIL!$L$11))-ISGS!S31</f>
        <v>0.00303199999999038</v>
      </c>
      <c r="AE21" s="107"/>
      <c r="AF21" s="98">
        <v>1587.59</v>
      </c>
      <c r="AG21" s="114">
        <f t="shared" si="1"/>
        <v>3.97891665832551</v>
      </c>
    </row>
    <row r="22" s="98" customFormat="1" ht="18" customHeight="1" spans="1:33">
      <c r="A22" s="106" t="s">
        <v>33</v>
      </c>
      <c r="B22" s="107">
        <v>20</v>
      </c>
      <c r="C22" s="105">
        <f>'Individual BD'!C22</f>
        <v>57.7</v>
      </c>
      <c r="D22" s="105">
        <f>'Individual BD'!D22</f>
        <v>169.71</v>
      </c>
      <c r="E22" s="105">
        <f>'Individual BD'!E22</f>
        <v>69.15</v>
      </c>
      <c r="F22" s="105">
        <f>(INDEX(Entitlement!$A$4:$BC$102,ROW()+1,$F$1)*(1-TPCIL!$L$11))-ISGS!G32</f>
        <v>229.674432</v>
      </c>
      <c r="G22" s="105">
        <f>(INDEX(Entitlement!$A$4:$BC$102,ROW()+1,$G$1)*(1-TPCIL!$L$11))-ISGS!N32</f>
        <v>121.433883</v>
      </c>
      <c r="H22" s="105">
        <f>'Individual BD'!F22</f>
        <v>32.95</v>
      </c>
      <c r="I22" s="105">
        <f>'Individual BD'!G22</f>
        <v>130.93</v>
      </c>
      <c r="J22" s="105">
        <f>'Individual BD'!H22</f>
        <v>196.3</v>
      </c>
      <c r="K22" s="105">
        <f>'Individual BD'!I22</f>
        <v>594.83</v>
      </c>
      <c r="L22" s="105">
        <f>(INDEX(Entitlement!$A$4:$BC$102,ROW()+1,$L$1)*(1-TPCIL!$L$11))-ISGS!U32</f>
        <v>59.103471</v>
      </c>
      <c r="M22" s="105">
        <f>'Individual BD'!J22</f>
        <v>0</v>
      </c>
      <c r="N22" s="105">
        <f>'Individual BD'!K22</f>
        <v>202.24</v>
      </c>
      <c r="O22" s="105">
        <f>(INDEX(Entitlement!$A$4:$BC$102,ROW()+1,$O$1)*(1-TPCIL!$L$11))-ISGS!O32</f>
        <v>84.986171</v>
      </c>
      <c r="P22" s="105">
        <f>(INDEX(Entitlement!$A$4:$BC$102,ROW()+1,$P$1)*(1-TPCIL!$L$11))-ISGS!P32</f>
        <v>21.201259</v>
      </c>
      <c r="Q22" s="105">
        <f>(INDEX(Entitlement!$A$4:$BC$102,ROW()+1,$Q$1)*(1-TPCIL!$L$11))-ISGS!R32</f>
        <v>87.194695</v>
      </c>
      <c r="R22" s="105">
        <f>(INDEX(Entitlement!$A$4:$BC$102,ROW()+1,$R$1)*(1-TPCIL!$L$11))-ISGS!L32</f>
        <v>0.22368</v>
      </c>
      <c r="S22" s="105">
        <f>(INDEX(Entitlement!$A$4:$BC$102,ROW()+1,$S$1)*(1-TPCIL!$L$11))-ISGS!J32</f>
        <v>-2.747926</v>
      </c>
      <c r="T22" s="105">
        <f>(INDEX(Entitlement!$A$4:$BC$102,ROW()+1,$T$1)*(1-TPCIL!$L$11))-ISGS!K32</f>
        <v>-0.00499099999999686</v>
      </c>
      <c r="U22" s="105">
        <f>'Individual BD'!L22</f>
        <v>0</v>
      </c>
      <c r="V22" s="105">
        <f>(INDEX(Entitlement!$A$4:$BC$102,ROW()+1,$V$1))-ISGS!Q32</f>
        <v>0</v>
      </c>
      <c r="W22" s="105">
        <f>(INDEX(Entitlement!$A$4:$BC$102,ROW()+1,$W$1)*(1-TPCIL!$L$11))-ISGS!T32</f>
        <v>0.00110800000000211</v>
      </c>
      <c r="X22" s="105">
        <f>(INDEX(Entitlement!$A$4:$BC$102,ROW()+1,$X$1)*(1-TPCIL!$L$11))-ISGS!I32</f>
        <v>0.00251599999999996</v>
      </c>
      <c r="Y22" s="105">
        <f>(INDEX(Entitlement!$A$4:$BC$102,ROW()+1,$Y$1)*(1-TPCIL!$L$11))-ISGS!M32</f>
        <v>0.00215199999999527</v>
      </c>
      <c r="Z22" s="105">
        <f>TPCIL!I32-TPCIL!C32</f>
        <v>0.000544999999988249</v>
      </c>
      <c r="AA22" s="105">
        <f>TPCIL!P32-TPCIL!D32</f>
        <v>0</v>
      </c>
      <c r="AB22" s="105">
        <f>'Individual BD'!M22</f>
        <v>0</v>
      </c>
      <c r="AC22" s="105">
        <f>'Individual BD'!N22</f>
        <v>0</v>
      </c>
      <c r="AD22" s="105">
        <f>(INDEX(Entitlement!$A$4:$BC$102,ROW()+1,$AD$1)*(1-TPCIL!$L$11))-ISGS!S32</f>
        <v>0.00303199999999038</v>
      </c>
      <c r="AE22" s="107"/>
      <c r="AF22" s="98">
        <v>1585.71</v>
      </c>
      <c r="AG22" s="114">
        <f t="shared" si="1"/>
        <v>3.9924825498208</v>
      </c>
    </row>
    <row r="23" s="98" customFormat="1" ht="18" customHeight="1" spans="1:33">
      <c r="A23" s="106" t="s">
        <v>34</v>
      </c>
      <c r="B23" s="107">
        <v>21</v>
      </c>
      <c r="C23" s="105">
        <f>'Individual BD'!C23</f>
        <v>55.91</v>
      </c>
      <c r="D23" s="105">
        <f>'Individual BD'!D23</f>
        <v>167.33</v>
      </c>
      <c r="E23" s="105">
        <f>'Individual BD'!E23</f>
        <v>66.04</v>
      </c>
      <c r="F23" s="105">
        <f>(INDEX(Entitlement!$A$4:$BC$102,ROW()+1,$F$1)*(1-TPCIL!$L$11))-ISGS!G33</f>
        <v>191.664432</v>
      </c>
      <c r="G23" s="105">
        <f>(INDEX(Entitlement!$A$4:$BC$102,ROW()+1,$G$1)*(1-TPCIL!$L$11))-ISGS!N33</f>
        <v>13.553883</v>
      </c>
      <c r="H23" s="105">
        <f>'Individual BD'!F23</f>
        <v>32.48</v>
      </c>
      <c r="I23" s="105">
        <f>'Individual BD'!G23</f>
        <v>128.58</v>
      </c>
      <c r="J23" s="105">
        <f>'Individual BD'!H23</f>
        <v>196.74</v>
      </c>
      <c r="K23" s="105">
        <f>'Individual BD'!I23</f>
        <v>601.84</v>
      </c>
      <c r="L23" s="105">
        <f>(INDEX(Entitlement!$A$4:$BC$102,ROW()+1,$L$1)*(1-TPCIL!$L$11))-ISGS!U33</f>
        <v>2.023471</v>
      </c>
      <c r="M23" s="105">
        <f>'Individual BD'!J23</f>
        <v>0</v>
      </c>
      <c r="N23" s="105">
        <f>'Individual BD'!K23</f>
        <v>198.99</v>
      </c>
      <c r="O23" s="105">
        <f>(INDEX(Entitlement!$A$4:$BC$102,ROW()+1,$O$1)*(1-TPCIL!$L$11))-ISGS!O33</f>
        <v>84.986171</v>
      </c>
      <c r="P23" s="105">
        <f>(INDEX(Entitlement!$A$4:$BC$102,ROW()+1,$P$1)*(1-TPCIL!$L$11))-ISGS!P33</f>
        <v>21.201259</v>
      </c>
      <c r="Q23" s="105">
        <f>(INDEX(Entitlement!$A$4:$BC$102,ROW()+1,$Q$1)*(1-TPCIL!$L$11))-ISGS!R33</f>
        <v>87.194695</v>
      </c>
      <c r="R23" s="105">
        <f>(INDEX(Entitlement!$A$4:$BC$102,ROW()+1,$R$1)*(1-TPCIL!$L$11))-ISGS!L33</f>
        <v>0.10368</v>
      </c>
      <c r="S23" s="105">
        <f>(INDEX(Entitlement!$A$4:$BC$102,ROW()+1,$S$1)*(1-TPCIL!$L$11))-ISGS!J33</f>
        <v>-2.747926</v>
      </c>
      <c r="T23" s="105">
        <f>(INDEX(Entitlement!$A$4:$BC$102,ROW()+1,$T$1)*(1-TPCIL!$L$11))-ISGS!K33</f>
        <v>-0.00499099999999686</v>
      </c>
      <c r="U23" s="105">
        <f>'Individual BD'!L23</f>
        <v>0</v>
      </c>
      <c r="V23" s="105">
        <f>(INDEX(Entitlement!$A$4:$BC$102,ROW()+1,$V$1))-ISGS!Q33</f>
        <v>0</v>
      </c>
      <c r="W23" s="105">
        <f>(INDEX(Entitlement!$A$4:$BC$102,ROW()+1,$W$1)*(1-TPCIL!$L$11))-ISGS!T33</f>
        <v>0.00110800000000211</v>
      </c>
      <c r="X23" s="105">
        <f>(INDEX(Entitlement!$A$4:$BC$102,ROW()+1,$X$1)*(1-TPCIL!$L$11))-ISGS!I33</f>
        <v>0.00251599999999996</v>
      </c>
      <c r="Y23" s="105">
        <f>(INDEX(Entitlement!$A$4:$BC$102,ROW()+1,$Y$1)*(1-TPCIL!$L$11))-ISGS!M33</f>
        <v>0.00215199999999527</v>
      </c>
      <c r="Z23" s="105">
        <f>TPCIL!I33-TPCIL!C33</f>
        <v>0.000544999999988249</v>
      </c>
      <c r="AA23" s="105">
        <f>TPCIL!P33-TPCIL!D33</f>
        <v>0</v>
      </c>
      <c r="AB23" s="105">
        <f>'Individual BD'!M23</f>
        <v>0</v>
      </c>
      <c r="AC23" s="105">
        <f>'Individual BD'!N23</f>
        <v>0</v>
      </c>
      <c r="AD23" s="105">
        <f>(INDEX(Entitlement!$A$4:$BC$102,ROW()+1,$AD$1)*(1-TPCIL!$L$11))-ISGS!S33</f>
        <v>0.00303199999999038</v>
      </c>
      <c r="AE23" s="107"/>
      <c r="AF23" s="98">
        <v>1500</v>
      </c>
      <c r="AG23" s="114">
        <f t="shared" si="1"/>
        <v>3.97107180178497</v>
      </c>
    </row>
    <row r="24" s="98" customFormat="1" ht="18" customHeight="1" spans="1:33">
      <c r="A24" s="106" t="s">
        <v>35</v>
      </c>
      <c r="B24" s="107">
        <v>22</v>
      </c>
      <c r="C24" s="105">
        <f>'Individual BD'!C24</f>
        <v>60.11</v>
      </c>
      <c r="D24" s="105">
        <f>'Individual BD'!D24</f>
        <v>167.6</v>
      </c>
      <c r="E24" s="105">
        <f>'Individual BD'!E24</f>
        <v>69.31</v>
      </c>
      <c r="F24" s="105">
        <f>(INDEX(Entitlement!$A$4:$BC$102,ROW()+1,$F$1)*(1-TPCIL!$L$11))-ISGS!G34</f>
        <v>148.014432</v>
      </c>
      <c r="G24" s="105">
        <f>(INDEX(Entitlement!$A$4:$BC$102,ROW()+1,$G$1)*(1-TPCIL!$L$11))-ISGS!N34</f>
        <v>13.553883</v>
      </c>
      <c r="H24" s="105">
        <f>'Individual BD'!F24</f>
        <v>31.72</v>
      </c>
      <c r="I24" s="105">
        <f>'Individual BD'!G24</f>
        <v>131.13</v>
      </c>
      <c r="J24" s="105">
        <f>'Individual BD'!H24</f>
        <v>195.87</v>
      </c>
      <c r="K24" s="105">
        <f>'Individual BD'!I24</f>
        <v>0</v>
      </c>
      <c r="L24" s="105">
        <f>(INDEX(Entitlement!$A$4:$BC$102,ROW()+1,$L$1)*(1-TPCIL!$L$11))-ISGS!U34</f>
        <v>2.023471</v>
      </c>
      <c r="M24" s="105">
        <f>'Individual BD'!J24</f>
        <v>0</v>
      </c>
      <c r="N24" s="105">
        <f>'Individual BD'!K24</f>
        <v>0</v>
      </c>
      <c r="O24" s="105">
        <f>(INDEX(Entitlement!$A$4:$BC$102,ROW()+1,$O$1)*(1-TPCIL!$L$11))-ISGS!O34</f>
        <v>84.986171</v>
      </c>
      <c r="P24" s="105">
        <f>(INDEX(Entitlement!$A$4:$BC$102,ROW()+1,$P$1)*(1-TPCIL!$L$11))-ISGS!P34</f>
        <v>21.201259</v>
      </c>
      <c r="Q24" s="105">
        <f>(INDEX(Entitlement!$A$4:$BC$102,ROW()+1,$Q$1)*(1-TPCIL!$L$11))-ISGS!R34</f>
        <v>87.194695</v>
      </c>
      <c r="R24" s="105">
        <f>(INDEX(Entitlement!$A$4:$BC$102,ROW()+1,$R$1)*(1-TPCIL!$L$11))-ISGS!L34</f>
        <v>0.22368</v>
      </c>
      <c r="S24" s="105">
        <f>(INDEX(Entitlement!$A$4:$BC$102,ROW()+1,$S$1)*(1-TPCIL!$L$11))-ISGS!J34</f>
        <v>-2.747926</v>
      </c>
      <c r="T24" s="105">
        <f>(INDEX(Entitlement!$A$4:$BC$102,ROW()+1,$T$1)*(1-TPCIL!$L$11))-ISGS!K34</f>
        <v>-0.00499099999999686</v>
      </c>
      <c r="U24" s="105">
        <f>'Individual BD'!L24</f>
        <v>0</v>
      </c>
      <c r="V24" s="105">
        <f>(INDEX(Entitlement!$A$4:$BC$102,ROW()+1,$V$1))-ISGS!Q34</f>
        <v>0</v>
      </c>
      <c r="W24" s="105">
        <f>(INDEX(Entitlement!$A$4:$BC$102,ROW()+1,$W$1)*(1-TPCIL!$L$11))-ISGS!T34</f>
        <v>0.00110800000000211</v>
      </c>
      <c r="X24" s="105">
        <f>(INDEX(Entitlement!$A$4:$BC$102,ROW()+1,$X$1)*(1-TPCIL!$L$11))-ISGS!I34</f>
        <v>0.00251599999999996</v>
      </c>
      <c r="Y24" s="105">
        <f>(INDEX(Entitlement!$A$4:$BC$102,ROW()+1,$Y$1)*(1-TPCIL!$L$11))-ISGS!M34</f>
        <v>0.00215199999999527</v>
      </c>
      <c r="Z24" s="105">
        <f>TPCIL!I34-TPCIL!C34</f>
        <v>0.000544999999988249</v>
      </c>
      <c r="AA24" s="105">
        <f>TPCIL!P34-TPCIL!D34</f>
        <v>0</v>
      </c>
      <c r="AB24" s="105">
        <f>'Individual BD'!M24</f>
        <v>0</v>
      </c>
      <c r="AC24" s="105">
        <f>'Individual BD'!N24</f>
        <v>0</v>
      </c>
      <c r="AD24" s="105">
        <f>(INDEX(Entitlement!$A$4:$BC$102,ROW()+1,$AD$1)*(1-TPCIL!$L$11))-ISGS!S34</f>
        <v>0.00303199999999038</v>
      </c>
      <c r="AE24" s="107"/>
      <c r="AF24" s="98">
        <v>1500</v>
      </c>
      <c r="AG24" s="114">
        <f t="shared" si="1"/>
        <v>4.11869362567811</v>
      </c>
    </row>
    <row r="25" s="98" customFormat="1" ht="18" customHeight="1" spans="1:33">
      <c r="A25" s="106" t="s">
        <v>36</v>
      </c>
      <c r="B25" s="107">
        <v>23</v>
      </c>
      <c r="C25" s="105">
        <f>'Individual BD'!C25</f>
        <v>56.76</v>
      </c>
      <c r="D25" s="105">
        <f>'Individual BD'!D25</f>
        <v>167.63</v>
      </c>
      <c r="E25" s="105">
        <f>'Individual BD'!E25</f>
        <v>67.8</v>
      </c>
      <c r="F25" s="105">
        <f>(INDEX(Entitlement!$A$4:$BC$102,ROW()+1,$F$1)*(1-TPCIL!$L$11))-ISGS!G35</f>
        <v>108.644432</v>
      </c>
      <c r="G25" s="105">
        <f>(INDEX(Entitlement!$A$4:$BC$102,ROW()+1,$G$1)*(1-TPCIL!$L$11))-ISGS!N35</f>
        <v>14.793883</v>
      </c>
      <c r="H25" s="105">
        <f>'Individual BD'!F25</f>
        <v>29.1500000000001</v>
      </c>
      <c r="I25" s="105">
        <f>'Individual BD'!G25</f>
        <v>129.26</v>
      </c>
      <c r="J25" s="105">
        <f>'Individual BD'!H25</f>
        <v>198.36</v>
      </c>
      <c r="K25" s="105">
        <f>'Individual BD'!I25</f>
        <v>0</v>
      </c>
      <c r="L25" s="105">
        <f>(INDEX(Entitlement!$A$4:$BC$102,ROW()+1,$L$1)*(1-TPCIL!$L$11))-ISGS!U35</f>
        <v>2.023471</v>
      </c>
      <c r="M25" s="105">
        <f>'Individual BD'!J25</f>
        <v>0</v>
      </c>
      <c r="N25" s="105">
        <f>'Individual BD'!K25</f>
        <v>0</v>
      </c>
      <c r="O25" s="105">
        <f>(INDEX(Entitlement!$A$4:$BC$102,ROW()+1,$O$1)*(1-TPCIL!$L$11))-ISGS!O35</f>
        <v>-0.00382899999999609</v>
      </c>
      <c r="P25" s="105">
        <f>(INDEX(Entitlement!$A$4:$BC$102,ROW()+1,$P$1)*(1-TPCIL!$L$11))-ISGS!P35</f>
        <v>0.00125900000000456</v>
      </c>
      <c r="Q25" s="105">
        <f>(INDEX(Entitlement!$A$4:$BC$102,ROW()+1,$Q$1)*(1-TPCIL!$L$11))-ISGS!R35</f>
        <v>32.874695</v>
      </c>
      <c r="R25" s="105">
        <f>(INDEX(Entitlement!$A$4:$BC$102,ROW()+1,$R$1)*(1-TPCIL!$L$11))-ISGS!L35</f>
        <v>0.00368000000000013</v>
      </c>
      <c r="S25" s="105">
        <f>(INDEX(Entitlement!$A$4:$BC$102,ROW()+1,$S$1)*(1-TPCIL!$L$11))-ISGS!J35</f>
        <v>-2.747926</v>
      </c>
      <c r="T25" s="105">
        <f>(INDEX(Entitlement!$A$4:$BC$102,ROW()+1,$T$1)*(1-TPCIL!$L$11))-ISGS!K35</f>
        <v>-0.00499099999999686</v>
      </c>
      <c r="U25" s="105">
        <f>'Individual BD'!L25</f>
        <v>0</v>
      </c>
      <c r="V25" s="105">
        <f>(INDEX(Entitlement!$A$4:$BC$102,ROW()+1,$V$1))-ISGS!Q35</f>
        <v>0</v>
      </c>
      <c r="W25" s="105">
        <f>(INDEX(Entitlement!$A$4:$BC$102,ROW()+1,$W$1)*(1-TPCIL!$L$11))-ISGS!T35</f>
        <v>0.00110800000000211</v>
      </c>
      <c r="X25" s="105">
        <f>(INDEX(Entitlement!$A$4:$BC$102,ROW()+1,$X$1)*(1-TPCIL!$L$11))-ISGS!I35</f>
        <v>0.00251599999999996</v>
      </c>
      <c r="Y25" s="105">
        <f>(INDEX(Entitlement!$A$4:$BC$102,ROW()+1,$Y$1)*(1-TPCIL!$L$11))-ISGS!M35</f>
        <v>0.00215199999999527</v>
      </c>
      <c r="Z25" s="105">
        <f>TPCIL!I35-TPCIL!C35</f>
        <v>0.000544999999988249</v>
      </c>
      <c r="AA25" s="105">
        <f>TPCIL!P35-TPCIL!D35</f>
        <v>0</v>
      </c>
      <c r="AB25" s="105">
        <f>'Individual BD'!M25</f>
        <v>0</v>
      </c>
      <c r="AC25" s="105">
        <f>'Individual BD'!N25</f>
        <v>0</v>
      </c>
      <c r="AD25" s="105">
        <f>(INDEX(Entitlement!$A$4:$BC$102,ROW()+1,$AD$1)*(1-TPCIL!$L$11))-ISGS!S35</f>
        <v>0.00303199999999038</v>
      </c>
      <c r="AE25" s="107"/>
      <c r="AF25" s="98">
        <v>1500</v>
      </c>
      <c r="AG25" s="114">
        <f t="shared" si="1"/>
        <v>4.22673494331165</v>
      </c>
    </row>
    <row r="26" s="98" customFormat="1" ht="18" customHeight="1" spans="1:33">
      <c r="A26" s="106" t="s">
        <v>37</v>
      </c>
      <c r="B26" s="107">
        <v>24</v>
      </c>
      <c r="C26" s="105">
        <f>'Individual BD'!C26</f>
        <v>60.66</v>
      </c>
      <c r="D26" s="105">
        <f>'Individual BD'!D26</f>
        <v>169.72</v>
      </c>
      <c r="E26" s="105">
        <f>'Individual BD'!E26</f>
        <v>69.9</v>
      </c>
      <c r="F26" s="105">
        <f>(INDEX(Entitlement!$A$4:$BC$102,ROW()+1,$F$1)*(1-TPCIL!$L$11))-ISGS!G36</f>
        <v>72.594432</v>
      </c>
      <c r="G26" s="105">
        <f>(INDEX(Entitlement!$A$4:$BC$102,ROW()+1,$G$1)*(1-TPCIL!$L$11))-ISGS!N36</f>
        <v>33.243883</v>
      </c>
      <c r="H26" s="105">
        <f>'Individual BD'!F26</f>
        <v>26.4</v>
      </c>
      <c r="I26" s="105">
        <f>'Individual BD'!G26</f>
        <v>131.43</v>
      </c>
      <c r="J26" s="105">
        <f>'Individual BD'!H26</f>
        <v>196.6</v>
      </c>
      <c r="K26" s="105">
        <f>'Individual BD'!I26</f>
        <v>0</v>
      </c>
      <c r="L26" s="105">
        <f>(INDEX(Entitlement!$A$4:$BC$102,ROW()+1,$L$1)*(1-TPCIL!$L$11))-ISGS!U36</f>
        <v>10.343471</v>
      </c>
      <c r="M26" s="105">
        <f>'Individual BD'!J26</f>
        <v>0</v>
      </c>
      <c r="N26" s="105">
        <f>'Individual BD'!K26</f>
        <v>0</v>
      </c>
      <c r="O26" s="105">
        <f>(INDEX(Entitlement!$A$4:$BC$102,ROW()+1,$O$1)*(1-TPCIL!$L$11))-ISGS!O36</f>
        <v>-0.00382899999999609</v>
      </c>
      <c r="P26" s="105">
        <f>(INDEX(Entitlement!$A$4:$BC$102,ROW()+1,$P$1)*(1-TPCIL!$L$11))-ISGS!P36</f>
        <v>0.00125900000000456</v>
      </c>
      <c r="Q26" s="105">
        <f>(INDEX(Entitlement!$A$4:$BC$102,ROW()+1,$Q$1)*(1-TPCIL!$L$11))-ISGS!R36</f>
        <v>0.00469499999999812</v>
      </c>
      <c r="R26" s="105">
        <f>(INDEX(Entitlement!$A$4:$BC$102,ROW()+1,$R$1)*(1-TPCIL!$L$11))-ISGS!L36</f>
        <v>0.00368000000000013</v>
      </c>
      <c r="S26" s="105">
        <f>(INDEX(Entitlement!$A$4:$BC$102,ROW()+1,$S$1)*(1-TPCIL!$L$11))-ISGS!J36</f>
        <v>-2.722178</v>
      </c>
      <c r="T26" s="105">
        <f>(INDEX(Entitlement!$A$4:$BC$102,ROW()+1,$T$1)*(1-TPCIL!$L$11))-ISGS!K36</f>
        <v>0.00151699999999977</v>
      </c>
      <c r="U26" s="105">
        <f>'Individual BD'!L26</f>
        <v>0</v>
      </c>
      <c r="V26" s="105">
        <f>(INDEX(Entitlement!$A$4:$BC$102,ROW()+1,$V$1))-ISGS!Q36</f>
        <v>0</v>
      </c>
      <c r="W26" s="105">
        <f>(INDEX(Entitlement!$A$4:$BC$102,ROW()+1,$W$1)*(1-TPCIL!$L$11))-ISGS!T36</f>
        <v>0.00110800000000211</v>
      </c>
      <c r="X26" s="105">
        <f>(INDEX(Entitlement!$A$4:$BC$102,ROW()+1,$X$1)*(1-TPCIL!$L$11))-ISGS!I36</f>
        <v>0.00251599999999996</v>
      </c>
      <c r="Y26" s="105">
        <f>(INDEX(Entitlement!$A$4:$BC$102,ROW()+1,$Y$1)*(1-TPCIL!$L$11))-ISGS!M36</f>
        <v>0.00215199999999527</v>
      </c>
      <c r="Z26" s="105">
        <f>TPCIL!I36-TPCIL!C36</f>
        <v>0.000544999999988249</v>
      </c>
      <c r="AA26" s="105">
        <f>TPCIL!P36-TPCIL!D36</f>
        <v>0</v>
      </c>
      <c r="AB26" s="105">
        <f>'Individual BD'!M26</f>
        <v>0</v>
      </c>
      <c r="AC26" s="105">
        <f>'Individual BD'!N26</f>
        <v>0</v>
      </c>
      <c r="AD26" s="105">
        <f>(INDEX(Entitlement!$A$4:$BC$102,ROW()+1,$AD$1)*(1-TPCIL!$L$11))-ISGS!S36</f>
        <v>0.00303199999999038</v>
      </c>
      <c r="AE26" s="107"/>
      <c r="AF26" s="98">
        <v>1600</v>
      </c>
      <c r="AG26" s="114">
        <f t="shared" si="1"/>
        <v>4.25044354917621</v>
      </c>
    </row>
    <row r="27" s="98" customFormat="1" ht="18" customHeight="1" spans="1:33">
      <c r="A27" s="106" t="s">
        <v>38</v>
      </c>
      <c r="B27" s="107">
        <v>25</v>
      </c>
      <c r="C27" s="105">
        <f>'Individual BD'!C27</f>
        <v>58.52</v>
      </c>
      <c r="D27" s="105">
        <f>'Individual BD'!D27</f>
        <v>163.5</v>
      </c>
      <c r="E27" s="105">
        <f>'Individual BD'!E27</f>
        <v>66.42</v>
      </c>
      <c r="F27" s="105">
        <f>(INDEX(Entitlement!$A$4:$BC$102,ROW()+1,$F$1)*(1-TPCIL!$L$11))-ISGS!G37</f>
        <v>25.574432</v>
      </c>
      <c r="G27" s="105">
        <f>(INDEX(Entitlement!$A$4:$BC$102,ROW()+1,$G$1)*(1-TPCIL!$L$11))-ISGS!N37</f>
        <v>0.00388299999998765</v>
      </c>
      <c r="H27" s="105">
        <f>'Individual BD'!F27</f>
        <v>20.51</v>
      </c>
      <c r="I27" s="105">
        <f>'Individual BD'!G27</f>
        <v>126.21</v>
      </c>
      <c r="J27" s="105">
        <f>'Individual BD'!H27</f>
        <v>197.83</v>
      </c>
      <c r="K27" s="105">
        <f>'Individual BD'!I27</f>
        <v>0</v>
      </c>
      <c r="L27" s="105">
        <f>(INDEX(Entitlement!$A$4:$BC$102,ROW()+1,$L$1)*(1-TPCIL!$L$11))-ISGS!U37</f>
        <v>0.00347099999999756</v>
      </c>
      <c r="M27" s="105">
        <f>'Individual BD'!J27</f>
        <v>0</v>
      </c>
      <c r="N27" s="105">
        <f>'Individual BD'!K27</f>
        <v>0</v>
      </c>
      <c r="O27" s="105">
        <f>(INDEX(Entitlement!$A$4:$BC$102,ROW()+1,$O$1)*(1-TPCIL!$L$11))-ISGS!O37</f>
        <v>-0.00382899999999609</v>
      </c>
      <c r="P27" s="105">
        <f>(INDEX(Entitlement!$A$4:$BC$102,ROW()+1,$P$1)*(1-TPCIL!$L$11))-ISGS!P37</f>
        <v>0.00125900000000456</v>
      </c>
      <c r="Q27" s="105">
        <f>(INDEX(Entitlement!$A$4:$BC$102,ROW()+1,$Q$1)*(1-TPCIL!$L$11))-ISGS!R37</f>
        <v>0.00469499999999812</v>
      </c>
      <c r="R27" s="105">
        <f>(INDEX(Entitlement!$A$4:$BC$102,ROW()+1,$R$1)*(1-TPCIL!$L$11))-ISGS!L37</f>
        <v>0.00368000000000013</v>
      </c>
      <c r="S27" s="105">
        <f>(INDEX(Entitlement!$A$4:$BC$102,ROW()+1,$S$1)*(1-TPCIL!$L$11))-ISGS!J37</f>
        <v>-0.00217800000000068</v>
      </c>
      <c r="T27" s="105">
        <f>(INDEX(Entitlement!$A$4:$BC$102,ROW()+1,$T$1)*(1-TPCIL!$L$11))-ISGS!K37</f>
        <v>0.00151699999999977</v>
      </c>
      <c r="U27" s="105">
        <f>'Individual BD'!L27</f>
        <v>0</v>
      </c>
      <c r="V27" s="105">
        <f>(INDEX(Entitlement!$A$4:$BC$102,ROW()+1,$V$1))-ISGS!Q37</f>
        <v>0</v>
      </c>
      <c r="W27" s="105">
        <f>(INDEX(Entitlement!$A$4:$BC$102,ROW()+1,$W$1)*(1-TPCIL!$L$11))-ISGS!T37</f>
        <v>0.00110800000000211</v>
      </c>
      <c r="X27" s="105">
        <f>(INDEX(Entitlement!$A$4:$BC$102,ROW()+1,$X$1)*(1-TPCIL!$L$11))-ISGS!I37</f>
        <v>0.00251599999999996</v>
      </c>
      <c r="Y27" s="105">
        <f>(INDEX(Entitlement!$A$4:$BC$102,ROW()+1,$Y$1)*(1-TPCIL!$L$11))-ISGS!M37</f>
        <v>0.00215199999999527</v>
      </c>
      <c r="Z27" s="105">
        <f>TPCIL!I37-TPCIL!C37</f>
        <v>0.000544999999988249</v>
      </c>
      <c r="AA27" s="105">
        <f>TPCIL!P37-TPCIL!D37</f>
        <v>0</v>
      </c>
      <c r="AB27" s="105">
        <f>'Individual BD'!M27</f>
        <v>0</v>
      </c>
      <c r="AC27" s="105">
        <f>'Individual BD'!N27</f>
        <v>0</v>
      </c>
      <c r="AD27" s="105">
        <f>(INDEX(Entitlement!$A$4:$BC$102,ROW()+1,$AD$1)*(1-TPCIL!$L$11))-ISGS!S37</f>
        <v>0.00303199999999038</v>
      </c>
      <c r="AE27" s="107"/>
      <c r="AF27" s="98">
        <v>1500</v>
      </c>
      <c r="AG27" s="114">
        <f t="shared" si="1"/>
        <v>4.23612887659095</v>
      </c>
    </row>
    <row r="28" s="98" customFormat="1" ht="18" customHeight="1" spans="1:33">
      <c r="A28" s="106" t="s">
        <v>39</v>
      </c>
      <c r="B28" s="107">
        <v>26</v>
      </c>
      <c r="C28" s="105">
        <f>'Individual BD'!C28</f>
        <v>65.62</v>
      </c>
      <c r="D28" s="105">
        <f>'Individual BD'!D28</f>
        <v>169.08</v>
      </c>
      <c r="E28" s="105">
        <f>'Individual BD'!E28</f>
        <v>68.82</v>
      </c>
      <c r="F28" s="105">
        <f>(INDEX(Entitlement!$A$4:$BC$102,ROW()+1,$F$1)*(1-TPCIL!$L$11))-ISGS!G38</f>
        <v>0.00443200000000843</v>
      </c>
      <c r="G28" s="105">
        <f>(INDEX(Entitlement!$A$4:$BC$102,ROW()+1,$G$1)*(1-TPCIL!$L$11))-ISGS!N38</f>
        <v>0.00388299999998765</v>
      </c>
      <c r="H28" s="105">
        <f>'Individual BD'!F28</f>
        <v>0</v>
      </c>
      <c r="I28" s="105">
        <f>'Individual BD'!G28</f>
        <v>0</v>
      </c>
      <c r="J28" s="105">
        <f>'Individual BD'!H28</f>
        <v>0</v>
      </c>
      <c r="K28" s="105">
        <f>'Individual BD'!I28</f>
        <v>0</v>
      </c>
      <c r="L28" s="105">
        <f>(INDEX(Entitlement!$A$4:$BC$102,ROW()+1,$L$1)*(1-TPCIL!$L$11))-ISGS!U38</f>
        <v>0.00347099999999756</v>
      </c>
      <c r="M28" s="105">
        <f>'Individual BD'!J28</f>
        <v>0</v>
      </c>
      <c r="N28" s="105">
        <f>'Individual BD'!K28</f>
        <v>0</v>
      </c>
      <c r="O28" s="105">
        <f>(INDEX(Entitlement!$A$4:$BC$102,ROW()+1,$O$1)*(1-TPCIL!$L$11))-ISGS!O38</f>
        <v>-0.00382899999999609</v>
      </c>
      <c r="P28" s="105">
        <f>(INDEX(Entitlement!$A$4:$BC$102,ROW()+1,$P$1)*(1-TPCIL!$L$11))-ISGS!P38</f>
        <v>0.00125900000000456</v>
      </c>
      <c r="Q28" s="105">
        <f>(INDEX(Entitlement!$A$4:$BC$102,ROW()+1,$Q$1)*(1-TPCIL!$L$11))-ISGS!R38</f>
        <v>0.00469499999999812</v>
      </c>
      <c r="R28" s="105">
        <f>(INDEX(Entitlement!$A$4:$BC$102,ROW()+1,$R$1)*(1-TPCIL!$L$11))-ISGS!L38</f>
        <v>0.00368000000000013</v>
      </c>
      <c r="S28" s="105">
        <f>(INDEX(Entitlement!$A$4:$BC$102,ROW()+1,$S$1)*(1-TPCIL!$L$11))-ISGS!J38</f>
        <v>-0.00217800000000068</v>
      </c>
      <c r="T28" s="105">
        <f>(INDEX(Entitlement!$A$4:$BC$102,ROW()+1,$T$1)*(1-TPCIL!$L$11))-ISGS!K38</f>
        <v>0.00151699999999977</v>
      </c>
      <c r="U28" s="105">
        <f>'Individual BD'!L28</f>
        <v>0</v>
      </c>
      <c r="V28" s="105">
        <f>(INDEX(Entitlement!$A$4:$BC$102,ROW()+1,$V$1))-ISGS!Q38</f>
        <v>0</v>
      </c>
      <c r="W28" s="105">
        <f>(INDEX(Entitlement!$A$4:$BC$102,ROW()+1,$W$1)*(1-TPCIL!$L$11))-ISGS!T38</f>
        <v>0.00110800000000211</v>
      </c>
      <c r="X28" s="105">
        <f>(INDEX(Entitlement!$A$4:$BC$102,ROW()+1,$X$1)*(1-TPCIL!$L$11))-ISGS!I38</f>
        <v>0.00251599999999996</v>
      </c>
      <c r="Y28" s="105">
        <f>(INDEX(Entitlement!$A$4:$BC$102,ROW()+1,$Y$1)*(1-TPCIL!$L$11))-ISGS!M38</f>
        <v>0.00215199999999527</v>
      </c>
      <c r="Z28" s="105">
        <f>TPCIL!I38-TPCIL!C38</f>
        <v>0.000544999999988249</v>
      </c>
      <c r="AA28" s="105">
        <f>TPCIL!P38-TPCIL!D38</f>
        <v>0</v>
      </c>
      <c r="AB28" s="105">
        <f>'Individual BD'!M28</f>
        <v>0</v>
      </c>
      <c r="AC28" s="105">
        <f>'Individual BD'!N28</f>
        <v>0</v>
      </c>
      <c r="AD28" s="105">
        <f>(INDEX(Entitlement!$A$4:$BC$102,ROW()+1,$AD$1)*(1-TPCIL!$L$11))-ISGS!S38</f>
        <v>0.00303199999999038</v>
      </c>
      <c r="AE28" s="107"/>
      <c r="AF28" s="98">
        <v>1700</v>
      </c>
      <c r="AG28" s="114">
        <f t="shared" si="1"/>
        <v>4.43491551877445</v>
      </c>
    </row>
    <row r="29" s="98" customFormat="1" ht="18" customHeight="1" spans="1:33">
      <c r="A29" s="106" t="s">
        <v>40</v>
      </c>
      <c r="B29" s="107">
        <v>27</v>
      </c>
      <c r="C29" s="105">
        <f>'Individual BD'!C29</f>
        <v>67</v>
      </c>
      <c r="D29" s="105">
        <f>'Individual BD'!D29</f>
        <v>166.28</v>
      </c>
      <c r="E29" s="105">
        <f>'Individual BD'!E29</f>
        <v>67.78</v>
      </c>
      <c r="F29" s="105">
        <f>(INDEX(Entitlement!$A$4:$BC$102,ROW()+1,$F$1)*(1-TPCIL!$L$11))-ISGS!G39</f>
        <v>0.00443200000000843</v>
      </c>
      <c r="G29" s="105">
        <f>(INDEX(Entitlement!$A$4:$BC$102,ROW()+1,$G$1)*(1-TPCIL!$L$11))-ISGS!N39</f>
        <v>0.00388299999998765</v>
      </c>
      <c r="H29" s="105">
        <f>'Individual BD'!F29</f>
        <v>0</v>
      </c>
      <c r="I29" s="105">
        <f>'Individual BD'!G29</f>
        <v>0</v>
      </c>
      <c r="J29" s="105">
        <f>'Individual BD'!H29</f>
        <v>0</v>
      </c>
      <c r="K29" s="105">
        <f>'Individual BD'!I29</f>
        <v>0</v>
      </c>
      <c r="L29" s="105">
        <f>(INDEX(Entitlement!$A$4:$BC$102,ROW()+1,$L$1)*(1-TPCIL!$L$11))-ISGS!U39</f>
        <v>0.00347099999999756</v>
      </c>
      <c r="M29" s="105">
        <f>'Individual BD'!J29</f>
        <v>0</v>
      </c>
      <c r="N29" s="105">
        <f>'Individual BD'!K29</f>
        <v>0</v>
      </c>
      <c r="O29" s="105">
        <f>(INDEX(Entitlement!$A$4:$BC$102,ROW()+1,$O$1)*(1-TPCIL!$L$11))-ISGS!O39</f>
        <v>-0.00382899999999609</v>
      </c>
      <c r="P29" s="105">
        <f>(INDEX(Entitlement!$A$4:$BC$102,ROW()+1,$P$1)*(1-TPCIL!$L$11))-ISGS!P39</f>
        <v>0.00125900000000456</v>
      </c>
      <c r="Q29" s="105">
        <f>(INDEX(Entitlement!$A$4:$BC$102,ROW()+1,$Q$1)*(1-TPCIL!$L$11))-ISGS!R39</f>
        <v>0.00469499999999812</v>
      </c>
      <c r="R29" s="105">
        <f>(INDEX(Entitlement!$A$4:$BC$102,ROW()+1,$R$1)*(1-TPCIL!$L$11))-ISGS!L39</f>
        <v>0.00368000000000013</v>
      </c>
      <c r="S29" s="105">
        <f>(INDEX(Entitlement!$A$4:$BC$102,ROW()+1,$S$1)*(1-TPCIL!$L$11))-ISGS!J39</f>
        <v>-0.00217800000000068</v>
      </c>
      <c r="T29" s="105">
        <f>(INDEX(Entitlement!$A$4:$BC$102,ROW()+1,$T$1)*(1-TPCIL!$L$11))-ISGS!K39</f>
        <v>0.00151699999999977</v>
      </c>
      <c r="U29" s="105">
        <f>'Individual BD'!L29</f>
        <v>0</v>
      </c>
      <c r="V29" s="105">
        <f>(INDEX(Entitlement!$A$4:$BC$102,ROW()+1,$V$1))-ISGS!Q39</f>
        <v>0</v>
      </c>
      <c r="W29" s="105">
        <f>(INDEX(Entitlement!$A$4:$BC$102,ROW()+1,$W$1)*(1-TPCIL!$L$11))-ISGS!T39</f>
        <v>0.00110800000000211</v>
      </c>
      <c r="X29" s="105">
        <f>(INDEX(Entitlement!$A$4:$BC$102,ROW()+1,$X$1)*(1-TPCIL!$L$11))-ISGS!I39</f>
        <v>0.00251599999999996</v>
      </c>
      <c r="Y29" s="105">
        <f>(INDEX(Entitlement!$A$4:$BC$102,ROW()+1,$Y$1)*(1-TPCIL!$L$11))-ISGS!M39</f>
        <v>0.00215199999999527</v>
      </c>
      <c r="Z29" s="105">
        <f>TPCIL!I39-TPCIL!C39</f>
        <v>0.000544999999988249</v>
      </c>
      <c r="AA29" s="105">
        <f>TPCIL!P39-TPCIL!D39</f>
        <v>0</v>
      </c>
      <c r="AB29" s="105">
        <f>'Individual BD'!M29</f>
        <v>0</v>
      </c>
      <c r="AC29" s="105">
        <f>'Individual BD'!N29</f>
        <v>0</v>
      </c>
      <c r="AD29" s="105">
        <f>(INDEX(Entitlement!$A$4:$BC$102,ROW()+1,$AD$1)*(1-TPCIL!$L$11))-ISGS!S39</f>
        <v>0.00303199999999038</v>
      </c>
      <c r="AE29" s="107"/>
      <c r="AG29" s="114">
        <f t="shared" si="1"/>
        <v>4.43491482852774</v>
      </c>
    </row>
    <row r="30" s="98" customFormat="1" ht="18" customHeight="1" spans="1:33">
      <c r="A30" s="106" t="s">
        <v>41</v>
      </c>
      <c r="B30" s="107">
        <v>28</v>
      </c>
      <c r="C30" s="105">
        <f>'Individual BD'!C30</f>
        <v>67.07</v>
      </c>
      <c r="D30" s="105">
        <f>'Individual BD'!D30</f>
        <v>169.77</v>
      </c>
      <c r="E30" s="105">
        <f>'Individual BD'!E30</f>
        <v>69.28</v>
      </c>
      <c r="F30" s="105">
        <f>(INDEX(Entitlement!$A$4:$BC$102,ROW()+1,$F$1)*(1-TPCIL!$L$11))-ISGS!G40</f>
        <v>0.00443200000000843</v>
      </c>
      <c r="G30" s="105">
        <f>(INDEX(Entitlement!$A$4:$BC$102,ROW()+1,$G$1)*(1-TPCIL!$L$11))-ISGS!N40</f>
        <v>0.00388299999998765</v>
      </c>
      <c r="H30" s="105">
        <f>'Individual BD'!F30</f>
        <v>0</v>
      </c>
      <c r="I30" s="105">
        <f>'Individual BD'!G30</f>
        <v>7.41000000000003</v>
      </c>
      <c r="J30" s="105">
        <f>'Individual BD'!H30</f>
        <v>45.55</v>
      </c>
      <c r="K30" s="105">
        <f>'Individual BD'!I30</f>
        <v>0</v>
      </c>
      <c r="L30" s="105">
        <f>(INDEX(Entitlement!$A$4:$BC$102,ROW()+1,$L$1)*(1-TPCIL!$L$11))-ISGS!U40</f>
        <v>0.00347099999999756</v>
      </c>
      <c r="M30" s="105">
        <f>'Individual BD'!J30</f>
        <v>0</v>
      </c>
      <c r="N30" s="105">
        <f>'Individual BD'!K30</f>
        <v>0</v>
      </c>
      <c r="O30" s="105">
        <f>(INDEX(Entitlement!$A$4:$BC$102,ROW()+1,$O$1)*(1-TPCIL!$L$11))-ISGS!O40</f>
        <v>-0.00382899999999609</v>
      </c>
      <c r="P30" s="105">
        <f>(INDEX(Entitlement!$A$4:$BC$102,ROW()+1,$P$1)*(1-TPCIL!$L$11))-ISGS!P40</f>
        <v>0.00125900000000456</v>
      </c>
      <c r="Q30" s="105">
        <f>(INDEX(Entitlement!$A$4:$BC$102,ROW()+1,$Q$1)*(1-TPCIL!$L$11))-ISGS!R40</f>
        <v>0.00469499999999812</v>
      </c>
      <c r="R30" s="105">
        <f>(INDEX(Entitlement!$A$4:$BC$102,ROW()+1,$R$1)*(1-TPCIL!$L$11))-ISGS!L40</f>
        <v>0.00368000000000013</v>
      </c>
      <c r="S30" s="105">
        <f>(INDEX(Entitlement!$A$4:$BC$102,ROW()+1,$S$1)*(1-TPCIL!$L$11))-ISGS!J40</f>
        <v>-0.00217800000000068</v>
      </c>
      <c r="T30" s="105">
        <f>(INDEX(Entitlement!$A$4:$BC$102,ROW()+1,$T$1)*(1-TPCIL!$L$11))-ISGS!K40</f>
        <v>0.00151699999999977</v>
      </c>
      <c r="U30" s="105">
        <f>'Individual BD'!L30</f>
        <v>0</v>
      </c>
      <c r="V30" s="105">
        <f>(INDEX(Entitlement!$A$4:$BC$102,ROW()+1,$V$1))-ISGS!Q40</f>
        <v>0</v>
      </c>
      <c r="W30" s="105">
        <f>(INDEX(Entitlement!$A$4:$BC$102,ROW()+1,$W$1)*(1-TPCIL!$L$11))-ISGS!T40</f>
        <v>0.00110800000000211</v>
      </c>
      <c r="X30" s="105">
        <f>(INDEX(Entitlement!$A$4:$BC$102,ROW()+1,$X$1)*(1-TPCIL!$L$11))-ISGS!I40</f>
        <v>0.00251599999999996</v>
      </c>
      <c r="Y30" s="105">
        <f>(INDEX(Entitlement!$A$4:$BC$102,ROW()+1,$Y$1)*(1-TPCIL!$L$11))-ISGS!M40</f>
        <v>0.00215199999999527</v>
      </c>
      <c r="Z30" s="105">
        <f>TPCIL!I40-TPCIL!C40</f>
        <v>0.000544999999988249</v>
      </c>
      <c r="AA30" s="105">
        <f>TPCIL!P40-TPCIL!D40</f>
        <v>0</v>
      </c>
      <c r="AB30" s="105">
        <f>'Individual BD'!M30</f>
        <v>0</v>
      </c>
      <c r="AC30" s="105">
        <f>'Individual BD'!N30</f>
        <v>0</v>
      </c>
      <c r="AD30" s="105">
        <f>(INDEX(Entitlement!$A$4:$BC$102,ROW()+1,$AD$1)*(1-TPCIL!$L$11))-ISGS!S40</f>
        <v>0.00303199999999038</v>
      </c>
      <c r="AE30" s="107"/>
      <c r="AG30" s="114">
        <f t="shared" si="1"/>
        <v>4.37172092347657</v>
      </c>
    </row>
    <row r="31" s="98" customFormat="1" ht="18" customHeight="1" spans="1:33">
      <c r="A31" s="106" t="s">
        <v>42</v>
      </c>
      <c r="B31" s="107">
        <v>29</v>
      </c>
      <c r="C31" s="105">
        <f>'Individual BD'!C31</f>
        <v>71.46</v>
      </c>
      <c r="D31" s="105">
        <f>'Individual BD'!D31</f>
        <v>173.03</v>
      </c>
      <c r="E31" s="105">
        <f>'Individual BD'!E31</f>
        <v>71.21</v>
      </c>
      <c r="F31" s="105">
        <f>(INDEX(Entitlement!$A$4:$BC$102,ROW()+1,$F$1)*(1-TPCIL!$L$11))-ISGS!G41</f>
        <v>0.00443200000000843</v>
      </c>
      <c r="G31" s="105">
        <f>(INDEX(Entitlement!$A$4:$BC$102,ROW()+1,$G$1)*(1-TPCIL!$L$11))-ISGS!N41</f>
        <v>0.00388299999998765</v>
      </c>
      <c r="H31" s="105">
        <f>'Individual BD'!F31</f>
        <v>4.8599999999999</v>
      </c>
      <c r="I31" s="105">
        <f>'Individual BD'!G31</f>
        <v>100.49</v>
      </c>
      <c r="J31" s="105">
        <f>'Individual BD'!H31</f>
        <v>85.8</v>
      </c>
      <c r="K31" s="105">
        <f>'Individual BD'!I31</f>
        <v>0</v>
      </c>
      <c r="L31" s="105">
        <f>(INDEX(Entitlement!$A$4:$BC$102,ROW()+1,$L$1)*(1-TPCIL!$L$11))-ISGS!U41</f>
        <v>0.00347099999999756</v>
      </c>
      <c r="M31" s="105">
        <f>'Individual BD'!J31</f>
        <v>0</v>
      </c>
      <c r="N31" s="105">
        <f>'Individual BD'!K31</f>
        <v>0</v>
      </c>
      <c r="O31" s="105">
        <f>(INDEX(Entitlement!$A$4:$BC$102,ROW()+1,$O$1)*(1-TPCIL!$L$11))-ISGS!O41</f>
        <v>-0.00382899999999609</v>
      </c>
      <c r="P31" s="105">
        <f>(INDEX(Entitlement!$A$4:$BC$102,ROW()+1,$P$1)*(1-TPCIL!$L$11))-ISGS!P41</f>
        <v>0.00125900000000456</v>
      </c>
      <c r="Q31" s="105">
        <f>(INDEX(Entitlement!$A$4:$BC$102,ROW()+1,$Q$1)*(1-TPCIL!$L$11))-ISGS!R41</f>
        <v>0.00469499999999812</v>
      </c>
      <c r="R31" s="105">
        <f>(INDEX(Entitlement!$A$4:$BC$102,ROW()+1,$R$1)*(1-TPCIL!$L$11))-ISGS!L41</f>
        <v>0.00368000000000013</v>
      </c>
      <c r="S31" s="105">
        <f>(INDEX(Entitlement!$A$4:$BC$102,ROW()+1,$S$1)*(1-TPCIL!$L$11))-ISGS!J41</f>
        <v>0.00427699999999476</v>
      </c>
      <c r="T31" s="105">
        <f>(INDEX(Entitlement!$A$4:$BC$102,ROW()+1,$T$1)*(1-TPCIL!$L$11))-ISGS!K41</f>
        <v>-0.00230700000000184</v>
      </c>
      <c r="U31" s="105">
        <f>'Individual BD'!L31</f>
        <v>0</v>
      </c>
      <c r="V31" s="105">
        <f>(INDEX(Entitlement!$A$4:$BC$102,ROW()+1,$V$1))-ISGS!Q41</f>
        <v>0</v>
      </c>
      <c r="W31" s="105">
        <f>(INDEX(Entitlement!$A$4:$BC$102,ROW()+1,$W$1)*(1-TPCIL!$L$11))-ISGS!T41</f>
        <v>0.00110800000000211</v>
      </c>
      <c r="X31" s="105">
        <f>(INDEX(Entitlement!$A$4:$BC$102,ROW()+1,$X$1)*(1-TPCIL!$L$11))-ISGS!I41</f>
        <v>0.00251599999999996</v>
      </c>
      <c r="Y31" s="105">
        <f>(INDEX(Entitlement!$A$4:$BC$102,ROW()+1,$Y$1)*(1-TPCIL!$L$11))-ISGS!M41</f>
        <v>0.00215199999999527</v>
      </c>
      <c r="Z31" s="105">
        <f>TPCIL!I41-TPCIL!C41</f>
        <v>0.000544999999988249</v>
      </c>
      <c r="AA31" s="105">
        <f>TPCIL!P41-TPCIL!D41</f>
        <v>0</v>
      </c>
      <c r="AB31" s="105">
        <f>'Individual BD'!M31</f>
        <v>0</v>
      </c>
      <c r="AC31" s="105">
        <f>'Individual BD'!N31</f>
        <v>0</v>
      </c>
      <c r="AD31" s="105">
        <f>(INDEX(Entitlement!$A$4:$BC$102,ROW()+1,$AD$1)*(1-TPCIL!$L$11))-ISGS!S41</f>
        <v>0.00303199999999038</v>
      </c>
      <c r="AE31" s="107"/>
      <c r="AG31" s="114">
        <f t="shared" si="1"/>
        <v>4.29783897946483</v>
      </c>
    </row>
    <row r="32" s="98" customFormat="1" ht="18" customHeight="1" spans="1:33">
      <c r="A32" s="106" t="s">
        <v>43</v>
      </c>
      <c r="B32" s="107">
        <v>30</v>
      </c>
      <c r="C32" s="105">
        <f>'Individual BD'!C32</f>
        <v>72.56</v>
      </c>
      <c r="D32" s="105">
        <f>'Individual BD'!D32</f>
        <v>168.93</v>
      </c>
      <c r="E32" s="105">
        <f>'Individual BD'!E32</f>
        <v>68.14</v>
      </c>
      <c r="F32" s="105">
        <f>(INDEX(Entitlement!$A$4:$BC$102,ROW()+1,$F$1)*(1-TPCIL!$L$11))-ISGS!G42</f>
        <v>0.00443200000000843</v>
      </c>
      <c r="G32" s="105">
        <f>(INDEX(Entitlement!$A$4:$BC$102,ROW()+1,$G$1)*(1-TPCIL!$L$11))-ISGS!N42</f>
        <v>0.00388299999998765</v>
      </c>
      <c r="H32" s="105">
        <f>'Individual BD'!F32</f>
        <v>29.62</v>
      </c>
      <c r="I32" s="105">
        <f>'Individual BD'!G32</f>
        <v>134.02</v>
      </c>
      <c r="J32" s="105">
        <f>'Individual BD'!H32</f>
        <v>149.42</v>
      </c>
      <c r="K32" s="105">
        <f>'Individual BD'!I32</f>
        <v>0</v>
      </c>
      <c r="L32" s="105">
        <f>(INDEX(Entitlement!$A$4:$BC$102,ROW()+1,$L$1)*(1-TPCIL!$L$11))-ISGS!U42</f>
        <v>0.00347099999999756</v>
      </c>
      <c r="M32" s="105">
        <f>'Individual BD'!J32</f>
        <v>0</v>
      </c>
      <c r="N32" s="105">
        <f>'Individual BD'!K32</f>
        <v>0</v>
      </c>
      <c r="O32" s="105">
        <f>(INDEX(Entitlement!$A$4:$BC$102,ROW()+1,$O$1)*(1-TPCIL!$L$11))-ISGS!O42</f>
        <v>-0.00382899999999609</v>
      </c>
      <c r="P32" s="105">
        <f>(INDEX(Entitlement!$A$4:$BC$102,ROW()+1,$P$1)*(1-TPCIL!$L$11))-ISGS!P42</f>
        <v>0.00125900000000456</v>
      </c>
      <c r="Q32" s="105">
        <f>(INDEX(Entitlement!$A$4:$BC$102,ROW()+1,$Q$1)*(1-TPCIL!$L$11))-ISGS!R42</f>
        <v>0.00469499999999812</v>
      </c>
      <c r="R32" s="105">
        <f>(INDEX(Entitlement!$A$4:$BC$102,ROW()+1,$R$1)*(1-TPCIL!$L$11))-ISGS!L42</f>
        <v>0.00368000000000013</v>
      </c>
      <c r="S32" s="105">
        <f>(INDEX(Entitlement!$A$4:$BC$102,ROW()+1,$S$1)*(1-TPCIL!$L$11))-ISGS!J42</f>
        <v>0.00427699999999476</v>
      </c>
      <c r="T32" s="105">
        <f>(INDEX(Entitlement!$A$4:$BC$102,ROW()+1,$T$1)*(1-TPCIL!$L$11))-ISGS!K42</f>
        <v>-0.00230700000000184</v>
      </c>
      <c r="U32" s="105">
        <f>'Individual BD'!L32</f>
        <v>0</v>
      </c>
      <c r="V32" s="105">
        <f>(INDEX(Entitlement!$A$4:$BC$102,ROW()+1,$V$1))-ISGS!Q42</f>
        <v>0</v>
      </c>
      <c r="W32" s="105">
        <f>(INDEX(Entitlement!$A$4:$BC$102,ROW()+1,$W$1)*(1-TPCIL!$L$11))-ISGS!T42</f>
        <v>0.00110800000000211</v>
      </c>
      <c r="X32" s="105">
        <f>(INDEX(Entitlement!$A$4:$BC$102,ROW()+1,$X$1)*(1-TPCIL!$L$11))-ISGS!I42</f>
        <v>0.00251599999999996</v>
      </c>
      <c r="Y32" s="105">
        <f>(INDEX(Entitlement!$A$4:$BC$102,ROW()+1,$Y$1)*(1-TPCIL!$L$11))-ISGS!M42</f>
        <v>0.00215199999999527</v>
      </c>
      <c r="Z32" s="105">
        <f>TPCIL!I42-TPCIL!C42</f>
        <v>0.000544999999988249</v>
      </c>
      <c r="AA32" s="105">
        <f>TPCIL!P42-TPCIL!D42</f>
        <v>0</v>
      </c>
      <c r="AB32" s="105">
        <f>'Individual BD'!M32</f>
        <v>0</v>
      </c>
      <c r="AC32" s="105">
        <f>'Individual BD'!N32</f>
        <v>0</v>
      </c>
      <c r="AD32" s="105">
        <f>(INDEX(Entitlement!$A$4:$BC$102,ROW()+1,$AD$1)*(1-TPCIL!$L$11))-ISGS!S42</f>
        <v>0.00303199999999038</v>
      </c>
      <c r="AE32" s="107"/>
      <c r="AG32" s="114">
        <f t="shared" si="1"/>
        <v>4.25287918018498</v>
      </c>
    </row>
    <row r="33" s="98" customFormat="1" ht="18" customHeight="1" spans="1:33">
      <c r="A33" s="106" t="s">
        <v>44</v>
      </c>
      <c r="B33" s="107">
        <v>31</v>
      </c>
      <c r="C33" s="105">
        <f>'Individual BD'!C33</f>
        <v>75.48</v>
      </c>
      <c r="D33" s="105">
        <f>'Individual BD'!D33</f>
        <v>171.23</v>
      </c>
      <c r="E33" s="105">
        <f>'Individual BD'!E33</f>
        <v>69.81</v>
      </c>
      <c r="F33" s="105">
        <f>(INDEX(Entitlement!$A$4:$BC$102,ROW()+1,$F$1)*(1-TPCIL!$L$11))-ISGS!G43</f>
        <v>0.00443200000000843</v>
      </c>
      <c r="G33" s="105">
        <f>(INDEX(Entitlement!$A$4:$BC$102,ROW()+1,$G$1)*(1-TPCIL!$L$11))-ISGS!N43</f>
        <v>0.00388299999998765</v>
      </c>
      <c r="H33" s="105">
        <f>'Individual BD'!F33</f>
        <v>28.35</v>
      </c>
      <c r="I33" s="105">
        <f>'Individual BD'!G33</f>
        <v>141.1</v>
      </c>
      <c r="J33" s="105">
        <f>'Individual BD'!H33</f>
        <v>199.17</v>
      </c>
      <c r="K33" s="105">
        <f>'Individual BD'!I33</f>
        <v>0</v>
      </c>
      <c r="L33" s="105">
        <f>(INDEX(Entitlement!$A$4:$BC$102,ROW()+1,$L$1)*(1-TPCIL!$L$11))-ISGS!U43</f>
        <v>0.00347099999999756</v>
      </c>
      <c r="M33" s="105">
        <f>'Individual BD'!J33</f>
        <v>0</v>
      </c>
      <c r="N33" s="105">
        <f>'Individual BD'!K33</f>
        <v>0</v>
      </c>
      <c r="O33" s="105">
        <f>(INDEX(Entitlement!$A$4:$BC$102,ROW()+1,$O$1)*(1-TPCIL!$L$11))-ISGS!O43</f>
        <v>-0.00382899999999609</v>
      </c>
      <c r="P33" s="105">
        <f>(INDEX(Entitlement!$A$4:$BC$102,ROW()+1,$P$1)*(1-TPCIL!$L$11))-ISGS!P43</f>
        <v>0.00125900000000456</v>
      </c>
      <c r="Q33" s="105">
        <f>(INDEX(Entitlement!$A$4:$BC$102,ROW()+1,$Q$1)*(1-TPCIL!$L$11))-ISGS!R43</f>
        <v>0.00469499999999812</v>
      </c>
      <c r="R33" s="105">
        <f>(INDEX(Entitlement!$A$4:$BC$102,ROW()+1,$R$1)*(1-TPCIL!$L$11))-ISGS!L43</f>
        <v>0.0378069999999999</v>
      </c>
      <c r="S33" s="105">
        <f>(INDEX(Entitlement!$A$4:$BC$102,ROW()+1,$S$1)*(1-TPCIL!$L$11))-ISGS!J43</f>
        <v>1.630333</v>
      </c>
      <c r="T33" s="105">
        <f>(INDEX(Entitlement!$A$4:$BC$102,ROW()+1,$T$1)*(1-TPCIL!$L$11))-ISGS!K43</f>
        <v>-0.00230700000000184</v>
      </c>
      <c r="U33" s="105">
        <f>'Individual BD'!L33</f>
        <v>0</v>
      </c>
      <c r="V33" s="105">
        <f>(INDEX(Entitlement!$A$4:$BC$102,ROW()+1,$V$1))-ISGS!Q43</f>
        <v>0</v>
      </c>
      <c r="W33" s="105">
        <f>(INDEX(Entitlement!$A$4:$BC$102,ROW()+1,$W$1)*(1-TPCIL!$L$11))-ISGS!T43</f>
        <v>0.00110800000000211</v>
      </c>
      <c r="X33" s="105">
        <f>(INDEX(Entitlement!$A$4:$BC$102,ROW()+1,$X$1)*(1-TPCIL!$L$11))-ISGS!I43</f>
        <v>0.00251599999999996</v>
      </c>
      <c r="Y33" s="105">
        <f>(INDEX(Entitlement!$A$4:$BC$102,ROW()+1,$Y$1)*(1-TPCIL!$L$11))-ISGS!M43</f>
        <v>0.00215199999999527</v>
      </c>
      <c r="Z33" s="105">
        <f>TPCIL!I43-TPCIL!C43</f>
        <v>0.000544999999988249</v>
      </c>
      <c r="AA33" s="105">
        <f>TPCIL!P43-TPCIL!D43</f>
        <v>0</v>
      </c>
      <c r="AB33" s="105">
        <f>'Individual BD'!M33</f>
        <v>0</v>
      </c>
      <c r="AC33" s="105">
        <f>'Individual BD'!N33</f>
        <v>0</v>
      </c>
      <c r="AD33" s="105">
        <f>(INDEX(Entitlement!$A$4:$BC$102,ROW()+1,$AD$1)*(1-TPCIL!$L$11))-ISGS!S43</f>
        <v>0.00303199999999038</v>
      </c>
      <c r="AE33" s="107"/>
      <c r="AG33" s="114">
        <f t="shared" si="1"/>
        <v>4.23203163399177</v>
      </c>
    </row>
    <row r="34" s="98" customFormat="1" ht="18" customHeight="1" spans="1:33">
      <c r="A34" s="106" t="s">
        <v>45</v>
      </c>
      <c r="B34" s="107">
        <v>32</v>
      </c>
      <c r="C34" s="105">
        <f>'Individual BD'!C34</f>
        <v>60.35</v>
      </c>
      <c r="D34" s="105">
        <f>'Individual BD'!D34</f>
        <v>155.44</v>
      </c>
      <c r="E34" s="105">
        <f>'Individual BD'!E34</f>
        <v>65.03</v>
      </c>
      <c r="F34" s="105">
        <f>(INDEX(Entitlement!$A$4:$BC$102,ROW()+1,$F$1)*(1-TPCIL!$L$11))-ISGS!G44</f>
        <v>0.00443200000000843</v>
      </c>
      <c r="G34" s="105">
        <f>(INDEX(Entitlement!$A$4:$BC$102,ROW()+1,$G$1)*(1-TPCIL!$L$11))-ISGS!N44</f>
        <v>0.00388299999998765</v>
      </c>
      <c r="H34" s="105">
        <f>'Individual BD'!F34</f>
        <v>0</v>
      </c>
      <c r="I34" s="105">
        <f>'Individual BD'!G34</f>
        <v>0</v>
      </c>
      <c r="J34" s="105">
        <f>'Individual BD'!H34</f>
        <v>0</v>
      </c>
      <c r="K34" s="105">
        <f>'Individual BD'!I34</f>
        <v>0</v>
      </c>
      <c r="L34" s="105">
        <f>(INDEX(Entitlement!$A$4:$BC$102,ROW()+1,$L$1)*(1-TPCIL!$L$11))-ISGS!U44</f>
        <v>0.00347099999999756</v>
      </c>
      <c r="M34" s="105">
        <f>'Individual BD'!J34</f>
        <v>0</v>
      </c>
      <c r="N34" s="105">
        <f>'Individual BD'!K34</f>
        <v>0</v>
      </c>
      <c r="O34" s="105">
        <f>(INDEX(Entitlement!$A$4:$BC$102,ROW()+1,$O$1)*(1-TPCIL!$L$11))-ISGS!O44</f>
        <v>-0.00382899999999609</v>
      </c>
      <c r="P34" s="105">
        <f>(INDEX(Entitlement!$A$4:$BC$102,ROW()+1,$P$1)*(1-TPCIL!$L$11))-ISGS!P44</f>
        <v>0.00125900000000456</v>
      </c>
      <c r="Q34" s="105">
        <f>(INDEX(Entitlement!$A$4:$BC$102,ROW()+1,$Q$1)*(1-TPCIL!$L$11))-ISGS!R44</f>
        <v>0.00469499999999812</v>
      </c>
      <c r="R34" s="105">
        <f>(INDEX(Entitlement!$A$4:$BC$102,ROW()+1,$R$1)*(1-TPCIL!$L$11))-ISGS!L44</f>
        <v>-0.00219300000000011</v>
      </c>
      <c r="S34" s="105">
        <f>(INDEX(Entitlement!$A$4:$BC$102,ROW()+1,$S$1)*(1-TPCIL!$L$11))-ISGS!J44</f>
        <v>1.542844</v>
      </c>
      <c r="T34" s="105">
        <f>(INDEX(Entitlement!$A$4:$BC$102,ROW()+1,$T$1)*(1-TPCIL!$L$11))-ISGS!K44</f>
        <v>-0.00230700000000184</v>
      </c>
      <c r="U34" s="105">
        <f>'Individual BD'!L34</f>
        <v>0</v>
      </c>
      <c r="V34" s="105">
        <f>(INDEX(Entitlement!$A$4:$BC$102,ROW()+1,$V$1))-ISGS!Q44</f>
        <v>0</v>
      </c>
      <c r="W34" s="105">
        <f>(INDEX(Entitlement!$A$4:$BC$102,ROW()+1,$W$1)*(1-TPCIL!$L$11))-ISGS!T44</f>
        <v>0.00110800000000211</v>
      </c>
      <c r="X34" s="105">
        <f>(INDEX(Entitlement!$A$4:$BC$102,ROW()+1,$X$1)*(1-TPCIL!$L$11))-ISGS!I44</f>
        <v>0.00251599999999996</v>
      </c>
      <c r="Y34" s="105">
        <f>(INDEX(Entitlement!$A$4:$BC$102,ROW()+1,$Y$1)*(1-TPCIL!$L$11))-ISGS!M44</f>
        <v>0.00215199999999527</v>
      </c>
      <c r="Z34" s="105">
        <f>TPCIL!I44-TPCIL!C44</f>
        <v>0.000544999999988249</v>
      </c>
      <c r="AA34" s="105">
        <f>TPCIL!P44-TPCIL!D44</f>
        <v>0</v>
      </c>
      <c r="AB34" s="105">
        <f>'Individual BD'!M34</f>
        <v>0</v>
      </c>
      <c r="AC34" s="105">
        <f>'Individual BD'!N34</f>
        <v>0</v>
      </c>
      <c r="AD34" s="105">
        <f>(INDEX(Entitlement!$A$4:$BC$102,ROW()+1,$AD$1)*(1-TPCIL!$L$11))-ISGS!S44</f>
        <v>0.00303199999999038</v>
      </c>
      <c r="AE34" s="107"/>
      <c r="AG34" s="114">
        <f t="shared" si="1"/>
        <v>4.42909130670082</v>
      </c>
    </row>
    <row r="35" s="98" customFormat="1" ht="18" customHeight="1" spans="1:33">
      <c r="A35" s="106" t="s">
        <v>46</v>
      </c>
      <c r="B35" s="107">
        <v>33</v>
      </c>
      <c r="C35" s="105">
        <f>'Individual BD'!C35</f>
        <v>0</v>
      </c>
      <c r="D35" s="105">
        <f>'Individual BD'!D35</f>
        <v>0</v>
      </c>
      <c r="E35" s="105">
        <f>'Individual BD'!E35</f>
        <v>0</v>
      </c>
      <c r="F35" s="105">
        <f>(INDEX(Entitlement!$A$4:$BC$102,ROW()+1,$F$1)*(1-TPCIL!$L$11))-ISGS!G45</f>
        <v>0.00443200000000843</v>
      </c>
      <c r="G35" s="105">
        <f>(INDEX(Entitlement!$A$4:$BC$102,ROW()+1,$G$1)*(1-TPCIL!$L$11))-ISGS!N45</f>
        <v>0.00388299999998765</v>
      </c>
      <c r="H35" s="105">
        <f>'Individual BD'!F35</f>
        <v>0</v>
      </c>
      <c r="I35" s="105">
        <f>'Individual BD'!G35</f>
        <v>0</v>
      </c>
      <c r="J35" s="105">
        <f>'Individual BD'!H35</f>
        <v>0</v>
      </c>
      <c r="K35" s="105">
        <f>'Individual BD'!I35</f>
        <v>0</v>
      </c>
      <c r="L35" s="105">
        <f>(INDEX(Entitlement!$A$4:$BC$102,ROW()+1,$L$1)*(1-TPCIL!$L$11))-ISGS!U45</f>
        <v>0.00347099999999756</v>
      </c>
      <c r="M35" s="105">
        <f>'Individual BD'!J35</f>
        <v>0</v>
      </c>
      <c r="N35" s="105">
        <f>'Individual BD'!K35</f>
        <v>0</v>
      </c>
      <c r="O35" s="105">
        <f>(INDEX(Entitlement!$A$4:$BC$102,ROW()+1,$O$1)*(1-TPCIL!$L$11))-ISGS!O45</f>
        <v>-0.00382899999999609</v>
      </c>
      <c r="P35" s="105">
        <f>(INDEX(Entitlement!$A$4:$BC$102,ROW()+1,$P$1)*(1-TPCIL!$L$11))-ISGS!P45</f>
        <v>0.00125900000000456</v>
      </c>
      <c r="Q35" s="105">
        <f>(INDEX(Entitlement!$A$4:$BC$102,ROW()+1,$Q$1)*(1-TPCIL!$L$11))-ISGS!R45</f>
        <v>0.00469499999999812</v>
      </c>
      <c r="R35" s="105">
        <f>(INDEX(Entitlement!$A$4:$BC$102,ROW()+1,$R$1)*(1-TPCIL!$L$11))-ISGS!L45</f>
        <v>-0.00219300000000011</v>
      </c>
      <c r="S35" s="105">
        <f>(INDEX(Entitlement!$A$4:$BC$102,ROW()+1,$S$1)*(1-TPCIL!$L$11))-ISGS!J45</f>
        <v>0.689606999999999</v>
      </c>
      <c r="T35" s="105">
        <f>(INDEX(Entitlement!$A$4:$BC$102,ROW()+1,$T$1)*(1-TPCIL!$L$11))-ISGS!K45</f>
        <v>-0.00230700000000184</v>
      </c>
      <c r="U35" s="105">
        <f>'Individual BD'!L35</f>
        <v>0</v>
      </c>
      <c r="V35" s="105">
        <f>(INDEX(Entitlement!$A$4:$BC$102,ROW()+1,$V$1))-ISGS!Q45</f>
        <v>0</v>
      </c>
      <c r="W35" s="105">
        <f>(INDEX(Entitlement!$A$4:$BC$102,ROW()+1,$W$1)*(1-TPCIL!$L$11))-ISGS!T45</f>
        <v>0.00110800000000211</v>
      </c>
      <c r="X35" s="105">
        <f>(INDEX(Entitlement!$A$4:$BC$102,ROW()+1,$X$1)*(1-TPCIL!$L$11))-ISGS!I45</f>
        <v>0.00251599999999996</v>
      </c>
      <c r="Y35" s="105">
        <f>(INDEX(Entitlement!$A$4:$BC$102,ROW()+1,$Y$1)*(1-TPCIL!$L$11))-ISGS!M45</f>
        <v>0.00215199999999527</v>
      </c>
      <c r="Z35" s="105">
        <f>TPCIL!I45-TPCIL!C45</f>
        <v>0.000544999999988249</v>
      </c>
      <c r="AA35" s="105">
        <f>TPCIL!P45-TPCIL!D45</f>
        <v>0</v>
      </c>
      <c r="AB35" s="105">
        <f>'Individual BD'!M35</f>
        <v>0</v>
      </c>
      <c r="AC35" s="105">
        <f>'Individual BD'!N35</f>
        <v>0</v>
      </c>
      <c r="AD35" s="105">
        <f>(INDEX(Entitlement!$A$4:$BC$102,ROW()+1,$AD$1)*(1-TPCIL!$L$11))-ISGS!S45</f>
        <v>0.00303199999999038</v>
      </c>
      <c r="AE35" s="107"/>
      <c r="AG35" s="114">
        <f t="shared" si="1"/>
        <v>3.36840816464821</v>
      </c>
    </row>
    <row r="36" s="98" customFormat="1" ht="18" customHeight="1" spans="1:33">
      <c r="A36" s="106" t="s">
        <v>47</v>
      </c>
      <c r="B36" s="107">
        <v>34</v>
      </c>
      <c r="C36" s="105">
        <f>'Individual BD'!C36</f>
        <v>0</v>
      </c>
      <c r="D36" s="105">
        <f>'Individual BD'!D36</f>
        <v>0</v>
      </c>
      <c r="E36" s="105">
        <f>'Individual BD'!E36</f>
        <v>0</v>
      </c>
      <c r="F36" s="105">
        <f>(INDEX(Entitlement!$A$4:$BC$102,ROW()+1,$F$1)*(1-TPCIL!$L$11))-ISGS!G46</f>
        <v>0.00443200000000843</v>
      </c>
      <c r="G36" s="105">
        <f>(INDEX(Entitlement!$A$4:$BC$102,ROW()+1,$G$1)*(1-TPCIL!$L$11))-ISGS!N46</f>
        <v>0.00388299999998765</v>
      </c>
      <c r="H36" s="105">
        <f>'Individual BD'!F36</f>
        <v>0</v>
      </c>
      <c r="I36" s="105">
        <f>'Individual BD'!G36</f>
        <v>0</v>
      </c>
      <c r="J36" s="105">
        <f>'Individual BD'!H36</f>
        <v>0</v>
      </c>
      <c r="K36" s="105">
        <f>'Individual BD'!I36</f>
        <v>0</v>
      </c>
      <c r="L36" s="105">
        <f>(INDEX(Entitlement!$A$4:$BC$102,ROW()+1,$L$1)*(1-TPCIL!$L$11))-ISGS!U46</f>
        <v>0.00347099999999756</v>
      </c>
      <c r="M36" s="105">
        <f>'Individual BD'!J36</f>
        <v>0</v>
      </c>
      <c r="N36" s="105">
        <f>'Individual BD'!K36</f>
        <v>0</v>
      </c>
      <c r="O36" s="105">
        <f>(INDEX(Entitlement!$A$4:$BC$102,ROW()+1,$O$1)*(1-TPCIL!$L$11))-ISGS!O46</f>
        <v>-0.00382899999999609</v>
      </c>
      <c r="P36" s="105">
        <f>(INDEX(Entitlement!$A$4:$BC$102,ROW()+1,$P$1)*(1-TPCIL!$L$11))-ISGS!P46</f>
        <v>0.00125900000000456</v>
      </c>
      <c r="Q36" s="105">
        <f>(INDEX(Entitlement!$A$4:$BC$102,ROW()+1,$Q$1)*(1-TPCIL!$L$11))-ISGS!R46</f>
        <v>0.00469499999999812</v>
      </c>
      <c r="R36" s="105">
        <f>(INDEX(Entitlement!$A$4:$BC$102,ROW()+1,$R$1)*(1-TPCIL!$L$11))-ISGS!L46</f>
        <v>-0.00219300000000011</v>
      </c>
      <c r="S36" s="105">
        <f>(INDEX(Entitlement!$A$4:$BC$102,ROW()+1,$S$1)*(1-TPCIL!$L$11))-ISGS!J46</f>
        <v>-0.000392999999998978</v>
      </c>
      <c r="T36" s="105">
        <f>(INDEX(Entitlement!$A$4:$BC$102,ROW()+1,$T$1)*(1-TPCIL!$L$11))-ISGS!K46</f>
        <v>-0.00230700000000184</v>
      </c>
      <c r="U36" s="105">
        <f>'Individual BD'!L36</f>
        <v>0</v>
      </c>
      <c r="V36" s="105">
        <f>(INDEX(Entitlement!$A$4:$BC$102,ROW()+1,$V$1))-ISGS!Q46</f>
        <v>0</v>
      </c>
      <c r="W36" s="105">
        <f>(INDEX(Entitlement!$A$4:$BC$102,ROW()+1,$W$1)*(1-TPCIL!$L$11))-ISGS!T46</f>
        <v>0.00110800000000211</v>
      </c>
      <c r="X36" s="105">
        <f>(INDEX(Entitlement!$A$4:$BC$102,ROW()+1,$X$1)*(1-TPCIL!$L$11))-ISGS!I46</f>
        <v>0.00251599999999996</v>
      </c>
      <c r="Y36" s="105">
        <f>(INDEX(Entitlement!$A$4:$BC$102,ROW()+1,$Y$1)*(1-TPCIL!$L$11))-ISGS!M46</f>
        <v>0.00215199999999527</v>
      </c>
      <c r="Z36" s="105">
        <f>TPCIL!I46-TPCIL!C46</f>
        <v>0.000544999999988249</v>
      </c>
      <c r="AA36" s="105">
        <f>TPCIL!P46-TPCIL!D46</f>
        <v>0</v>
      </c>
      <c r="AB36" s="105">
        <f>'Individual BD'!M36</f>
        <v>0</v>
      </c>
      <c r="AC36" s="105">
        <f>'Individual BD'!N36</f>
        <v>0</v>
      </c>
      <c r="AD36" s="105">
        <f>(INDEX(Entitlement!$A$4:$BC$102,ROW()+1,$AD$1)*(1-TPCIL!$L$11))-ISGS!S46</f>
        <v>0.00303199999999038</v>
      </c>
      <c r="AE36" s="107"/>
      <c r="AG36" s="114">
        <f t="shared" si="1"/>
        <v>3.49641609057879</v>
      </c>
    </row>
    <row r="37" s="99" customFormat="1" ht="18" customHeight="1" spans="1:33">
      <c r="A37" s="108" t="s">
        <v>48</v>
      </c>
      <c r="B37" s="107">
        <v>35</v>
      </c>
      <c r="C37" s="105">
        <f>'Individual BD'!C37</f>
        <v>0</v>
      </c>
      <c r="D37" s="105">
        <f>'Individual BD'!D37</f>
        <v>0</v>
      </c>
      <c r="E37" s="105">
        <f>'Individual BD'!E37</f>
        <v>0</v>
      </c>
      <c r="F37" s="105">
        <f>(INDEX(Entitlement!$A$4:$BC$102,ROW()+1,$F$1)*(1-TPCIL!$L$11))-ISGS!G47</f>
        <v>0.00443200000000843</v>
      </c>
      <c r="G37" s="105">
        <f>(INDEX(Entitlement!$A$4:$BC$102,ROW()+1,$G$1)*(1-TPCIL!$L$11))-ISGS!N47</f>
        <v>0.00388299999998765</v>
      </c>
      <c r="H37" s="105">
        <f>'Individual BD'!F37</f>
        <v>0</v>
      </c>
      <c r="I37" s="105">
        <f>'Individual BD'!G37</f>
        <v>0</v>
      </c>
      <c r="J37" s="105">
        <f>'Individual BD'!H37</f>
        <v>0</v>
      </c>
      <c r="K37" s="105">
        <f>'Individual BD'!I37</f>
        <v>0</v>
      </c>
      <c r="L37" s="105">
        <f>(INDEX(Entitlement!$A$4:$BC$102,ROW()+1,$L$1)*(1-TPCIL!$L$11))-ISGS!U47</f>
        <v>0.00347099999999756</v>
      </c>
      <c r="M37" s="105">
        <f>'Individual BD'!J37</f>
        <v>0</v>
      </c>
      <c r="N37" s="105">
        <f>'Individual BD'!K37</f>
        <v>0</v>
      </c>
      <c r="O37" s="105">
        <f>(INDEX(Entitlement!$A$4:$BC$102,ROW()+1,$O$1)*(1-TPCIL!$L$11))-ISGS!O47</f>
        <v>-0.00382899999999609</v>
      </c>
      <c r="P37" s="105">
        <f>(INDEX(Entitlement!$A$4:$BC$102,ROW()+1,$P$1)*(1-TPCIL!$L$11))-ISGS!P47</f>
        <v>0.00125900000000456</v>
      </c>
      <c r="Q37" s="105">
        <f>(INDEX(Entitlement!$A$4:$BC$102,ROW()+1,$Q$1)*(1-TPCIL!$L$11))-ISGS!R47</f>
        <v>0.00469499999999812</v>
      </c>
      <c r="R37" s="105">
        <f>(INDEX(Entitlement!$A$4:$BC$102,ROW()+1,$R$1)*(1-TPCIL!$L$11))-ISGS!L47</f>
        <v>-0.00219300000000011</v>
      </c>
      <c r="S37" s="105">
        <f>(INDEX(Entitlement!$A$4:$BC$102,ROW()+1,$S$1)*(1-TPCIL!$L$11))-ISGS!J47</f>
        <v>0.00748099999999852</v>
      </c>
      <c r="T37" s="105">
        <f>(INDEX(Entitlement!$A$4:$BC$102,ROW()+1,$T$1)*(1-TPCIL!$L$11))-ISGS!K47</f>
        <v>-0.00230700000000184</v>
      </c>
      <c r="U37" s="105">
        <f>'Individual BD'!L37</f>
        <v>0</v>
      </c>
      <c r="V37" s="105">
        <f>(INDEX(Entitlement!$A$4:$BC$102,ROW()+1,$V$1))-ISGS!Q47</f>
        <v>0</v>
      </c>
      <c r="W37" s="105">
        <f>(INDEX(Entitlement!$A$4:$BC$102,ROW()+1,$W$1)*(1-TPCIL!$L$11))-ISGS!T47</f>
        <v>0.00110800000000211</v>
      </c>
      <c r="X37" s="105">
        <f>(INDEX(Entitlement!$A$4:$BC$102,ROW()+1,$X$1)*(1-TPCIL!$L$11))-ISGS!I47</f>
        <v>0.00251599999999996</v>
      </c>
      <c r="Y37" s="105">
        <f>(INDEX(Entitlement!$A$4:$BC$102,ROW()+1,$Y$1)*(1-TPCIL!$L$11))-ISGS!M47</f>
        <v>0.00215199999999527</v>
      </c>
      <c r="Z37" s="105">
        <f>TPCIL!I47-TPCIL!C47</f>
        <v>0.000544999999988249</v>
      </c>
      <c r="AA37" s="105">
        <f>TPCIL!P47-TPCIL!D47</f>
        <v>0</v>
      </c>
      <c r="AB37" s="105">
        <f>'Individual BD'!M37</f>
        <v>0</v>
      </c>
      <c r="AC37" s="105">
        <f>'Individual BD'!N37</f>
        <v>0</v>
      </c>
      <c r="AD37" s="105">
        <f>(INDEX(Entitlement!$A$4:$BC$102,ROW()+1,$AD$1)*(1-TPCIL!$L$11))-ISGS!S47</f>
        <v>0.00303199999999038</v>
      </c>
      <c r="AE37" s="107"/>
      <c r="AG37" s="114">
        <f t="shared" si="1"/>
        <v>3.45698875976461</v>
      </c>
    </row>
    <row r="38" s="99" customFormat="1" ht="18" customHeight="1" spans="1:33">
      <c r="A38" s="108" t="s">
        <v>49</v>
      </c>
      <c r="B38" s="107">
        <v>36</v>
      </c>
      <c r="C38" s="105">
        <f>'Individual BD'!C38</f>
        <v>0</v>
      </c>
      <c r="D38" s="105">
        <f>'Individual BD'!D38</f>
        <v>0</v>
      </c>
      <c r="E38" s="105">
        <f>'Individual BD'!E38</f>
        <v>0</v>
      </c>
      <c r="F38" s="105">
        <f>(INDEX(Entitlement!$A$4:$BC$102,ROW()+1,$F$1)*(1-TPCIL!$L$11))-ISGS!G48</f>
        <v>0.00443200000000843</v>
      </c>
      <c r="G38" s="105">
        <f>(INDEX(Entitlement!$A$4:$BC$102,ROW()+1,$G$1)*(1-TPCIL!$L$11))-ISGS!N48</f>
        <v>0.00388299999998765</v>
      </c>
      <c r="H38" s="105">
        <f>'Individual BD'!F38</f>
        <v>0</v>
      </c>
      <c r="I38" s="105">
        <f>'Individual BD'!G38</f>
        <v>0</v>
      </c>
      <c r="J38" s="105">
        <f>'Individual BD'!H38</f>
        <v>0</v>
      </c>
      <c r="K38" s="105">
        <f>'Individual BD'!I38</f>
        <v>0</v>
      </c>
      <c r="L38" s="105">
        <f>(INDEX(Entitlement!$A$4:$BC$102,ROW()+1,$L$1)*(1-TPCIL!$L$11))-ISGS!U48</f>
        <v>0.00347099999999756</v>
      </c>
      <c r="M38" s="105">
        <f>'Individual BD'!J38</f>
        <v>0</v>
      </c>
      <c r="N38" s="105">
        <f>'Individual BD'!K38</f>
        <v>0</v>
      </c>
      <c r="O38" s="105">
        <f>(INDEX(Entitlement!$A$4:$BC$102,ROW()+1,$O$1)*(1-TPCIL!$L$11))-ISGS!O48</f>
        <v>-0.00382899999999609</v>
      </c>
      <c r="P38" s="105">
        <f>(INDEX(Entitlement!$A$4:$BC$102,ROW()+1,$P$1)*(1-TPCIL!$L$11))-ISGS!P48</f>
        <v>0.00125900000000456</v>
      </c>
      <c r="Q38" s="105">
        <f>(INDEX(Entitlement!$A$4:$BC$102,ROW()+1,$Q$1)*(1-TPCIL!$L$11))-ISGS!R48</f>
        <v>0.00469499999999812</v>
      </c>
      <c r="R38" s="105">
        <f>(INDEX(Entitlement!$A$4:$BC$102,ROW()+1,$R$1)*(1-TPCIL!$L$11))-ISGS!L48</f>
        <v>-0.00219300000000011</v>
      </c>
      <c r="S38" s="105">
        <f>(INDEX(Entitlement!$A$4:$BC$102,ROW()+1,$S$1)*(1-TPCIL!$L$11))-ISGS!J48</f>
        <v>-0.00251900000000305</v>
      </c>
      <c r="T38" s="105">
        <f>(INDEX(Entitlement!$A$4:$BC$102,ROW()+1,$T$1)*(1-TPCIL!$L$11))-ISGS!K48</f>
        <v>-0.00230700000000184</v>
      </c>
      <c r="U38" s="105">
        <f>'Individual BD'!L38</f>
        <v>0</v>
      </c>
      <c r="V38" s="105">
        <f>(INDEX(Entitlement!$A$4:$BC$102,ROW()+1,$V$1))-ISGS!Q48</f>
        <v>0</v>
      </c>
      <c r="W38" s="105">
        <f>(INDEX(Entitlement!$A$4:$BC$102,ROW()+1,$W$1)*(1-TPCIL!$L$11))-ISGS!T48</f>
        <v>0.00110800000000211</v>
      </c>
      <c r="X38" s="105">
        <f>(INDEX(Entitlement!$A$4:$BC$102,ROW()+1,$X$1)*(1-TPCIL!$L$11))-ISGS!I48</f>
        <v>0.00251599999999996</v>
      </c>
      <c r="Y38" s="105">
        <f>(INDEX(Entitlement!$A$4:$BC$102,ROW()+1,$Y$1)*(1-TPCIL!$L$11))-ISGS!M48</f>
        <v>0.00215199999999527</v>
      </c>
      <c r="Z38" s="105">
        <f>TPCIL!I48-TPCIL!C48</f>
        <v>0.000544999999988249</v>
      </c>
      <c r="AA38" s="105">
        <f>TPCIL!P48-TPCIL!D48</f>
        <v>0</v>
      </c>
      <c r="AB38" s="105">
        <f>'Individual BD'!M38</f>
        <v>0</v>
      </c>
      <c r="AC38" s="105">
        <f>'Individual BD'!N38</f>
        <v>0</v>
      </c>
      <c r="AD38" s="105">
        <f>(INDEX(Entitlement!$A$4:$BC$102,ROW()+1,$AD$1)*(1-TPCIL!$L$11))-ISGS!S48</f>
        <v>0.00303199999999038</v>
      </c>
      <c r="AE38" s="107"/>
      <c r="AG38" s="114">
        <f t="shared" si="1"/>
        <v>3.51361465066321</v>
      </c>
    </row>
    <row r="39" s="98" customFormat="1" ht="18" customHeight="1" spans="1:33">
      <c r="A39" s="106" t="s">
        <v>50</v>
      </c>
      <c r="B39" s="107">
        <v>37</v>
      </c>
      <c r="C39" s="105">
        <f>'Individual BD'!C39</f>
        <v>0</v>
      </c>
      <c r="D39" s="105">
        <f>'Individual BD'!D39</f>
        <v>0</v>
      </c>
      <c r="E39" s="105">
        <f>'Individual BD'!E39</f>
        <v>0</v>
      </c>
      <c r="F39" s="105">
        <f>(INDEX(Entitlement!$A$4:$BC$102,ROW()+1,$F$1)*(1-TPCIL!$L$11))-ISGS!G49</f>
        <v>0.00443200000000843</v>
      </c>
      <c r="G39" s="105">
        <f>(INDEX(Entitlement!$A$4:$BC$102,ROW()+1,$G$1)*(1-TPCIL!$L$11))-ISGS!N49</f>
        <v>0.00388299999998765</v>
      </c>
      <c r="H39" s="105">
        <f>'Individual BD'!F39</f>
        <v>0</v>
      </c>
      <c r="I39" s="105">
        <f>'Individual BD'!G39</f>
        <v>0</v>
      </c>
      <c r="J39" s="105">
        <f>'Individual BD'!H39</f>
        <v>0</v>
      </c>
      <c r="K39" s="105">
        <f>'Individual BD'!I39</f>
        <v>0</v>
      </c>
      <c r="L39" s="105">
        <f>(INDEX(Entitlement!$A$4:$BC$102,ROW()+1,$L$1)*(1-TPCIL!$L$11))-ISGS!U49</f>
        <v>0.00347099999999756</v>
      </c>
      <c r="M39" s="105">
        <f>'Individual BD'!J39</f>
        <v>0</v>
      </c>
      <c r="N39" s="105">
        <f>'Individual BD'!K39</f>
        <v>0</v>
      </c>
      <c r="O39" s="105">
        <f>(INDEX(Entitlement!$A$4:$BC$102,ROW()+1,$O$1)*(1-TPCIL!$L$11))-ISGS!O49</f>
        <v>-0.00382899999999609</v>
      </c>
      <c r="P39" s="105">
        <f>(INDEX(Entitlement!$A$4:$BC$102,ROW()+1,$P$1)*(1-TPCIL!$L$11))-ISGS!P49</f>
        <v>0.00125900000000456</v>
      </c>
      <c r="Q39" s="105">
        <f>(INDEX(Entitlement!$A$4:$BC$102,ROW()+1,$Q$1)*(1-TPCIL!$L$11))-ISGS!R49</f>
        <v>0.00469499999999812</v>
      </c>
      <c r="R39" s="105">
        <f>(INDEX(Entitlement!$A$4:$BC$102,ROW()+1,$R$1)*(1-TPCIL!$L$11))-ISGS!L49</f>
        <v>0.0419339999999995</v>
      </c>
      <c r="S39" s="105">
        <f>(INDEX(Entitlement!$A$4:$BC$102,ROW()+1,$S$1)*(1-TPCIL!$L$11))-ISGS!J49</f>
        <v>-0.00251900000000305</v>
      </c>
      <c r="T39" s="105">
        <f>(INDEX(Entitlement!$A$4:$BC$102,ROW()+1,$T$1)*(1-TPCIL!$L$11))-ISGS!K49</f>
        <v>-0.00230700000000184</v>
      </c>
      <c r="U39" s="105">
        <f>'Individual BD'!L39</f>
        <v>0</v>
      </c>
      <c r="V39" s="105">
        <f>(INDEX(Entitlement!$A$4:$BC$102,ROW()+1,$V$1))-ISGS!Q49</f>
        <v>0</v>
      </c>
      <c r="W39" s="105">
        <f>(INDEX(Entitlement!$A$4:$BC$102,ROW()+1,$W$1)*(1-TPCIL!$L$11))-ISGS!T49</f>
        <v>0.00110800000000211</v>
      </c>
      <c r="X39" s="105">
        <f>(INDEX(Entitlement!$A$4:$BC$102,ROW()+1,$X$1)*(1-TPCIL!$L$11))-ISGS!I49</f>
        <v>0.00251599999999996</v>
      </c>
      <c r="Y39" s="105">
        <f>(INDEX(Entitlement!$A$4:$BC$102,ROW()+1,$Y$1)*(1-TPCIL!$L$11))-ISGS!M49</f>
        <v>0.00215199999999527</v>
      </c>
      <c r="Z39" s="105">
        <f>TPCIL!I49-TPCIL!C49</f>
        <v>0.000544999999988249</v>
      </c>
      <c r="AA39" s="105">
        <f>TPCIL!P49-TPCIL!D49</f>
        <v>0</v>
      </c>
      <c r="AB39" s="105">
        <f>'Individual BD'!M39</f>
        <v>0</v>
      </c>
      <c r="AC39" s="105">
        <f>'Individual BD'!N39</f>
        <v>0</v>
      </c>
      <c r="AD39" s="105">
        <f>(INDEX(Entitlement!$A$4:$BC$102,ROW()+1,$AD$1)*(1-TPCIL!$L$11))-ISGS!S49</f>
        <v>0.00303199999999038</v>
      </c>
      <c r="AE39" s="107"/>
      <c r="AG39" s="114">
        <f t="shared" si="1"/>
        <v>3.41302958325086</v>
      </c>
    </row>
    <row r="40" s="98" customFormat="1" ht="18" customHeight="1" spans="1:33">
      <c r="A40" s="106" t="s">
        <v>51</v>
      </c>
      <c r="B40" s="107">
        <v>38</v>
      </c>
      <c r="C40" s="105">
        <f>'Individual BD'!C40</f>
        <v>0</v>
      </c>
      <c r="D40" s="105">
        <f>'Individual BD'!D40</f>
        <v>0</v>
      </c>
      <c r="E40" s="105">
        <f>'Individual BD'!E40</f>
        <v>0</v>
      </c>
      <c r="F40" s="105">
        <f>(INDEX(Entitlement!$A$4:$BC$102,ROW()+1,$F$1)*(1-TPCIL!$L$11))-ISGS!G50</f>
        <v>0.00443200000000843</v>
      </c>
      <c r="G40" s="105">
        <f>(INDEX(Entitlement!$A$4:$BC$102,ROW()+1,$G$1)*(1-TPCIL!$L$11))-ISGS!N50</f>
        <v>0.00388299999998765</v>
      </c>
      <c r="H40" s="105">
        <f>'Individual BD'!F40</f>
        <v>0</v>
      </c>
      <c r="I40" s="105">
        <f>'Individual BD'!G40</f>
        <v>0</v>
      </c>
      <c r="J40" s="105">
        <f>'Individual BD'!H40</f>
        <v>0</v>
      </c>
      <c r="K40" s="105">
        <f>'Individual BD'!I40</f>
        <v>0</v>
      </c>
      <c r="L40" s="105">
        <f>(INDEX(Entitlement!$A$4:$BC$102,ROW()+1,$L$1)*(1-TPCIL!$L$11))-ISGS!U50</f>
        <v>0.00347099999999756</v>
      </c>
      <c r="M40" s="105">
        <f>'Individual BD'!J40</f>
        <v>0</v>
      </c>
      <c r="N40" s="105">
        <f>'Individual BD'!K40</f>
        <v>0</v>
      </c>
      <c r="O40" s="105">
        <f>(INDEX(Entitlement!$A$4:$BC$102,ROW()+1,$O$1)*(1-TPCIL!$L$11))-ISGS!O50</f>
        <v>-0.00382899999999609</v>
      </c>
      <c r="P40" s="105">
        <f>(INDEX(Entitlement!$A$4:$BC$102,ROW()+1,$P$1)*(1-TPCIL!$L$11))-ISGS!P50</f>
        <v>0.00125900000000456</v>
      </c>
      <c r="Q40" s="105">
        <f>(INDEX(Entitlement!$A$4:$BC$102,ROW()+1,$Q$1)*(1-TPCIL!$L$11))-ISGS!R50</f>
        <v>0.00469499999999812</v>
      </c>
      <c r="R40" s="105">
        <f>(INDEX(Entitlement!$A$4:$BC$102,ROW()+1,$R$1)*(1-TPCIL!$L$11))-ISGS!L50</f>
        <v>0.00193399999999944</v>
      </c>
      <c r="S40" s="105">
        <f>(INDEX(Entitlement!$A$4:$BC$102,ROW()+1,$S$1)*(1-TPCIL!$L$11))-ISGS!J50</f>
        <v>-0.00251900000000305</v>
      </c>
      <c r="T40" s="105">
        <f>(INDEX(Entitlement!$A$4:$BC$102,ROW()+1,$T$1)*(1-TPCIL!$L$11))-ISGS!K50</f>
        <v>-0.00230700000000184</v>
      </c>
      <c r="U40" s="105">
        <f>'Individual BD'!L40</f>
        <v>0</v>
      </c>
      <c r="V40" s="105">
        <f>(INDEX(Entitlement!$A$4:$BC$102,ROW()+1,$V$1))-ISGS!Q50</f>
        <v>0</v>
      </c>
      <c r="W40" s="105">
        <f>(INDEX(Entitlement!$A$4:$BC$102,ROW()+1,$W$1)*(1-TPCIL!$L$11))-ISGS!T50</f>
        <v>0.00110800000000211</v>
      </c>
      <c r="X40" s="105">
        <f>(INDEX(Entitlement!$A$4:$BC$102,ROW()+1,$X$1)*(1-TPCIL!$L$11))-ISGS!I50</f>
        <v>0.00251599999999996</v>
      </c>
      <c r="Y40" s="105">
        <f>(INDEX(Entitlement!$A$4:$BC$102,ROW()+1,$Y$1)*(1-TPCIL!$L$11))-ISGS!M50</f>
        <v>0.00215199999999527</v>
      </c>
      <c r="Z40" s="105">
        <f>TPCIL!I50-TPCIL!C50</f>
        <v>0.000544999999988249</v>
      </c>
      <c r="AA40" s="105">
        <f>TPCIL!P50-TPCIL!D50</f>
        <v>0</v>
      </c>
      <c r="AB40" s="105">
        <f>'Individual BD'!M40</f>
        <v>0</v>
      </c>
      <c r="AC40" s="105">
        <f>'Individual BD'!N40</f>
        <v>0</v>
      </c>
      <c r="AD40" s="105">
        <f>(INDEX(Entitlement!$A$4:$BC$102,ROW()+1,$AD$1)*(1-TPCIL!$L$11))-ISGS!S50</f>
        <v>0.00303199999999038</v>
      </c>
      <c r="AE40" s="107"/>
      <c r="AG40" s="114">
        <f t="shared" si="1"/>
        <v>3.48573640290709</v>
      </c>
    </row>
    <row r="41" s="98" customFormat="1" ht="18" customHeight="1" spans="1:33">
      <c r="A41" s="106" t="s">
        <v>52</v>
      </c>
      <c r="B41" s="107">
        <v>39</v>
      </c>
      <c r="C41" s="105">
        <f>'Individual BD'!C41</f>
        <v>9.55000000000001</v>
      </c>
      <c r="D41" s="105">
        <f>'Individual BD'!D41</f>
        <v>40.35</v>
      </c>
      <c r="E41" s="105">
        <f>'Individual BD'!E41</f>
        <v>13.42</v>
      </c>
      <c r="F41" s="105">
        <f>(INDEX(Entitlement!$A$4:$BC$102,ROW()+1,$F$1)*(1-TPCIL!$L$11))-ISGS!G51</f>
        <v>0.00443200000000843</v>
      </c>
      <c r="G41" s="105">
        <f>(INDEX(Entitlement!$A$4:$BC$102,ROW()+1,$G$1)*(1-TPCIL!$L$11))-ISGS!N51</f>
        <v>0.00388299999998765</v>
      </c>
      <c r="H41" s="105">
        <f>'Individual BD'!F41</f>
        <v>0</v>
      </c>
      <c r="I41" s="105">
        <f>'Individual BD'!G41</f>
        <v>15.28</v>
      </c>
      <c r="J41" s="105">
        <f>'Individual BD'!H41</f>
        <v>0</v>
      </c>
      <c r="K41" s="105">
        <f>'Individual BD'!I41</f>
        <v>0</v>
      </c>
      <c r="L41" s="105">
        <f>(INDEX(Entitlement!$A$4:$BC$102,ROW()+1,$L$1)*(1-TPCIL!$L$11))-ISGS!U51</f>
        <v>0.00347099999999756</v>
      </c>
      <c r="M41" s="105">
        <f>'Individual BD'!J41</f>
        <v>0</v>
      </c>
      <c r="N41" s="105">
        <f>'Individual BD'!K41</f>
        <v>0</v>
      </c>
      <c r="O41" s="105">
        <f>(INDEX(Entitlement!$A$4:$BC$102,ROW()+1,$O$1)*(1-TPCIL!$L$11))-ISGS!O51</f>
        <v>-0.00382899999999609</v>
      </c>
      <c r="P41" s="105">
        <f>(INDEX(Entitlement!$A$4:$BC$102,ROW()+1,$P$1)*(1-TPCIL!$L$11))-ISGS!P51</f>
        <v>0.00125900000000456</v>
      </c>
      <c r="Q41" s="105">
        <f>(INDEX(Entitlement!$A$4:$BC$102,ROW()+1,$Q$1)*(1-TPCIL!$L$11))-ISGS!R51</f>
        <v>0.00469499999999812</v>
      </c>
      <c r="R41" s="105">
        <f>(INDEX(Entitlement!$A$4:$BC$102,ROW()+1,$R$1)*(1-TPCIL!$L$11))-ISGS!L51</f>
        <v>0.00193399999999944</v>
      </c>
      <c r="S41" s="105">
        <f>(INDEX(Entitlement!$A$4:$BC$102,ROW()+1,$S$1)*(1-TPCIL!$L$11))-ISGS!J51</f>
        <v>-0.00251900000000305</v>
      </c>
      <c r="T41" s="105">
        <f>(INDEX(Entitlement!$A$4:$BC$102,ROW()+1,$T$1)*(1-TPCIL!$L$11))-ISGS!K51</f>
        <v>-0.00230700000000184</v>
      </c>
      <c r="U41" s="105">
        <f>'Individual BD'!L41</f>
        <v>0</v>
      </c>
      <c r="V41" s="105">
        <f>(INDEX(Entitlement!$A$4:$BC$102,ROW()+1,$V$1))-ISGS!Q51</f>
        <v>0</v>
      </c>
      <c r="W41" s="105">
        <f>(INDEX(Entitlement!$A$4:$BC$102,ROW()+1,$W$1)*(1-TPCIL!$L$11))-ISGS!T51</f>
        <v>0.00110800000000211</v>
      </c>
      <c r="X41" s="105">
        <f>(INDEX(Entitlement!$A$4:$BC$102,ROW()+1,$X$1)*(1-TPCIL!$L$11))-ISGS!I51</f>
        <v>0.00251599999999996</v>
      </c>
      <c r="Y41" s="105">
        <f>(INDEX(Entitlement!$A$4:$BC$102,ROW()+1,$Y$1)*(1-TPCIL!$L$11))-ISGS!M51</f>
        <v>0.00215199999999527</v>
      </c>
      <c r="Z41" s="105">
        <f>TPCIL!I51-TPCIL!C51</f>
        <v>0.000544999999988249</v>
      </c>
      <c r="AA41" s="105">
        <f>TPCIL!P51-TPCIL!D51</f>
        <v>0</v>
      </c>
      <c r="AB41" s="105">
        <f>'Individual BD'!M41</f>
        <v>0</v>
      </c>
      <c r="AC41" s="105">
        <f>'Individual BD'!N41</f>
        <v>0</v>
      </c>
      <c r="AD41" s="105">
        <f>(INDEX(Entitlement!$A$4:$BC$102,ROW()+1,$AD$1)*(1-TPCIL!$L$11))-ISGS!S51</f>
        <v>0.00303199999999038</v>
      </c>
      <c r="AE41" s="107"/>
      <c r="AG41" s="114">
        <f t="shared" si="1"/>
        <v>4.37703158440919</v>
      </c>
    </row>
    <row r="42" s="98" customFormat="1" ht="18" customHeight="1" spans="1:33">
      <c r="A42" s="106" t="s">
        <v>53</v>
      </c>
      <c r="B42" s="107">
        <v>40</v>
      </c>
      <c r="C42" s="105">
        <f>'Individual BD'!C42</f>
        <v>21.72</v>
      </c>
      <c r="D42" s="105">
        <f>'Individual BD'!D42</f>
        <v>99.87</v>
      </c>
      <c r="E42" s="105">
        <f>'Individual BD'!E42</f>
        <v>33.28</v>
      </c>
      <c r="F42" s="105">
        <f>(INDEX(Entitlement!$A$4:$BC$102,ROW()+1,$F$1)*(1-TPCIL!$L$11))-ISGS!G52</f>
        <v>0.00443200000000843</v>
      </c>
      <c r="G42" s="105">
        <f>(INDEX(Entitlement!$A$4:$BC$102,ROW()+1,$G$1)*(1-TPCIL!$L$11))-ISGS!N52</f>
        <v>0.00388299999998765</v>
      </c>
      <c r="H42" s="105">
        <f>'Individual BD'!F42</f>
        <v>0</v>
      </c>
      <c r="I42" s="105">
        <f>'Individual BD'!G42</f>
        <v>95.33</v>
      </c>
      <c r="J42" s="105">
        <f>'Individual BD'!H42</f>
        <v>5.87</v>
      </c>
      <c r="K42" s="105">
        <f>'Individual BD'!I42</f>
        <v>0</v>
      </c>
      <c r="L42" s="105">
        <f>(INDEX(Entitlement!$A$4:$BC$102,ROW()+1,$L$1)*(1-TPCIL!$L$11))-ISGS!U52</f>
        <v>0.00347099999999756</v>
      </c>
      <c r="M42" s="105">
        <f>'Individual BD'!J42</f>
        <v>0</v>
      </c>
      <c r="N42" s="105">
        <f>'Individual BD'!K42</f>
        <v>0</v>
      </c>
      <c r="O42" s="105">
        <f>(INDEX(Entitlement!$A$4:$BC$102,ROW()+1,$O$1)*(1-TPCIL!$L$11))-ISGS!O52</f>
        <v>-0.00382899999999609</v>
      </c>
      <c r="P42" s="105">
        <f>(INDEX(Entitlement!$A$4:$BC$102,ROW()+1,$P$1)*(1-TPCIL!$L$11))-ISGS!P52</f>
        <v>0.00125900000000456</v>
      </c>
      <c r="Q42" s="105">
        <f>(INDEX(Entitlement!$A$4:$BC$102,ROW()+1,$Q$1)*(1-TPCIL!$L$11))-ISGS!R52</f>
        <v>0.00469499999999812</v>
      </c>
      <c r="R42" s="105">
        <f>(INDEX(Entitlement!$A$4:$BC$102,ROW()+1,$R$1)*(1-TPCIL!$L$11))-ISGS!L52</f>
        <v>0.00193399999999944</v>
      </c>
      <c r="S42" s="105">
        <f>(INDEX(Entitlement!$A$4:$BC$102,ROW()+1,$S$1)*(1-TPCIL!$L$11))-ISGS!J52</f>
        <v>0.0418869999999991</v>
      </c>
      <c r="T42" s="105">
        <f>(INDEX(Entitlement!$A$4:$BC$102,ROW()+1,$T$1)*(1-TPCIL!$L$11))-ISGS!K52</f>
        <v>0.0515169999999969</v>
      </c>
      <c r="U42" s="105">
        <f>'Individual BD'!L42</f>
        <v>0</v>
      </c>
      <c r="V42" s="105">
        <f>(INDEX(Entitlement!$A$4:$BC$102,ROW()+1,$V$1))-ISGS!Q52</f>
        <v>0</v>
      </c>
      <c r="W42" s="105">
        <f>(INDEX(Entitlement!$A$4:$BC$102,ROW()+1,$W$1)*(1-TPCIL!$L$11))-ISGS!T52</f>
        <v>0.00110800000000211</v>
      </c>
      <c r="X42" s="105">
        <f>(INDEX(Entitlement!$A$4:$BC$102,ROW()+1,$X$1)*(1-TPCIL!$L$11))-ISGS!I52</f>
        <v>0.00251599999999996</v>
      </c>
      <c r="Y42" s="105">
        <f>(INDEX(Entitlement!$A$4:$BC$102,ROW()+1,$Y$1)*(1-TPCIL!$L$11))-ISGS!M52</f>
        <v>0.00215199999999527</v>
      </c>
      <c r="Z42" s="105">
        <f>TPCIL!I52-TPCIL!C52</f>
        <v>0.000544999999988249</v>
      </c>
      <c r="AA42" s="105">
        <f>TPCIL!P52-TPCIL!D52</f>
        <v>0</v>
      </c>
      <c r="AB42" s="105">
        <f>'Individual BD'!M42</f>
        <v>0</v>
      </c>
      <c r="AC42" s="105">
        <f>'Individual BD'!N42</f>
        <v>0</v>
      </c>
      <c r="AD42" s="105">
        <f>(INDEX(Entitlement!$A$4:$BC$102,ROW()+1,$AD$1)*(1-TPCIL!$L$11))-ISGS!S52</f>
        <v>0.00303199999999038</v>
      </c>
      <c r="AE42" s="107"/>
      <c r="AG42" s="114">
        <f t="shared" si="1"/>
        <v>4.31368720834817</v>
      </c>
    </row>
    <row r="43" s="98" customFormat="1" ht="18" customHeight="1" spans="1:33">
      <c r="A43" s="106" t="s">
        <v>54</v>
      </c>
      <c r="B43" s="107">
        <v>41</v>
      </c>
      <c r="C43" s="105">
        <f>'Individual BD'!C43</f>
        <v>22.01</v>
      </c>
      <c r="D43" s="105">
        <f>'Individual BD'!D43</f>
        <v>136.51</v>
      </c>
      <c r="E43" s="105">
        <f>'Individual BD'!E43</f>
        <v>51.66</v>
      </c>
      <c r="F43" s="105">
        <f>(INDEX(Entitlement!$A$4:$BC$102,ROW()+1,$F$1)*(1-TPCIL!$L$11))-ISGS!G53</f>
        <v>0.00443200000000843</v>
      </c>
      <c r="G43" s="105">
        <f>(INDEX(Entitlement!$A$4:$BC$102,ROW()+1,$G$1)*(1-TPCIL!$L$11))-ISGS!N53</f>
        <v>0.00388299999998765</v>
      </c>
      <c r="H43" s="105">
        <f>'Individual BD'!F43</f>
        <v>0</v>
      </c>
      <c r="I43" s="105">
        <f>'Individual BD'!G43</f>
        <v>125.89</v>
      </c>
      <c r="J43" s="105">
        <f>'Individual BD'!H43</f>
        <v>69.4</v>
      </c>
      <c r="K43" s="105">
        <f>'Individual BD'!I43</f>
        <v>0</v>
      </c>
      <c r="L43" s="105">
        <f>(INDEX(Entitlement!$A$4:$BC$102,ROW()+1,$L$1)*(1-TPCIL!$L$11))-ISGS!U53</f>
        <v>0.00347099999999756</v>
      </c>
      <c r="M43" s="105">
        <f>'Individual BD'!J43</f>
        <v>0</v>
      </c>
      <c r="N43" s="105">
        <f>'Individual BD'!K43</f>
        <v>0</v>
      </c>
      <c r="O43" s="105">
        <f>(INDEX(Entitlement!$A$4:$BC$102,ROW()+1,$O$1)*(1-TPCIL!$L$11))-ISGS!O53</f>
        <v>-0.00382899999999609</v>
      </c>
      <c r="P43" s="105">
        <f>(INDEX(Entitlement!$A$4:$BC$102,ROW()+1,$P$1)*(1-TPCIL!$L$11))-ISGS!P53</f>
        <v>0.00125900000000456</v>
      </c>
      <c r="Q43" s="105">
        <f>(INDEX(Entitlement!$A$4:$BC$102,ROW()+1,$Q$1)*(1-TPCIL!$L$11))-ISGS!R53</f>
        <v>0.00469499999999812</v>
      </c>
      <c r="R43" s="105">
        <f>(INDEX(Entitlement!$A$4:$BC$102,ROW()+1,$R$1)*(1-TPCIL!$L$11))-ISGS!L53</f>
        <v>0.00193399999999944</v>
      </c>
      <c r="S43" s="105">
        <f>(INDEX(Entitlement!$A$4:$BC$102,ROW()+1,$S$1)*(1-TPCIL!$L$11))-ISGS!J53</f>
        <v>0.00188699999999997</v>
      </c>
      <c r="T43" s="105">
        <f>(INDEX(Entitlement!$A$4:$BC$102,ROW()+1,$T$1)*(1-TPCIL!$L$11))-ISGS!K53</f>
        <v>0.00151699999999977</v>
      </c>
      <c r="U43" s="105">
        <f>'Individual BD'!L43</f>
        <v>0</v>
      </c>
      <c r="V43" s="105">
        <f>(INDEX(Entitlement!$A$4:$BC$102,ROW()+1,$V$1))-ISGS!Q53</f>
        <v>0</v>
      </c>
      <c r="W43" s="105">
        <f>(INDEX(Entitlement!$A$4:$BC$102,ROW()+1,$W$1)*(1-TPCIL!$L$11))-ISGS!T53</f>
        <v>0.00110800000000211</v>
      </c>
      <c r="X43" s="105">
        <f>(INDEX(Entitlement!$A$4:$BC$102,ROW()+1,$X$1)*(1-TPCIL!$L$11))-ISGS!I53</f>
        <v>0.00251599999999996</v>
      </c>
      <c r="Y43" s="105">
        <f>(INDEX(Entitlement!$A$4:$BC$102,ROW()+1,$Y$1)*(1-TPCIL!$L$11))-ISGS!M53</f>
        <v>0.00215199999999527</v>
      </c>
      <c r="Z43" s="105">
        <f>TPCIL!I53-TPCIL!C53</f>
        <v>0.000544999999988249</v>
      </c>
      <c r="AA43" s="105">
        <f>TPCIL!P53-TPCIL!D53</f>
        <v>0</v>
      </c>
      <c r="AB43" s="105">
        <f>'Individual BD'!M43</f>
        <v>0</v>
      </c>
      <c r="AC43" s="105">
        <f>'Individual BD'!N43</f>
        <v>0</v>
      </c>
      <c r="AD43" s="105">
        <f>(INDEX(Entitlement!$A$4:$BC$102,ROW()+1,$AD$1)*(1-TPCIL!$L$11))-ISGS!S53</f>
        <v>0.00303199999999038</v>
      </c>
      <c r="AE43" s="107"/>
      <c r="AG43" s="114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4.26570848047461</v>
      </c>
    </row>
    <row r="44" s="98" customFormat="1" ht="18" customHeight="1" spans="1:33">
      <c r="A44" s="106" t="s">
        <v>55</v>
      </c>
      <c r="B44" s="107">
        <v>42</v>
      </c>
      <c r="C44" s="105">
        <f>'Individual BD'!C44</f>
        <v>30.99</v>
      </c>
      <c r="D44" s="105">
        <f>'Individual BD'!D44</f>
        <v>144.29</v>
      </c>
      <c r="E44" s="105">
        <f>'Individual BD'!E44</f>
        <v>64.65</v>
      </c>
      <c r="F44" s="105">
        <f>(INDEX(Entitlement!$A$4:$BC$102,ROW()+1,$F$1)*(1-TPCIL!$L$11))-ISGS!G54</f>
        <v>0.00443200000000843</v>
      </c>
      <c r="G44" s="105">
        <f>(INDEX(Entitlement!$A$4:$BC$102,ROW()+1,$G$1)*(1-TPCIL!$L$11))-ISGS!N54</f>
        <v>0.00388299999998765</v>
      </c>
      <c r="H44" s="105">
        <f>'Individual BD'!F44</f>
        <v>0</v>
      </c>
      <c r="I44" s="105">
        <f>'Individual BD'!G44</f>
        <v>132.09</v>
      </c>
      <c r="J44" s="105">
        <f>'Individual BD'!H44</f>
        <v>132.07</v>
      </c>
      <c r="K44" s="105">
        <f>'Individual BD'!I44</f>
        <v>0</v>
      </c>
      <c r="L44" s="105">
        <f>(INDEX(Entitlement!$A$4:$BC$102,ROW()+1,$L$1)*(1-TPCIL!$L$11))-ISGS!U54</f>
        <v>0.00347099999999756</v>
      </c>
      <c r="M44" s="105">
        <f>'Individual BD'!J44</f>
        <v>0</v>
      </c>
      <c r="N44" s="105">
        <f>'Individual BD'!K44</f>
        <v>0</v>
      </c>
      <c r="O44" s="105">
        <f>(INDEX(Entitlement!$A$4:$BC$102,ROW()+1,$O$1)*(1-TPCIL!$L$11))-ISGS!O54</f>
        <v>-0.00382899999999609</v>
      </c>
      <c r="P44" s="105">
        <f>(INDEX(Entitlement!$A$4:$BC$102,ROW()+1,$P$1)*(1-TPCIL!$L$11))-ISGS!P54</f>
        <v>0.00125900000000456</v>
      </c>
      <c r="Q44" s="105">
        <f>(INDEX(Entitlement!$A$4:$BC$102,ROW()+1,$Q$1)*(1-TPCIL!$L$11))-ISGS!R54</f>
        <v>0.00469499999999812</v>
      </c>
      <c r="R44" s="105">
        <f>(INDEX(Entitlement!$A$4:$BC$102,ROW()+1,$R$1)*(1-TPCIL!$L$11))-ISGS!L54</f>
        <v>0.00193399999999944</v>
      </c>
      <c r="S44" s="105">
        <f>(INDEX(Entitlement!$A$4:$BC$102,ROW()+1,$S$1)*(1-TPCIL!$L$11))-ISGS!J54</f>
        <v>0.125027999999997</v>
      </c>
      <c r="T44" s="105">
        <f>(INDEX(Entitlement!$A$4:$BC$102,ROW()+1,$T$1)*(1-TPCIL!$L$11))-ISGS!K54</f>
        <v>0.0922529999999995</v>
      </c>
      <c r="U44" s="105">
        <f>'Individual BD'!L44</f>
        <v>0</v>
      </c>
      <c r="V44" s="105">
        <f>(INDEX(Entitlement!$A$4:$BC$102,ROW()+1,$V$1))-ISGS!Q54</f>
        <v>0</v>
      </c>
      <c r="W44" s="105">
        <f>(INDEX(Entitlement!$A$4:$BC$102,ROW()+1,$W$1)*(1-TPCIL!$L$11))-ISGS!T54</f>
        <v>0.00110800000000211</v>
      </c>
      <c r="X44" s="105">
        <f>(INDEX(Entitlement!$A$4:$BC$102,ROW()+1,$X$1)*(1-TPCIL!$L$11))-ISGS!I54</f>
        <v>0.00251599999999996</v>
      </c>
      <c r="Y44" s="105">
        <f>(INDEX(Entitlement!$A$4:$BC$102,ROW()+1,$Y$1)*(1-TPCIL!$L$11))-ISGS!M54</f>
        <v>0.00215199999999527</v>
      </c>
      <c r="Z44" s="105">
        <f>TPCIL!I54-TPCIL!C54</f>
        <v>0.000544999999988249</v>
      </c>
      <c r="AA44" s="105">
        <f>TPCIL!P54-TPCIL!D54</f>
        <v>0</v>
      </c>
      <c r="AB44" s="105">
        <f>'Individual BD'!M44</f>
        <v>0</v>
      </c>
      <c r="AC44" s="105">
        <f>'Individual BD'!N44</f>
        <v>0</v>
      </c>
      <c r="AD44" s="105">
        <f>(INDEX(Entitlement!$A$4:$BC$102,ROW()+1,$AD$1)*(1-TPCIL!$L$11))-ISGS!S54</f>
        <v>0.00303199999999038</v>
      </c>
      <c r="AE44" s="107"/>
      <c r="AG44" s="114">
        <f t="shared" si="2"/>
        <v>4.2388610896444</v>
      </c>
    </row>
    <row r="45" s="98" customFormat="1" ht="18" customHeight="1" spans="1:33">
      <c r="A45" s="106" t="s">
        <v>56</v>
      </c>
      <c r="B45" s="107">
        <v>43</v>
      </c>
      <c r="C45" s="105">
        <f>'Individual BD'!C45</f>
        <v>34.4</v>
      </c>
      <c r="D45" s="105">
        <f>'Individual BD'!D45</f>
        <v>146.5</v>
      </c>
      <c r="E45" s="105">
        <f>'Individual BD'!E45</f>
        <v>50.11</v>
      </c>
      <c r="F45" s="105">
        <f>(INDEX(Entitlement!$A$4:$BC$102,ROW()+1,$F$1)*(1-TPCIL!$L$11))-ISGS!G55</f>
        <v>0.00443200000000843</v>
      </c>
      <c r="G45" s="105">
        <f>(INDEX(Entitlement!$A$4:$BC$102,ROW()+1,$G$1)*(1-TPCIL!$L$11))-ISGS!N55</f>
        <v>0.00388299999998765</v>
      </c>
      <c r="H45" s="105">
        <f>'Individual BD'!F45</f>
        <v>0</v>
      </c>
      <c r="I45" s="105">
        <f>'Individual BD'!G45</f>
        <v>120.69</v>
      </c>
      <c r="J45" s="105">
        <f>'Individual BD'!H45</f>
        <v>184</v>
      </c>
      <c r="K45" s="105">
        <f>'Individual BD'!I45</f>
        <v>0</v>
      </c>
      <c r="L45" s="105">
        <f>(INDEX(Entitlement!$A$4:$BC$102,ROW()+1,$L$1)*(1-TPCIL!$L$11))-ISGS!U55</f>
        <v>0.00347099999999756</v>
      </c>
      <c r="M45" s="105">
        <f>'Individual BD'!J45</f>
        <v>0</v>
      </c>
      <c r="N45" s="105">
        <f>'Individual BD'!K45</f>
        <v>0</v>
      </c>
      <c r="O45" s="105">
        <f>(INDEX(Entitlement!$A$4:$BC$102,ROW()+1,$O$1)*(1-TPCIL!$L$11))-ISGS!O55</f>
        <v>-0.00382899999999609</v>
      </c>
      <c r="P45" s="105">
        <f>(INDEX(Entitlement!$A$4:$BC$102,ROW()+1,$P$1)*(1-TPCIL!$L$11))-ISGS!P55</f>
        <v>0.00125900000000456</v>
      </c>
      <c r="Q45" s="105">
        <f>(INDEX(Entitlement!$A$4:$BC$102,ROW()+1,$Q$1)*(1-TPCIL!$L$11))-ISGS!R55</f>
        <v>0.00469499999999812</v>
      </c>
      <c r="R45" s="105">
        <f>(INDEX(Entitlement!$A$4:$BC$102,ROW()+1,$R$1)*(1-TPCIL!$L$11))-ISGS!L55</f>
        <v>0.00193399999999944</v>
      </c>
      <c r="S45" s="105">
        <f>(INDEX(Entitlement!$A$4:$BC$102,ROW()+1,$S$1)*(1-TPCIL!$L$11))-ISGS!J55</f>
        <v>-0.0049720000000022</v>
      </c>
      <c r="T45" s="105">
        <f>(INDEX(Entitlement!$A$4:$BC$102,ROW()+1,$T$1)*(1-TPCIL!$L$11))-ISGS!K55</f>
        <v>0.00225299999999606</v>
      </c>
      <c r="U45" s="105">
        <f>'Individual BD'!L45</f>
        <v>0</v>
      </c>
      <c r="V45" s="105">
        <f>(INDEX(Entitlement!$A$4:$BC$102,ROW()+1,$V$1))-ISGS!Q55</f>
        <v>0</v>
      </c>
      <c r="W45" s="105">
        <f>(INDEX(Entitlement!$A$4:$BC$102,ROW()+1,$W$1)*(1-TPCIL!$L$11))-ISGS!T55</f>
        <v>0.00110800000000211</v>
      </c>
      <c r="X45" s="105">
        <f>(INDEX(Entitlement!$A$4:$BC$102,ROW()+1,$X$1)*(1-TPCIL!$L$11))-ISGS!I55</f>
        <v>0.00251599999999996</v>
      </c>
      <c r="Y45" s="105">
        <f>(INDEX(Entitlement!$A$4:$BC$102,ROW()+1,$Y$1)*(1-TPCIL!$L$11))-ISGS!M55</f>
        <v>0.00215199999999527</v>
      </c>
      <c r="Z45" s="105">
        <f>TPCIL!I55-TPCIL!C55</f>
        <v>0.000544999999988249</v>
      </c>
      <c r="AA45" s="105">
        <f>TPCIL!P55-TPCIL!D55</f>
        <v>0</v>
      </c>
      <c r="AB45" s="105">
        <f>'Individual BD'!M45</f>
        <v>0</v>
      </c>
      <c r="AC45" s="105">
        <f>'Individual BD'!N45</f>
        <v>0</v>
      </c>
      <c r="AD45" s="105">
        <f>(INDEX(Entitlement!$A$4:$BC$102,ROW()+1,$AD$1)*(1-TPCIL!$L$11))-ISGS!S55</f>
        <v>0.00303199999999038</v>
      </c>
      <c r="AE45" s="107"/>
      <c r="AG45" s="114">
        <f t="shared" si="2"/>
        <v>4.21349254504028</v>
      </c>
    </row>
    <row r="46" s="98" customFormat="1" ht="18" customHeight="1" spans="1:33">
      <c r="A46" s="106" t="s">
        <v>57</v>
      </c>
      <c r="B46" s="107">
        <v>44</v>
      </c>
      <c r="C46" s="105">
        <f>'Individual BD'!C46</f>
        <v>31.89</v>
      </c>
      <c r="D46" s="105">
        <f>'Individual BD'!D46</f>
        <v>145.93</v>
      </c>
      <c r="E46" s="105">
        <f>'Individual BD'!E46</f>
        <v>62.95</v>
      </c>
      <c r="F46" s="105">
        <f>(INDEX(Entitlement!$A$4:$BC$102,ROW()+1,$F$1)*(1-TPCIL!$L$11))-ISGS!G56</f>
        <v>0.00443200000000843</v>
      </c>
      <c r="G46" s="105">
        <f>(INDEX(Entitlement!$A$4:$BC$102,ROW()+1,$G$1)*(1-TPCIL!$L$11))-ISGS!N56</f>
        <v>0.00388299999998765</v>
      </c>
      <c r="H46" s="105">
        <f>'Individual BD'!F46</f>
        <v>0</v>
      </c>
      <c r="I46" s="105">
        <f>'Individual BD'!G46</f>
        <v>124.95</v>
      </c>
      <c r="J46" s="105">
        <f>'Individual BD'!H46</f>
        <v>210.15</v>
      </c>
      <c r="K46" s="105">
        <f>'Individual BD'!I46</f>
        <v>3.55999999999995</v>
      </c>
      <c r="L46" s="105">
        <f>(INDEX(Entitlement!$A$4:$BC$102,ROW()+1,$L$1)*(1-TPCIL!$L$11))-ISGS!U56</f>
        <v>0.00347099999999756</v>
      </c>
      <c r="M46" s="105">
        <f>'Individual BD'!J46</f>
        <v>0</v>
      </c>
      <c r="N46" s="105">
        <f>'Individual BD'!K46</f>
        <v>0</v>
      </c>
      <c r="O46" s="105">
        <f>(INDEX(Entitlement!$A$4:$BC$102,ROW()+1,$O$1)*(1-TPCIL!$L$11))-ISGS!O56</f>
        <v>-0.00382899999999609</v>
      </c>
      <c r="P46" s="105">
        <f>(INDEX(Entitlement!$A$4:$BC$102,ROW()+1,$P$1)*(1-TPCIL!$L$11))-ISGS!P56</f>
        <v>0.00125900000000456</v>
      </c>
      <c r="Q46" s="105">
        <f>(INDEX(Entitlement!$A$4:$BC$102,ROW()+1,$Q$1)*(1-TPCIL!$L$11))-ISGS!R56</f>
        <v>0.00469499999999812</v>
      </c>
      <c r="R46" s="105">
        <f>(INDEX(Entitlement!$A$4:$BC$102,ROW()+1,$R$1)*(1-TPCIL!$L$11))-ISGS!L56</f>
        <v>0.00193399999999944</v>
      </c>
      <c r="S46" s="105">
        <f>(INDEX(Entitlement!$A$4:$BC$102,ROW()+1,$S$1)*(1-TPCIL!$L$11))-ISGS!J56</f>
        <v>-0.0049720000000022</v>
      </c>
      <c r="T46" s="105">
        <f>(INDEX(Entitlement!$A$4:$BC$102,ROW()+1,$T$1)*(1-TPCIL!$L$11))-ISGS!K56</f>
        <v>0.00225299999999606</v>
      </c>
      <c r="U46" s="105">
        <f>'Individual BD'!L46</f>
        <v>0</v>
      </c>
      <c r="V46" s="105">
        <f>(INDEX(Entitlement!$A$4:$BC$102,ROW()+1,$V$1))-ISGS!Q56</f>
        <v>0</v>
      </c>
      <c r="W46" s="105">
        <f>(INDEX(Entitlement!$A$4:$BC$102,ROW()+1,$W$1)*(1-TPCIL!$L$11))-ISGS!T56</f>
        <v>0.00110800000000211</v>
      </c>
      <c r="X46" s="105">
        <f>(INDEX(Entitlement!$A$4:$BC$102,ROW()+1,$X$1)*(1-TPCIL!$L$11))-ISGS!I56</f>
        <v>0.00251599999999996</v>
      </c>
      <c r="Y46" s="105">
        <f>(INDEX(Entitlement!$A$4:$BC$102,ROW()+1,$Y$1)*(1-TPCIL!$L$11))-ISGS!M56</f>
        <v>0.00215199999999527</v>
      </c>
      <c r="Z46" s="105">
        <f>TPCIL!I56-TPCIL!C56</f>
        <v>0.000544999999988249</v>
      </c>
      <c r="AA46" s="105">
        <f>TPCIL!P56-TPCIL!D56</f>
        <v>0</v>
      </c>
      <c r="AB46" s="105">
        <f>'Individual BD'!M46</f>
        <v>0</v>
      </c>
      <c r="AC46" s="105">
        <f>'Individual BD'!N46</f>
        <v>0</v>
      </c>
      <c r="AD46" s="105">
        <f>(INDEX(Entitlement!$A$4:$BC$102,ROW()+1,$AD$1)*(1-TPCIL!$L$11))-ISGS!S56</f>
        <v>0.00303199999999038</v>
      </c>
      <c r="AE46" s="107"/>
      <c r="AG46" s="114">
        <f t="shared" si="2"/>
        <v>4.20395167810991</v>
      </c>
    </row>
    <row r="47" s="98" customFormat="1" ht="18" customHeight="1" spans="1:33">
      <c r="A47" s="106" t="s">
        <v>58</v>
      </c>
      <c r="B47" s="107">
        <v>45</v>
      </c>
      <c r="C47" s="105">
        <f>'Individual BD'!C47</f>
        <v>29.01</v>
      </c>
      <c r="D47" s="105">
        <f>'Individual BD'!D47</f>
        <v>141.83</v>
      </c>
      <c r="E47" s="105">
        <f>'Individual BD'!E47</f>
        <v>55.38</v>
      </c>
      <c r="F47" s="105">
        <f>(INDEX(Entitlement!$A$4:$BC$102,ROW()+1,$F$1)*(1-TPCIL!$L$11))-ISGS!G57</f>
        <v>121.704432</v>
      </c>
      <c r="G47" s="105">
        <f>(INDEX(Entitlement!$A$4:$BC$102,ROW()+1,$G$1)*(1-TPCIL!$L$11))-ISGS!N57</f>
        <v>29.493883</v>
      </c>
      <c r="H47" s="105">
        <f>'Individual BD'!F47</f>
        <v>0</v>
      </c>
      <c r="I47" s="105">
        <f>'Individual BD'!G47</f>
        <v>122.44</v>
      </c>
      <c r="J47" s="105">
        <f>'Individual BD'!H47</f>
        <v>216.05</v>
      </c>
      <c r="K47" s="105">
        <f>'Individual BD'!I47</f>
        <v>184.72</v>
      </c>
      <c r="L47" s="105">
        <f>(INDEX(Entitlement!$A$4:$BC$102,ROW()+1,$L$1)*(1-TPCIL!$L$11))-ISGS!U57</f>
        <v>0.00347099999999756</v>
      </c>
      <c r="M47" s="105">
        <f>'Individual BD'!J47</f>
        <v>0</v>
      </c>
      <c r="N47" s="105">
        <f>'Individual BD'!K47</f>
        <v>0</v>
      </c>
      <c r="O47" s="105">
        <f>(INDEX(Entitlement!$A$4:$BC$102,ROW()+1,$O$1)*(1-TPCIL!$L$11))-ISGS!O57</f>
        <v>-0.00382899999999609</v>
      </c>
      <c r="P47" s="105">
        <f>(INDEX(Entitlement!$A$4:$BC$102,ROW()+1,$P$1)*(1-TPCIL!$L$11))-ISGS!P57</f>
        <v>0.00125900000000456</v>
      </c>
      <c r="Q47" s="105">
        <f>(INDEX(Entitlement!$A$4:$BC$102,ROW()+1,$Q$1)*(1-TPCIL!$L$11))-ISGS!R57</f>
        <v>0.00469499999999812</v>
      </c>
      <c r="R47" s="105">
        <f>(INDEX(Entitlement!$A$4:$BC$102,ROW()+1,$R$1)*(1-TPCIL!$L$11))-ISGS!L57</f>
        <v>0.00193399999999944</v>
      </c>
      <c r="S47" s="105">
        <f>(INDEX(Entitlement!$A$4:$BC$102,ROW()+1,$S$1)*(1-TPCIL!$L$11))-ISGS!J57</f>
        <v>-0.0049720000000022</v>
      </c>
      <c r="T47" s="105">
        <f>(INDEX(Entitlement!$A$4:$BC$102,ROW()+1,$T$1)*(1-TPCIL!$L$11))-ISGS!K57</f>
        <v>0.00225299999999606</v>
      </c>
      <c r="U47" s="105">
        <f>'Individual BD'!L47</f>
        <v>0</v>
      </c>
      <c r="V47" s="105">
        <f>(INDEX(Entitlement!$A$4:$BC$102,ROW()+1,$V$1))-ISGS!Q57</f>
        <v>0</v>
      </c>
      <c r="W47" s="105">
        <f>(INDEX(Entitlement!$A$4:$BC$102,ROW()+1,$W$1)*(1-TPCIL!$L$11))-ISGS!T57</f>
        <v>0.00110800000000211</v>
      </c>
      <c r="X47" s="105">
        <f>(INDEX(Entitlement!$A$4:$BC$102,ROW()+1,$X$1)*(1-TPCIL!$L$11))-ISGS!I57</f>
        <v>0.00251599999999996</v>
      </c>
      <c r="Y47" s="105">
        <f>(INDEX(Entitlement!$A$4:$BC$102,ROW()+1,$Y$1)*(1-TPCIL!$L$11))-ISGS!M57</f>
        <v>0.00215199999999527</v>
      </c>
      <c r="Z47" s="105">
        <f>TPCIL!I57-TPCIL!C57</f>
        <v>0.000544999999988249</v>
      </c>
      <c r="AA47" s="105">
        <f>TPCIL!P57-TPCIL!D57</f>
        <v>0</v>
      </c>
      <c r="AB47" s="105">
        <f>'Individual BD'!M47</f>
        <v>0</v>
      </c>
      <c r="AC47" s="105">
        <f>'Individual BD'!N47</f>
        <v>0</v>
      </c>
      <c r="AD47" s="105">
        <f>(INDEX(Entitlement!$A$4:$BC$102,ROW()+1,$AD$1)*(1-TPCIL!$L$11))-ISGS!S57</f>
        <v>0.00303199999999038</v>
      </c>
      <c r="AE47" s="107"/>
      <c r="AG47" s="114">
        <f t="shared" si="2"/>
        <v>4.15675991169521</v>
      </c>
    </row>
    <row r="48" s="98" customFormat="1" ht="18" customHeight="1" spans="1:33">
      <c r="A48" s="106" t="s">
        <v>59</v>
      </c>
      <c r="B48" s="107">
        <v>46</v>
      </c>
      <c r="C48" s="105">
        <f>'Individual BD'!C48</f>
        <v>39.02</v>
      </c>
      <c r="D48" s="105">
        <f>'Individual BD'!D48</f>
        <v>146.18</v>
      </c>
      <c r="E48" s="105">
        <f>'Individual BD'!E48</f>
        <v>67.46</v>
      </c>
      <c r="F48" s="105">
        <f>(INDEX(Entitlement!$A$4:$BC$102,ROW()+1,$F$1)*(1-TPCIL!$L$11))-ISGS!G58</f>
        <v>208.594432</v>
      </c>
      <c r="G48" s="105">
        <f>(INDEX(Entitlement!$A$4:$BC$102,ROW()+1,$G$1)*(1-TPCIL!$L$11))-ISGS!N58</f>
        <v>18.783883</v>
      </c>
      <c r="H48" s="105">
        <f>'Individual BD'!F48</f>
        <v>0</v>
      </c>
      <c r="I48" s="105">
        <f>'Individual BD'!G48</f>
        <v>124.74</v>
      </c>
      <c r="J48" s="105">
        <f>'Individual BD'!H48</f>
        <v>225.31</v>
      </c>
      <c r="K48" s="105">
        <f>'Individual BD'!I48</f>
        <v>399.18</v>
      </c>
      <c r="L48" s="105">
        <f>(INDEX(Entitlement!$A$4:$BC$102,ROW()+1,$L$1)*(1-TPCIL!$L$11))-ISGS!U58</f>
        <v>0.00347099999999756</v>
      </c>
      <c r="M48" s="105">
        <f>'Individual BD'!J48</f>
        <v>0</v>
      </c>
      <c r="N48" s="105">
        <f>'Individual BD'!K48</f>
        <v>0</v>
      </c>
      <c r="O48" s="105">
        <f>(INDEX(Entitlement!$A$4:$BC$102,ROW()+1,$O$1)*(1-TPCIL!$L$11))-ISGS!O58</f>
        <v>-0.00382899999999609</v>
      </c>
      <c r="P48" s="105">
        <f>(INDEX(Entitlement!$A$4:$BC$102,ROW()+1,$P$1)*(1-TPCIL!$L$11))-ISGS!P58</f>
        <v>0.00125900000000456</v>
      </c>
      <c r="Q48" s="105">
        <f>(INDEX(Entitlement!$A$4:$BC$102,ROW()+1,$Q$1)*(1-TPCIL!$L$11))-ISGS!R58</f>
        <v>0.00469499999999812</v>
      </c>
      <c r="R48" s="105">
        <f>(INDEX(Entitlement!$A$4:$BC$102,ROW()+1,$R$1)*(1-TPCIL!$L$11))-ISGS!L58</f>
        <v>0.00193399999999944</v>
      </c>
      <c r="S48" s="105">
        <f>(INDEX(Entitlement!$A$4:$BC$102,ROW()+1,$S$1)*(1-TPCIL!$L$11))-ISGS!J58</f>
        <v>-0.0049720000000022</v>
      </c>
      <c r="T48" s="105">
        <f>(INDEX(Entitlement!$A$4:$BC$102,ROW()+1,$T$1)*(1-TPCIL!$L$11))-ISGS!K58</f>
        <v>0.00225299999999606</v>
      </c>
      <c r="U48" s="105">
        <f>'Individual BD'!L48</f>
        <v>0</v>
      </c>
      <c r="V48" s="105">
        <f>(INDEX(Entitlement!$A$4:$BC$102,ROW()+1,$V$1))-ISGS!Q58</f>
        <v>0</v>
      </c>
      <c r="W48" s="105">
        <f>(INDEX(Entitlement!$A$4:$BC$102,ROW()+1,$W$1)*(1-TPCIL!$L$11))-ISGS!T58</f>
        <v>0.00110800000000211</v>
      </c>
      <c r="X48" s="105">
        <f>(INDEX(Entitlement!$A$4:$BC$102,ROW()+1,$X$1)*(1-TPCIL!$L$11))-ISGS!I58</f>
        <v>0.00251599999999996</v>
      </c>
      <c r="Y48" s="105">
        <f>(INDEX(Entitlement!$A$4:$BC$102,ROW()+1,$Y$1)*(1-TPCIL!$L$11))-ISGS!M58</f>
        <v>0.00215199999999527</v>
      </c>
      <c r="Z48" s="105">
        <f>TPCIL!I58-TPCIL!C58</f>
        <v>0.000544999999988249</v>
      </c>
      <c r="AA48" s="105">
        <f>TPCIL!P58-TPCIL!D58</f>
        <v>0</v>
      </c>
      <c r="AB48" s="105">
        <f>'Individual BD'!M48</f>
        <v>0</v>
      </c>
      <c r="AC48" s="105">
        <f>'Individual BD'!N48</f>
        <v>0</v>
      </c>
      <c r="AD48" s="105">
        <f>(INDEX(Entitlement!$A$4:$BC$102,ROW()+1,$AD$1)*(1-TPCIL!$L$11))-ISGS!S58</f>
        <v>0.00303199999999038</v>
      </c>
      <c r="AE48" s="107"/>
      <c r="AG48" s="114">
        <f t="shared" si="2"/>
        <v>4.12115170273813</v>
      </c>
    </row>
    <row r="49" s="98" customFormat="1" ht="18" customHeight="1" spans="1:33">
      <c r="A49" s="106" t="s">
        <v>60</v>
      </c>
      <c r="B49" s="107">
        <v>47</v>
      </c>
      <c r="C49" s="105">
        <f>'Individual BD'!C49</f>
        <v>47.33</v>
      </c>
      <c r="D49" s="105">
        <f>'Individual BD'!D49</f>
        <v>150.71</v>
      </c>
      <c r="E49" s="105">
        <f>'Individual BD'!E49</f>
        <v>62.26</v>
      </c>
      <c r="F49" s="105">
        <f>(INDEX(Entitlement!$A$4:$BC$102,ROW()+1,$F$1)*(1-TPCIL!$L$11))-ISGS!G59</f>
        <v>229.674432</v>
      </c>
      <c r="G49" s="105">
        <f>(INDEX(Entitlement!$A$4:$BC$102,ROW()+1,$G$1)*(1-TPCIL!$L$11))-ISGS!N59</f>
        <v>121.433883</v>
      </c>
      <c r="H49" s="105">
        <f>'Individual BD'!F49</f>
        <v>0</v>
      </c>
      <c r="I49" s="105">
        <f>'Individual BD'!G49</f>
        <v>124.33</v>
      </c>
      <c r="J49" s="105">
        <f>'Individual BD'!H49</f>
        <v>223.06</v>
      </c>
      <c r="K49" s="105">
        <f>'Individual BD'!I49</f>
        <v>517.22</v>
      </c>
      <c r="L49" s="105">
        <f>(INDEX(Entitlement!$A$4:$BC$102,ROW()+1,$L$1)*(1-TPCIL!$L$11))-ISGS!U59</f>
        <v>0.00347099999999756</v>
      </c>
      <c r="M49" s="105">
        <f>'Individual BD'!J49</f>
        <v>0</v>
      </c>
      <c r="N49" s="105">
        <f>'Individual BD'!K49</f>
        <v>0</v>
      </c>
      <c r="O49" s="105">
        <f>(INDEX(Entitlement!$A$4:$BC$102,ROW()+1,$O$1)*(1-TPCIL!$L$11))-ISGS!O59</f>
        <v>-0.00382899999999609</v>
      </c>
      <c r="P49" s="105">
        <f>(INDEX(Entitlement!$A$4:$BC$102,ROW()+1,$P$1)*(1-TPCIL!$L$11))-ISGS!P59</f>
        <v>0.00125900000000456</v>
      </c>
      <c r="Q49" s="105">
        <f>(INDEX(Entitlement!$A$4:$BC$102,ROW()+1,$Q$1)*(1-TPCIL!$L$11))-ISGS!R59</f>
        <v>0.00469499999999812</v>
      </c>
      <c r="R49" s="105">
        <f>(INDEX(Entitlement!$A$4:$BC$102,ROW()+1,$R$1)*(1-TPCIL!$L$11))-ISGS!L59</f>
        <v>0.00193399999999944</v>
      </c>
      <c r="S49" s="105">
        <f>(INDEX(Entitlement!$A$4:$BC$102,ROW()+1,$S$1)*(1-TPCIL!$L$11))-ISGS!J59</f>
        <v>-0.0049720000000022</v>
      </c>
      <c r="T49" s="105">
        <f>(INDEX(Entitlement!$A$4:$BC$102,ROW()+1,$T$1)*(1-TPCIL!$L$11))-ISGS!K59</f>
        <v>0.00225299999999606</v>
      </c>
      <c r="U49" s="105">
        <f>'Individual BD'!L49</f>
        <v>0</v>
      </c>
      <c r="V49" s="105">
        <f>(INDEX(Entitlement!$A$4:$BC$102,ROW()+1,$V$1))-ISGS!Q59</f>
        <v>0</v>
      </c>
      <c r="W49" s="105">
        <f>(INDEX(Entitlement!$A$4:$BC$102,ROW()+1,$W$1)*(1-TPCIL!$L$11))-ISGS!T59</f>
        <v>0.00110800000000211</v>
      </c>
      <c r="X49" s="105">
        <f>(INDEX(Entitlement!$A$4:$BC$102,ROW()+1,$X$1)*(1-TPCIL!$L$11))-ISGS!I59</f>
        <v>0.00251599999999996</v>
      </c>
      <c r="Y49" s="105">
        <f>(INDEX(Entitlement!$A$4:$BC$102,ROW()+1,$Y$1)*(1-TPCIL!$L$11))-ISGS!M59</f>
        <v>0.00215199999999527</v>
      </c>
      <c r="Z49" s="105">
        <f>TPCIL!I59-TPCIL!C59</f>
        <v>0.000544999999988249</v>
      </c>
      <c r="AA49" s="105">
        <f>TPCIL!P59-TPCIL!D59</f>
        <v>0</v>
      </c>
      <c r="AB49" s="105">
        <f>'Individual BD'!M49</f>
        <v>0</v>
      </c>
      <c r="AC49" s="105">
        <f>'Individual BD'!N49</f>
        <v>0</v>
      </c>
      <c r="AD49" s="105">
        <f>(INDEX(Entitlement!$A$4:$BC$102,ROW()+1,$AD$1)*(1-TPCIL!$L$11))-ISGS!S59</f>
        <v>0.00303199999999038</v>
      </c>
      <c r="AE49" s="107"/>
      <c r="AG49" s="114">
        <f t="shared" si="2"/>
        <v>4.11705986008794</v>
      </c>
    </row>
    <row r="50" s="98" customFormat="1" ht="18" customHeight="1" spans="1:33">
      <c r="A50" s="106" t="s">
        <v>61</v>
      </c>
      <c r="B50" s="107">
        <v>48</v>
      </c>
      <c r="C50" s="105">
        <f>'Individual BD'!C50</f>
        <v>46.73</v>
      </c>
      <c r="D50" s="105">
        <f>'Individual BD'!D50</f>
        <v>154.55</v>
      </c>
      <c r="E50" s="105">
        <f>'Individual BD'!E50</f>
        <v>66.28</v>
      </c>
      <c r="F50" s="105">
        <f>(INDEX(Entitlement!$A$4:$BC$102,ROW()+1,$F$1)*(1-TPCIL!$L$11))-ISGS!G60</f>
        <v>229.674432</v>
      </c>
      <c r="G50" s="105">
        <f>(INDEX(Entitlement!$A$4:$BC$102,ROW()+1,$G$1)*(1-TPCIL!$L$11))-ISGS!N60</f>
        <v>121.433883</v>
      </c>
      <c r="H50" s="105">
        <f>'Individual BD'!F50</f>
        <v>0</v>
      </c>
      <c r="I50" s="105">
        <f>'Individual BD'!G50</f>
        <v>126.76</v>
      </c>
      <c r="J50" s="105">
        <f>'Individual BD'!H50</f>
        <v>223.81</v>
      </c>
      <c r="K50" s="105">
        <f>'Individual BD'!I50</f>
        <v>593.06</v>
      </c>
      <c r="L50" s="105">
        <f>(INDEX(Entitlement!$A$4:$BC$102,ROW()+1,$L$1)*(1-TPCIL!$L$11))-ISGS!U60</f>
        <v>0.00347099999999756</v>
      </c>
      <c r="M50" s="105">
        <f>'Individual BD'!J50</f>
        <v>0</v>
      </c>
      <c r="N50" s="105">
        <f>'Individual BD'!K50</f>
        <v>0</v>
      </c>
      <c r="O50" s="105">
        <f>(INDEX(Entitlement!$A$4:$BC$102,ROW()+1,$O$1)*(1-TPCIL!$L$11))-ISGS!O60</f>
        <v>-0.00382899999999609</v>
      </c>
      <c r="P50" s="105">
        <f>(INDEX(Entitlement!$A$4:$BC$102,ROW()+1,$P$1)*(1-TPCIL!$L$11))-ISGS!P60</f>
        <v>0.00125900000000456</v>
      </c>
      <c r="Q50" s="105">
        <f>(INDEX(Entitlement!$A$4:$BC$102,ROW()+1,$Q$1)*(1-TPCIL!$L$11))-ISGS!R60</f>
        <v>0.00469499999999812</v>
      </c>
      <c r="R50" s="105">
        <f>(INDEX(Entitlement!$A$4:$BC$102,ROW()+1,$R$1)*(1-TPCIL!$L$11))-ISGS!L60</f>
        <v>0.00193399999999944</v>
      </c>
      <c r="S50" s="105">
        <f>(INDEX(Entitlement!$A$4:$BC$102,ROW()+1,$S$1)*(1-TPCIL!$L$11))-ISGS!J60</f>
        <v>-0.0049720000000022</v>
      </c>
      <c r="T50" s="105">
        <f>(INDEX(Entitlement!$A$4:$BC$102,ROW()+1,$T$1)*(1-TPCIL!$L$11))-ISGS!K60</f>
        <v>0.00225299999999606</v>
      </c>
      <c r="U50" s="105">
        <f>'Individual BD'!L50</f>
        <v>0</v>
      </c>
      <c r="V50" s="105">
        <f>(INDEX(Entitlement!$A$4:$BC$102,ROW()+1,$V$1))-ISGS!Q60</f>
        <v>0</v>
      </c>
      <c r="W50" s="105">
        <f>(INDEX(Entitlement!$A$4:$BC$102,ROW()+1,$W$1)*(1-TPCIL!$L$11))-ISGS!T60</f>
        <v>0.00110800000000211</v>
      </c>
      <c r="X50" s="105">
        <f>(INDEX(Entitlement!$A$4:$BC$102,ROW()+1,$X$1)*(1-TPCIL!$L$11))-ISGS!I60</f>
        <v>0.00251599999999996</v>
      </c>
      <c r="Y50" s="105">
        <f>(INDEX(Entitlement!$A$4:$BC$102,ROW()+1,$Y$1)*(1-TPCIL!$L$11))-ISGS!M60</f>
        <v>0.00215199999999527</v>
      </c>
      <c r="Z50" s="105">
        <f>TPCIL!I60-TPCIL!C60</f>
        <v>0.000544999999988249</v>
      </c>
      <c r="AA50" s="105">
        <f>TPCIL!P60-TPCIL!D60</f>
        <v>0</v>
      </c>
      <c r="AB50" s="105">
        <f>'Individual BD'!M50</f>
        <v>0</v>
      </c>
      <c r="AC50" s="105">
        <f>'Individual BD'!N50</f>
        <v>0</v>
      </c>
      <c r="AD50" s="105">
        <f>(INDEX(Entitlement!$A$4:$BC$102,ROW()+1,$AD$1)*(1-TPCIL!$L$11))-ISGS!S60</f>
        <v>0.00303199999999038</v>
      </c>
      <c r="AE50" s="107"/>
      <c r="AG50" s="114">
        <f t="shared" si="2"/>
        <v>4.10418327169811</v>
      </c>
    </row>
    <row r="51" s="98" customFormat="1" ht="18" customHeight="1" spans="1:33">
      <c r="A51" s="106" t="s">
        <v>62</v>
      </c>
      <c r="B51" s="107">
        <v>49</v>
      </c>
      <c r="C51" s="105">
        <f>'Individual BD'!C51</f>
        <v>51.57</v>
      </c>
      <c r="D51" s="105">
        <f>'Individual BD'!D51</f>
        <v>158.93</v>
      </c>
      <c r="E51" s="105">
        <f>'Individual BD'!E51</f>
        <v>58.13</v>
      </c>
      <c r="F51" s="105">
        <f>(INDEX(Entitlement!$A$4:$BC$102,ROW()+1,$F$1)*(1-TPCIL!$L$11))-ISGS!G61</f>
        <v>229.674432</v>
      </c>
      <c r="G51" s="105">
        <f>(INDEX(Entitlement!$A$4:$BC$102,ROW()+1,$G$1)*(1-TPCIL!$L$11))-ISGS!N61</f>
        <v>121.433883</v>
      </c>
      <c r="H51" s="105">
        <f>'Individual BD'!F51</f>
        <v>0</v>
      </c>
      <c r="I51" s="105">
        <f>'Individual BD'!G51</f>
        <v>122</v>
      </c>
      <c r="J51" s="105">
        <f>'Individual BD'!H51</f>
        <v>217.91</v>
      </c>
      <c r="K51" s="105">
        <f>'Individual BD'!I51</f>
        <v>0</v>
      </c>
      <c r="L51" s="105">
        <f>(INDEX(Entitlement!$A$4:$BC$102,ROW()+1,$L$1)*(1-TPCIL!$L$11))-ISGS!U61</f>
        <v>0.00347099999999756</v>
      </c>
      <c r="M51" s="105">
        <f>'Individual BD'!J51</f>
        <v>0</v>
      </c>
      <c r="N51" s="105">
        <f>'Individual BD'!K51</f>
        <v>0</v>
      </c>
      <c r="O51" s="105">
        <f>(INDEX(Entitlement!$A$4:$BC$102,ROW()+1,$O$1)*(1-TPCIL!$L$11))-ISGS!O61</f>
        <v>-0.00382899999999609</v>
      </c>
      <c r="P51" s="105">
        <f>(INDEX(Entitlement!$A$4:$BC$102,ROW()+1,$P$1)*(1-TPCIL!$L$11))-ISGS!P61</f>
        <v>0.00125900000000456</v>
      </c>
      <c r="Q51" s="105">
        <f>(INDEX(Entitlement!$A$4:$BC$102,ROW()+1,$Q$1)*(1-TPCIL!$L$11))-ISGS!R61</f>
        <v>0.00469499999999812</v>
      </c>
      <c r="R51" s="105">
        <f>(INDEX(Entitlement!$A$4:$BC$102,ROW()+1,$R$1)*(1-TPCIL!$L$11))-ISGS!L61</f>
        <v>0.00193399999999944</v>
      </c>
      <c r="S51" s="105">
        <f>(INDEX(Entitlement!$A$4:$BC$102,ROW()+1,$S$1)*(1-TPCIL!$L$11))-ISGS!J61</f>
        <v>-0.0049720000000022</v>
      </c>
      <c r="T51" s="105">
        <f>(INDEX(Entitlement!$A$4:$BC$102,ROW()+1,$T$1)*(1-TPCIL!$L$11))-ISGS!K61</f>
        <v>0.00225299999999606</v>
      </c>
      <c r="U51" s="105">
        <f>'Individual BD'!L51</f>
        <v>0</v>
      </c>
      <c r="V51" s="105">
        <f>(INDEX(Entitlement!$A$4:$BC$102,ROW()+1,$V$1))-ISGS!Q61</f>
        <v>0</v>
      </c>
      <c r="W51" s="105">
        <f>(INDEX(Entitlement!$A$4:$BC$102,ROW()+1,$W$1)*(1-TPCIL!$L$11))-ISGS!T61</f>
        <v>0.00110800000000211</v>
      </c>
      <c r="X51" s="105">
        <f>(INDEX(Entitlement!$A$4:$BC$102,ROW()+1,$X$1)*(1-TPCIL!$L$11))-ISGS!I61</f>
        <v>0.00251599999999996</v>
      </c>
      <c r="Y51" s="105">
        <f>(INDEX(Entitlement!$A$4:$BC$102,ROW()+1,$Y$1)*(1-TPCIL!$L$11))-ISGS!M61</f>
        <v>0.00215199999999527</v>
      </c>
      <c r="Z51" s="105">
        <f>TPCIL!I61-TPCIL!C61</f>
        <v>0.000544999999988249</v>
      </c>
      <c r="AA51" s="105">
        <f>TPCIL!P61-TPCIL!D61</f>
        <v>0</v>
      </c>
      <c r="AB51" s="105">
        <f>'Individual BD'!M51</f>
        <v>0</v>
      </c>
      <c r="AC51" s="105">
        <f>'Individual BD'!N51</f>
        <v>0</v>
      </c>
      <c r="AD51" s="105">
        <f>(INDEX(Entitlement!$A$4:$BC$102,ROW()+1,$AD$1)*(1-TPCIL!$L$11))-ISGS!S61</f>
        <v>0.00303199999999038</v>
      </c>
      <c r="AE51" s="107"/>
      <c r="AG51" s="114">
        <f t="shared" si="2"/>
        <v>4.27950303502176</v>
      </c>
    </row>
    <row r="52" s="98" customFormat="1" ht="18" customHeight="1" spans="1:33">
      <c r="A52" s="106" t="s">
        <v>63</v>
      </c>
      <c r="B52" s="107">
        <v>50</v>
      </c>
      <c r="C52" s="105">
        <f>'Individual BD'!C52</f>
        <v>47.76</v>
      </c>
      <c r="D52" s="105">
        <f>'Individual BD'!D52</f>
        <v>160.55</v>
      </c>
      <c r="E52" s="105">
        <f>'Individual BD'!E52</f>
        <v>62.15</v>
      </c>
      <c r="F52" s="105">
        <f>(INDEX(Entitlement!$A$4:$BC$102,ROW()+1,$F$1)*(1-TPCIL!$L$11))-ISGS!G62</f>
        <v>229.674432</v>
      </c>
      <c r="G52" s="105">
        <f>(INDEX(Entitlement!$A$4:$BC$102,ROW()+1,$G$1)*(1-TPCIL!$L$11))-ISGS!N62</f>
        <v>121.433883</v>
      </c>
      <c r="H52" s="105">
        <f>'Individual BD'!F52</f>
        <v>0</v>
      </c>
      <c r="I52" s="105">
        <f>'Individual BD'!G52</f>
        <v>121.48</v>
      </c>
      <c r="J52" s="105">
        <f>'Individual BD'!H52</f>
        <v>217.77</v>
      </c>
      <c r="K52" s="105">
        <f>'Individual BD'!I52</f>
        <v>0</v>
      </c>
      <c r="L52" s="105">
        <f>(INDEX(Entitlement!$A$4:$BC$102,ROW()+1,$L$1)*(1-TPCIL!$L$11))-ISGS!U62</f>
        <v>0.00347099999999756</v>
      </c>
      <c r="M52" s="105">
        <f>'Individual BD'!J52</f>
        <v>0</v>
      </c>
      <c r="N52" s="105">
        <f>'Individual BD'!K52</f>
        <v>0</v>
      </c>
      <c r="O52" s="105">
        <f>(INDEX(Entitlement!$A$4:$BC$102,ROW()+1,$O$1)*(1-TPCIL!$L$11))-ISGS!O62</f>
        <v>-0.00382899999999609</v>
      </c>
      <c r="P52" s="105">
        <f>(INDEX(Entitlement!$A$4:$BC$102,ROW()+1,$P$1)*(1-TPCIL!$L$11))-ISGS!P62</f>
        <v>0.00125900000000456</v>
      </c>
      <c r="Q52" s="105">
        <f>(INDEX(Entitlement!$A$4:$BC$102,ROW()+1,$Q$1)*(1-TPCIL!$L$11))-ISGS!R62</f>
        <v>0.00469499999999812</v>
      </c>
      <c r="R52" s="105">
        <f>(INDEX(Entitlement!$A$4:$BC$102,ROW()+1,$R$1)*(1-TPCIL!$L$11))-ISGS!L62</f>
        <v>0.00193399999999944</v>
      </c>
      <c r="S52" s="105">
        <f>(INDEX(Entitlement!$A$4:$BC$102,ROW()+1,$S$1)*(1-TPCIL!$L$11))-ISGS!J62</f>
        <v>-0.0049720000000022</v>
      </c>
      <c r="T52" s="105">
        <f>(INDEX(Entitlement!$A$4:$BC$102,ROW()+1,$T$1)*(1-TPCIL!$L$11))-ISGS!K62</f>
        <v>0.00225299999999606</v>
      </c>
      <c r="U52" s="105">
        <f>'Individual BD'!L52</f>
        <v>0</v>
      </c>
      <c r="V52" s="105">
        <f>(INDEX(Entitlement!$A$4:$BC$102,ROW()+1,$V$1))-ISGS!Q62</f>
        <v>0</v>
      </c>
      <c r="W52" s="105">
        <f>(INDEX(Entitlement!$A$4:$BC$102,ROW()+1,$W$1)*(1-TPCIL!$L$11))-ISGS!T62</f>
        <v>0.00110800000000211</v>
      </c>
      <c r="X52" s="105">
        <f>(INDEX(Entitlement!$A$4:$BC$102,ROW()+1,$X$1)*(1-TPCIL!$L$11))-ISGS!I62</f>
        <v>0.00251599999999996</v>
      </c>
      <c r="Y52" s="105">
        <f>(INDEX(Entitlement!$A$4:$BC$102,ROW()+1,$Y$1)*(1-TPCIL!$L$11))-ISGS!M62</f>
        <v>0.00215199999999527</v>
      </c>
      <c r="Z52" s="105">
        <f>TPCIL!I62-TPCIL!C62</f>
        <v>0.000544999999988249</v>
      </c>
      <c r="AA52" s="105">
        <f>TPCIL!P62-TPCIL!D62</f>
        <v>0</v>
      </c>
      <c r="AB52" s="105">
        <f>'Individual BD'!M52</f>
        <v>0</v>
      </c>
      <c r="AC52" s="105">
        <f>'Individual BD'!N52</f>
        <v>0</v>
      </c>
      <c r="AD52" s="105">
        <f>(INDEX(Entitlement!$A$4:$BC$102,ROW()+1,$AD$1)*(1-TPCIL!$L$11))-ISGS!S62</f>
        <v>0.00303199999999038</v>
      </c>
      <c r="AE52" s="107"/>
      <c r="AG52" s="114">
        <f t="shared" si="2"/>
        <v>4.27991868650914</v>
      </c>
    </row>
    <row r="53" s="98" customFormat="1" ht="18" customHeight="1" spans="1:33">
      <c r="A53" s="106" t="s">
        <v>64</v>
      </c>
      <c r="B53" s="107">
        <v>51</v>
      </c>
      <c r="C53" s="105">
        <f>'Individual BD'!C53</f>
        <v>49.77</v>
      </c>
      <c r="D53" s="105">
        <f>'Individual BD'!D53</f>
        <v>161.98</v>
      </c>
      <c r="E53" s="105">
        <f>'Individual BD'!E53</f>
        <v>59.1</v>
      </c>
      <c r="F53" s="105">
        <f>(INDEX(Entitlement!$A$4:$BC$102,ROW()+1,$F$1)*(1-TPCIL!$L$11))-ISGS!G63</f>
        <v>229.674432</v>
      </c>
      <c r="G53" s="105">
        <f>(INDEX(Entitlement!$A$4:$BC$102,ROW()+1,$G$1)*(1-TPCIL!$L$11))-ISGS!N63</f>
        <v>121.433883</v>
      </c>
      <c r="H53" s="105">
        <f>'Individual BD'!F53</f>
        <v>0</v>
      </c>
      <c r="I53" s="105">
        <f>'Individual BD'!G53</f>
        <v>127.21</v>
      </c>
      <c r="J53" s="105">
        <f>'Individual BD'!H53</f>
        <v>216.68</v>
      </c>
      <c r="K53" s="105">
        <f>'Individual BD'!I53</f>
        <v>0</v>
      </c>
      <c r="L53" s="105">
        <f>(INDEX(Entitlement!$A$4:$BC$102,ROW()+1,$L$1)*(1-TPCIL!$L$11))-ISGS!U63</f>
        <v>0.00347099999999756</v>
      </c>
      <c r="M53" s="105">
        <f>'Individual BD'!J53</f>
        <v>0</v>
      </c>
      <c r="N53" s="105">
        <f>'Individual BD'!K53</f>
        <v>0</v>
      </c>
      <c r="O53" s="105">
        <f>(INDEX(Entitlement!$A$4:$BC$102,ROW()+1,$O$1)*(1-TPCIL!$L$11))-ISGS!O63</f>
        <v>-0.00382899999999609</v>
      </c>
      <c r="P53" s="105">
        <f>(INDEX(Entitlement!$A$4:$BC$102,ROW()+1,$P$1)*(1-TPCIL!$L$11))-ISGS!P63</f>
        <v>0.00125900000000456</v>
      </c>
      <c r="Q53" s="105">
        <f>(INDEX(Entitlement!$A$4:$BC$102,ROW()+1,$Q$1)*(1-TPCIL!$L$11))-ISGS!R63</f>
        <v>0.00469499999999812</v>
      </c>
      <c r="R53" s="105">
        <f>(INDEX(Entitlement!$A$4:$BC$102,ROW()+1,$R$1)*(1-TPCIL!$L$11))-ISGS!L63</f>
        <v>0.00193399999999944</v>
      </c>
      <c r="S53" s="105">
        <f>(INDEX(Entitlement!$A$4:$BC$102,ROW()+1,$S$1)*(1-TPCIL!$L$11))-ISGS!J63</f>
        <v>-0.0049720000000022</v>
      </c>
      <c r="T53" s="105">
        <f>(INDEX(Entitlement!$A$4:$BC$102,ROW()+1,$T$1)*(1-TPCIL!$L$11))-ISGS!K63</f>
        <v>0.00225299999999606</v>
      </c>
      <c r="U53" s="105">
        <f>'Individual BD'!L53</f>
        <v>0</v>
      </c>
      <c r="V53" s="105">
        <f>(INDEX(Entitlement!$A$4:$BC$102,ROW()+1,$V$1))-ISGS!Q63</f>
        <v>0</v>
      </c>
      <c r="W53" s="105">
        <f>(INDEX(Entitlement!$A$4:$BC$102,ROW()+1,$W$1)*(1-TPCIL!$L$11))-ISGS!T63</f>
        <v>0.00110800000000211</v>
      </c>
      <c r="X53" s="105">
        <f>(INDEX(Entitlement!$A$4:$BC$102,ROW()+1,$X$1)*(1-TPCIL!$L$11))-ISGS!I63</f>
        <v>0.00436299999999878</v>
      </c>
      <c r="Y53" s="105">
        <f>(INDEX(Entitlement!$A$4:$BC$102,ROW()+1,$Y$1)*(1-TPCIL!$L$11))-ISGS!M63</f>
        <v>0.00215199999999527</v>
      </c>
      <c r="Z53" s="105">
        <f>TPCIL!I63-TPCIL!C63</f>
        <v>0.000544999999988249</v>
      </c>
      <c r="AA53" s="105">
        <f>TPCIL!P63-TPCIL!D63</f>
        <v>0</v>
      </c>
      <c r="AB53" s="105">
        <f>'Individual BD'!M53</f>
        <v>0</v>
      </c>
      <c r="AC53" s="105">
        <f>'Individual BD'!N53</f>
        <v>0</v>
      </c>
      <c r="AD53" s="113">
        <f>(INDEX(Entitlement!$A$4:$BC$102,ROW()+1,$AD$1)*(1-TPCIL!$L$11))-ISGS!S63</f>
        <v>0.00303199999999038</v>
      </c>
      <c r="AE53" s="107"/>
      <c r="AG53" s="114">
        <f t="shared" si="2"/>
        <v>4.27946998950037</v>
      </c>
    </row>
    <row r="54" s="98" customFormat="1" ht="18" customHeight="1" spans="1:33">
      <c r="A54" s="106" t="s">
        <v>65</v>
      </c>
      <c r="B54" s="107">
        <v>52</v>
      </c>
      <c r="C54" s="105">
        <f>'Individual BD'!C54</f>
        <v>51.51</v>
      </c>
      <c r="D54" s="105">
        <f>'Individual BD'!D54</f>
        <v>165.31</v>
      </c>
      <c r="E54" s="105">
        <f>'Individual BD'!E54</f>
        <v>66.48</v>
      </c>
      <c r="F54" s="105">
        <f>(INDEX(Entitlement!$A$4:$BC$102,ROW()+1,$F$1)*(1-TPCIL!$L$11))-ISGS!G64</f>
        <v>229.674432</v>
      </c>
      <c r="G54" s="105">
        <f>(INDEX(Entitlement!$A$4:$BC$102,ROW()+1,$G$1)*(1-TPCIL!$L$11))-ISGS!N64</f>
        <v>121.433883</v>
      </c>
      <c r="H54" s="105">
        <f>'Individual BD'!F54</f>
        <v>0</v>
      </c>
      <c r="I54" s="105">
        <f>'Individual BD'!G54</f>
        <v>127.31</v>
      </c>
      <c r="J54" s="105">
        <f>'Individual BD'!H54</f>
        <v>220.1</v>
      </c>
      <c r="K54" s="105">
        <f>'Individual BD'!I54</f>
        <v>0</v>
      </c>
      <c r="L54" s="105">
        <f>(INDEX(Entitlement!$A$4:$BC$102,ROW()+1,$L$1)*(1-TPCIL!$L$11))-ISGS!U64</f>
        <v>59.103471</v>
      </c>
      <c r="M54" s="105">
        <f>'Individual BD'!J54</f>
        <v>0</v>
      </c>
      <c r="N54" s="105">
        <f>'Individual BD'!K54</f>
        <v>0</v>
      </c>
      <c r="O54" s="105">
        <f>(INDEX(Entitlement!$A$4:$BC$102,ROW()+1,$O$1)*(1-TPCIL!$L$11))-ISGS!O64</f>
        <v>140.126171</v>
      </c>
      <c r="P54" s="105">
        <f>(INDEX(Entitlement!$A$4:$BC$102,ROW()+1,$P$1)*(1-TPCIL!$L$11))-ISGS!P64</f>
        <v>34.271259</v>
      </c>
      <c r="Q54" s="105">
        <f>(INDEX(Entitlement!$A$4:$BC$102,ROW()+1,$Q$1)*(1-TPCIL!$L$11))-ISGS!R64</f>
        <v>62.014695</v>
      </c>
      <c r="R54" s="105">
        <f>(INDEX(Entitlement!$A$4:$BC$102,ROW()+1,$R$1)*(1-TPCIL!$L$11))-ISGS!L64</f>
        <v>7.481934</v>
      </c>
      <c r="S54" s="105">
        <f>(INDEX(Entitlement!$A$4:$BC$102,ROW()+1,$S$1)*(1-TPCIL!$L$11))-ISGS!J64</f>
        <v>25.980545</v>
      </c>
      <c r="T54" s="105">
        <f>(INDEX(Entitlement!$A$4:$BC$102,ROW()+1,$T$1)*(1-TPCIL!$L$11))-ISGS!K64</f>
        <v>26.933061</v>
      </c>
      <c r="U54" s="105">
        <f>'Individual BD'!L54</f>
        <v>0</v>
      </c>
      <c r="V54" s="105">
        <f>(INDEX(Entitlement!$A$4:$BC$102,ROW()+1,$V$1))-ISGS!Q64</f>
        <v>0</v>
      </c>
      <c r="W54" s="105">
        <f>(INDEX(Entitlement!$A$4:$BC$102,ROW()+1,$W$1)*(1-TPCIL!$L$11))-ISGS!T64</f>
        <v>0.00110800000000211</v>
      </c>
      <c r="X54" s="105">
        <f>(INDEX(Entitlement!$A$4:$BC$102,ROW()+1,$X$1)*(1-TPCIL!$L$11))-ISGS!I64</f>
        <v>0.00436299999999878</v>
      </c>
      <c r="Y54" s="105">
        <f>(INDEX(Entitlement!$A$4:$BC$102,ROW()+1,$Y$1)*(1-TPCIL!$L$11))-ISGS!M64</f>
        <v>0.00215199999999527</v>
      </c>
      <c r="Z54" s="105">
        <f>TPCIL!I64-TPCIL!C64</f>
        <v>0.000544999999988249</v>
      </c>
      <c r="AA54" s="105">
        <f>TPCIL!P64-TPCIL!D64</f>
        <v>0</v>
      </c>
      <c r="AB54" s="105">
        <f>'Individual BD'!M54</f>
        <v>0</v>
      </c>
      <c r="AC54" s="105">
        <f>'Individual BD'!N54</f>
        <v>0</v>
      </c>
      <c r="AD54" s="105">
        <f>(INDEX(Entitlement!$A$4:$BC$102,ROW()+1,$AD$1)*(1-TPCIL!$L$11))-ISGS!S64</f>
        <v>0.00303199999999038</v>
      </c>
      <c r="AE54" s="107"/>
      <c r="AG54" s="114">
        <f t="shared" si="2"/>
        <v>4.07581051423921</v>
      </c>
    </row>
    <row r="55" s="98" customFormat="1" ht="18" customHeight="1" spans="1:33">
      <c r="A55" s="106" t="s">
        <v>66</v>
      </c>
      <c r="B55" s="107">
        <v>53</v>
      </c>
      <c r="C55" s="105">
        <f>'Individual BD'!C55</f>
        <v>48.04</v>
      </c>
      <c r="D55" s="105">
        <f>'Individual BD'!D55</f>
        <v>164.21</v>
      </c>
      <c r="E55" s="105">
        <f>'Individual BD'!E55</f>
        <v>63.22</v>
      </c>
      <c r="F55" s="105">
        <f>(INDEX(Entitlement!$A$4:$BC$102,ROW()+1,$F$1)*(1-TPCIL!$L$11))-ISGS!G65</f>
        <v>229.674432</v>
      </c>
      <c r="G55" s="105">
        <f>(INDEX(Entitlement!$A$4:$BC$102,ROW()+1,$G$1)*(1-TPCIL!$L$11))-ISGS!N65</f>
        <v>121.433883</v>
      </c>
      <c r="H55" s="105">
        <f>'Individual BD'!F55</f>
        <v>0</v>
      </c>
      <c r="I55" s="105">
        <f>'Individual BD'!G55</f>
        <v>123.39</v>
      </c>
      <c r="J55" s="105">
        <f>'Individual BD'!H55</f>
        <v>219.54</v>
      </c>
      <c r="K55" s="105">
        <f>'Individual BD'!I55</f>
        <v>0</v>
      </c>
      <c r="L55" s="105">
        <f>(INDEX(Entitlement!$A$4:$BC$102,ROW()+1,$L$1)*(1-TPCIL!$L$11))-ISGS!U65</f>
        <v>59.103471</v>
      </c>
      <c r="M55" s="105">
        <f>'Individual BD'!J55</f>
        <v>0</v>
      </c>
      <c r="N55" s="105">
        <f>'Individual BD'!K55</f>
        <v>0</v>
      </c>
      <c r="O55" s="105">
        <f>(INDEX(Entitlement!$A$4:$BC$102,ROW()+1,$O$1)*(1-TPCIL!$L$11))-ISGS!O65</f>
        <v>253.176171</v>
      </c>
      <c r="P55" s="105">
        <f>(INDEX(Entitlement!$A$4:$BC$102,ROW()+1,$P$1)*(1-TPCIL!$L$11))-ISGS!P65</f>
        <v>62.121259</v>
      </c>
      <c r="Q55" s="105">
        <f>(INDEX(Entitlement!$A$4:$BC$102,ROW()+1,$Q$1)*(1-TPCIL!$L$11))-ISGS!R65</f>
        <v>139.234695</v>
      </c>
      <c r="R55" s="105">
        <f>(INDEX(Entitlement!$A$4:$BC$102,ROW()+1,$R$1)*(1-TPCIL!$L$11))-ISGS!L65</f>
        <v>7.481934</v>
      </c>
      <c r="S55" s="105">
        <f>(INDEX(Entitlement!$A$4:$BC$102,ROW()+1,$S$1)*(1-TPCIL!$L$11))-ISGS!J65</f>
        <v>29.080545</v>
      </c>
      <c r="T55" s="105">
        <f>(INDEX(Entitlement!$A$4:$BC$102,ROW()+1,$T$1)*(1-TPCIL!$L$11))-ISGS!K65</f>
        <v>36.353061</v>
      </c>
      <c r="U55" s="105">
        <f>'Individual BD'!L55</f>
        <v>0</v>
      </c>
      <c r="V55" s="105">
        <f>(INDEX(Entitlement!$A$4:$BC$102,ROW()+1,$V$1))-ISGS!Q65</f>
        <v>0</v>
      </c>
      <c r="W55" s="105">
        <f>(INDEX(Entitlement!$A$4:$BC$102,ROW()+1,$W$1)*(1-TPCIL!$L$11))-ISGS!T65</f>
        <v>0.00110800000000211</v>
      </c>
      <c r="X55" s="105">
        <f>(INDEX(Entitlement!$A$4:$BC$102,ROW()+1,$X$1)*(1-TPCIL!$L$11))-ISGS!I65</f>
        <v>0.00436299999999878</v>
      </c>
      <c r="Y55" s="105">
        <f>(INDEX(Entitlement!$A$4:$BC$102,ROW()+1,$Y$1)*(1-TPCIL!$L$11))-ISGS!M65</f>
        <v>0.00215199999999527</v>
      </c>
      <c r="Z55" s="105">
        <f>TPCIL!I65-TPCIL!C65</f>
        <v>0.000544999999988249</v>
      </c>
      <c r="AA55" s="105">
        <f>TPCIL!P65-TPCIL!D65</f>
        <v>0</v>
      </c>
      <c r="AB55" s="105">
        <f>'Individual BD'!M55</f>
        <v>0</v>
      </c>
      <c r="AC55" s="105">
        <f>'Individual BD'!N55</f>
        <v>0</v>
      </c>
      <c r="AD55" s="105">
        <f>(INDEX(Entitlement!$A$4:$BC$102,ROW()+1,$AD$1)*(1-TPCIL!$L$11))-ISGS!S65</f>
        <v>0.00303199999999038</v>
      </c>
      <c r="AE55" s="107"/>
      <c r="AG55" s="114">
        <f t="shared" si="2"/>
        <v>3.9857275546488</v>
      </c>
    </row>
    <row r="56" s="98" customFormat="1" ht="18" customHeight="1" spans="1:33">
      <c r="A56" s="106" t="s">
        <v>67</v>
      </c>
      <c r="B56" s="107">
        <v>54</v>
      </c>
      <c r="C56" s="105">
        <f>'Individual BD'!C56</f>
        <v>54.85</v>
      </c>
      <c r="D56" s="105">
        <f>'Individual BD'!D56</f>
        <v>157.44</v>
      </c>
      <c r="E56" s="105">
        <f>'Individual BD'!E56</f>
        <v>66.84</v>
      </c>
      <c r="F56" s="105">
        <f>(INDEX(Entitlement!$A$4:$BC$102,ROW()+1,$F$1)*(1-TPCIL!$L$11))-ISGS!G66</f>
        <v>229.674432</v>
      </c>
      <c r="G56" s="105">
        <f>(INDEX(Entitlement!$A$4:$BC$102,ROW()+1,$G$1)*(1-TPCIL!$L$11))-ISGS!N66</f>
        <v>121.433883</v>
      </c>
      <c r="H56" s="105">
        <f>'Individual BD'!F56</f>
        <v>0</v>
      </c>
      <c r="I56" s="105">
        <f>'Individual BD'!G56</f>
        <v>118.78</v>
      </c>
      <c r="J56" s="105">
        <f>'Individual BD'!H56</f>
        <v>222.27</v>
      </c>
      <c r="K56" s="105">
        <f>'Individual BD'!I56</f>
        <v>0</v>
      </c>
      <c r="L56" s="105">
        <f>(INDEX(Entitlement!$A$4:$BC$102,ROW()+1,$L$1)*(1-TPCIL!$L$11))-ISGS!U66</f>
        <v>59.103471</v>
      </c>
      <c r="M56" s="105">
        <f>'Individual BD'!J56</f>
        <v>0</v>
      </c>
      <c r="N56" s="105">
        <f>'Individual BD'!K56</f>
        <v>0</v>
      </c>
      <c r="O56" s="105">
        <f>(INDEX(Entitlement!$A$4:$BC$102,ROW()+1,$O$1)*(1-TPCIL!$L$11))-ISGS!O66</f>
        <v>280.896171</v>
      </c>
      <c r="P56" s="105">
        <f>(INDEX(Entitlement!$A$4:$BC$102,ROW()+1,$P$1)*(1-TPCIL!$L$11))-ISGS!P66</f>
        <v>71.021259</v>
      </c>
      <c r="Q56" s="105">
        <f>(INDEX(Entitlement!$A$4:$BC$102,ROW()+1,$Q$1)*(1-TPCIL!$L$11))-ISGS!R66</f>
        <v>198.994695</v>
      </c>
      <c r="R56" s="105">
        <f>(INDEX(Entitlement!$A$4:$BC$102,ROW()+1,$R$1)*(1-TPCIL!$L$11))-ISGS!L66</f>
        <v>7.481934</v>
      </c>
      <c r="S56" s="105">
        <f>(INDEX(Entitlement!$A$4:$BC$102,ROW()+1,$S$1)*(1-TPCIL!$L$11))-ISGS!J66</f>
        <v>29.080545</v>
      </c>
      <c r="T56" s="105">
        <f>(INDEX(Entitlement!$A$4:$BC$102,ROW()+1,$T$1)*(1-TPCIL!$L$11))-ISGS!K66</f>
        <v>36.353061</v>
      </c>
      <c r="U56" s="105">
        <f>'Individual BD'!L56</f>
        <v>0</v>
      </c>
      <c r="V56" s="105">
        <f>(INDEX(Entitlement!$A$4:$BC$102,ROW()+1,$V$1))-ISGS!Q66</f>
        <v>0</v>
      </c>
      <c r="W56" s="105">
        <f>(INDEX(Entitlement!$A$4:$BC$102,ROW()+1,$W$1)*(1-TPCIL!$L$11))-ISGS!T66</f>
        <v>0.00110800000000211</v>
      </c>
      <c r="X56" s="105">
        <f>(INDEX(Entitlement!$A$4:$BC$102,ROW()+1,$X$1)*(1-TPCIL!$L$11))-ISGS!I66</f>
        <v>0.00436299999999878</v>
      </c>
      <c r="Y56" s="105">
        <f>(INDEX(Entitlement!$A$4:$BC$102,ROW()+1,$Y$1)*(1-TPCIL!$L$11))-ISGS!M66</f>
        <v>0.00215199999999527</v>
      </c>
      <c r="Z56" s="105">
        <f>TPCIL!I66-TPCIL!C66</f>
        <v>0.000544999999988249</v>
      </c>
      <c r="AA56" s="105">
        <f>TPCIL!P66-TPCIL!D66</f>
        <v>0</v>
      </c>
      <c r="AB56" s="105">
        <f>'Individual BD'!M56</f>
        <v>0</v>
      </c>
      <c r="AC56" s="105">
        <f>'Individual BD'!N56</f>
        <v>0</v>
      </c>
      <c r="AD56" s="105">
        <f>(INDEX(Entitlement!$A$4:$BC$102,ROW()+1,$AD$1)*(1-TPCIL!$L$11))-ISGS!S66</f>
        <v>0.00303199999999038</v>
      </c>
      <c r="AE56" s="107"/>
      <c r="AG56" s="114">
        <f t="shared" si="2"/>
        <v>3.95572710293771</v>
      </c>
    </row>
    <row r="57" s="98" customFormat="1" ht="18" customHeight="1" spans="1:33">
      <c r="A57" s="106" t="s">
        <v>68</v>
      </c>
      <c r="B57" s="107">
        <v>55</v>
      </c>
      <c r="C57" s="105">
        <f>'Individual BD'!C57</f>
        <v>54.1</v>
      </c>
      <c r="D57" s="105">
        <f>'Individual BD'!D57</f>
        <v>151.78</v>
      </c>
      <c r="E57" s="105">
        <f>'Individual BD'!E57</f>
        <v>63.11</v>
      </c>
      <c r="F57" s="105">
        <f>(INDEX(Entitlement!$A$4:$BC$102,ROW()+1,$F$1)*(1-TPCIL!$L$11))-ISGS!G67</f>
        <v>229.674432</v>
      </c>
      <c r="G57" s="105">
        <f>(INDEX(Entitlement!$A$4:$BC$102,ROW()+1,$G$1)*(1-TPCIL!$L$11))-ISGS!N67</f>
        <v>121.433883</v>
      </c>
      <c r="H57" s="105">
        <f>'Individual BD'!F57</f>
        <v>0</v>
      </c>
      <c r="I57" s="105">
        <f>'Individual BD'!G57</f>
        <v>120.32</v>
      </c>
      <c r="J57" s="105">
        <f>'Individual BD'!H57</f>
        <v>222.14</v>
      </c>
      <c r="K57" s="105">
        <f>'Individual BD'!I57</f>
        <v>0</v>
      </c>
      <c r="L57" s="105">
        <f>(INDEX(Entitlement!$A$4:$BC$102,ROW()+1,$L$1)*(1-TPCIL!$L$11))-ISGS!U67</f>
        <v>59.103471</v>
      </c>
      <c r="M57" s="105">
        <f>'Individual BD'!J57</f>
        <v>0</v>
      </c>
      <c r="N57" s="105">
        <f>'Individual BD'!K57</f>
        <v>0</v>
      </c>
      <c r="O57" s="105">
        <f>(INDEX(Entitlement!$A$4:$BC$102,ROW()+1,$O$1)*(1-TPCIL!$L$11))-ISGS!O67</f>
        <v>243.416171</v>
      </c>
      <c r="P57" s="105">
        <f>(INDEX(Entitlement!$A$4:$BC$102,ROW()+1,$P$1)*(1-TPCIL!$L$11))-ISGS!P67</f>
        <v>64.321259</v>
      </c>
      <c r="Q57" s="105">
        <f>(INDEX(Entitlement!$A$4:$BC$102,ROW()+1,$Q$1)*(1-TPCIL!$L$11))-ISGS!R67</f>
        <v>194.814695</v>
      </c>
      <c r="R57" s="105">
        <f>(INDEX(Entitlement!$A$4:$BC$102,ROW()+1,$R$1)*(1-TPCIL!$L$11))-ISGS!L67</f>
        <v>7.481934</v>
      </c>
      <c r="S57" s="105">
        <f>(INDEX(Entitlement!$A$4:$BC$102,ROW()+1,$S$1)*(1-TPCIL!$L$11))-ISGS!J67</f>
        <v>0.00054500000000246</v>
      </c>
      <c r="T57" s="105">
        <f>(INDEX(Entitlement!$A$4:$BC$102,ROW()+1,$T$1)*(1-TPCIL!$L$11))-ISGS!K67</f>
        <v>2.023061</v>
      </c>
      <c r="U57" s="105">
        <f>'Individual BD'!L57</f>
        <v>0</v>
      </c>
      <c r="V57" s="105">
        <f>(INDEX(Entitlement!$A$4:$BC$102,ROW()+1,$V$1))-ISGS!Q67</f>
        <v>0</v>
      </c>
      <c r="W57" s="105">
        <f>(INDEX(Entitlement!$A$4:$BC$102,ROW()+1,$W$1)*(1-TPCIL!$L$11))-ISGS!T67</f>
        <v>0.00110800000000211</v>
      </c>
      <c r="X57" s="105">
        <f>(INDEX(Entitlement!$A$4:$BC$102,ROW()+1,$X$1)*(1-TPCIL!$L$11))-ISGS!I67</f>
        <v>0.00436299999999878</v>
      </c>
      <c r="Y57" s="105">
        <f>(INDEX(Entitlement!$A$4:$BC$102,ROW()+1,$Y$1)*(1-TPCIL!$L$11))-ISGS!M67</f>
        <v>0.00215199999999527</v>
      </c>
      <c r="Z57" s="105">
        <f>TPCIL!I67-TPCIL!C67</f>
        <v>0.000544999999988249</v>
      </c>
      <c r="AA57" s="105">
        <f>TPCIL!P67-TPCIL!D67</f>
        <v>0</v>
      </c>
      <c r="AB57" s="105">
        <f>'Individual BD'!M57</f>
        <v>0</v>
      </c>
      <c r="AC57" s="105">
        <f>'Individual BD'!N57</f>
        <v>0</v>
      </c>
      <c r="AD57" s="105">
        <f>(INDEX(Entitlement!$A$4:$BC$102,ROW()+1,$AD$1)*(1-TPCIL!$L$11))-ISGS!S67</f>
        <v>0.00303199999999038</v>
      </c>
      <c r="AE57" s="107"/>
      <c r="AG57" s="114">
        <f t="shared" si="2"/>
        <v>3.99101489996303</v>
      </c>
    </row>
    <row r="58" s="98" customFormat="1" ht="18" customHeight="1" spans="1:33">
      <c r="A58" s="106" t="s">
        <v>69</v>
      </c>
      <c r="B58" s="107">
        <v>56</v>
      </c>
      <c r="C58" s="105">
        <f>'Individual BD'!C58</f>
        <v>42.7</v>
      </c>
      <c r="D58" s="105">
        <f>'Individual BD'!D58</f>
        <v>153.03</v>
      </c>
      <c r="E58" s="105">
        <f>'Individual BD'!E58</f>
        <v>66.03</v>
      </c>
      <c r="F58" s="105">
        <f>(INDEX(Entitlement!$A$4:$BC$102,ROW()+1,$F$1)*(1-TPCIL!$L$11))-ISGS!G68</f>
        <v>229.674432</v>
      </c>
      <c r="G58" s="105">
        <f>(INDEX(Entitlement!$A$4:$BC$102,ROW()+1,$G$1)*(1-TPCIL!$L$11))-ISGS!N68</f>
        <v>121.433883</v>
      </c>
      <c r="H58" s="105">
        <f>'Individual BD'!F58</f>
        <v>0</v>
      </c>
      <c r="I58" s="105">
        <f>'Individual BD'!G58</f>
        <v>124.89</v>
      </c>
      <c r="J58" s="105">
        <f>'Individual BD'!H58</f>
        <v>221.12</v>
      </c>
      <c r="K58" s="105">
        <f>'Individual BD'!I58</f>
        <v>0</v>
      </c>
      <c r="L58" s="105">
        <f>(INDEX(Entitlement!$A$4:$BC$102,ROW()+1,$L$1)*(1-TPCIL!$L$11))-ISGS!U68</f>
        <v>50.243471</v>
      </c>
      <c r="M58" s="105">
        <f>'Individual BD'!J58</f>
        <v>0</v>
      </c>
      <c r="N58" s="105">
        <f>'Individual BD'!K58</f>
        <v>0</v>
      </c>
      <c r="O58" s="105">
        <f>(INDEX(Entitlement!$A$4:$BC$102,ROW()+1,$O$1)*(1-TPCIL!$L$11))-ISGS!O68</f>
        <v>127.936171</v>
      </c>
      <c r="P58" s="105">
        <f>(INDEX(Entitlement!$A$4:$BC$102,ROW()+1,$P$1)*(1-TPCIL!$L$11))-ISGS!P68</f>
        <v>39.311259</v>
      </c>
      <c r="Q58" s="105">
        <f>(INDEX(Entitlement!$A$4:$BC$102,ROW()+1,$Q$1)*(1-TPCIL!$L$11))-ISGS!R68</f>
        <v>142.324695</v>
      </c>
      <c r="R58" s="105">
        <f>(INDEX(Entitlement!$A$4:$BC$102,ROW()+1,$R$1)*(1-TPCIL!$L$11))-ISGS!L68</f>
        <v>5.501934</v>
      </c>
      <c r="S58" s="105">
        <f>(INDEX(Entitlement!$A$4:$BC$102,ROW()+1,$S$1)*(1-TPCIL!$L$11))-ISGS!J68</f>
        <v>0.00054500000000246</v>
      </c>
      <c r="T58" s="105">
        <f>(INDEX(Entitlement!$A$4:$BC$102,ROW()+1,$T$1)*(1-TPCIL!$L$11))-ISGS!K68</f>
        <v>0.00306099999999532</v>
      </c>
      <c r="U58" s="105">
        <f>'Individual BD'!L58</f>
        <v>0</v>
      </c>
      <c r="V58" s="105">
        <f>(INDEX(Entitlement!$A$4:$BC$102,ROW()+1,$V$1))-ISGS!Q68</f>
        <v>0</v>
      </c>
      <c r="W58" s="105">
        <f>(INDEX(Entitlement!$A$4:$BC$102,ROW()+1,$W$1)*(1-TPCIL!$L$11))-ISGS!T68</f>
        <v>0.00110800000000211</v>
      </c>
      <c r="X58" s="105">
        <f>(INDEX(Entitlement!$A$4:$BC$102,ROW()+1,$X$1)*(1-TPCIL!$L$11))-ISGS!I68</f>
        <v>0.00436299999999878</v>
      </c>
      <c r="Y58" s="105">
        <f>(INDEX(Entitlement!$A$4:$BC$102,ROW()+1,$Y$1)*(1-TPCIL!$L$11))-ISGS!M68</f>
        <v>0.00215199999999527</v>
      </c>
      <c r="Z58" s="105">
        <f>TPCIL!I68-TPCIL!C68</f>
        <v>0.000544999999988249</v>
      </c>
      <c r="AA58" s="105">
        <f>TPCIL!P68-TPCIL!D68</f>
        <v>0</v>
      </c>
      <c r="AB58" s="105">
        <f>'Individual BD'!M58</f>
        <v>0</v>
      </c>
      <c r="AC58" s="105">
        <f>'Individual BD'!N58</f>
        <v>0</v>
      </c>
      <c r="AD58" s="105">
        <f>(INDEX(Entitlement!$A$4:$BC$102,ROW()+1,$AD$1)*(1-TPCIL!$L$11))-ISGS!S68</f>
        <v>0.00303199999999038</v>
      </c>
      <c r="AE58" s="107"/>
      <c r="AG58" s="114">
        <f t="shared" si="2"/>
        <v>4.0648464929701</v>
      </c>
    </row>
    <row r="59" s="98" customFormat="1" ht="18" customHeight="1" spans="1:33">
      <c r="A59" s="106" t="s">
        <v>70</v>
      </c>
      <c r="B59" s="107">
        <v>57</v>
      </c>
      <c r="C59" s="105">
        <f>'Individual BD'!C59</f>
        <v>39.59</v>
      </c>
      <c r="D59" s="105">
        <f>'Individual BD'!D59</f>
        <v>150.1</v>
      </c>
      <c r="E59" s="105">
        <f>'Individual BD'!E59</f>
        <v>64</v>
      </c>
      <c r="F59" s="105">
        <f>(INDEX(Entitlement!$A$4:$BC$102,ROW()+1,$F$1)*(1-TPCIL!$L$11))-ISGS!G69</f>
        <v>229.674432</v>
      </c>
      <c r="G59" s="105">
        <f>(INDEX(Entitlement!$A$4:$BC$102,ROW()+1,$G$1)*(1-TPCIL!$L$11))-ISGS!N69</f>
        <v>121.433883</v>
      </c>
      <c r="H59" s="105">
        <f>'Individual BD'!F59</f>
        <v>0</v>
      </c>
      <c r="I59" s="105">
        <f>'Individual BD'!G59</f>
        <v>123.8</v>
      </c>
      <c r="J59" s="105">
        <f>'Individual BD'!H59</f>
        <v>221.03</v>
      </c>
      <c r="K59" s="105">
        <f>'Individual BD'!I59</f>
        <v>447.05</v>
      </c>
      <c r="L59" s="105">
        <f>(INDEX(Entitlement!$A$4:$BC$102,ROW()+1,$L$1)*(1-TPCIL!$L$11))-ISGS!U69</f>
        <v>25.203471</v>
      </c>
      <c r="M59" s="105">
        <f>'Individual BD'!J59</f>
        <v>0</v>
      </c>
      <c r="N59" s="105">
        <f>'Individual BD'!K59</f>
        <v>0</v>
      </c>
      <c r="O59" s="105">
        <f>(INDEX(Entitlement!$A$4:$BC$102,ROW()+1,$O$1)*(1-TPCIL!$L$11))-ISGS!O69</f>
        <v>-0.00382899999999609</v>
      </c>
      <c r="P59" s="105">
        <f>(INDEX(Entitlement!$A$4:$BC$102,ROW()+1,$P$1)*(1-TPCIL!$L$11))-ISGS!P69</f>
        <v>3.78125900000001</v>
      </c>
      <c r="Q59" s="105">
        <f>(INDEX(Entitlement!$A$4:$BC$102,ROW()+1,$Q$1)*(1-TPCIL!$L$11))-ISGS!R69</f>
        <v>31.274695</v>
      </c>
      <c r="R59" s="105">
        <f>(INDEX(Entitlement!$A$4:$BC$102,ROW()+1,$R$1)*(1-TPCIL!$L$11))-ISGS!L69</f>
        <v>0.461934</v>
      </c>
      <c r="S59" s="105">
        <f>(INDEX(Entitlement!$A$4:$BC$102,ROW()+1,$S$1)*(1-TPCIL!$L$11))-ISGS!J69</f>
        <v>0.00054500000000246</v>
      </c>
      <c r="T59" s="105">
        <f>(INDEX(Entitlement!$A$4:$BC$102,ROW()+1,$T$1)*(1-TPCIL!$L$11))-ISGS!K69</f>
        <v>0.00306099999999532</v>
      </c>
      <c r="U59" s="105">
        <f>'Individual BD'!L59</f>
        <v>0</v>
      </c>
      <c r="V59" s="105">
        <f>(INDEX(Entitlement!$A$4:$BC$102,ROW()+1,$V$1))-ISGS!Q69</f>
        <v>0</v>
      </c>
      <c r="W59" s="105">
        <f>(INDEX(Entitlement!$A$4:$BC$102,ROW()+1,$W$1)*(1-TPCIL!$L$11))-ISGS!T69</f>
        <v>0.00110800000000211</v>
      </c>
      <c r="X59" s="105">
        <f>(INDEX(Entitlement!$A$4:$BC$102,ROW()+1,$X$1)*(1-TPCIL!$L$11))-ISGS!I69</f>
        <v>0.00436299999999878</v>
      </c>
      <c r="Y59" s="105">
        <f>(INDEX(Entitlement!$A$4:$BC$102,ROW()+1,$Y$1)*(1-TPCIL!$L$11))-ISGS!M69</f>
        <v>0.00215199999999527</v>
      </c>
      <c r="Z59" s="105">
        <f>TPCIL!I69-TPCIL!C69</f>
        <v>0.000544999999988249</v>
      </c>
      <c r="AA59" s="105">
        <f>TPCIL!P69-TPCIL!D69</f>
        <v>0</v>
      </c>
      <c r="AB59" s="105">
        <f>'Individual BD'!M59</f>
        <v>0</v>
      </c>
      <c r="AC59" s="105">
        <f>'Individual BD'!N59</f>
        <v>0</v>
      </c>
      <c r="AD59" s="105">
        <f>(INDEX(Entitlement!$A$4:$BC$102,ROW()+1,$AD$1)*(1-TPCIL!$L$11))-ISGS!S69</f>
        <v>0.00303199999999038</v>
      </c>
      <c r="AE59" s="107"/>
      <c r="AG59" s="114">
        <f t="shared" si="2"/>
        <v>4.10635551933468</v>
      </c>
    </row>
    <row r="60" s="98" customFormat="1" ht="18" customHeight="1" spans="1:33">
      <c r="A60" s="106" t="s">
        <v>71</v>
      </c>
      <c r="B60" s="107">
        <v>58</v>
      </c>
      <c r="C60" s="105">
        <f>'Individual BD'!C60</f>
        <v>46.23</v>
      </c>
      <c r="D60" s="105">
        <f>'Individual BD'!D60</f>
        <v>152.77</v>
      </c>
      <c r="E60" s="105">
        <f>'Individual BD'!E60</f>
        <v>65.24</v>
      </c>
      <c r="F60" s="105">
        <f>(INDEX(Entitlement!$A$4:$BC$102,ROW()+1,$F$1)*(1-TPCIL!$L$11))-ISGS!G70</f>
        <v>229.674432</v>
      </c>
      <c r="G60" s="105">
        <f>(INDEX(Entitlement!$A$4:$BC$102,ROW()+1,$G$1)*(1-TPCIL!$L$11))-ISGS!N70</f>
        <v>121.433883</v>
      </c>
      <c r="H60" s="105">
        <f>'Individual BD'!F60</f>
        <v>0</v>
      </c>
      <c r="I60" s="105">
        <f>'Individual BD'!G60</f>
        <v>120.96</v>
      </c>
      <c r="J60" s="105">
        <f>'Individual BD'!H60</f>
        <v>222.95</v>
      </c>
      <c r="K60" s="105">
        <f>'Individual BD'!I60</f>
        <v>503.05</v>
      </c>
      <c r="L60" s="105">
        <f>(INDEX(Entitlement!$A$4:$BC$102,ROW()+1,$L$1)*(1-TPCIL!$L$11))-ISGS!U70</f>
        <v>0.00347099999999756</v>
      </c>
      <c r="M60" s="105">
        <f>'Individual BD'!J60</f>
        <v>0</v>
      </c>
      <c r="N60" s="105">
        <f>'Individual BD'!K60</f>
        <v>0</v>
      </c>
      <c r="O60" s="105">
        <f>(INDEX(Entitlement!$A$4:$BC$102,ROW()+1,$O$1)*(1-TPCIL!$L$11))-ISGS!O70</f>
        <v>-0.00382899999999609</v>
      </c>
      <c r="P60" s="105">
        <f>(INDEX(Entitlement!$A$4:$BC$102,ROW()+1,$P$1)*(1-TPCIL!$L$11))-ISGS!P70</f>
        <v>0.00125900000000456</v>
      </c>
      <c r="Q60" s="105">
        <f>(INDEX(Entitlement!$A$4:$BC$102,ROW()+1,$Q$1)*(1-TPCIL!$L$11))-ISGS!R70</f>
        <v>0.00469499999999812</v>
      </c>
      <c r="R60" s="105">
        <f>(INDEX(Entitlement!$A$4:$BC$102,ROW()+1,$R$1)*(1-TPCIL!$L$11))-ISGS!L70</f>
        <v>0.00193399999999944</v>
      </c>
      <c r="S60" s="105">
        <f>(INDEX(Entitlement!$A$4:$BC$102,ROW()+1,$S$1)*(1-TPCIL!$L$11))-ISGS!J70</f>
        <v>0.00054500000000246</v>
      </c>
      <c r="T60" s="105">
        <f>(INDEX(Entitlement!$A$4:$BC$102,ROW()+1,$T$1)*(1-TPCIL!$L$11))-ISGS!K70</f>
        <v>0.00306099999999532</v>
      </c>
      <c r="U60" s="105">
        <f>'Individual BD'!L60</f>
        <v>0</v>
      </c>
      <c r="V60" s="105">
        <f>(INDEX(Entitlement!$A$4:$BC$102,ROW()+1,$V$1))-ISGS!Q70</f>
        <v>0</v>
      </c>
      <c r="W60" s="105">
        <f>(INDEX(Entitlement!$A$4:$BC$102,ROW()+1,$W$1)*(1-TPCIL!$L$11))-ISGS!T70</f>
        <v>0.00110800000000211</v>
      </c>
      <c r="X60" s="105">
        <f>(INDEX(Entitlement!$A$4:$BC$102,ROW()+1,$X$1)*(1-TPCIL!$L$11))-ISGS!I70</f>
        <v>0.00436299999999878</v>
      </c>
      <c r="Y60" s="105">
        <f>(INDEX(Entitlement!$A$4:$BC$102,ROW()+1,$Y$1)*(1-TPCIL!$L$11))-ISGS!M70</f>
        <v>0.00215199999999527</v>
      </c>
      <c r="Z60" s="105">
        <f>TPCIL!I70-TPCIL!C70</f>
        <v>0.000544999999988249</v>
      </c>
      <c r="AA60" s="105">
        <f>TPCIL!P70-TPCIL!D70</f>
        <v>0</v>
      </c>
      <c r="AB60" s="105">
        <f>'Individual BD'!M60</f>
        <v>0</v>
      </c>
      <c r="AC60" s="105">
        <f>'Individual BD'!N60</f>
        <v>0</v>
      </c>
      <c r="AD60" s="105">
        <f>(INDEX(Entitlement!$A$4:$BC$102,ROW()+1,$AD$1)*(1-TPCIL!$L$11))-ISGS!S70</f>
        <v>0.00303199999999038</v>
      </c>
      <c r="AE60" s="107"/>
      <c r="AG60" s="114">
        <f t="shared" si="2"/>
        <v>4.12073280181214</v>
      </c>
    </row>
    <row r="61" s="98" customFormat="1" ht="18" customHeight="1" spans="1:33">
      <c r="A61" s="106" t="s">
        <v>72</v>
      </c>
      <c r="B61" s="107">
        <v>59</v>
      </c>
      <c r="C61" s="105">
        <f>'Individual BD'!C61</f>
        <v>53.17</v>
      </c>
      <c r="D61" s="105">
        <f>'Individual BD'!D61</f>
        <v>156.74</v>
      </c>
      <c r="E61" s="105">
        <f>'Individual BD'!E61</f>
        <v>65.18</v>
      </c>
      <c r="F61" s="105">
        <f>(INDEX(Entitlement!$A$4:$BC$102,ROW()+1,$F$1)*(1-TPCIL!$L$11))-ISGS!G71</f>
        <v>229.674432</v>
      </c>
      <c r="G61" s="105">
        <f>(INDEX(Entitlement!$A$4:$BC$102,ROW()+1,$G$1)*(1-TPCIL!$L$11))-ISGS!N71</f>
        <v>50.043883</v>
      </c>
      <c r="H61" s="105">
        <f>'Individual BD'!F61</f>
        <v>0</v>
      </c>
      <c r="I61" s="105">
        <f>'Individual BD'!G61</f>
        <v>119.58</v>
      </c>
      <c r="J61" s="105">
        <f>'Individual BD'!H61</f>
        <v>0</v>
      </c>
      <c r="K61" s="105">
        <f>'Individual BD'!I61</f>
        <v>0</v>
      </c>
      <c r="L61" s="105">
        <f>(INDEX(Entitlement!$A$4:$BC$102,ROW()+1,$L$1)*(1-TPCIL!$L$11))-ISGS!U71</f>
        <v>0.00347099999999756</v>
      </c>
      <c r="M61" s="105">
        <f>'Individual BD'!J61</f>
        <v>0</v>
      </c>
      <c r="N61" s="105">
        <f>'Individual BD'!K61</f>
        <v>0</v>
      </c>
      <c r="O61" s="105">
        <f>(INDEX(Entitlement!$A$4:$BC$102,ROW()+1,$O$1)*(1-TPCIL!$L$11))-ISGS!O71</f>
        <v>-0.00382899999999609</v>
      </c>
      <c r="P61" s="105">
        <f>(INDEX(Entitlement!$A$4:$BC$102,ROW()+1,$P$1)*(1-TPCIL!$L$11))-ISGS!P71</f>
        <v>0.00125900000000456</v>
      </c>
      <c r="Q61" s="105">
        <f>(INDEX(Entitlement!$A$4:$BC$102,ROW()+1,$Q$1)*(1-TPCIL!$L$11))-ISGS!R71</f>
        <v>0.00469499999999812</v>
      </c>
      <c r="R61" s="105">
        <f>(INDEX(Entitlement!$A$4:$BC$102,ROW()+1,$R$1)*(1-TPCIL!$L$11))-ISGS!L71</f>
        <v>0.00193399999999944</v>
      </c>
      <c r="S61" s="105">
        <f>(INDEX(Entitlement!$A$4:$BC$102,ROW()+1,$S$1)*(1-TPCIL!$L$11))-ISGS!J71</f>
        <v>0.00054500000000246</v>
      </c>
      <c r="T61" s="105">
        <f>(INDEX(Entitlement!$A$4:$BC$102,ROW()+1,$T$1)*(1-TPCIL!$L$11))-ISGS!K71</f>
        <v>0.00306099999999532</v>
      </c>
      <c r="U61" s="105">
        <f>'Individual BD'!L61</f>
        <v>0</v>
      </c>
      <c r="V61" s="105">
        <f>(INDEX(Entitlement!$A$4:$BC$102,ROW()+1,$V$1))-ISGS!Q71</f>
        <v>0</v>
      </c>
      <c r="W61" s="105">
        <f>(INDEX(Entitlement!$A$4:$BC$102,ROW()+1,$W$1)*(1-TPCIL!$L$11))-ISGS!T71</f>
        <v>0.00110800000000211</v>
      </c>
      <c r="X61" s="105">
        <f>(INDEX(Entitlement!$A$4:$BC$102,ROW()+1,$X$1)*(1-TPCIL!$L$11))-ISGS!I71</f>
        <v>0.00436299999999878</v>
      </c>
      <c r="Y61" s="105">
        <f>(INDEX(Entitlement!$A$4:$BC$102,ROW()+1,$Y$1)*(1-TPCIL!$L$11))-ISGS!M71</f>
        <v>0.00215199999999527</v>
      </c>
      <c r="Z61" s="105">
        <f>TPCIL!I71-TPCIL!C71</f>
        <v>0.000544999999988249</v>
      </c>
      <c r="AA61" s="105">
        <f>TPCIL!P71-TPCIL!D71</f>
        <v>0</v>
      </c>
      <c r="AB61" s="105">
        <f>'Individual BD'!M61</f>
        <v>0</v>
      </c>
      <c r="AC61" s="105">
        <f>'Individual BD'!N61</f>
        <v>0</v>
      </c>
      <c r="AD61" s="105">
        <f>(INDEX(Entitlement!$A$4:$BC$102,ROW()+1,$AD$1)*(1-TPCIL!$L$11))-ISGS!S71</f>
        <v>0.00303199999999038</v>
      </c>
      <c r="AE61" s="107"/>
      <c r="AG61" s="114">
        <f t="shared" si="2"/>
        <v>4.37278251210626</v>
      </c>
    </row>
    <row r="62" s="98" customFormat="1" ht="18" customHeight="1" spans="1:33">
      <c r="A62" s="106" t="s">
        <v>73</v>
      </c>
      <c r="B62" s="107">
        <v>60</v>
      </c>
      <c r="C62" s="105">
        <f>'Individual BD'!C62</f>
        <v>57.4400000000001</v>
      </c>
      <c r="D62" s="105">
        <f>'Individual BD'!D62</f>
        <v>146.05</v>
      </c>
      <c r="E62" s="105">
        <f>'Individual BD'!E62</f>
        <v>68.07</v>
      </c>
      <c r="F62" s="105">
        <f>(INDEX(Entitlement!$A$4:$BC$102,ROW()+1,$F$1)*(1-TPCIL!$L$11))-ISGS!G72</f>
        <v>0.00443200000000843</v>
      </c>
      <c r="G62" s="105">
        <f>(INDEX(Entitlement!$A$4:$BC$102,ROW()+1,$G$1)*(1-TPCIL!$L$11))-ISGS!N72</f>
        <v>0.00388299999998765</v>
      </c>
      <c r="H62" s="105">
        <f>'Individual BD'!F62</f>
        <v>0</v>
      </c>
      <c r="I62" s="105">
        <f>'Individual BD'!G62</f>
        <v>0</v>
      </c>
      <c r="J62" s="105">
        <f>'Individual BD'!H62</f>
        <v>0</v>
      </c>
      <c r="K62" s="105">
        <f>'Individual BD'!I62</f>
        <v>0</v>
      </c>
      <c r="L62" s="105">
        <f>(INDEX(Entitlement!$A$4:$BC$102,ROW()+1,$L$1)*(1-TPCIL!$L$11))-ISGS!U72</f>
        <v>0.00347099999999756</v>
      </c>
      <c r="M62" s="105">
        <f>'Individual BD'!J62</f>
        <v>0</v>
      </c>
      <c r="N62" s="105">
        <f>'Individual BD'!K62</f>
        <v>0</v>
      </c>
      <c r="O62" s="105">
        <f>(INDEX(Entitlement!$A$4:$BC$102,ROW()+1,$O$1)*(1-TPCIL!$L$11))-ISGS!O72</f>
        <v>-0.00382899999999609</v>
      </c>
      <c r="P62" s="105">
        <f>(INDEX(Entitlement!$A$4:$BC$102,ROW()+1,$P$1)*(1-TPCIL!$L$11))-ISGS!P72</f>
        <v>0.00125900000000456</v>
      </c>
      <c r="Q62" s="105">
        <f>(INDEX(Entitlement!$A$4:$BC$102,ROW()+1,$Q$1)*(1-TPCIL!$L$11))-ISGS!R72</f>
        <v>0.00469499999999812</v>
      </c>
      <c r="R62" s="105">
        <f>(INDEX(Entitlement!$A$4:$BC$102,ROW()+1,$R$1)*(1-TPCIL!$L$11))-ISGS!L72</f>
        <v>0.00193399999999944</v>
      </c>
      <c r="S62" s="105">
        <f>(INDEX(Entitlement!$A$4:$BC$102,ROW()+1,$S$1)*(1-TPCIL!$L$11))-ISGS!J72</f>
        <v>-0.004722000000001</v>
      </c>
      <c r="T62" s="105">
        <f>(INDEX(Entitlement!$A$4:$BC$102,ROW()+1,$T$1)*(1-TPCIL!$L$11))-ISGS!K72</f>
        <v>-0.00499099999999686</v>
      </c>
      <c r="U62" s="105">
        <f>'Individual BD'!L62</f>
        <v>0</v>
      </c>
      <c r="V62" s="105">
        <f>(INDEX(Entitlement!$A$4:$BC$102,ROW()+1,$V$1))-ISGS!Q72</f>
        <v>0</v>
      </c>
      <c r="W62" s="105">
        <f>(INDEX(Entitlement!$A$4:$BC$102,ROW()+1,$W$1)*(1-TPCIL!$L$11))-ISGS!T72</f>
        <v>0.00110800000000211</v>
      </c>
      <c r="X62" s="105">
        <f>(INDEX(Entitlement!$A$4:$BC$102,ROW()+1,$X$1)*(1-TPCIL!$L$11))-ISGS!I72</f>
        <v>0.00436299999999878</v>
      </c>
      <c r="Y62" s="105">
        <f>(INDEX(Entitlement!$A$4:$BC$102,ROW()+1,$Y$1)*(1-TPCIL!$L$11))-ISGS!M72</f>
        <v>0.00215199999999527</v>
      </c>
      <c r="Z62" s="105">
        <f>TPCIL!I72-TPCIL!C72</f>
        <v>0.000544999999988249</v>
      </c>
      <c r="AA62" s="105">
        <f>TPCIL!P72-TPCIL!D72</f>
        <v>0</v>
      </c>
      <c r="AB62" s="105">
        <f>'Individual BD'!M62</f>
        <v>0</v>
      </c>
      <c r="AC62" s="105">
        <f>'Individual BD'!N62</f>
        <v>0</v>
      </c>
      <c r="AD62" s="105">
        <f>(INDEX(Entitlement!$A$4:$BC$102,ROW()+1,$AD$1)*(1-TPCIL!$L$11))-ISGS!S72</f>
        <v>0.00303199999999038</v>
      </c>
      <c r="AE62" s="107"/>
      <c r="AG62" s="114">
        <f t="shared" si="2"/>
        <v>4.43493915109233</v>
      </c>
    </row>
    <row r="63" s="98" customFormat="1" ht="18" customHeight="1" spans="1:33">
      <c r="A63" s="106" t="s">
        <v>74</v>
      </c>
      <c r="B63" s="107">
        <v>61</v>
      </c>
      <c r="C63" s="105">
        <f>'Individual BD'!C63</f>
        <v>56.81</v>
      </c>
      <c r="D63" s="105">
        <f>'Individual BD'!D63</f>
        <v>155.16</v>
      </c>
      <c r="E63" s="105">
        <f>'Individual BD'!E63</f>
        <v>69.34</v>
      </c>
      <c r="F63" s="105">
        <f>(INDEX(Entitlement!$A$4:$BC$102,ROW()+1,$F$1)*(1-TPCIL!$L$11))-ISGS!G73</f>
        <v>0.00443200000000843</v>
      </c>
      <c r="G63" s="105">
        <f>(INDEX(Entitlement!$A$4:$BC$102,ROW()+1,$G$1)*(1-TPCIL!$L$11))-ISGS!N73</f>
        <v>21.353883</v>
      </c>
      <c r="H63" s="105">
        <f>'Individual BD'!F63</f>
        <v>0</v>
      </c>
      <c r="I63" s="105">
        <f>'Individual BD'!G63</f>
        <v>0</v>
      </c>
      <c r="J63" s="105">
        <f>'Individual BD'!H63</f>
        <v>0</v>
      </c>
      <c r="K63" s="105">
        <f>'Individual BD'!I63</f>
        <v>0</v>
      </c>
      <c r="L63" s="105">
        <f>(INDEX(Entitlement!$A$4:$BC$102,ROW()+1,$L$1)*(1-TPCIL!$L$11))-ISGS!U73</f>
        <v>0.00347099999999756</v>
      </c>
      <c r="M63" s="105">
        <f>'Individual BD'!J63</f>
        <v>0</v>
      </c>
      <c r="N63" s="105">
        <f>'Individual BD'!K63</f>
        <v>0</v>
      </c>
      <c r="O63" s="105">
        <f>(INDEX(Entitlement!$A$4:$BC$102,ROW()+1,$O$1)*(1-TPCIL!$L$11))-ISGS!O73</f>
        <v>-0.00382899999999609</v>
      </c>
      <c r="P63" s="105">
        <f>(INDEX(Entitlement!$A$4:$BC$102,ROW()+1,$P$1)*(1-TPCIL!$L$11))-ISGS!P73</f>
        <v>0.00125900000000456</v>
      </c>
      <c r="Q63" s="105">
        <f>(INDEX(Entitlement!$A$4:$BC$102,ROW()+1,$Q$1)*(1-TPCIL!$L$11))-ISGS!R73</f>
        <v>0.00469499999999812</v>
      </c>
      <c r="R63" s="105">
        <f>(INDEX(Entitlement!$A$4:$BC$102,ROW()+1,$R$1)*(1-TPCIL!$L$11))-ISGS!L73</f>
        <v>0.00193399999999944</v>
      </c>
      <c r="S63" s="105">
        <f>(INDEX(Entitlement!$A$4:$BC$102,ROW()+1,$S$1)*(1-TPCIL!$L$11))-ISGS!J73</f>
        <v>-0.004722000000001</v>
      </c>
      <c r="T63" s="105">
        <f>(INDEX(Entitlement!$A$4:$BC$102,ROW()+1,$T$1)*(1-TPCIL!$L$11))-ISGS!K73</f>
        <v>-0.00499099999999686</v>
      </c>
      <c r="U63" s="105">
        <f>'Individual BD'!L63</f>
        <v>0</v>
      </c>
      <c r="V63" s="105">
        <f>(INDEX(Entitlement!$A$4:$BC$102,ROW()+1,$V$1))-ISGS!Q73</f>
        <v>0</v>
      </c>
      <c r="W63" s="105">
        <f>(INDEX(Entitlement!$A$4:$BC$102,ROW()+1,$W$1)*(1-TPCIL!$L$11))-ISGS!T73</f>
        <v>0.00110800000000211</v>
      </c>
      <c r="X63" s="105">
        <f>(INDEX(Entitlement!$A$4:$BC$102,ROW()+1,$X$1)*(1-TPCIL!$L$11))-ISGS!I73</f>
        <v>0.00436299999999878</v>
      </c>
      <c r="Y63" s="105">
        <f>(INDEX(Entitlement!$A$4:$BC$102,ROW()+1,$Y$1)*(1-TPCIL!$L$11))-ISGS!M73</f>
        <v>0.00215199999999527</v>
      </c>
      <c r="Z63" s="105">
        <f>TPCIL!I73-TPCIL!C73</f>
        <v>0.000544999999988249</v>
      </c>
      <c r="AA63" s="105">
        <f>TPCIL!P73-TPCIL!D73</f>
        <v>0</v>
      </c>
      <c r="AB63" s="105">
        <f>'Individual BD'!M63</f>
        <v>0</v>
      </c>
      <c r="AC63" s="105">
        <f>'Individual BD'!N63</f>
        <v>0</v>
      </c>
      <c r="AD63" s="105">
        <f>(INDEX(Entitlement!$A$4:$BC$102,ROW()+1,$AD$1)*(1-TPCIL!$L$11))-ISGS!S73</f>
        <v>0.00303199999999038</v>
      </c>
      <c r="AE63" s="107"/>
      <c r="AG63" s="114">
        <f t="shared" si="2"/>
        <v>4.42655148102072</v>
      </c>
    </row>
    <row r="64" s="98" customFormat="1" ht="18" customHeight="1" spans="1:33">
      <c r="A64" s="106" t="s">
        <v>75</v>
      </c>
      <c r="B64" s="107">
        <v>62</v>
      </c>
      <c r="C64" s="105">
        <f>'Individual BD'!C64</f>
        <v>48.88</v>
      </c>
      <c r="D64" s="105">
        <f>'Individual BD'!D64</f>
        <v>151.87</v>
      </c>
      <c r="E64" s="105">
        <f>'Individual BD'!E64</f>
        <v>70.53</v>
      </c>
      <c r="F64" s="105">
        <f>(INDEX(Entitlement!$A$4:$BC$102,ROW()+1,$F$1)*(1-TPCIL!$L$11))-ISGS!G74</f>
        <v>70.134432</v>
      </c>
      <c r="G64" s="105">
        <f>(INDEX(Entitlement!$A$4:$BC$102,ROW()+1,$G$1)*(1-TPCIL!$L$11))-ISGS!N74</f>
        <v>29.373883</v>
      </c>
      <c r="H64" s="105">
        <f>'Individual BD'!F64</f>
        <v>0</v>
      </c>
      <c r="I64" s="105">
        <f>'Individual BD'!G64</f>
        <v>0</v>
      </c>
      <c r="J64" s="105">
        <f>'Individual BD'!H64</f>
        <v>0</v>
      </c>
      <c r="K64" s="105">
        <f>'Individual BD'!I64</f>
        <v>0</v>
      </c>
      <c r="L64" s="105">
        <f>(INDEX(Entitlement!$A$4:$BC$102,ROW()+1,$L$1)*(1-TPCIL!$L$11))-ISGS!U74</f>
        <v>0.00347099999999756</v>
      </c>
      <c r="M64" s="105">
        <f>'Individual BD'!J64</f>
        <v>0</v>
      </c>
      <c r="N64" s="105">
        <f>'Individual BD'!K64</f>
        <v>0</v>
      </c>
      <c r="O64" s="105">
        <f>(INDEX(Entitlement!$A$4:$BC$102,ROW()+1,$O$1)*(1-TPCIL!$L$11))-ISGS!O74</f>
        <v>-0.00382899999999609</v>
      </c>
      <c r="P64" s="105">
        <f>(INDEX(Entitlement!$A$4:$BC$102,ROW()+1,$P$1)*(1-TPCIL!$L$11))-ISGS!P74</f>
        <v>0.00125900000000456</v>
      </c>
      <c r="Q64" s="105">
        <f>(INDEX(Entitlement!$A$4:$BC$102,ROW()+1,$Q$1)*(1-TPCIL!$L$11))-ISGS!R74</f>
        <v>0.00469499999999812</v>
      </c>
      <c r="R64" s="105">
        <f>(INDEX(Entitlement!$A$4:$BC$102,ROW()+1,$R$1)*(1-TPCIL!$L$11))-ISGS!L74</f>
        <v>0.00193399999999944</v>
      </c>
      <c r="S64" s="105">
        <f>(INDEX(Entitlement!$A$4:$BC$102,ROW()+1,$S$1)*(1-TPCIL!$L$11))-ISGS!J74</f>
        <v>-0.004722000000001</v>
      </c>
      <c r="T64" s="105">
        <f>(INDEX(Entitlement!$A$4:$BC$102,ROW()+1,$T$1)*(1-TPCIL!$L$11))-ISGS!K74</f>
        <v>-0.00499099999999686</v>
      </c>
      <c r="U64" s="105">
        <f>'Individual BD'!L64</f>
        <v>0</v>
      </c>
      <c r="V64" s="105">
        <f>(INDEX(Entitlement!$A$4:$BC$102,ROW()+1,$V$1))-ISGS!Q74</f>
        <v>0</v>
      </c>
      <c r="W64" s="105">
        <f>(INDEX(Entitlement!$A$4:$BC$102,ROW()+1,$W$1)*(1-TPCIL!$L$11))-ISGS!T74</f>
        <v>0.00110800000000211</v>
      </c>
      <c r="X64" s="105">
        <f>(INDEX(Entitlement!$A$4:$BC$102,ROW()+1,$X$1)*(1-TPCIL!$L$11))-ISGS!I74</f>
        <v>0.00436299999999878</v>
      </c>
      <c r="Y64" s="105">
        <f>(INDEX(Entitlement!$A$4:$BC$102,ROW()+1,$Y$1)*(1-TPCIL!$L$11))-ISGS!M74</f>
        <v>0.00215199999999527</v>
      </c>
      <c r="Z64" s="105">
        <f>TPCIL!I74-TPCIL!C74</f>
        <v>0.000544999999988249</v>
      </c>
      <c r="AA64" s="105">
        <f>TPCIL!P74-TPCIL!D74</f>
        <v>0</v>
      </c>
      <c r="AB64" s="105">
        <f>'Individual BD'!M64</f>
        <v>0</v>
      </c>
      <c r="AC64" s="105">
        <f>'Individual BD'!N64</f>
        <v>0</v>
      </c>
      <c r="AD64" s="105">
        <f>(INDEX(Entitlement!$A$4:$BC$102,ROW()+1,$AD$1)*(1-TPCIL!$L$11))-ISGS!S74</f>
        <v>0.00303199999999038</v>
      </c>
      <c r="AE64" s="107"/>
      <c r="AG64" s="114">
        <f t="shared" si="2"/>
        <v>4.42515145237345</v>
      </c>
    </row>
    <row r="65" s="99" customFormat="1" ht="18" customHeight="1" spans="1:33">
      <c r="A65" s="108" t="s">
        <v>76</v>
      </c>
      <c r="B65" s="107">
        <v>63</v>
      </c>
      <c r="C65" s="105">
        <f>'Individual BD'!C65</f>
        <v>48.52</v>
      </c>
      <c r="D65" s="105">
        <f>'Individual BD'!D65</f>
        <v>155.3</v>
      </c>
      <c r="E65" s="105">
        <f>'Individual BD'!E65</f>
        <v>65.77</v>
      </c>
      <c r="F65" s="105">
        <f>(INDEX(Entitlement!$A$4:$BC$102,ROW()+1,$F$1)*(1-TPCIL!$L$11))-ISGS!G75</f>
        <v>70.134432</v>
      </c>
      <c r="G65" s="105">
        <f>(INDEX(Entitlement!$A$4:$BC$102,ROW()+1,$G$1)*(1-TPCIL!$L$11))-ISGS!N75</f>
        <v>17.223883</v>
      </c>
      <c r="H65" s="105">
        <f>'Individual BD'!F65</f>
        <v>0</v>
      </c>
      <c r="I65" s="105">
        <f>'Individual BD'!G65</f>
        <v>0</v>
      </c>
      <c r="J65" s="105">
        <f>'Individual BD'!H65</f>
        <v>0</v>
      </c>
      <c r="K65" s="105">
        <f>'Individual BD'!I65</f>
        <v>0</v>
      </c>
      <c r="L65" s="105">
        <f>(INDEX(Entitlement!$A$4:$BC$102,ROW()+1,$L$1)*(1-TPCIL!$L$11))-ISGS!U75</f>
        <v>0.00347099999999756</v>
      </c>
      <c r="M65" s="105">
        <f>'Individual BD'!J65</f>
        <v>0</v>
      </c>
      <c r="N65" s="105">
        <f>'Individual BD'!K65</f>
        <v>0</v>
      </c>
      <c r="O65" s="105">
        <f>(INDEX(Entitlement!$A$4:$BC$102,ROW()+1,$O$1)*(1-TPCIL!$L$11))-ISGS!O75</f>
        <v>-0.00382899999999609</v>
      </c>
      <c r="P65" s="105">
        <f>(INDEX(Entitlement!$A$4:$BC$102,ROW()+1,$P$1)*(1-TPCIL!$L$11))-ISGS!P75</f>
        <v>0.00125900000000456</v>
      </c>
      <c r="Q65" s="105">
        <f>(INDEX(Entitlement!$A$4:$BC$102,ROW()+1,$Q$1)*(1-TPCIL!$L$11))-ISGS!R75</f>
        <v>0.00469499999999812</v>
      </c>
      <c r="R65" s="105">
        <f>(INDEX(Entitlement!$A$4:$BC$102,ROW()+1,$R$1)*(1-TPCIL!$L$11))-ISGS!L75</f>
        <v>0.00193399999999944</v>
      </c>
      <c r="S65" s="105">
        <f>(INDEX(Entitlement!$A$4:$BC$102,ROW()+1,$S$1)*(1-TPCIL!$L$11))-ISGS!J75</f>
        <v>-0.004722000000001</v>
      </c>
      <c r="T65" s="105">
        <f>(INDEX(Entitlement!$A$4:$BC$102,ROW()+1,$T$1)*(1-TPCIL!$L$11))-ISGS!K75</f>
        <v>-0.00499099999999686</v>
      </c>
      <c r="U65" s="105">
        <f>'Individual BD'!L65</f>
        <v>0</v>
      </c>
      <c r="V65" s="105">
        <f>(INDEX(Entitlement!$A$4:$BC$102,ROW()+1,$V$1))-ISGS!Q75</f>
        <v>0</v>
      </c>
      <c r="W65" s="105">
        <f>(INDEX(Entitlement!$A$4:$BC$102,ROW()+1,$W$1)*(1-TPCIL!$L$11))-ISGS!T75</f>
        <v>0.00110800000000211</v>
      </c>
      <c r="X65" s="105">
        <f>(INDEX(Entitlement!$A$4:$BC$102,ROW()+1,$X$1)*(1-TPCIL!$L$11))-ISGS!I75</f>
        <v>0.00436299999999878</v>
      </c>
      <c r="Y65" s="105">
        <f>(INDEX(Entitlement!$A$4:$BC$102,ROW()+1,$Y$1)*(1-TPCIL!$L$11))-ISGS!M75</f>
        <v>0.00215199999999527</v>
      </c>
      <c r="Z65" s="105">
        <f>TPCIL!I75-TPCIL!C75</f>
        <v>0.000544999999988249</v>
      </c>
      <c r="AA65" s="105">
        <f>TPCIL!P75-TPCIL!D75</f>
        <v>0</v>
      </c>
      <c r="AB65" s="105">
        <f>'Individual BD'!M65</f>
        <v>0</v>
      </c>
      <c r="AC65" s="105">
        <f>'Individual BD'!N65</f>
        <v>0</v>
      </c>
      <c r="AD65" s="105">
        <f>(INDEX(Entitlement!$A$4:$BC$102,ROW()+1,$AD$1)*(1-TPCIL!$L$11))-ISGS!S75</f>
        <v>0.00303199999999038</v>
      </c>
      <c r="AE65" s="107"/>
      <c r="AG65" s="114">
        <f t="shared" si="2"/>
        <v>4.42882008720303</v>
      </c>
    </row>
    <row r="66" s="99" customFormat="1" ht="18" customHeight="1" spans="1:33">
      <c r="A66" s="108" t="s">
        <v>77</v>
      </c>
      <c r="B66" s="107">
        <v>64</v>
      </c>
      <c r="C66" s="105">
        <f>'Individual BD'!C66</f>
        <v>0</v>
      </c>
      <c r="D66" s="105">
        <f>'Individual BD'!D66</f>
        <v>0</v>
      </c>
      <c r="E66" s="105">
        <f>'Individual BD'!E66</f>
        <v>0</v>
      </c>
      <c r="F66" s="105">
        <f>(INDEX(Entitlement!$A$4:$BC$102,ROW()+1,$F$1)*(1-TPCIL!$L$11))-ISGS!G76</f>
        <v>103.354432</v>
      </c>
      <c r="G66" s="105">
        <f>(INDEX(Entitlement!$A$4:$BC$102,ROW()+1,$G$1)*(1-TPCIL!$L$11))-ISGS!N76</f>
        <v>0.00388299999998765</v>
      </c>
      <c r="H66" s="105">
        <f>'Individual BD'!F66</f>
        <v>0</v>
      </c>
      <c r="I66" s="105">
        <f>'Individual BD'!G66</f>
        <v>0</v>
      </c>
      <c r="J66" s="105">
        <f>'Individual BD'!H66</f>
        <v>0</v>
      </c>
      <c r="K66" s="105">
        <f>'Individual BD'!I66</f>
        <v>0</v>
      </c>
      <c r="L66" s="105">
        <f>(INDEX(Entitlement!$A$4:$BC$102,ROW()+1,$L$1)*(1-TPCIL!$L$11))-ISGS!U76</f>
        <v>0.00347099999999756</v>
      </c>
      <c r="M66" s="105">
        <f>'Individual BD'!J66</f>
        <v>0</v>
      </c>
      <c r="N66" s="105">
        <f>'Individual BD'!K66</f>
        <v>0</v>
      </c>
      <c r="O66" s="105">
        <f>(INDEX(Entitlement!$A$4:$BC$102,ROW()+1,$O$1)*(1-TPCIL!$L$11))-ISGS!O76</f>
        <v>-0.00382899999999609</v>
      </c>
      <c r="P66" s="105">
        <f>(INDEX(Entitlement!$A$4:$BC$102,ROW()+1,$P$1)*(1-TPCIL!$L$11))-ISGS!P76</f>
        <v>0.00125900000000456</v>
      </c>
      <c r="Q66" s="105">
        <f>(INDEX(Entitlement!$A$4:$BC$102,ROW()+1,$Q$1)*(1-TPCIL!$L$11))-ISGS!R76</f>
        <v>0.00469499999999812</v>
      </c>
      <c r="R66" s="105">
        <f>(INDEX(Entitlement!$A$4:$BC$102,ROW()+1,$R$1)*(1-TPCIL!$L$11))-ISGS!L76</f>
        <v>0.00193399999999944</v>
      </c>
      <c r="S66" s="105">
        <f>(INDEX(Entitlement!$A$4:$BC$102,ROW()+1,$S$1)*(1-TPCIL!$L$11))-ISGS!J76</f>
        <v>-0.004722000000001</v>
      </c>
      <c r="T66" s="105">
        <f>(INDEX(Entitlement!$A$4:$BC$102,ROW()+1,$T$1)*(1-TPCIL!$L$11))-ISGS!K76</f>
        <v>-0.00499099999999686</v>
      </c>
      <c r="U66" s="105">
        <f>'Individual BD'!L66</f>
        <v>0</v>
      </c>
      <c r="V66" s="105">
        <f>(INDEX(Entitlement!$A$4:$BC$102,ROW()+1,$V$1))-ISGS!Q76</f>
        <v>0</v>
      </c>
      <c r="W66" s="105">
        <f>(INDEX(Entitlement!$A$4:$BC$102,ROW()+1,$W$1)*(1-TPCIL!$L$11))-ISGS!T76</f>
        <v>0.00110800000000211</v>
      </c>
      <c r="X66" s="105">
        <f>(INDEX(Entitlement!$A$4:$BC$102,ROW()+1,$X$1)*(1-TPCIL!$L$11))-ISGS!I76</f>
        <v>0.00436299999999878</v>
      </c>
      <c r="Y66" s="105">
        <f>(INDEX(Entitlement!$A$4:$BC$102,ROW()+1,$Y$1)*(1-TPCIL!$L$11))-ISGS!M76</f>
        <v>0.00215199999999527</v>
      </c>
      <c r="Z66" s="105">
        <f>TPCIL!I76-TPCIL!C76</f>
        <v>0.000544999999988249</v>
      </c>
      <c r="AA66" s="105">
        <f>TPCIL!P76-TPCIL!D76</f>
        <v>0</v>
      </c>
      <c r="AB66" s="105">
        <f>'Individual BD'!M66</f>
        <v>0</v>
      </c>
      <c r="AC66" s="105">
        <f>'Individual BD'!N66</f>
        <v>0</v>
      </c>
      <c r="AD66" s="105">
        <f>(INDEX(Entitlement!$A$4:$BC$102,ROW()+1,$AD$1)*(1-TPCIL!$L$11))-ISGS!S76</f>
        <v>0.00303199999999038</v>
      </c>
      <c r="AE66" s="107"/>
      <c r="AG66" s="114">
        <f t="shared" si="2"/>
        <v>4.43284046681209</v>
      </c>
    </row>
    <row r="67" s="99" customFormat="1" ht="18" customHeight="1" spans="1:33">
      <c r="A67" s="108" t="s">
        <v>78</v>
      </c>
      <c r="B67" s="107">
        <v>65</v>
      </c>
      <c r="C67" s="105">
        <f>'Individual BD'!C67</f>
        <v>0</v>
      </c>
      <c r="D67" s="105">
        <f>'Individual BD'!D67</f>
        <v>0</v>
      </c>
      <c r="E67" s="105">
        <f>'Individual BD'!E67</f>
        <v>0</v>
      </c>
      <c r="F67" s="105">
        <f>(INDEX(Entitlement!$A$4:$BC$102,ROW()+1,$F$1)*(1-TPCIL!$L$11))-ISGS!G77</f>
        <v>85.784432</v>
      </c>
      <c r="G67" s="105">
        <f>(INDEX(Entitlement!$A$4:$BC$102,ROW()+1,$G$1)*(1-TPCIL!$L$11))-ISGS!N77</f>
        <v>0.00388299999998765</v>
      </c>
      <c r="H67" s="105">
        <f>'Individual BD'!F67</f>
        <v>0</v>
      </c>
      <c r="I67" s="105">
        <f>'Individual BD'!G67</f>
        <v>0</v>
      </c>
      <c r="J67" s="105">
        <f>'Individual BD'!H67</f>
        <v>0</v>
      </c>
      <c r="K67" s="105">
        <f>'Individual BD'!I67</f>
        <v>0</v>
      </c>
      <c r="L67" s="105">
        <f>(INDEX(Entitlement!$A$4:$BC$102,ROW()+1,$L$1)*(1-TPCIL!$L$11))-ISGS!U77</f>
        <v>0.00347099999999756</v>
      </c>
      <c r="M67" s="105">
        <f>'Individual BD'!J67</f>
        <v>0</v>
      </c>
      <c r="N67" s="105">
        <f>'Individual BD'!K67</f>
        <v>0</v>
      </c>
      <c r="O67" s="105">
        <f>(INDEX(Entitlement!$A$4:$BC$102,ROW()+1,$O$1)*(1-TPCIL!$L$11))-ISGS!O77</f>
        <v>-0.00382899999999609</v>
      </c>
      <c r="P67" s="105">
        <f>(INDEX(Entitlement!$A$4:$BC$102,ROW()+1,$P$1)*(1-TPCIL!$L$11))-ISGS!P77</f>
        <v>0.00125900000000456</v>
      </c>
      <c r="Q67" s="105">
        <f>(INDEX(Entitlement!$A$4:$BC$102,ROW()+1,$Q$1)*(1-TPCIL!$L$11))-ISGS!R77</f>
        <v>0.00469499999999812</v>
      </c>
      <c r="R67" s="105">
        <f>(INDEX(Entitlement!$A$4:$BC$102,ROW()+1,$R$1)*(1-TPCIL!$L$11))-ISGS!L77</f>
        <v>0.00193399999999944</v>
      </c>
      <c r="S67" s="105">
        <f>(INDEX(Entitlement!$A$4:$BC$102,ROW()+1,$S$1)*(1-TPCIL!$L$11))-ISGS!J77</f>
        <v>-0.004722000000001</v>
      </c>
      <c r="T67" s="105">
        <f>(INDEX(Entitlement!$A$4:$BC$102,ROW()+1,$T$1)*(1-TPCIL!$L$11))-ISGS!K77</f>
        <v>-0.00499099999999686</v>
      </c>
      <c r="U67" s="105">
        <f>'Individual BD'!L67</f>
        <v>0</v>
      </c>
      <c r="V67" s="105">
        <f>(INDEX(Entitlement!$A$4:$BC$102,ROW()+1,$V$1))-ISGS!Q77</f>
        <v>0</v>
      </c>
      <c r="W67" s="105">
        <f>(INDEX(Entitlement!$A$4:$BC$102,ROW()+1,$W$1)*(1-TPCIL!$L$11))-ISGS!T77</f>
        <v>0.00110800000000211</v>
      </c>
      <c r="X67" s="105">
        <f>(INDEX(Entitlement!$A$4:$BC$102,ROW()+1,$X$1)*(1-TPCIL!$L$11))-ISGS!I77</f>
        <v>0.00436299999999878</v>
      </c>
      <c r="Y67" s="105">
        <f>(INDEX(Entitlement!$A$4:$BC$102,ROW()+1,$Y$1)*(1-TPCIL!$L$11))-ISGS!M77</f>
        <v>0.00215199999999527</v>
      </c>
      <c r="Z67" s="105">
        <f>TPCIL!I77-TPCIL!C77</f>
        <v>0.000544999999988249</v>
      </c>
      <c r="AA67" s="105">
        <f>TPCIL!P77-TPCIL!D77</f>
        <v>0</v>
      </c>
      <c r="AB67" s="105">
        <f>'Individual BD'!M67</f>
        <v>0</v>
      </c>
      <c r="AC67" s="105">
        <f>'Individual BD'!N67</f>
        <v>0</v>
      </c>
      <c r="AD67" s="105">
        <f>(INDEX(Entitlement!$A$4:$BC$102,ROW()+1,$AD$1)*(1-TPCIL!$L$11))-ISGS!S77</f>
        <v>0.00303199999999038</v>
      </c>
      <c r="AE67" s="107"/>
      <c r="AG67" s="114">
        <f t="shared" si="2"/>
        <v>4.43280779682053</v>
      </c>
    </row>
    <row r="68" s="99" customFormat="1" ht="18" customHeight="1" spans="1:33">
      <c r="A68" s="108" t="s">
        <v>79</v>
      </c>
      <c r="B68" s="107">
        <v>66</v>
      </c>
      <c r="C68" s="105">
        <f>'Individual BD'!C68</f>
        <v>0</v>
      </c>
      <c r="D68" s="105">
        <f>'Individual BD'!D68</f>
        <v>0</v>
      </c>
      <c r="E68" s="105">
        <f>'Individual BD'!E68</f>
        <v>0</v>
      </c>
      <c r="F68" s="105">
        <f>(INDEX(Entitlement!$A$4:$BC$102,ROW()+1,$F$1)*(1-TPCIL!$L$11))-ISGS!G78</f>
        <v>100.504432</v>
      </c>
      <c r="G68" s="105">
        <f>(INDEX(Entitlement!$A$4:$BC$102,ROW()+1,$G$1)*(1-TPCIL!$L$11))-ISGS!N78</f>
        <v>0.00388299999998765</v>
      </c>
      <c r="H68" s="105">
        <f>'Individual BD'!F68</f>
        <v>0</v>
      </c>
      <c r="I68" s="105">
        <f>'Individual BD'!G68</f>
        <v>0</v>
      </c>
      <c r="J68" s="105">
        <f>'Individual BD'!H68</f>
        <v>0</v>
      </c>
      <c r="K68" s="105">
        <f>'Individual BD'!I68</f>
        <v>0</v>
      </c>
      <c r="L68" s="105">
        <f>(INDEX(Entitlement!$A$4:$BC$102,ROW()+1,$L$1)*(1-TPCIL!$L$11))-ISGS!U78</f>
        <v>0.00347099999999756</v>
      </c>
      <c r="M68" s="105">
        <f>'Individual BD'!J68</f>
        <v>0</v>
      </c>
      <c r="N68" s="105">
        <f>'Individual BD'!K68</f>
        <v>0</v>
      </c>
      <c r="O68" s="105">
        <f>(INDEX(Entitlement!$A$4:$BC$102,ROW()+1,$O$1)*(1-TPCIL!$L$11))-ISGS!O78</f>
        <v>-0.00382899999999609</v>
      </c>
      <c r="P68" s="105">
        <f>(INDEX(Entitlement!$A$4:$BC$102,ROW()+1,$P$1)*(1-TPCIL!$L$11))-ISGS!P78</f>
        <v>0.00125900000000456</v>
      </c>
      <c r="Q68" s="105">
        <f>(INDEX(Entitlement!$A$4:$BC$102,ROW()+1,$Q$1)*(1-TPCIL!$L$11))-ISGS!R78</f>
        <v>0.00469499999999812</v>
      </c>
      <c r="R68" s="105">
        <f>(INDEX(Entitlement!$A$4:$BC$102,ROW()+1,$R$1)*(1-TPCIL!$L$11))-ISGS!L78</f>
        <v>0.00193399999999944</v>
      </c>
      <c r="S68" s="105">
        <f>(INDEX(Entitlement!$A$4:$BC$102,ROW()+1,$S$1)*(1-TPCIL!$L$11))-ISGS!J78</f>
        <v>-0.004722000000001</v>
      </c>
      <c r="T68" s="105">
        <f>(INDEX(Entitlement!$A$4:$BC$102,ROW()+1,$T$1)*(1-TPCIL!$L$11))-ISGS!K78</f>
        <v>-0.00499099999999686</v>
      </c>
      <c r="U68" s="105">
        <f>'Individual BD'!L68</f>
        <v>0</v>
      </c>
      <c r="V68" s="105">
        <f>(INDEX(Entitlement!$A$4:$BC$102,ROW()+1,$V$1))-ISGS!Q78</f>
        <v>0</v>
      </c>
      <c r="W68" s="105">
        <f>(INDEX(Entitlement!$A$4:$BC$102,ROW()+1,$W$1)*(1-TPCIL!$L$11))-ISGS!T78</f>
        <v>0.00110800000000211</v>
      </c>
      <c r="X68" s="105">
        <f>(INDEX(Entitlement!$A$4:$BC$102,ROW()+1,$X$1)*(1-TPCIL!$L$11))-ISGS!I78</f>
        <v>0.00436299999999878</v>
      </c>
      <c r="Y68" s="105">
        <f>(INDEX(Entitlement!$A$4:$BC$102,ROW()+1,$Y$1)*(1-TPCIL!$L$11))-ISGS!M78</f>
        <v>0.00215199999999527</v>
      </c>
      <c r="Z68" s="105">
        <f>TPCIL!I78-TPCIL!C78</f>
        <v>0.000544999999988249</v>
      </c>
      <c r="AA68" s="105">
        <f>TPCIL!P78-TPCIL!D78</f>
        <v>0</v>
      </c>
      <c r="AB68" s="105">
        <f>'Individual BD'!M68</f>
        <v>0</v>
      </c>
      <c r="AC68" s="105">
        <f>'Individual BD'!N68</f>
        <v>0</v>
      </c>
      <c r="AD68" s="105">
        <f>(INDEX(Entitlement!$A$4:$BC$102,ROW()+1,$AD$1)*(1-TPCIL!$L$11))-ISGS!S78</f>
        <v>0.00303199999999038</v>
      </c>
      <c r="AE68" s="107"/>
      <c r="AG68" s="114">
        <f t="shared" si="2"/>
        <v>4.43283594351669</v>
      </c>
    </row>
    <row r="69" s="99" customFormat="1" ht="18" customHeight="1" spans="1:33">
      <c r="A69" s="108" t="s">
        <v>80</v>
      </c>
      <c r="B69" s="107">
        <v>67</v>
      </c>
      <c r="C69" s="105">
        <f>'Individual BD'!C69</f>
        <v>0</v>
      </c>
      <c r="D69" s="105">
        <f>'Individual BD'!D69</f>
        <v>0</v>
      </c>
      <c r="E69" s="105">
        <f>'Individual BD'!E69</f>
        <v>0</v>
      </c>
      <c r="F69" s="105">
        <f>(INDEX(Entitlement!$A$4:$BC$102,ROW()+1,$F$1)*(1-TPCIL!$L$11))-ISGS!G79</f>
        <v>100.504432</v>
      </c>
      <c r="G69" s="105">
        <f>(INDEX(Entitlement!$A$4:$BC$102,ROW()+1,$G$1)*(1-TPCIL!$L$11))-ISGS!N79</f>
        <v>0.00388299999998765</v>
      </c>
      <c r="H69" s="105">
        <f>'Individual BD'!F69</f>
        <v>0</v>
      </c>
      <c r="I69" s="105">
        <f>'Individual BD'!G69</f>
        <v>0</v>
      </c>
      <c r="J69" s="105">
        <f>'Individual BD'!H69</f>
        <v>0</v>
      </c>
      <c r="K69" s="105">
        <f>'Individual BD'!I69</f>
        <v>0</v>
      </c>
      <c r="L69" s="105">
        <f>(INDEX(Entitlement!$A$4:$BC$102,ROW()+1,$L$1)*(1-TPCIL!$L$11))-ISGS!U79</f>
        <v>0.00347099999999756</v>
      </c>
      <c r="M69" s="105">
        <f>'Individual BD'!J69</f>
        <v>0</v>
      </c>
      <c r="N69" s="105">
        <f>'Individual BD'!K69</f>
        <v>0</v>
      </c>
      <c r="O69" s="105">
        <f>(INDEX(Entitlement!$A$4:$BC$102,ROW()+1,$O$1)*(1-TPCIL!$L$11))-ISGS!O79</f>
        <v>-0.00382899999999609</v>
      </c>
      <c r="P69" s="105">
        <f>(INDEX(Entitlement!$A$4:$BC$102,ROW()+1,$P$1)*(1-TPCIL!$L$11))-ISGS!P79</f>
        <v>0.00125900000000456</v>
      </c>
      <c r="Q69" s="105">
        <f>(INDEX(Entitlement!$A$4:$BC$102,ROW()+1,$Q$1)*(1-TPCIL!$L$11))-ISGS!R79</f>
        <v>0.00469499999999812</v>
      </c>
      <c r="R69" s="105">
        <f>(INDEX(Entitlement!$A$4:$BC$102,ROW()+1,$R$1)*(1-TPCIL!$L$11))-ISGS!L79</f>
        <v>0.00193399999999944</v>
      </c>
      <c r="S69" s="105">
        <f>(INDEX(Entitlement!$A$4:$BC$102,ROW()+1,$S$1)*(1-TPCIL!$L$11))-ISGS!J79</f>
        <v>-0.004722000000001</v>
      </c>
      <c r="T69" s="105">
        <f>(INDEX(Entitlement!$A$4:$BC$102,ROW()+1,$T$1)*(1-TPCIL!$L$11))-ISGS!K79</f>
        <v>-0.00499099999999686</v>
      </c>
      <c r="U69" s="105">
        <f>'Individual BD'!L69</f>
        <v>0</v>
      </c>
      <c r="V69" s="105">
        <f>(INDEX(Entitlement!$A$4:$BC$102,ROW()+1,$V$1))-ISGS!Q79</f>
        <v>0</v>
      </c>
      <c r="W69" s="105">
        <f>(INDEX(Entitlement!$A$4:$BC$102,ROW()+1,$W$1)*(1-TPCIL!$L$11))-ISGS!T79</f>
        <v>0.00110800000000211</v>
      </c>
      <c r="X69" s="105">
        <f>(INDEX(Entitlement!$A$4:$BC$102,ROW()+1,$X$1)*(1-TPCIL!$L$11))-ISGS!I79</f>
        <v>0.00436299999999878</v>
      </c>
      <c r="Y69" s="105">
        <f>(INDEX(Entitlement!$A$4:$BC$102,ROW()+1,$Y$1)*(1-TPCIL!$L$11))-ISGS!M79</f>
        <v>0.00215199999999527</v>
      </c>
      <c r="Z69" s="105">
        <f>TPCIL!I79-TPCIL!C79</f>
        <v>0.000544999999988249</v>
      </c>
      <c r="AA69" s="105">
        <f>TPCIL!P79-TPCIL!D79</f>
        <v>0</v>
      </c>
      <c r="AB69" s="105">
        <f>'Individual BD'!M69</f>
        <v>0</v>
      </c>
      <c r="AC69" s="105">
        <f>'Individual BD'!N69</f>
        <v>0</v>
      </c>
      <c r="AD69" s="105">
        <f>(INDEX(Entitlement!$A$4:$BC$102,ROW()+1,$AD$1)*(1-TPCIL!$L$11))-ISGS!S79</f>
        <v>0.00303199999999038</v>
      </c>
      <c r="AE69" s="107"/>
      <c r="AG69" s="114">
        <f t="shared" si="2"/>
        <v>4.43283594351669</v>
      </c>
    </row>
    <row r="70" s="99" customFormat="1" ht="18" customHeight="1" spans="1:33">
      <c r="A70" s="108" t="s">
        <v>81</v>
      </c>
      <c r="B70" s="107">
        <v>68</v>
      </c>
      <c r="C70" s="105">
        <f>'Individual BD'!C70</f>
        <v>0</v>
      </c>
      <c r="D70" s="105">
        <f>'Individual BD'!D70</f>
        <v>0</v>
      </c>
      <c r="E70" s="105">
        <f>'Individual BD'!E70</f>
        <v>0</v>
      </c>
      <c r="F70" s="105">
        <f>(INDEX(Entitlement!$A$4:$BC$102,ROW()+1,$F$1)*(1-TPCIL!$L$11))-ISGS!G80</f>
        <v>100.504432</v>
      </c>
      <c r="G70" s="105">
        <f>(INDEX(Entitlement!$A$4:$BC$102,ROW()+1,$G$1)*(1-TPCIL!$L$11))-ISGS!N80</f>
        <v>0.00388299999998765</v>
      </c>
      <c r="H70" s="105">
        <f>'Individual BD'!F70</f>
        <v>0</v>
      </c>
      <c r="I70" s="105">
        <f>'Individual BD'!G70</f>
        <v>0</v>
      </c>
      <c r="J70" s="105">
        <f>'Individual BD'!H70</f>
        <v>0</v>
      </c>
      <c r="K70" s="105">
        <f>'Individual BD'!I70</f>
        <v>0</v>
      </c>
      <c r="L70" s="105">
        <f>(INDEX(Entitlement!$A$4:$BC$102,ROW()+1,$L$1)*(1-TPCIL!$L$11))-ISGS!U80</f>
        <v>0.00347099999999756</v>
      </c>
      <c r="M70" s="105">
        <f>'Individual BD'!J70</f>
        <v>0</v>
      </c>
      <c r="N70" s="105">
        <f>'Individual BD'!K70</f>
        <v>0</v>
      </c>
      <c r="O70" s="105">
        <f>(INDEX(Entitlement!$A$4:$BC$102,ROW()+1,$O$1)*(1-TPCIL!$L$11))-ISGS!O80</f>
        <v>-0.00382899999999609</v>
      </c>
      <c r="P70" s="105">
        <f>(INDEX(Entitlement!$A$4:$BC$102,ROW()+1,$P$1)*(1-TPCIL!$L$11))-ISGS!P80</f>
        <v>0.00125900000000456</v>
      </c>
      <c r="Q70" s="105">
        <f>(INDEX(Entitlement!$A$4:$BC$102,ROW()+1,$Q$1)*(1-TPCIL!$L$11))-ISGS!R80</f>
        <v>0.00469499999999812</v>
      </c>
      <c r="R70" s="105">
        <f>(INDEX(Entitlement!$A$4:$BC$102,ROW()+1,$R$1)*(1-TPCIL!$L$11))-ISGS!L80</f>
        <v>0.00193399999999944</v>
      </c>
      <c r="S70" s="105">
        <f>(INDEX(Entitlement!$A$4:$BC$102,ROW()+1,$S$1)*(1-TPCIL!$L$11))-ISGS!J80</f>
        <v>-0.004722000000001</v>
      </c>
      <c r="T70" s="105">
        <f>(INDEX(Entitlement!$A$4:$BC$102,ROW()+1,$T$1)*(1-TPCIL!$L$11))-ISGS!K80</f>
        <v>-0.00499099999999686</v>
      </c>
      <c r="U70" s="105">
        <f>'Individual BD'!L70</f>
        <v>0</v>
      </c>
      <c r="V70" s="105">
        <f>(INDEX(Entitlement!$A$4:$BC$102,ROW()+1,$V$1))-ISGS!Q80</f>
        <v>0</v>
      </c>
      <c r="W70" s="105">
        <f>(INDEX(Entitlement!$A$4:$BC$102,ROW()+1,$W$1)*(1-TPCIL!$L$11))-ISGS!T80</f>
        <v>0.00110800000000211</v>
      </c>
      <c r="X70" s="105">
        <f>(INDEX(Entitlement!$A$4:$BC$102,ROW()+1,$X$1)*(1-TPCIL!$L$11))-ISGS!I80</f>
        <v>0.00436299999999878</v>
      </c>
      <c r="Y70" s="105">
        <f>(INDEX(Entitlement!$A$4:$BC$102,ROW()+1,$Y$1)*(1-TPCIL!$L$11))-ISGS!M80</f>
        <v>0.00215199999999527</v>
      </c>
      <c r="Z70" s="105">
        <f>TPCIL!I80-TPCIL!C80</f>
        <v>0.000544999999988249</v>
      </c>
      <c r="AA70" s="105">
        <f>TPCIL!P80-TPCIL!D80</f>
        <v>0</v>
      </c>
      <c r="AB70" s="105">
        <f>'Individual BD'!M70</f>
        <v>0</v>
      </c>
      <c r="AC70" s="105">
        <f>'Individual BD'!N70</f>
        <v>0</v>
      </c>
      <c r="AD70" s="105">
        <f>(INDEX(Entitlement!$A$4:$BC$102,ROW()+1,$AD$1)*(1-TPCIL!$L$11))-ISGS!S80</f>
        <v>0.00303199999999038</v>
      </c>
      <c r="AE70" s="107"/>
      <c r="AG70" s="114">
        <f t="shared" si="2"/>
        <v>4.43283594351669</v>
      </c>
    </row>
    <row r="71" s="98" customFormat="1" ht="18" customHeight="1" spans="1:33">
      <c r="A71" s="106" t="s">
        <v>82</v>
      </c>
      <c r="B71" s="107">
        <v>69</v>
      </c>
      <c r="C71" s="105">
        <f>'Individual BD'!C71</f>
        <v>0</v>
      </c>
      <c r="D71" s="105">
        <f>'Individual BD'!D71</f>
        <v>0</v>
      </c>
      <c r="E71" s="105">
        <f>'Individual BD'!E71</f>
        <v>0</v>
      </c>
      <c r="F71" s="105">
        <f>(INDEX(Entitlement!$A$4:$BC$102,ROW()+1,$F$1)*(1-TPCIL!$L$11))-ISGS!G81</f>
        <v>0.00443200000000843</v>
      </c>
      <c r="G71" s="105">
        <f>(INDEX(Entitlement!$A$4:$BC$102,ROW()+1,$G$1)*(1-TPCIL!$L$11))-ISGS!N81</f>
        <v>0.00388299999998765</v>
      </c>
      <c r="H71" s="105">
        <f>'Individual BD'!F71</f>
        <v>0</v>
      </c>
      <c r="I71" s="105">
        <f>'Individual BD'!G71</f>
        <v>0</v>
      </c>
      <c r="J71" s="105">
        <f>'Individual BD'!H71</f>
        <v>0</v>
      </c>
      <c r="K71" s="105">
        <f>'Individual BD'!I71</f>
        <v>0</v>
      </c>
      <c r="L71" s="105">
        <f>(INDEX(Entitlement!$A$4:$BC$102,ROW()+1,$L$1)*(1-TPCIL!$L$11))-ISGS!U81</f>
        <v>0.00347099999999756</v>
      </c>
      <c r="M71" s="105">
        <f>'Individual BD'!J71</f>
        <v>0</v>
      </c>
      <c r="N71" s="105">
        <f>'Individual BD'!K71</f>
        <v>0</v>
      </c>
      <c r="O71" s="105">
        <f>(INDEX(Entitlement!$A$4:$BC$102,ROW()+1,$O$1)*(1-TPCIL!$L$11))-ISGS!O81</f>
        <v>-0.00382899999999609</v>
      </c>
      <c r="P71" s="105">
        <f>(INDEX(Entitlement!$A$4:$BC$102,ROW()+1,$P$1)*(1-TPCIL!$L$11))-ISGS!P81</f>
        <v>0.00125900000000456</v>
      </c>
      <c r="Q71" s="105">
        <f>(INDEX(Entitlement!$A$4:$BC$102,ROW()+1,$Q$1)*(1-TPCIL!$L$11))-ISGS!R81</f>
        <v>0.00469499999999812</v>
      </c>
      <c r="R71" s="105">
        <f>(INDEX(Entitlement!$A$4:$BC$102,ROW()+1,$R$1)*(1-TPCIL!$L$11))-ISGS!L81</f>
        <v>0.00193399999999944</v>
      </c>
      <c r="S71" s="105">
        <f>(INDEX(Entitlement!$A$4:$BC$102,ROW()+1,$S$1)*(1-TPCIL!$L$11))-ISGS!J81</f>
        <v>-0.004722000000001</v>
      </c>
      <c r="T71" s="105">
        <f>(INDEX(Entitlement!$A$4:$BC$102,ROW()+1,$T$1)*(1-TPCIL!$L$11))-ISGS!K81</f>
        <v>-0.00499099999999686</v>
      </c>
      <c r="U71" s="105">
        <f>'Individual BD'!L71</f>
        <v>0</v>
      </c>
      <c r="V71" s="105">
        <f>(INDEX(Entitlement!$A$4:$BC$102,ROW()+1,$V$1))-ISGS!Q81</f>
        <v>0</v>
      </c>
      <c r="W71" s="105">
        <f>(INDEX(Entitlement!$A$4:$BC$102,ROW()+1,$W$1)*(1-TPCIL!$L$11))-ISGS!T81</f>
        <v>0.00110800000000211</v>
      </c>
      <c r="X71" s="105">
        <f>(INDEX(Entitlement!$A$4:$BC$102,ROW()+1,$X$1)*(1-TPCIL!$L$11))-ISGS!I81</f>
        <v>0.00436299999999878</v>
      </c>
      <c r="Y71" s="105">
        <f>(INDEX(Entitlement!$A$4:$BC$102,ROW()+1,$Y$1)*(1-TPCIL!$L$11))-ISGS!M81</f>
        <v>0.00215199999999527</v>
      </c>
      <c r="Z71" s="105">
        <f>TPCIL!I81-TPCIL!C81</f>
        <v>0.000544999999988249</v>
      </c>
      <c r="AA71" s="105">
        <f>TPCIL!P81-TPCIL!D81</f>
        <v>0</v>
      </c>
      <c r="AB71" s="105">
        <f>'Individual BD'!M71</f>
        <v>0</v>
      </c>
      <c r="AC71" s="105">
        <f>'Individual BD'!N71</f>
        <v>0</v>
      </c>
      <c r="AD71" s="105">
        <f>(INDEX(Entitlement!$A$4:$BC$102,ROW()+1,$AD$1)*(1-TPCIL!$L$11))-ISGS!S81</f>
        <v>0.00303199999999038</v>
      </c>
      <c r="AE71" s="107"/>
      <c r="AG71" s="114">
        <f t="shared" si="2"/>
        <v>3.48155065774421</v>
      </c>
    </row>
    <row r="72" s="98" customFormat="1" ht="18" customHeight="1" spans="1:33">
      <c r="A72" s="106" t="s">
        <v>83</v>
      </c>
      <c r="B72" s="107">
        <v>70</v>
      </c>
      <c r="C72" s="105">
        <f>'Individual BD'!C72</f>
        <v>0</v>
      </c>
      <c r="D72" s="105">
        <f>'Individual BD'!D72</f>
        <v>0</v>
      </c>
      <c r="E72" s="105">
        <f>'Individual BD'!E72</f>
        <v>0</v>
      </c>
      <c r="F72" s="105">
        <f>(INDEX(Entitlement!$A$4:$BC$102,ROW()+1,$F$1)*(1-TPCIL!$L$11))-ISGS!G82</f>
        <v>0.00443200000000843</v>
      </c>
      <c r="G72" s="105">
        <f>(INDEX(Entitlement!$A$4:$BC$102,ROW()+1,$G$1)*(1-TPCIL!$L$11))-ISGS!N82</f>
        <v>0.00388299999998765</v>
      </c>
      <c r="H72" s="105">
        <f>'Individual BD'!F72</f>
        <v>0</v>
      </c>
      <c r="I72" s="105">
        <f>'Individual BD'!G72</f>
        <v>0</v>
      </c>
      <c r="J72" s="105">
        <f>'Individual BD'!H72</f>
        <v>0</v>
      </c>
      <c r="K72" s="105">
        <f>'Individual BD'!I72</f>
        <v>0</v>
      </c>
      <c r="L72" s="105">
        <f>(INDEX(Entitlement!$A$4:$BC$102,ROW()+1,$L$1)*(1-TPCIL!$L$11))-ISGS!U82</f>
        <v>0.00347099999999756</v>
      </c>
      <c r="M72" s="105">
        <f>'Individual BD'!J72</f>
        <v>0</v>
      </c>
      <c r="N72" s="105">
        <f>'Individual BD'!K72</f>
        <v>0</v>
      </c>
      <c r="O72" s="105">
        <f>(INDEX(Entitlement!$A$4:$BC$102,ROW()+1,$O$1)*(1-TPCIL!$L$11))-ISGS!O82</f>
        <v>-0.00382899999999609</v>
      </c>
      <c r="P72" s="105">
        <f>(INDEX(Entitlement!$A$4:$BC$102,ROW()+1,$P$1)*(1-TPCIL!$L$11))-ISGS!P82</f>
        <v>0.00125900000000456</v>
      </c>
      <c r="Q72" s="105">
        <f>(INDEX(Entitlement!$A$4:$BC$102,ROW()+1,$Q$1)*(1-TPCIL!$L$11))-ISGS!R82</f>
        <v>0.00469499999999812</v>
      </c>
      <c r="R72" s="105">
        <f>(INDEX(Entitlement!$A$4:$BC$102,ROW()+1,$R$1)*(1-TPCIL!$L$11))-ISGS!L82</f>
        <v>0.00193399999999944</v>
      </c>
      <c r="S72" s="105">
        <f>(INDEX(Entitlement!$A$4:$BC$102,ROW()+1,$S$1)*(1-TPCIL!$L$11))-ISGS!J82</f>
        <v>-0.004722000000001</v>
      </c>
      <c r="T72" s="105">
        <f>(INDEX(Entitlement!$A$4:$BC$102,ROW()+1,$T$1)*(1-TPCIL!$L$11))-ISGS!K82</f>
        <v>-0.00499099999999686</v>
      </c>
      <c r="U72" s="105">
        <f>'Individual BD'!L72</f>
        <v>0</v>
      </c>
      <c r="V72" s="105">
        <f>(INDEX(Entitlement!$A$4:$BC$102,ROW()+1,$V$1))-ISGS!Q82</f>
        <v>0</v>
      </c>
      <c r="W72" s="105">
        <f>(INDEX(Entitlement!$A$4:$BC$102,ROW()+1,$W$1)*(1-TPCIL!$L$11))-ISGS!T82</f>
        <v>0.00110800000000211</v>
      </c>
      <c r="X72" s="105">
        <f>(INDEX(Entitlement!$A$4:$BC$102,ROW()+1,$X$1)*(1-TPCIL!$L$11))-ISGS!I82</f>
        <v>0.00436299999999878</v>
      </c>
      <c r="Y72" s="105">
        <f>(INDEX(Entitlement!$A$4:$BC$102,ROW()+1,$Y$1)*(1-TPCIL!$L$11))-ISGS!M82</f>
        <v>0.00215199999999527</v>
      </c>
      <c r="Z72" s="105">
        <f>TPCIL!I82-TPCIL!C82</f>
        <v>0.000544999999988249</v>
      </c>
      <c r="AA72" s="105">
        <f>TPCIL!P82-TPCIL!D82</f>
        <v>0</v>
      </c>
      <c r="AB72" s="105">
        <f>'Individual BD'!M72</f>
        <v>0</v>
      </c>
      <c r="AC72" s="105">
        <f>'Individual BD'!N72</f>
        <v>0</v>
      </c>
      <c r="AD72" s="105">
        <f>(INDEX(Entitlement!$A$4:$BC$102,ROW()+1,$AD$1)*(1-TPCIL!$L$11))-ISGS!S82</f>
        <v>0.00303199999999038</v>
      </c>
      <c r="AE72" s="107"/>
      <c r="AG72" s="114">
        <f t="shared" si="2"/>
        <v>3.48155065774421</v>
      </c>
    </row>
    <row r="73" s="99" customFormat="1" ht="18" customHeight="1" spans="1:33">
      <c r="A73" s="108" t="s">
        <v>84</v>
      </c>
      <c r="B73" s="107">
        <v>71</v>
      </c>
      <c r="C73" s="105">
        <f>'Individual BD'!C73</f>
        <v>0</v>
      </c>
      <c r="D73" s="105">
        <f>'Individual BD'!D73</f>
        <v>0</v>
      </c>
      <c r="E73" s="105">
        <f>'Individual BD'!E73</f>
        <v>0</v>
      </c>
      <c r="F73" s="105">
        <f>(INDEX(Entitlement!$A$4:$BC$102,ROW()+1,$F$1)*(1-TPCIL!$L$11))-ISGS!G83</f>
        <v>0.00443200000000843</v>
      </c>
      <c r="G73" s="105">
        <f>(INDEX(Entitlement!$A$4:$BC$102,ROW()+1,$G$1)*(1-TPCIL!$L$11))-ISGS!N83</f>
        <v>0.00388299999998765</v>
      </c>
      <c r="H73" s="105">
        <f>'Individual BD'!F73</f>
        <v>0</v>
      </c>
      <c r="I73" s="105">
        <f>'Individual BD'!G73</f>
        <v>0</v>
      </c>
      <c r="J73" s="105">
        <f>'Individual BD'!H73</f>
        <v>0</v>
      </c>
      <c r="K73" s="105">
        <f>'Individual BD'!I73</f>
        <v>0</v>
      </c>
      <c r="L73" s="105">
        <f>(INDEX(Entitlement!$A$4:$BC$102,ROW()+1,$L$1)*(1-TPCIL!$L$11))-ISGS!U83</f>
        <v>0.00347099999999756</v>
      </c>
      <c r="M73" s="105">
        <f>'Individual BD'!J73</f>
        <v>0</v>
      </c>
      <c r="N73" s="105">
        <f>'Individual BD'!K73</f>
        <v>0</v>
      </c>
      <c r="O73" s="105">
        <f>(INDEX(Entitlement!$A$4:$BC$102,ROW()+1,$O$1)*(1-TPCIL!$L$11))-ISGS!O83</f>
        <v>-0.00382899999999609</v>
      </c>
      <c r="P73" s="105">
        <f>(INDEX(Entitlement!$A$4:$BC$102,ROW()+1,$P$1)*(1-TPCIL!$L$11))-ISGS!P83</f>
        <v>0.00125900000000456</v>
      </c>
      <c r="Q73" s="105">
        <f>(INDEX(Entitlement!$A$4:$BC$102,ROW()+1,$Q$1)*(1-TPCIL!$L$11))-ISGS!R83</f>
        <v>0.00469499999999812</v>
      </c>
      <c r="R73" s="105">
        <f>(INDEX(Entitlement!$A$4:$BC$102,ROW()+1,$R$1)*(1-TPCIL!$L$11))-ISGS!L83</f>
        <v>0.00193399999999944</v>
      </c>
      <c r="S73" s="105">
        <f>(INDEX(Entitlement!$A$4:$BC$102,ROW()+1,$S$1)*(1-TPCIL!$L$11))-ISGS!J83</f>
        <v>-0.004722000000001</v>
      </c>
      <c r="T73" s="105">
        <f>(INDEX(Entitlement!$A$4:$BC$102,ROW()+1,$T$1)*(1-TPCIL!$L$11))-ISGS!K83</f>
        <v>-0.00499099999999686</v>
      </c>
      <c r="U73" s="105">
        <f>'Individual BD'!L73</f>
        <v>0</v>
      </c>
      <c r="V73" s="105">
        <f>(INDEX(Entitlement!$A$4:$BC$102,ROW()+1,$V$1))-ISGS!Q83</f>
        <v>0</v>
      </c>
      <c r="W73" s="105">
        <f>(INDEX(Entitlement!$A$4:$BC$102,ROW()+1,$W$1)*(1-TPCIL!$L$11))-ISGS!T83</f>
        <v>0.00110800000000211</v>
      </c>
      <c r="X73" s="105">
        <f>(INDEX(Entitlement!$A$4:$BC$102,ROW()+1,$X$1)*(1-TPCIL!$L$11))-ISGS!I83</f>
        <v>0.00436299999999878</v>
      </c>
      <c r="Y73" s="105">
        <f>(INDEX(Entitlement!$A$4:$BC$102,ROW()+1,$Y$1)*(1-TPCIL!$L$11))-ISGS!M83</f>
        <v>0.00215199999999527</v>
      </c>
      <c r="Z73" s="105">
        <f>TPCIL!I83-TPCIL!C83</f>
        <v>0.000544999999988249</v>
      </c>
      <c r="AA73" s="105">
        <f>TPCIL!P83-TPCIL!D83</f>
        <v>0</v>
      </c>
      <c r="AB73" s="105">
        <f>'Individual BD'!M73</f>
        <v>0</v>
      </c>
      <c r="AC73" s="105">
        <f>'Individual BD'!N73</f>
        <v>0</v>
      </c>
      <c r="AD73" s="105">
        <f>(INDEX(Entitlement!$A$4:$BC$102,ROW()+1,$AD$1)*(1-TPCIL!$L$11))-ISGS!S83</f>
        <v>0.00303199999999038</v>
      </c>
      <c r="AE73" s="107"/>
      <c r="AG73" s="114">
        <f t="shared" si="2"/>
        <v>3.48155065774421</v>
      </c>
    </row>
    <row r="74" s="99" customFormat="1" ht="18" customHeight="1" spans="1:33">
      <c r="A74" s="108" t="s">
        <v>85</v>
      </c>
      <c r="B74" s="107">
        <v>72</v>
      </c>
      <c r="C74" s="105">
        <f>'Individual BD'!C74</f>
        <v>0</v>
      </c>
      <c r="D74" s="105">
        <f>'Individual BD'!D74</f>
        <v>0</v>
      </c>
      <c r="E74" s="105">
        <f>'Individual BD'!E74</f>
        <v>0</v>
      </c>
      <c r="F74" s="105">
        <f>(INDEX(Entitlement!$A$4:$BC$102,ROW()+1,$F$1)*(1-TPCIL!$L$11))-ISGS!G84</f>
        <v>0.00443200000000843</v>
      </c>
      <c r="G74" s="105">
        <f>(INDEX(Entitlement!$A$4:$BC$102,ROW()+1,$G$1)*(1-TPCIL!$L$11))-ISGS!N84</f>
        <v>0.00388299999998765</v>
      </c>
      <c r="H74" s="105">
        <f>'Individual BD'!F74</f>
        <v>0</v>
      </c>
      <c r="I74" s="105">
        <f>'Individual BD'!G74</f>
        <v>0</v>
      </c>
      <c r="J74" s="105">
        <f>'Individual BD'!H74</f>
        <v>0</v>
      </c>
      <c r="K74" s="105">
        <f>'Individual BD'!I74</f>
        <v>0</v>
      </c>
      <c r="L74" s="105">
        <f>(INDEX(Entitlement!$A$4:$BC$102,ROW()+1,$L$1)*(1-TPCIL!$L$11))-ISGS!U84</f>
        <v>0.00347099999999756</v>
      </c>
      <c r="M74" s="105">
        <f>'Individual BD'!J74</f>
        <v>0</v>
      </c>
      <c r="N74" s="105">
        <f>'Individual BD'!K74</f>
        <v>0</v>
      </c>
      <c r="O74" s="105">
        <f>(INDEX(Entitlement!$A$4:$BC$102,ROW()+1,$O$1)*(1-TPCIL!$L$11))-ISGS!O84</f>
        <v>-0.00382899999999609</v>
      </c>
      <c r="P74" s="105">
        <f>(INDEX(Entitlement!$A$4:$BC$102,ROW()+1,$P$1)*(1-TPCIL!$L$11))-ISGS!P84</f>
        <v>0.00125900000000456</v>
      </c>
      <c r="Q74" s="105">
        <f>(INDEX(Entitlement!$A$4:$BC$102,ROW()+1,$Q$1)*(1-TPCIL!$L$11))-ISGS!R84</f>
        <v>0.00469499999999812</v>
      </c>
      <c r="R74" s="105">
        <f>(INDEX(Entitlement!$A$4:$BC$102,ROW()+1,$R$1)*(1-TPCIL!$L$11))-ISGS!L84</f>
        <v>0.00193399999999944</v>
      </c>
      <c r="S74" s="105">
        <f>(INDEX(Entitlement!$A$4:$BC$102,ROW()+1,$S$1)*(1-TPCIL!$L$11))-ISGS!J84</f>
        <v>-0.004722000000001</v>
      </c>
      <c r="T74" s="105">
        <f>(INDEX(Entitlement!$A$4:$BC$102,ROW()+1,$T$1)*(1-TPCIL!$L$11))-ISGS!K84</f>
        <v>-0.00499099999999686</v>
      </c>
      <c r="U74" s="105">
        <f>'Individual BD'!L74</f>
        <v>0</v>
      </c>
      <c r="V74" s="105">
        <f>(INDEX(Entitlement!$A$4:$BC$102,ROW()+1,$V$1))-ISGS!Q84</f>
        <v>0</v>
      </c>
      <c r="W74" s="105">
        <f>(INDEX(Entitlement!$A$4:$BC$102,ROW()+1,$W$1)*(1-TPCIL!$L$11))-ISGS!T84</f>
        <v>0.00110800000000211</v>
      </c>
      <c r="X74" s="105">
        <f>(INDEX(Entitlement!$A$4:$BC$102,ROW()+1,$X$1)*(1-TPCIL!$L$11))-ISGS!I84</f>
        <v>0.00436299999999878</v>
      </c>
      <c r="Y74" s="105">
        <f>(INDEX(Entitlement!$A$4:$BC$102,ROW()+1,$Y$1)*(1-TPCIL!$L$11))-ISGS!M84</f>
        <v>0.00215199999999527</v>
      </c>
      <c r="Z74" s="105">
        <f>TPCIL!I84-TPCIL!C84</f>
        <v>0.000544999999988249</v>
      </c>
      <c r="AA74" s="105">
        <f>TPCIL!P84-TPCIL!D84</f>
        <v>0</v>
      </c>
      <c r="AB74" s="105">
        <f>'Individual BD'!M74</f>
        <v>0</v>
      </c>
      <c r="AC74" s="105">
        <f>'Individual BD'!N74</f>
        <v>0</v>
      </c>
      <c r="AD74" s="105">
        <f>(INDEX(Entitlement!$A$4:$BC$102,ROW()+1,$AD$1)*(1-TPCIL!$L$11))-ISGS!S84</f>
        <v>0.00303199999999038</v>
      </c>
      <c r="AE74" s="107"/>
      <c r="AG74" s="114">
        <f t="shared" si="2"/>
        <v>3.48155065774421</v>
      </c>
    </row>
    <row r="75" s="99" customFormat="1" ht="18" customHeight="1" spans="1:33">
      <c r="A75" s="108" t="s">
        <v>86</v>
      </c>
      <c r="B75" s="107">
        <v>73</v>
      </c>
      <c r="C75" s="105">
        <f>'Individual BD'!C75</f>
        <v>0</v>
      </c>
      <c r="D75" s="105">
        <f>'Individual BD'!D75</f>
        <v>0</v>
      </c>
      <c r="E75" s="105">
        <f>'Individual BD'!E75</f>
        <v>0</v>
      </c>
      <c r="F75" s="105">
        <f>(INDEX(Entitlement!$A$4:$BC$102,ROW()+1,$F$1)*(1-TPCIL!$L$11))-ISGS!G85</f>
        <v>0.00443200000000843</v>
      </c>
      <c r="G75" s="105">
        <f>(INDEX(Entitlement!$A$4:$BC$102,ROW()+1,$G$1)*(1-TPCIL!$L$11))-ISGS!N85</f>
        <v>0.00388299999998765</v>
      </c>
      <c r="H75" s="105">
        <f>'Individual BD'!F75</f>
        <v>0</v>
      </c>
      <c r="I75" s="105">
        <f>'Individual BD'!G75</f>
        <v>0</v>
      </c>
      <c r="J75" s="105">
        <f>'Individual BD'!H75</f>
        <v>0</v>
      </c>
      <c r="K75" s="105">
        <f>'Individual BD'!I75</f>
        <v>0</v>
      </c>
      <c r="L75" s="105">
        <f>(INDEX(Entitlement!$A$4:$BC$102,ROW()+1,$L$1)*(1-TPCIL!$L$11))-ISGS!U85</f>
        <v>0.00347099999999756</v>
      </c>
      <c r="M75" s="105">
        <f>'Individual BD'!J75</f>
        <v>0</v>
      </c>
      <c r="N75" s="105">
        <f>'Individual BD'!K75</f>
        <v>0</v>
      </c>
      <c r="O75" s="105">
        <f>(INDEX(Entitlement!$A$4:$BC$102,ROW()+1,$O$1)*(1-TPCIL!$L$11))-ISGS!O85</f>
        <v>-0.00382899999999609</v>
      </c>
      <c r="P75" s="105">
        <f>(INDEX(Entitlement!$A$4:$BC$102,ROW()+1,$P$1)*(1-TPCIL!$L$11))-ISGS!P85</f>
        <v>0.00125900000000456</v>
      </c>
      <c r="Q75" s="105">
        <f>(INDEX(Entitlement!$A$4:$BC$102,ROW()+1,$Q$1)*(1-TPCIL!$L$11))-ISGS!R85</f>
        <v>0.00469499999999812</v>
      </c>
      <c r="R75" s="105">
        <f>(INDEX(Entitlement!$A$4:$BC$102,ROW()+1,$R$1)*(1-TPCIL!$L$11))-ISGS!L85</f>
        <v>0.00193399999999944</v>
      </c>
      <c r="S75" s="105">
        <f>(INDEX(Entitlement!$A$4:$BC$102,ROW()+1,$S$1)*(1-TPCIL!$L$11))-ISGS!J85</f>
        <v>-0.004722000000001</v>
      </c>
      <c r="T75" s="105">
        <f>(INDEX(Entitlement!$A$4:$BC$102,ROW()+1,$T$1)*(1-TPCIL!$L$11))-ISGS!K85</f>
        <v>-0.00499099999999686</v>
      </c>
      <c r="U75" s="105">
        <f>'Individual BD'!L75</f>
        <v>0</v>
      </c>
      <c r="V75" s="105">
        <f>(INDEX(Entitlement!$A$4:$BC$102,ROW()+1,$V$1))-ISGS!Q85</f>
        <v>0</v>
      </c>
      <c r="W75" s="105">
        <f>(INDEX(Entitlement!$A$4:$BC$102,ROW()+1,$W$1)*(1-TPCIL!$L$11))-ISGS!T85</f>
        <v>0.00110800000000211</v>
      </c>
      <c r="X75" s="105">
        <f>(INDEX(Entitlement!$A$4:$BC$102,ROW()+1,$X$1)*(1-TPCIL!$L$11))-ISGS!I85</f>
        <v>0.00436299999999878</v>
      </c>
      <c r="Y75" s="105">
        <f>(INDEX(Entitlement!$A$4:$BC$102,ROW()+1,$Y$1)*(1-TPCIL!$L$11))-ISGS!M85</f>
        <v>0.00215199999999527</v>
      </c>
      <c r="Z75" s="105">
        <f>TPCIL!I85-TPCIL!C85</f>
        <v>0.000544999999988249</v>
      </c>
      <c r="AA75" s="105">
        <f>TPCIL!P85-TPCIL!D85</f>
        <v>0</v>
      </c>
      <c r="AB75" s="105">
        <f>'Individual BD'!M75</f>
        <v>0</v>
      </c>
      <c r="AC75" s="105">
        <f>'Individual BD'!N75</f>
        <v>0</v>
      </c>
      <c r="AD75" s="105">
        <f>(INDEX(Entitlement!$A$4:$BC$102,ROW()+1,$AD$1)*(1-TPCIL!$L$11))-ISGS!S85</f>
        <v>0.00303199999999038</v>
      </c>
      <c r="AE75" s="107"/>
      <c r="AG75" s="114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3.48155065774421</v>
      </c>
    </row>
    <row r="76" s="99" customFormat="1" ht="18" customHeight="1" spans="1:33">
      <c r="A76" s="108" t="s">
        <v>87</v>
      </c>
      <c r="B76" s="107">
        <v>74</v>
      </c>
      <c r="C76" s="105">
        <f>'Individual BD'!C76</f>
        <v>0</v>
      </c>
      <c r="D76" s="105">
        <f>'Individual BD'!D76</f>
        <v>0</v>
      </c>
      <c r="E76" s="105">
        <f>'Individual BD'!E76</f>
        <v>0</v>
      </c>
      <c r="F76" s="105">
        <f>(INDEX(Entitlement!$A$4:$BC$102,ROW()+1,$F$1)*(1-TPCIL!$L$11))-ISGS!G86</f>
        <v>0.00443200000000843</v>
      </c>
      <c r="G76" s="105">
        <f>(INDEX(Entitlement!$A$4:$BC$102,ROW()+1,$G$1)*(1-TPCIL!$L$11))-ISGS!N86</f>
        <v>0.00388299999998765</v>
      </c>
      <c r="H76" s="105">
        <f>'Individual BD'!F76</f>
        <v>0</v>
      </c>
      <c r="I76" s="105">
        <f>'Individual BD'!G76</f>
        <v>0</v>
      </c>
      <c r="J76" s="105">
        <f>'Individual BD'!H76</f>
        <v>0</v>
      </c>
      <c r="K76" s="105">
        <f>'Individual BD'!I76</f>
        <v>0</v>
      </c>
      <c r="L76" s="105">
        <f>(INDEX(Entitlement!$A$4:$BC$102,ROW()+1,$L$1)*(1-TPCIL!$L$11))-ISGS!U86</f>
        <v>0.00347099999999756</v>
      </c>
      <c r="M76" s="105">
        <f>'Individual BD'!J76</f>
        <v>0</v>
      </c>
      <c r="N76" s="105">
        <f>'Individual BD'!K76</f>
        <v>0</v>
      </c>
      <c r="O76" s="105">
        <f>(INDEX(Entitlement!$A$4:$BC$102,ROW()+1,$O$1)*(1-TPCIL!$L$11))-ISGS!O86</f>
        <v>-0.00382899999999609</v>
      </c>
      <c r="P76" s="105">
        <f>(INDEX(Entitlement!$A$4:$BC$102,ROW()+1,$P$1)*(1-TPCIL!$L$11))-ISGS!P86</f>
        <v>0.00125900000000456</v>
      </c>
      <c r="Q76" s="105">
        <f>(INDEX(Entitlement!$A$4:$BC$102,ROW()+1,$Q$1)*(1-TPCIL!$L$11))-ISGS!R86</f>
        <v>0.00469499999999812</v>
      </c>
      <c r="R76" s="105">
        <f>(INDEX(Entitlement!$A$4:$BC$102,ROW()+1,$R$1)*(1-TPCIL!$L$11))-ISGS!L86</f>
        <v>0.00193399999999944</v>
      </c>
      <c r="S76" s="105">
        <f>(INDEX(Entitlement!$A$4:$BC$102,ROW()+1,$S$1)*(1-TPCIL!$L$11))-ISGS!J86</f>
        <v>-0.004722000000001</v>
      </c>
      <c r="T76" s="105">
        <f>(INDEX(Entitlement!$A$4:$BC$102,ROW()+1,$T$1)*(1-TPCIL!$L$11))-ISGS!K86</f>
        <v>-0.00499099999999686</v>
      </c>
      <c r="U76" s="105">
        <f>'Individual BD'!L76</f>
        <v>0</v>
      </c>
      <c r="V76" s="105">
        <f>(INDEX(Entitlement!$A$4:$BC$102,ROW()+1,$V$1))-ISGS!Q86</f>
        <v>0</v>
      </c>
      <c r="W76" s="105">
        <f>(INDEX(Entitlement!$A$4:$BC$102,ROW()+1,$W$1)*(1-TPCIL!$L$11))-ISGS!T86</f>
        <v>0.00110800000000211</v>
      </c>
      <c r="X76" s="105">
        <f>(INDEX(Entitlement!$A$4:$BC$102,ROW()+1,$X$1)*(1-TPCIL!$L$11))-ISGS!I86</f>
        <v>0.00436299999999878</v>
      </c>
      <c r="Y76" s="105">
        <f>(INDEX(Entitlement!$A$4:$BC$102,ROW()+1,$Y$1)*(1-TPCIL!$L$11))-ISGS!M86</f>
        <v>0.00215199999999527</v>
      </c>
      <c r="Z76" s="105">
        <f>TPCIL!I86-TPCIL!C86</f>
        <v>0.000544999999988249</v>
      </c>
      <c r="AA76" s="105">
        <f>TPCIL!P86-TPCIL!D86</f>
        <v>0</v>
      </c>
      <c r="AB76" s="105">
        <f>'Individual BD'!M76</f>
        <v>0</v>
      </c>
      <c r="AC76" s="105">
        <f>'Individual BD'!N76</f>
        <v>0</v>
      </c>
      <c r="AD76" s="105">
        <f>(INDEX(Entitlement!$A$4:$BC$102,ROW()+1,$AD$1)*(1-TPCIL!$L$11))-ISGS!S86</f>
        <v>0.00303199999999038</v>
      </c>
      <c r="AE76" s="107"/>
      <c r="AG76" s="114">
        <f t="shared" si="3"/>
        <v>3.48155065774421</v>
      </c>
    </row>
    <row r="77" s="99" customFormat="1" ht="18" customHeight="1" spans="1:33">
      <c r="A77" s="108" t="s">
        <v>88</v>
      </c>
      <c r="B77" s="107">
        <v>75</v>
      </c>
      <c r="C77" s="105">
        <f>'Individual BD'!C77</f>
        <v>0</v>
      </c>
      <c r="D77" s="105">
        <f>'Individual BD'!D77</f>
        <v>0</v>
      </c>
      <c r="E77" s="105">
        <f>'Individual BD'!E77</f>
        <v>0</v>
      </c>
      <c r="F77" s="105">
        <f>(INDEX(Entitlement!$A$4:$BC$102,ROW()+1,$F$1)*(1-TPCIL!$L$11))-ISGS!G87</f>
        <v>0.00443200000000843</v>
      </c>
      <c r="G77" s="105">
        <f>(INDEX(Entitlement!$A$4:$BC$102,ROW()+1,$G$1)*(1-TPCIL!$L$11))-ISGS!N87</f>
        <v>0.00388299999998765</v>
      </c>
      <c r="H77" s="105">
        <f>'Individual BD'!F77</f>
        <v>0</v>
      </c>
      <c r="I77" s="105">
        <f>'Individual BD'!G77</f>
        <v>0</v>
      </c>
      <c r="J77" s="105">
        <f>'Individual BD'!H77</f>
        <v>0</v>
      </c>
      <c r="K77" s="105">
        <f>'Individual BD'!I77</f>
        <v>0</v>
      </c>
      <c r="L77" s="105">
        <f>(INDEX(Entitlement!$A$4:$BC$102,ROW()+1,$L$1)*(1-TPCIL!$L$11))-ISGS!U87</f>
        <v>0.00347099999999756</v>
      </c>
      <c r="M77" s="105">
        <f>'Individual BD'!J77</f>
        <v>0</v>
      </c>
      <c r="N77" s="105">
        <f>'Individual BD'!K77</f>
        <v>0</v>
      </c>
      <c r="O77" s="105">
        <f>(INDEX(Entitlement!$A$4:$BC$102,ROW()+1,$O$1)*(1-TPCIL!$L$11))-ISGS!O87</f>
        <v>-0.00382899999999609</v>
      </c>
      <c r="P77" s="105">
        <f>(INDEX(Entitlement!$A$4:$BC$102,ROW()+1,$P$1)*(1-TPCIL!$L$11))-ISGS!P87</f>
        <v>0.00125900000000456</v>
      </c>
      <c r="Q77" s="105">
        <f>(INDEX(Entitlement!$A$4:$BC$102,ROW()+1,$Q$1)*(1-TPCIL!$L$11))-ISGS!R87</f>
        <v>0.00469499999999812</v>
      </c>
      <c r="R77" s="105">
        <f>(INDEX(Entitlement!$A$4:$BC$102,ROW()+1,$R$1)*(1-TPCIL!$L$11))-ISGS!L87</f>
        <v>0.00193399999999944</v>
      </c>
      <c r="S77" s="105">
        <f>(INDEX(Entitlement!$A$4:$BC$102,ROW()+1,$S$1)*(1-TPCIL!$L$11))-ISGS!J87</f>
        <v>-0.004722000000001</v>
      </c>
      <c r="T77" s="105">
        <f>(INDEX(Entitlement!$A$4:$BC$102,ROW()+1,$T$1)*(1-TPCIL!$L$11))-ISGS!K87</f>
        <v>-0.00499099999999686</v>
      </c>
      <c r="U77" s="105">
        <f>'Individual BD'!L77</f>
        <v>0</v>
      </c>
      <c r="V77" s="105">
        <f>(INDEX(Entitlement!$A$4:$BC$102,ROW()+1,$V$1))-ISGS!Q87</f>
        <v>0</v>
      </c>
      <c r="W77" s="105">
        <f>(INDEX(Entitlement!$A$4:$BC$102,ROW()+1,$W$1)*(1-TPCIL!$L$11))-ISGS!T87</f>
        <v>0.00110800000000211</v>
      </c>
      <c r="X77" s="105">
        <f>(INDEX(Entitlement!$A$4:$BC$102,ROW()+1,$X$1)*(1-TPCIL!$L$11))-ISGS!I87</f>
        <v>0.00436299999999878</v>
      </c>
      <c r="Y77" s="105">
        <f>(INDEX(Entitlement!$A$4:$BC$102,ROW()+1,$Y$1)*(1-TPCIL!$L$11))-ISGS!M87</f>
        <v>0.00215199999999527</v>
      </c>
      <c r="Z77" s="105">
        <f>TPCIL!I87-TPCIL!C87</f>
        <v>0.000544999999988249</v>
      </c>
      <c r="AA77" s="105">
        <f>TPCIL!P87-TPCIL!D87</f>
        <v>0</v>
      </c>
      <c r="AB77" s="105">
        <f>'Individual BD'!M77</f>
        <v>0</v>
      </c>
      <c r="AC77" s="105">
        <f>'Individual BD'!N77</f>
        <v>0</v>
      </c>
      <c r="AD77" s="105">
        <f>(INDEX(Entitlement!$A$4:$BC$102,ROW()+1,$AD$1)*(1-TPCIL!$L$11))-ISGS!S87</f>
        <v>0.00303199999999038</v>
      </c>
      <c r="AE77" s="107"/>
      <c r="AG77" s="114">
        <f t="shared" si="3"/>
        <v>3.48155065774421</v>
      </c>
    </row>
    <row r="78" s="99" customFormat="1" ht="18" customHeight="1" spans="1:33">
      <c r="A78" s="108" t="s">
        <v>89</v>
      </c>
      <c r="B78" s="107">
        <v>76</v>
      </c>
      <c r="C78" s="105">
        <f>'Individual BD'!C78</f>
        <v>0</v>
      </c>
      <c r="D78" s="105">
        <f>'Individual BD'!D78</f>
        <v>0</v>
      </c>
      <c r="E78" s="105">
        <f>'Individual BD'!E78</f>
        <v>0</v>
      </c>
      <c r="F78" s="105">
        <f>(INDEX(Entitlement!$A$4:$BC$102,ROW()+1,$F$1)*(1-TPCIL!$L$11))-ISGS!G88</f>
        <v>0.00443200000000843</v>
      </c>
      <c r="G78" s="105">
        <f>(INDEX(Entitlement!$A$4:$BC$102,ROW()+1,$G$1)*(1-TPCIL!$L$11))-ISGS!N88</f>
        <v>0.00388299999998765</v>
      </c>
      <c r="H78" s="105">
        <f>'Individual BD'!F78</f>
        <v>0</v>
      </c>
      <c r="I78" s="105">
        <f>'Individual BD'!G78</f>
        <v>0</v>
      </c>
      <c r="J78" s="105">
        <f>'Individual BD'!H78</f>
        <v>0</v>
      </c>
      <c r="K78" s="105">
        <f>'Individual BD'!I78</f>
        <v>0</v>
      </c>
      <c r="L78" s="105">
        <f>(INDEX(Entitlement!$A$4:$BC$102,ROW()+1,$L$1)*(1-TPCIL!$L$11))-ISGS!U88</f>
        <v>0.00347099999999756</v>
      </c>
      <c r="M78" s="105">
        <f>'Individual BD'!J78</f>
        <v>0</v>
      </c>
      <c r="N78" s="105">
        <f>'Individual BD'!K78</f>
        <v>0</v>
      </c>
      <c r="O78" s="105">
        <f>(INDEX(Entitlement!$A$4:$BC$102,ROW()+1,$O$1)*(1-TPCIL!$L$11))-ISGS!O88</f>
        <v>-0.00382899999999609</v>
      </c>
      <c r="P78" s="105">
        <f>(INDEX(Entitlement!$A$4:$BC$102,ROW()+1,$P$1)*(1-TPCIL!$L$11))-ISGS!P88</f>
        <v>0.00125900000000456</v>
      </c>
      <c r="Q78" s="105">
        <f>(INDEX(Entitlement!$A$4:$BC$102,ROW()+1,$Q$1)*(1-TPCIL!$L$11))-ISGS!R88</f>
        <v>0.00469499999999812</v>
      </c>
      <c r="R78" s="105">
        <f>(INDEX(Entitlement!$A$4:$BC$102,ROW()+1,$R$1)*(1-TPCIL!$L$11))-ISGS!L88</f>
        <v>0.00193399999999944</v>
      </c>
      <c r="S78" s="105">
        <f>(INDEX(Entitlement!$A$4:$BC$102,ROW()+1,$S$1)*(1-TPCIL!$L$11))-ISGS!J88</f>
        <v>-0.004722000000001</v>
      </c>
      <c r="T78" s="105">
        <f>(INDEX(Entitlement!$A$4:$BC$102,ROW()+1,$T$1)*(1-TPCIL!$L$11))-ISGS!K88</f>
        <v>-0.00499099999999686</v>
      </c>
      <c r="U78" s="105">
        <f>'Individual BD'!L78</f>
        <v>0</v>
      </c>
      <c r="V78" s="105">
        <f>(INDEX(Entitlement!$A$4:$BC$102,ROW()+1,$V$1))-ISGS!Q88</f>
        <v>0</v>
      </c>
      <c r="W78" s="105">
        <f>(INDEX(Entitlement!$A$4:$BC$102,ROW()+1,$W$1)*(1-TPCIL!$L$11))-ISGS!T88</f>
        <v>0.00110800000000211</v>
      </c>
      <c r="X78" s="105">
        <f>(INDEX(Entitlement!$A$4:$BC$102,ROW()+1,$X$1)*(1-TPCIL!$L$11))-ISGS!I88</f>
        <v>0.00436299999999878</v>
      </c>
      <c r="Y78" s="105">
        <f>(INDEX(Entitlement!$A$4:$BC$102,ROW()+1,$Y$1)*(1-TPCIL!$L$11))-ISGS!M88</f>
        <v>0.00215199999999527</v>
      </c>
      <c r="Z78" s="105">
        <f>TPCIL!I88-TPCIL!C88</f>
        <v>0.000544999999988249</v>
      </c>
      <c r="AA78" s="105">
        <f>TPCIL!P88-TPCIL!D88</f>
        <v>0</v>
      </c>
      <c r="AB78" s="105">
        <f>'Individual BD'!M78</f>
        <v>0</v>
      </c>
      <c r="AC78" s="105">
        <f>'Individual BD'!N78</f>
        <v>0</v>
      </c>
      <c r="AD78" s="105">
        <f>(INDEX(Entitlement!$A$4:$BC$102,ROW()+1,$AD$1)*(1-TPCIL!$L$11))-ISGS!S88</f>
        <v>0.00303199999999038</v>
      </c>
      <c r="AE78" s="107"/>
      <c r="AG78" s="114">
        <f t="shared" si="3"/>
        <v>3.48155065774421</v>
      </c>
    </row>
    <row r="79" s="99" customFormat="1" ht="18" customHeight="1" spans="1:33">
      <c r="A79" s="108" t="s">
        <v>90</v>
      </c>
      <c r="B79" s="107">
        <v>77</v>
      </c>
      <c r="C79" s="105">
        <f>'Individual BD'!C79</f>
        <v>0</v>
      </c>
      <c r="D79" s="105">
        <f>'Individual BD'!D79</f>
        <v>0</v>
      </c>
      <c r="E79" s="105">
        <f>'Individual BD'!E79</f>
        <v>0</v>
      </c>
      <c r="F79" s="105">
        <f>(INDEX(Entitlement!$A$4:$BC$102,ROW()+1,$F$1)*(1-TPCIL!$L$11))-ISGS!G89</f>
        <v>0.00443200000000843</v>
      </c>
      <c r="G79" s="105">
        <f>(INDEX(Entitlement!$A$4:$BC$102,ROW()+1,$G$1)*(1-TPCIL!$L$11))-ISGS!N89</f>
        <v>0.00388299999998765</v>
      </c>
      <c r="H79" s="105">
        <f>'Individual BD'!F79</f>
        <v>0</v>
      </c>
      <c r="I79" s="105">
        <f>'Individual BD'!G79</f>
        <v>0</v>
      </c>
      <c r="J79" s="105">
        <f>'Individual BD'!H79</f>
        <v>0</v>
      </c>
      <c r="K79" s="105">
        <f>'Individual BD'!I79</f>
        <v>0</v>
      </c>
      <c r="L79" s="105">
        <f>(INDEX(Entitlement!$A$4:$BC$102,ROW()+1,$L$1)*(1-TPCIL!$L$11))-ISGS!U89</f>
        <v>0.00347099999999756</v>
      </c>
      <c r="M79" s="105">
        <f>'Individual BD'!J79</f>
        <v>0</v>
      </c>
      <c r="N79" s="105">
        <f>'Individual BD'!K79</f>
        <v>0</v>
      </c>
      <c r="O79" s="105">
        <f>(INDEX(Entitlement!$A$4:$BC$102,ROW()+1,$O$1)*(1-TPCIL!$L$11))-ISGS!O89</f>
        <v>-0.00382899999999609</v>
      </c>
      <c r="P79" s="105">
        <f>(INDEX(Entitlement!$A$4:$BC$102,ROW()+1,$P$1)*(1-TPCIL!$L$11))-ISGS!P89</f>
        <v>0.00125900000000456</v>
      </c>
      <c r="Q79" s="105">
        <f>(INDEX(Entitlement!$A$4:$BC$102,ROW()+1,$Q$1)*(1-TPCIL!$L$11))-ISGS!R89</f>
        <v>0.00469499999999812</v>
      </c>
      <c r="R79" s="105">
        <f>(INDEX(Entitlement!$A$4:$BC$102,ROW()+1,$R$1)*(1-TPCIL!$L$11))-ISGS!L89</f>
        <v>0.00193399999999944</v>
      </c>
      <c r="S79" s="105">
        <f>(INDEX(Entitlement!$A$4:$BC$102,ROW()+1,$S$1)*(1-TPCIL!$L$11))-ISGS!J89</f>
        <v>-0.004722000000001</v>
      </c>
      <c r="T79" s="105">
        <f>(INDEX(Entitlement!$A$4:$BC$102,ROW()+1,$T$1)*(1-TPCIL!$L$11))-ISGS!K89</f>
        <v>-0.00499099999999686</v>
      </c>
      <c r="U79" s="105">
        <f>'Individual BD'!L79</f>
        <v>0</v>
      </c>
      <c r="V79" s="105">
        <f>(INDEX(Entitlement!$A$4:$BC$102,ROW()+1,$V$1))-ISGS!Q89</f>
        <v>0</v>
      </c>
      <c r="W79" s="105">
        <f>(INDEX(Entitlement!$A$4:$BC$102,ROW()+1,$W$1)*(1-TPCIL!$L$11))-ISGS!T89</f>
        <v>0.00110800000000211</v>
      </c>
      <c r="X79" s="105">
        <f>(INDEX(Entitlement!$A$4:$BC$102,ROW()+1,$X$1)*(1-TPCIL!$L$11))-ISGS!I89</f>
        <v>0.00436299999999878</v>
      </c>
      <c r="Y79" s="105">
        <f>(INDEX(Entitlement!$A$4:$BC$102,ROW()+1,$Y$1)*(1-TPCIL!$L$11))-ISGS!M89</f>
        <v>0.169419999999995</v>
      </c>
      <c r="Z79" s="105">
        <f>TPCIL!I89-TPCIL!C89</f>
        <v>0.000544999999988249</v>
      </c>
      <c r="AA79" s="105">
        <f>TPCIL!P89-TPCIL!D89</f>
        <v>0</v>
      </c>
      <c r="AB79" s="105">
        <f>'Individual BD'!M79</f>
        <v>0</v>
      </c>
      <c r="AC79" s="105">
        <f>'Individual BD'!N79</f>
        <v>0</v>
      </c>
      <c r="AD79" s="105">
        <f>(INDEX(Entitlement!$A$4:$BC$102,ROW()+1,$AD$1)*(1-TPCIL!$L$11))-ISGS!S89</f>
        <v>0.00303199999999038</v>
      </c>
      <c r="AE79" s="107"/>
      <c r="AG79" s="114">
        <f t="shared" si="3"/>
        <v>3.03252699891664</v>
      </c>
    </row>
    <row r="80" s="99" customFormat="1" ht="18" customHeight="1" spans="1:33">
      <c r="A80" s="108" t="s">
        <v>91</v>
      </c>
      <c r="B80" s="107">
        <v>78</v>
      </c>
      <c r="C80" s="105">
        <f>'Individual BD'!C80</f>
        <v>0</v>
      </c>
      <c r="D80" s="105">
        <f>'Individual BD'!D80</f>
        <v>0</v>
      </c>
      <c r="E80" s="105">
        <f>'Individual BD'!E80</f>
        <v>0</v>
      </c>
      <c r="F80" s="105">
        <f>(INDEX(Entitlement!$A$4:$BC$102,ROW()+1,$F$1)*(1-TPCIL!$L$11))-ISGS!G90</f>
        <v>0.00443200000000843</v>
      </c>
      <c r="G80" s="105">
        <f>(INDEX(Entitlement!$A$4:$BC$102,ROW()+1,$G$1)*(1-TPCIL!$L$11))-ISGS!N90</f>
        <v>0.00388299999998765</v>
      </c>
      <c r="H80" s="105">
        <f>'Individual BD'!F80</f>
        <v>0</v>
      </c>
      <c r="I80" s="105">
        <f>'Individual BD'!G80</f>
        <v>0</v>
      </c>
      <c r="J80" s="105">
        <f>'Individual BD'!H80</f>
        <v>0</v>
      </c>
      <c r="K80" s="105">
        <f>'Individual BD'!I80</f>
        <v>0</v>
      </c>
      <c r="L80" s="105">
        <f>(INDEX(Entitlement!$A$4:$BC$102,ROW()+1,$L$1)*(1-TPCIL!$L$11))-ISGS!U90</f>
        <v>0.00347099999999756</v>
      </c>
      <c r="M80" s="105">
        <f>'Individual BD'!J80</f>
        <v>0</v>
      </c>
      <c r="N80" s="105">
        <f>'Individual BD'!K80</f>
        <v>0</v>
      </c>
      <c r="O80" s="105">
        <f>(INDEX(Entitlement!$A$4:$BC$102,ROW()+1,$O$1)*(1-TPCIL!$L$11))-ISGS!O90</f>
        <v>-0.00382899999999609</v>
      </c>
      <c r="P80" s="105">
        <f>(INDEX(Entitlement!$A$4:$BC$102,ROW()+1,$P$1)*(1-TPCIL!$L$11))-ISGS!P90</f>
        <v>0.00125900000000456</v>
      </c>
      <c r="Q80" s="105">
        <f>(INDEX(Entitlement!$A$4:$BC$102,ROW()+1,$Q$1)*(1-TPCIL!$L$11))-ISGS!R90</f>
        <v>0.00469499999999812</v>
      </c>
      <c r="R80" s="105">
        <f>(INDEX(Entitlement!$A$4:$BC$102,ROW()+1,$R$1)*(1-TPCIL!$L$11))-ISGS!L90</f>
        <v>0.00193399999999944</v>
      </c>
      <c r="S80" s="105">
        <f>(INDEX(Entitlement!$A$4:$BC$102,ROW()+1,$S$1)*(1-TPCIL!$L$11))-ISGS!J90</f>
        <v>-0.004722000000001</v>
      </c>
      <c r="T80" s="105">
        <f>(INDEX(Entitlement!$A$4:$BC$102,ROW()+1,$T$1)*(1-TPCIL!$L$11))-ISGS!K90</f>
        <v>-0.00499099999999686</v>
      </c>
      <c r="U80" s="105">
        <f>'Individual BD'!L80</f>
        <v>0</v>
      </c>
      <c r="V80" s="105">
        <f>(INDEX(Entitlement!$A$4:$BC$102,ROW()+1,$V$1))-ISGS!Q90</f>
        <v>0</v>
      </c>
      <c r="W80" s="105">
        <f>(INDEX(Entitlement!$A$4:$BC$102,ROW()+1,$W$1)*(1-TPCIL!$L$11))-ISGS!T90</f>
        <v>0.00110800000000211</v>
      </c>
      <c r="X80" s="105">
        <f>(INDEX(Entitlement!$A$4:$BC$102,ROW()+1,$X$1)*(1-TPCIL!$L$11))-ISGS!I90</f>
        <v>0.00436299999999878</v>
      </c>
      <c r="Y80" s="105">
        <f>(INDEX(Entitlement!$A$4:$BC$102,ROW()+1,$Y$1)*(1-TPCIL!$L$11))-ISGS!M90</f>
        <v>-0.000580000000006464</v>
      </c>
      <c r="Z80" s="105">
        <f>TPCIL!I90-TPCIL!C90</f>
        <v>0.000544999999988249</v>
      </c>
      <c r="AA80" s="105">
        <f>TPCIL!P90-TPCIL!D90</f>
        <v>0</v>
      </c>
      <c r="AB80" s="105">
        <f>'Individual BD'!M80</f>
        <v>0</v>
      </c>
      <c r="AC80" s="105">
        <f>'Individual BD'!N80</f>
        <v>0</v>
      </c>
      <c r="AD80" s="105">
        <f>(INDEX(Entitlement!$A$4:$BC$102,ROW()+1,$AD$1)*(1-TPCIL!$L$11))-ISGS!S90</f>
        <v>0.00303199999999038</v>
      </c>
      <c r="AE80" s="107"/>
      <c r="AG80" s="114">
        <f t="shared" si="3"/>
        <v>3.57427972602917</v>
      </c>
    </row>
    <row r="81" s="99" customFormat="1" ht="18" customHeight="1" spans="1:33">
      <c r="A81" s="108" t="s">
        <v>92</v>
      </c>
      <c r="B81" s="107">
        <v>79</v>
      </c>
      <c r="C81" s="105">
        <f>'Individual BD'!C81</f>
        <v>0</v>
      </c>
      <c r="D81" s="105">
        <f>'Individual BD'!D81</f>
        <v>0</v>
      </c>
      <c r="E81" s="105">
        <f>'Individual BD'!E81</f>
        <v>0</v>
      </c>
      <c r="F81" s="105">
        <f>(INDEX(Entitlement!$A$4:$BC$102,ROW()+1,$F$1)*(1-TPCIL!$L$11))-ISGS!G91</f>
        <v>0.00443200000000843</v>
      </c>
      <c r="G81" s="105">
        <f>(INDEX(Entitlement!$A$4:$BC$102,ROW()+1,$G$1)*(1-TPCIL!$L$11))-ISGS!N91</f>
        <v>0.00388299999998765</v>
      </c>
      <c r="H81" s="105">
        <f>'Individual BD'!F81</f>
        <v>0</v>
      </c>
      <c r="I81" s="105">
        <f>'Individual BD'!G81</f>
        <v>0</v>
      </c>
      <c r="J81" s="105">
        <f>'Individual BD'!H81</f>
        <v>0</v>
      </c>
      <c r="K81" s="105">
        <f>'Individual BD'!I81</f>
        <v>0</v>
      </c>
      <c r="L81" s="105">
        <f>(INDEX(Entitlement!$A$4:$BC$102,ROW()+1,$L$1)*(1-TPCIL!$L$11))-ISGS!U91</f>
        <v>0.00347099999999756</v>
      </c>
      <c r="M81" s="105">
        <f>'Individual BD'!J81</f>
        <v>0</v>
      </c>
      <c r="N81" s="105">
        <f>'Individual BD'!K81</f>
        <v>0</v>
      </c>
      <c r="O81" s="105">
        <f>(INDEX(Entitlement!$A$4:$BC$102,ROW()+1,$O$1)*(1-TPCIL!$L$11))-ISGS!O91</f>
        <v>-0.00382899999999609</v>
      </c>
      <c r="P81" s="105">
        <f>(INDEX(Entitlement!$A$4:$BC$102,ROW()+1,$P$1)*(1-TPCIL!$L$11))-ISGS!P91</f>
        <v>0.00125900000000456</v>
      </c>
      <c r="Q81" s="105">
        <f>(INDEX(Entitlement!$A$4:$BC$102,ROW()+1,$Q$1)*(1-TPCIL!$L$11))-ISGS!R91</f>
        <v>0.00469499999999812</v>
      </c>
      <c r="R81" s="105">
        <f>(INDEX(Entitlement!$A$4:$BC$102,ROW()+1,$R$1)*(1-TPCIL!$L$11))-ISGS!L91</f>
        <v>0.00193399999999944</v>
      </c>
      <c r="S81" s="105">
        <f>(INDEX(Entitlement!$A$4:$BC$102,ROW()+1,$S$1)*(1-TPCIL!$L$11))-ISGS!J91</f>
        <v>-0.004722000000001</v>
      </c>
      <c r="T81" s="105">
        <f>(INDEX(Entitlement!$A$4:$BC$102,ROW()+1,$T$1)*(1-TPCIL!$L$11))-ISGS!K91</f>
        <v>-0.00499099999999686</v>
      </c>
      <c r="U81" s="105">
        <f>'Individual BD'!L81</f>
        <v>0</v>
      </c>
      <c r="V81" s="105">
        <f>(INDEX(Entitlement!$A$4:$BC$102,ROW()+1,$V$1))-ISGS!Q91</f>
        <v>0</v>
      </c>
      <c r="W81" s="105">
        <f>(INDEX(Entitlement!$A$4:$BC$102,ROW()+1,$W$1)*(1-TPCIL!$L$11))-ISGS!T91</f>
        <v>0.00110800000000211</v>
      </c>
      <c r="X81" s="105">
        <f>(INDEX(Entitlement!$A$4:$BC$102,ROW()+1,$X$1)*(1-TPCIL!$L$11))-ISGS!I91</f>
        <v>0.00436299999999878</v>
      </c>
      <c r="Y81" s="105">
        <f>(INDEX(Entitlement!$A$4:$BC$102,ROW()+1,$Y$1)*(1-TPCIL!$L$11))-ISGS!M91</f>
        <v>-0.000580000000006464</v>
      </c>
      <c r="Z81" s="105">
        <f>TPCIL!I91-TPCIL!C91</f>
        <v>0.000544999999988249</v>
      </c>
      <c r="AA81" s="105">
        <f>TPCIL!P91-TPCIL!D91</f>
        <v>0</v>
      </c>
      <c r="AB81" s="105">
        <f>'Individual BD'!M81</f>
        <v>0</v>
      </c>
      <c r="AC81" s="105">
        <f>'Individual BD'!N81</f>
        <v>0</v>
      </c>
      <c r="AD81" s="105">
        <f>(INDEX(Entitlement!$A$4:$BC$102,ROW()+1,$AD$1)*(1-TPCIL!$L$11))-ISGS!S91</f>
        <v>0.00303199999999038</v>
      </c>
      <c r="AE81" s="107"/>
      <c r="AG81" s="114">
        <f t="shared" si="3"/>
        <v>3.57427972602917</v>
      </c>
    </row>
    <row r="82" s="99" customFormat="1" ht="18" customHeight="1" spans="1:33">
      <c r="A82" s="108" t="s">
        <v>93</v>
      </c>
      <c r="B82" s="107">
        <v>80</v>
      </c>
      <c r="C82" s="105">
        <f>'Individual BD'!C82</f>
        <v>0</v>
      </c>
      <c r="D82" s="105">
        <f>'Individual BD'!D82</f>
        <v>0</v>
      </c>
      <c r="E82" s="105">
        <f>'Individual BD'!E82</f>
        <v>0</v>
      </c>
      <c r="F82" s="105">
        <f>(INDEX(Entitlement!$A$4:$BC$102,ROW()+1,$F$1)*(1-TPCIL!$L$11))-ISGS!G92</f>
        <v>0.00443200000000843</v>
      </c>
      <c r="G82" s="105">
        <f>(INDEX(Entitlement!$A$4:$BC$102,ROW()+1,$G$1)*(1-TPCIL!$L$11))-ISGS!N92</f>
        <v>0.00388299999998765</v>
      </c>
      <c r="H82" s="105">
        <f>'Individual BD'!F82</f>
        <v>0</v>
      </c>
      <c r="I82" s="105">
        <f>'Individual BD'!G82</f>
        <v>0</v>
      </c>
      <c r="J82" s="105">
        <f>'Individual BD'!H82</f>
        <v>0</v>
      </c>
      <c r="K82" s="105">
        <f>'Individual BD'!I82</f>
        <v>0</v>
      </c>
      <c r="L82" s="105">
        <f>(INDEX(Entitlement!$A$4:$BC$102,ROW()+1,$L$1)*(1-TPCIL!$L$11))-ISGS!U92</f>
        <v>0.00347099999999756</v>
      </c>
      <c r="M82" s="105">
        <f>'Individual BD'!J82</f>
        <v>0</v>
      </c>
      <c r="N82" s="105">
        <f>'Individual BD'!K82</f>
        <v>0</v>
      </c>
      <c r="O82" s="105">
        <f>(INDEX(Entitlement!$A$4:$BC$102,ROW()+1,$O$1)*(1-TPCIL!$L$11))-ISGS!O92</f>
        <v>-0.00382899999999609</v>
      </c>
      <c r="P82" s="105">
        <f>(INDEX(Entitlement!$A$4:$BC$102,ROW()+1,$P$1)*(1-TPCIL!$L$11))-ISGS!P92</f>
        <v>0.00125900000000456</v>
      </c>
      <c r="Q82" s="105">
        <f>(INDEX(Entitlement!$A$4:$BC$102,ROW()+1,$Q$1)*(1-TPCIL!$L$11))-ISGS!R92</f>
        <v>0.00469499999999812</v>
      </c>
      <c r="R82" s="105">
        <f>(INDEX(Entitlement!$A$4:$BC$102,ROW()+1,$R$1)*(1-TPCIL!$L$11))-ISGS!L92</f>
        <v>0.00193399999999944</v>
      </c>
      <c r="S82" s="105">
        <f>(INDEX(Entitlement!$A$4:$BC$102,ROW()+1,$S$1)*(1-TPCIL!$L$11))-ISGS!J92</f>
        <v>-0.004722000000001</v>
      </c>
      <c r="T82" s="105">
        <f>(INDEX(Entitlement!$A$4:$BC$102,ROW()+1,$T$1)*(1-TPCIL!$L$11))-ISGS!K92</f>
        <v>-0.00499099999999686</v>
      </c>
      <c r="U82" s="105">
        <f>'Individual BD'!L82</f>
        <v>0</v>
      </c>
      <c r="V82" s="105">
        <f>(INDEX(Entitlement!$A$4:$BC$102,ROW()+1,$V$1))-ISGS!Q92</f>
        <v>0</v>
      </c>
      <c r="W82" s="105">
        <f>(INDEX(Entitlement!$A$4:$BC$102,ROW()+1,$W$1)*(1-TPCIL!$L$11))-ISGS!T92</f>
        <v>0.00110800000000211</v>
      </c>
      <c r="X82" s="105">
        <f>(INDEX(Entitlement!$A$4:$BC$102,ROW()+1,$X$1)*(1-TPCIL!$L$11))-ISGS!I92</f>
        <v>0.00436299999999878</v>
      </c>
      <c r="Y82" s="105">
        <f>(INDEX(Entitlement!$A$4:$BC$102,ROW()+1,$Y$1)*(1-TPCIL!$L$11))-ISGS!M92</f>
        <v>-0.000580000000006464</v>
      </c>
      <c r="Z82" s="105">
        <f>TPCIL!I92-TPCIL!C92</f>
        <v>0.000544999999988249</v>
      </c>
      <c r="AA82" s="105">
        <f>TPCIL!P92-TPCIL!D92</f>
        <v>0</v>
      </c>
      <c r="AB82" s="105">
        <f>'Individual BD'!M82</f>
        <v>0</v>
      </c>
      <c r="AC82" s="105">
        <f>'Individual BD'!N82</f>
        <v>0</v>
      </c>
      <c r="AD82" s="105">
        <f>(INDEX(Entitlement!$A$4:$BC$102,ROW()+1,$AD$1)*(1-TPCIL!$L$11))-ISGS!S92</f>
        <v>0.00303199999999038</v>
      </c>
      <c r="AE82" s="107"/>
      <c r="AG82" s="114">
        <f t="shared" si="3"/>
        <v>3.57427972602917</v>
      </c>
    </row>
    <row r="83" s="99" customFormat="1" ht="18" customHeight="1" spans="1:33">
      <c r="A83" s="108" t="s">
        <v>94</v>
      </c>
      <c r="B83" s="107">
        <v>81</v>
      </c>
      <c r="C83" s="105">
        <f>'Individual BD'!C83</f>
        <v>0</v>
      </c>
      <c r="D83" s="105">
        <f>'Individual BD'!D83</f>
        <v>0</v>
      </c>
      <c r="E83" s="105">
        <f>'Individual BD'!E83</f>
        <v>0</v>
      </c>
      <c r="F83" s="105">
        <f>(INDEX(Entitlement!$A$4:$BC$102,ROW()+1,$F$1)*(1-TPCIL!$L$11))-ISGS!G93</f>
        <v>0.00443200000000843</v>
      </c>
      <c r="G83" s="105">
        <f>(INDEX(Entitlement!$A$4:$BC$102,ROW()+1,$G$1)*(1-TPCIL!$L$11))-ISGS!N93</f>
        <v>0.00388299999998765</v>
      </c>
      <c r="H83" s="105">
        <f>'Individual BD'!F83</f>
        <v>0</v>
      </c>
      <c r="I83" s="105">
        <f>'Individual BD'!G83</f>
        <v>0</v>
      </c>
      <c r="J83" s="105">
        <f>'Individual BD'!H83</f>
        <v>0</v>
      </c>
      <c r="K83" s="105">
        <f>'Individual BD'!I83</f>
        <v>0</v>
      </c>
      <c r="L83" s="105">
        <f>(INDEX(Entitlement!$A$4:$BC$102,ROW()+1,$L$1)*(1-TPCIL!$L$11))-ISGS!U93</f>
        <v>0.00347099999999756</v>
      </c>
      <c r="M83" s="105">
        <f>'Individual BD'!J83</f>
        <v>0</v>
      </c>
      <c r="N83" s="105">
        <f>'Individual BD'!K83</f>
        <v>0</v>
      </c>
      <c r="O83" s="105">
        <f>(INDEX(Entitlement!$A$4:$BC$102,ROW()+1,$O$1)*(1-TPCIL!$L$11))-ISGS!O93</f>
        <v>-0.00382899999999609</v>
      </c>
      <c r="P83" s="105">
        <f>(INDEX(Entitlement!$A$4:$BC$102,ROW()+1,$P$1)*(1-TPCIL!$L$11))-ISGS!P93</f>
        <v>0.00125900000000456</v>
      </c>
      <c r="Q83" s="105">
        <f>(INDEX(Entitlement!$A$4:$BC$102,ROW()+1,$Q$1)*(1-TPCIL!$L$11))-ISGS!R93</f>
        <v>0.00469499999999812</v>
      </c>
      <c r="R83" s="105">
        <f>(INDEX(Entitlement!$A$4:$BC$102,ROW()+1,$R$1)*(1-TPCIL!$L$11))-ISGS!L93</f>
        <v>0.00193399999999944</v>
      </c>
      <c r="S83" s="105">
        <f>(INDEX(Entitlement!$A$4:$BC$102,ROW()+1,$S$1)*(1-TPCIL!$L$11))-ISGS!J93</f>
        <v>-0.004722000000001</v>
      </c>
      <c r="T83" s="105">
        <f>(INDEX(Entitlement!$A$4:$BC$102,ROW()+1,$T$1)*(1-TPCIL!$L$11))-ISGS!K93</f>
        <v>-0.00499099999999686</v>
      </c>
      <c r="U83" s="105">
        <f>'Individual BD'!L83</f>
        <v>0</v>
      </c>
      <c r="V83" s="105">
        <f>(INDEX(Entitlement!$A$4:$BC$102,ROW()+1,$V$1))-ISGS!Q93</f>
        <v>0</v>
      </c>
      <c r="W83" s="105">
        <f>(INDEX(Entitlement!$A$4:$BC$102,ROW()+1,$W$1)*(1-TPCIL!$L$11))-ISGS!T93</f>
        <v>0.00110800000000211</v>
      </c>
      <c r="X83" s="105">
        <f>(INDEX(Entitlement!$A$4:$BC$102,ROW()+1,$X$1)*(1-TPCIL!$L$11))-ISGS!I93</f>
        <v>0.00436299999999878</v>
      </c>
      <c r="Y83" s="105">
        <f>(INDEX(Entitlement!$A$4:$BC$102,ROW()+1,$Y$1)*(1-TPCIL!$L$11))-ISGS!M93</f>
        <v>-0.000580000000006464</v>
      </c>
      <c r="Z83" s="105">
        <f>TPCIL!I93-TPCIL!C93</f>
        <v>0.000544999999988249</v>
      </c>
      <c r="AA83" s="105">
        <f>TPCIL!P93-TPCIL!D93</f>
        <v>0</v>
      </c>
      <c r="AB83" s="105">
        <f>'Individual BD'!M83</f>
        <v>0</v>
      </c>
      <c r="AC83" s="105">
        <f>'Individual BD'!N83</f>
        <v>0</v>
      </c>
      <c r="AD83" s="105">
        <f>(INDEX(Entitlement!$A$4:$BC$102,ROW()+1,$AD$1)*(1-TPCIL!$L$11))-ISGS!S93</f>
        <v>0.00303199999999038</v>
      </c>
      <c r="AE83" s="107"/>
      <c r="AG83" s="114">
        <f t="shared" si="3"/>
        <v>3.57427972602917</v>
      </c>
    </row>
    <row r="84" s="99" customFormat="1" ht="18" customHeight="1" spans="1:33">
      <c r="A84" s="108" t="s">
        <v>95</v>
      </c>
      <c r="B84" s="107">
        <v>82</v>
      </c>
      <c r="C84" s="105">
        <f>'Individual BD'!C84</f>
        <v>0</v>
      </c>
      <c r="D84" s="105">
        <f>'Individual BD'!D84</f>
        <v>0</v>
      </c>
      <c r="E84" s="105">
        <f>'Individual BD'!E84</f>
        <v>0</v>
      </c>
      <c r="F84" s="105">
        <f>(INDEX(Entitlement!$A$4:$BC$102,ROW()+1,$F$1)*(1-TPCIL!$L$11))-ISGS!G94</f>
        <v>0.00443200000000843</v>
      </c>
      <c r="G84" s="105">
        <f>(INDEX(Entitlement!$A$4:$BC$102,ROW()+1,$G$1)*(1-TPCIL!$L$11))-ISGS!N94</f>
        <v>0.00388299999998765</v>
      </c>
      <c r="H84" s="105">
        <f>'Individual BD'!F84</f>
        <v>0</v>
      </c>
      <c r="I84" s="105">
        <f>'Individual BD'!G84</f>
        <v>0</v>
      </c>
      <c r="J84" s="105">
        <f>'Individual BD'!H84</f>
        <v>0</v>
      </c>
      <c r="K84" s="105">
        <f>'Individual BD'!I84</f>
        <v>0</v>
      </c>
      <c r="L84" s="105">
        <f>(INDEX(Entitlement!$A$4:$BC$102,ROW()+1,$L$1)*(1-TPCIL!$L$11))-ISGS!U94</f>
        <v>0.00347099999999756</v>
      </c>
      <c r="M84" s="105">
        <f>'Individual BD'!J84</f>
        <v>0</v>
      </c>
      <c r="N84" s="105">
        <f>'Individual BD'!K84</f>
        <v>0</v>
      </c>
      <c r="O84" s="105">
        <f>(INDEX(Entitlement!$A$4:$BC$102,ROW()+1,$O$1)*(1-TPCIL!$L$11))-ISGS!O94</f>
        <v>-0.00382899999999609</v>
      </c>
      <c r="P84" s="105">
        <f>(INDEX(Entitlement!$A$4:$BC$102,ROW()+1,$P$1)*(1-TPCIL!$L$11))-ISGS!P94</f>
        <v>0.00125900000000456</v>
      </c>
      <c r="Q84" s="105">
        <f>(INDEX(Entitlement!$A$4:$BC$102,ROW()+1,$Q$1)*(1-TPCIL!$L$11))-ISGS!R94</f>
        <v>0.00469499999999812</v>
      </c>
      <c r="R84" s="105">
        <f>(INDEX(Entitlement!$A$4:$BC$102,ROW()+1,$R$1)*(1-TPCIL!$L$11))-ISGS!L94</f>
        <v>0.00193399999999944</v>
      </c>
      <c r="S84" s="105">
        <f>(INDEX(Entitlement!$A$4:$BC$102,ROW()+1,$S$1)*(1-TPCIL!$L$11))-ISGS!J94</f>
        <v>-0.004722000000001</v>
      </c>
      <c r="T84" s="105">
        <f>(INDEX(Entitlement!$A$4:$BC$102,ROW()+1,$T$1)*(1-TPCIL!$L$11))-ISGS!K94</f>
        <v>-0.00499099999999686</v>
      </c>
      <c r="U84" s="105">
        <f>'Individual BD'!L84</f>
        <v>0</v>
      </c>
      <c r="V84" s="105">
        <f>(INDEX(Entitlement!$A$4:$BC$102,ROW()+1,$V$1))-ISGS!Q94</f>
        <v>0</v>
      </c>
      <c r="W84" s="105">
        <f>(INDEX(Entitlement!$A$4:$BC$102,ROW()+1,$W$1)*(1-TPCIL!$L$11))-ISGS!T94</f>
        <v>0.00110800000000211</v>
      </c>
      <c r="X84" s="105">
        <f>(INDEX(Entitlement!$A$4:$BC$102,ROW()+1,$X$1)*(1-TPCIL!$L$11))-ISGS!I94</f>
        <v>0.00436299999999878</v>
      </c>
      <c r="Y84" s="105">
        <f>(INDEX(Entitlement!$A$4:$BC$102,ROW()+1,$Y$1)*(1-TPCIL!$L$11))-ISGS!M94</f>
        <v>-0.000580000000006464</v>
      </c>
      <c r="Z84" s="105">
        <f>TPCIL!I94-TPCIL!C94</f>
        <v>0.000544999999988249</v>
      </c>
      <c r="AA84" s="105">
        <f>TPCIL!P94-TPCIL!D94</f>
        <v>0</v>
      </c>
      <c r="AB84" s="105">
        <f>'Individual BD'!M84</f>
        <v>0</v>
      </c>
      <c r="AC84" s="105">
        <f>'Individual BD'!N84</f>
        <v>0</v>
      </c>
      <c r="AD84" s="105">
        <f>(INDEX(Entitlement!$A$4:$BC$102,ROW()+1,$AD$1)*(1-TPCIL!$L$11))-ISGS!S94</f>
        <v>0.00303199999999038</v>
      </c>
      <c r="AE84" s="107"/>
      <c r="AG84" s="114">
        <f t="shared" si="3"/>
        <v>3.57427972602917</v>
      </c>
    </row>
    <row r="85" s="99" customFormat="1" ht="18" customHeight="1" spans="1:33">
      <c r="A85" s="108" t="s">
        <v>96</v>
      </c>
      <c r="B85" s="107">
        <v>83</v>
      </c>
      <c r="C85" s="105">
        <f>'Individual BD'!C85</f>
        <v>2.27999999999997</v>
      </c>
      <c r="D85" s="105">
        <f>'Individual BD'!D85</f>
        <v>5.28999999999996</v>
      </c>
      <c r="E85" s="105">
        <f>'Individual BD'!E85</f>
        <v>0</v>
      </c>
      <c r="F85" s="105">
        <f>(INDEX(Entitlement!$A$4:$BC$102,ROW()+1,$F$1)*(1-TPCIL!$L$11))-ISGS!G95</f>
        <v>49.154432</v>
      </c>
      <c r="G85" s="105">
        <f>(INDEX(Entitlement!$A$4:$BC$102,ROW()+1,$G$1)*(1-TPCIL!$L$11))-ISGS!N95</f>
        <v>33.243883</v>
      </c>
      <c r="H85" s="105">
        <f>'Individual BD'!F85</f>
        <v>0</v>
      </c>
      <c r="I85" s="105">
        <f>'Individual BD'!G85</f>
        <v>0</v>
      </c>
      <c r="J85" s="105">
        <f>'Individual BD'!H85</f>
        <v>0</v>
      </c>
      <c r="K85" s="105">
        <f>'Individual BD'!I85</f>
        <v>0</v>
      </c>
      <c r="L85" s="105">
        <f>(INDEX(Entitlement!$A$4:$BC$102,ROW()+1,$L$1)*(1-TPCIL!$L$11))-ISGS!U95</f>
        <v>0.00347099999999756</v>
      </c>
      <c r="M85" s="105">
        <f>'Individual BD'!J85</f>
        <v>0</v>
      </c>
      <c r="N85" s="105">
        <f>'Individual BD'!K85</f>
        <v>0</v>
      </c>
      <c r="O85" s="105">
        <f>(INDEX(Entitlement!$A$4:$BC$102,ROW()+1,$O$1)*(1-TPCIL!$L$11))-ISGS!O95</f>
        <v>-0.00382899999999609</v>
      </c>
      <c r="P85" s="105">
        <f>(INDEX(Entitlement!$A$4:$BC$102,ROW()+1,$P$1)*(1-TPCIL!$L$11))-ISGS!P95</f>
        <v>0.00125900000000456</v>
      </c>
      <c r="Q85" s="105">
        <f>(INDEX(Entitlement!$A$4:$BC$102,ROW()+1,$Q$1)*(1-TPCIL!$L$11))-ISGS!R95</f>
        <v>0.00469499999999812</v>
      </c>
      <c r="R85" s="105">
        <f>(INDEX(Entitlement!$A$4:$BC$102,ROW()+1,$R$1)*(1-TPCIL!$L$11))-ISGS!L95</f>
        <v>0.00193399999999944</v>
      </c>
      <c r="S85" s="105">
        <f>(INDEX(Entitlement!$A$4:$BC$102,ROW()+1,$S$1)*(1-TPCIL!$L$11))-ISGS!J95</f>
        <v>-0.004722000000001</v>
      </c>
      <c r="T85" s="105">
        <f>(INDEX(Entitlement!$A$4:$BC$102,ROW()+1,$T$1)*(1-TPCIL!$L$11))-ISGS!K95</f>
        <v>-0.00499099999999686</v>
      </c>
      <c r="U85" s="105">
        <f>'Individual BD'!L85</f>
        <v>0</v>
      </c>
      <c r="V85" s="105">
        <f>(INDEX(Entitlement!$A$4:$BC$102,ROW()+1,$V$1))-ISGS!Q95</f>
        <v>0</v>
      </c>
      <c r="W85" s="105">
        <f>(INDEX(Entitlement!$A$4:$BC$102,ROW()+1,$W$1)*(1-TPCIL!$L$11))-ISGS!T95</f>
        <v>0.00110800000000211</v>
      </c>
      <c r="X85" s="105">
        <f>(INDEX(Entitlement!$A$4:$BC$102,ROW()+1,$X$1)*(1-TPCIL!$L$11))-ISGS!I95</f>
        <v>0.0636799999999997</v>
      </c>
      <c r="Y85" s="105">
        <f>(INDEX(Entitlement!$A$4:$BC$102,ROW()+1,$Y$1)*(1-TPCIL!$L$11))-ISGS!M95</f>
        <v>-0.000580000000006464</v>
      </c>
      <c r="Z85" s="105">
        <f>TPCIL!I95-TPCIL!C95</f>
        <v>0.000544999999988249</v>
      </c>
      <c r="AA85" s="105">
        <f>TPCIL!P95-TPCIL!D95</f>
        <v>0</v>
      </c>
      <c r="AB85" s="105">
        <f>'Individual BD'!M85</f>
        <v>0</v>
      </c>
      <c r="AC85" s="105">
        <f>'Individual BD'!N85</f>
        <v>0</v>
      </c>
      <c r="AD85" s="105">
        <f>(INDEX(Entitlement!$A$4:$BC$102,ROW()+1,$AD$1)*(1-TPCIL!$L$11))-ISGS!S95</f>
        <v>0.00303199999999038</v>
      </c>
      <c r="AE85" s="107"/>
      <c r="AG85" s="114">
        <f t="shared" si="3"/>
        <v>4.38897275504519</v>
      </c>
    </row>
    <row r="86" s="99" customFormat="1" ht="18" customHeight="1" spans="1:33">
      <c r="A86" s="108" t="s">
        <v>97</v>
      </c>
      <c r="B86" s="107">
        <v>84</v>
      </c>
      <c r="C86" s="105">
        <f>'Individual BD'!C86</f>
        <v>42.03</v>
      </c>
      <c r="D86" s="105">
        <f>'Individual BD'!D86</f>
        <v>70</v>
      </c>
      <c r="E86" s="105">
        <f>'Individual BD'!E86</f>
        <v>29.3</v>
      </c>
      <c r="F86" s="105">
        <f>(INDEX(Entitlement!$A$4:$BC$102,ROW()+1,$F$1)*(1-TPCIL!$L$11))-ISGS!G96</f>
        <v>89.784432</v>
      </c>
      <c r="G86" s="105">
        <f>(INDEX(Entitlement!$A$4:$BC$102,ROW()+1,$G$1)*(1-TPCIL!$L$11))-ISGS!N96</f>
        <v>33.243883</v>
      </c>
      <c r="H86" s="105">
        <f>'Individual BD'!F86</f>
        <v>0</v>
      </c>
      <c r="I86" s="105">
        <f>'Individual BD'!G86</f>
        <v>0</v>
      </c>
      <c r="J86" s="105">
        <f>'Individual BD'!H86</f>
        <v>0</v>
      </c>
      <c r="K86" s="105">
        <f>'Individual BD'!I86</f>
        <v>0</v>
      </c>
      <c r="L86" s="105">
        <f>(INDEX(Entitlement!$A$4:$BC$102,ROW()+1,$L$1)*(1-TPCIL!$L$11))-ISGS!U96</f>
        <v>0.00347099999999756</v>
      </c>
      <c r="M86" s="105">
        <f>'Individual BD'!J86</f>
        <v>0</v>
      </c>
      <c r="N86" s="105">
        <f>'Individual BD'!K86</f>
        <v>0</v>
      </c>
      <c r="O86" s="105">
        <f>(INDEX(Entitlement!$A$4:$BC$102,ROW()+1,$O$1)*(1-TPCIL!$L$11))-ISGS!O96</f>
        <v>-0.00382899999999609</v>
      </c>
      <c r="P86" s="105">
        <f>(INDEX(Entitlement!$A$4:$BC$102,ROW()+1,$P$1)*(1-TPCIL!$L$11))-ISGS!P96</f>
        <v>0.00125900000000456</v>
      </c>
      <c r="Q86" s="105">
        <f>(INDEX(Entitlement!$A$4:$BC$102,ROW()+1,$Q$1)*(1-TPCIL!$L$11))-ISGS!R96</f>
        <v>0.00469499999999812</v>
      </c>
      <c r="R86" s="105">
        <f>(INDEX(Entitlement!$A$4:$BC$102,ROW()+1,$R$1)*(1-TPCIL!$L$11))-ISGS!L96</f>
        <v>0.00193399999999944</v>
      </c>
      <c r="S86" s="105">
        <f>(INDEX(Entitlement!$A$4:$BC$102,ROW()+1,$S$1)*(1-TPCIL!$L$11))-ISGS!J96</f>
        <v>-0.004722000000001</v>
      </c>
      <c r="T86" s="105">
        <f>(INDEX(Entitlement!$A$4:$BC$102,ROW()+1,$T$1)*(1-TPCIL!$L$11))-ISGS!K96</f>
        <v>-0.00499099999999686</v>
      </c>
      <c r="U86" s="105">
        <f>'Individual BD'!L86</f>
        <v>0</v>
      </c>
      <c r="V86" s="105">
        <f>(INDEX(Entitlement!$A$4:$BC$102,ROW()+1,$V$1))-ISGS!Q96</f>
        <v>0</v>
      </c>
      <c r="W86" s="105">
        <f>(INDEX(Entitlement!$A$4:$BC$102,ROW()+1,$W$1)*(1-TPCIL!$L$11))-ISGS!T96</f>
        <v>0.00110800000000211</v>
      </c>
      <c r="X86" s="105">
        <f>(INDEX(Entitlement!$A$4:$BC$102,ROW()+1,$X$1)*(1-TPCIL!$L$11))-ISGS!I96</f>
        <v>0.00368000000000013</v>
      </c>
      <c r="Y86" s="105">
        <f>(INDEX(Entitlement!$A$4:$BC$102,ROW()+1,$Y$1)*(1-TPCIL!$L$11))-ISGS!M96</f>
        <v>-0.000580000000006464</v>
      </c>
      <c r="Z86" s="105">
        <f>TPCIL!I96-TPCIL!C96</f>
        <v>0.000544999999988249</v>
      </c>
      <c r="AA86" s="105">
        <f>TPCIL!P96-TPCIL!D96</f>
        <v>0</v>
      </c>
      <c r="AB86" s="105">
        <f>'Individual BD'!M86</f>
        <v>0</v>
      </c>
      <c r="AC86" s="105">
        <f>'Individual BD'!N86</f>
        <v>0</v>
      </c>
      <c r="AD86" s="105">
        <f>(INDEX(Entitlement!$A$4:$BC$102,ROW()+1,$AD$1)*(1-TPCIL!$L$11))-ISGS!S96</f>
        <v>0.00303199999999038</v>
      </c>
      <c r="AE86" s="107"/>
      <c r="AG86" s="114">
        <f t="shared" si="3"/>
        <v>4.41931407281653</v>
      </c>
    </row>
    <row r="87" s="99" customFormat="1" ht="18" customHeight="1" spans="1:33">
      <c r="A87" s="108" t="s">
        <v>98</v>
      </c>
      <c r="B87" s="107">
        <v>85</v>
      </c>
      <c r="C87" s="105">
        <f>'Individual BD'!C87</f>
        <v>59.16</v>
      </c>
      <c r="D87" s="105">
        <f>'Individual BD'!D87</f>
        <v>137.86</v>
      </c>
      <c r="E87" s="105">
        <f>'Individual BD'!E87</f>
        <v>50.55</v>
      </c>
      <c r="F87" s="105">
        <f>(INDEX(Entitlement!$A$4:$BC$102,ROW()+1,$F$1)*(1-TPCIL!$L$11))-ISGS!G97</f>
        <v>89.784432</v>
      </c>
      <c r="G87" s="105">
        <f>(INDEX(Entitlement!$A$4:$BC$102,ROW()+1,$G$1)*(1-TPCIL!$L$11))-ISGS!N97</f>
        <v>33.243883</v>
      </c>
      <c r="H87" s="105">
        <f>'Individual BD'!F87</f>
        <v>0</v>
      </c>
      <c r="I87" s="105">
        <f>'Individual BD'!G87</f>
        <v>0</v>
      </c>
      <c r="J87" s="105">
        <f>'Individual BD'!H87</f>
        <v>0</v>
      </c>
      <c r="K87" s="105">
        <f>'Individual BD'!I87</f>
        <v>0</v>
      </c>
      <c r="L87" s="105">
        <f>(INDEX(Entitlement!$A$4:$BC$102,ROW()+1,$L$1)*(1-TPCIL!$L$11))-ISGS!U97</f>
        <v>0.00347099999999756</v>
      </c>
      <c r="M87" s="105">
        <f>'Individual BD'!J87</f>
        <v>0</v>
      </c>
      <c r="N87" s="105">
        <f>'Individual BD'!K87</f>
        <v>0</v>
      </c>
      <c r="O87" s="105">
        <f>(INDEX(Entitlement!$A$4:$BC$102,ROW()+1,$O$1)*(1-TPCIL!$L$11))-ISGS!O97</f>
        <v>-0.00382899999999609</v>
      </c>
      <c r="P87" s="105">
        <f>(INDEX(Entitlement!$A$4:$BC$102,ROW()+1,$P$1)*(1-TPCIL!$L$11))-ISGS!P97</f>
        <v>0.00125900000000456</v>
      </c>
      <c r="Q87" s="105">
        <f>(INDEX(Entitlement!$A$4:$BC$102,ROW()+1,$Q$1)*(1-TPCIL!$L$11))-ISGS!R97</f>
        <v>0.00469499999999812</v>
      </c>
      <c r="R87" s="105">
        <f>(INDEX(Entitlement!$A$4:$BC$102,ROW()+1,$R$1)*(1-TPCIL!$L$11))-ISGS!L97</f>
        <v>0.00193399999999944</v>
      </c>
      <c r="S87" s="105">
        <f>(INDEX(Entitlement!$A$4:$BC$102,ROW()+1,$S$1)*(1-TPCIL!$L$11))-ISGS!J97</f>
        <v>-0.004722000000001</v>
      </c>
      <c r="T87" s="105">
        <f>(INDEX(Entitlement!$A$4:$BC$102,ROW()+1,$T$1)*(1-TPCIL!$L$11))-ISGS!K97</f>
        <v>-0.00499099999999686</v>
      </c>
      <c r="U87" s="105">
        <f>'Individual BD'!L87</f>
        <v>0</v>
      </c>
      <c r="V87" s="105">
        <f>(INDEX(Entitlement!$A$4:$BC$102,ROW()+1,$V$1))-ISGS!Q97</f>
        <v>0</v>
      </c>
      <c r="W87" s="105">
        <f>(INDEX(Entitlement!$A$4:$BC$102,ROW()+1,$W$1)*(1-TPCIL!$L$11))-ISGS!T97</f>
        <v>0.00110800000000211</v>
      </c>
      <c r="X87" s="105">
        <f>(INDEX(Entitlement!$A$4:$BC$102,ROW()+1,$X$1)*(1-TPCIL!$L$11))-ISGS!I97</f>
        <v>0.00368000000000013</v>
      </c>
      <c r="Y87" s="105">
        <f>(INDEX(Entitlement!$A$4:$BC$102,ROW()+1,$Y$1)*(1-TPCIL!$L$11))-ISGS!M97</f>
        <v>-0.000580000000006464</v>
      </c>
      <c r="Z87" s="105">
        <f>TPCIL!I97-TPCIL!C97</f>
        <v>0.000544999999988249</v>
      </c>
      <c r="AA87" s="105">
        <f>TPCIL!P97-TPCIL!D97</f>
        <v>0</v>
      </c>
      <c r="AB87" s="105">
        <f>'Individual BD'!M87</f>
        <v>0</v>
      </c>
      <c r="AC87" s="105">
        <f>'Individual BD'!N87</f>
        <v>0</v>
      </c>
      <c r="AD87" s="105">
        <f>(INDEX(Entitlement!$A$4:$BC$102,ROW()+1,$AD$1)*(1-TPCIL!$L$11))-ISGS!S97</f>
        <v>0.00303199999999038</v>
      </c>
      <c r="AE87" s="107"/>
      <c r="AG87" s="114">
        <f t="shared" si="3"/>
        <v>4.42381071418357</v>
      </c>
    </row>
    <row r="88" s="99" customFormat="1" ht="18" customHeight="1" spans="1:33">
      <c r="A88" s="108" t="s">
        <v>99</v>
      </c>
      <c r="B88" s="107">
        <v>86</v>
      </c>
      <c r="C88" s="105">
        <f>'Individual BD'!C88</f>
        <v>61.53</v>
      </c>
      <c r="D88" s="105">
        <f>'Individual BD'!D88</f>
        <v>149.99</v>
      </c>
      <c r="E88" s="105">
        <f>'Individual BD'!E88</f>
        <v>57.49</v>
      </c>
      <c r="F88" s="105">
        <f>(INDEX(Entitlement!$A$4:$BC$102,ROW()+1,$F$1)*(1-TPCIL!$L$11))-ISGS!G98</f>
        <v>89.784432</v>
      </c>
      <c r="G88" s="105">
        <f>(INDEX(Entitlement!$A$4:$BC$102,ROW()+1,$G$1)*(1-TPCIL!$L$11))-ISGS!N98</f>
        <v>33.243883</v>
      </c>
      <c r="H88" s="105">
        <f>'Individual BD'!F88</f>
        <v>54.9000000000001</v>
      </c>
      <c r="I88" s="105">
        <f>'Individual BD'!G88</f>
        <v>0.70999999999998</v>
      </c>
      <c r="J88" s="105">
        <f>'Individual BD'!H88</f>
        <v>0</v>
      </c>
      <c r="K88" s="105">
        <f>'Individual BD'!I88</f>
        <v>0</v>
      </c>
      <c r="L88" s="105">
        <f>(INDEX(Entitlement!$A$4:$BC$102,ROW()+1,$L$1)*(1-TPCIL!$L$11))-ISGS!U98</f>
        <v>0.00347099999999756</v>
      </c>
      <c r="M88" s="105">
        <f>'Individual BD'!J88</f>
        <v>0</v>
      </c>
      <c r="N88" s="105">
        <f>'Individual BD'!K88</f>
        <v>0</v>
      </c>
      <c r="O88" s="105">
        <f>(INDEX(Entitlement!$A$4:$BC$102,ROW()+1,$O$1)*(1-TPCIL!$L$11))-ISGS!O98</f>
        <v>-0.00382899999999609</v>
      </c>
      <c r="P88" s="105">
        <f>(INDEX(Entitlement!$A$4:$BC$102,ROW()+1,$P$1)*(1-TPCIL!$L$11))-ISGS!P98</f>
        <v>0.00125900000000456</v>
      </c>
      <c r="Q88" s="105">
        <f>(INDEX(Entitlement!$A$4:$BC$102,ROW()+1,$Q$1)*(1-TPCIL!$L$11))-ISGS!R98</f>
        <v>0.00469499999999812</v>
      </c>
      <c r="R88" s="105">
        <f>(INDEX(Entitlement!$A$4:$BC$102,ROW()+1,$R$1)*(1-TPCIL!$L$11))-ISGS!L98</f>
        <v>0.00193399999999944</v>
      </c>
      <c r="S88" s="105">
        <f>(INDEX(Entitlement!$A$4:$BC$102,ROW()+1,$S$1)*(1-TPCIL!$L$11))-ISGS!J98</f>
        <v>-0.004722000000001</v>
      </c>
      <c r="T88" s="105">
        <f>(INDEX(Entitlement!$A$4:$BC$102,ROW()+1,$T$1)*(1-TPCIL!$L$11))-ISGS!K98</f>
        <v>-0.00499099999999686</v>
      </c>
      <c r="U88" s="105">
        <f>'Individual BD'!L88</f>
        <v>0</v>
      </c>
      <c r="V88" s="105">
        <f>(INDEX(Entitlement!$A$4:$BC$102,ROW()+1,$V$1))-ISGS!Q98</f>
        <v>0</v>
      </c>
      <c r="W88" s="105">
        <f>(INDEX(Entitlement!$A$4:$BC$102,ROW()+1,$W$1)*(1-TPCIL!$L$11))-ISGS!T98</f>
        <v>0.00110800000000211</v>
      </c>
      <c r="X88" s="105">
        <f>(INDEX(Entitlement!$A$4:$BC$102,ROW()+1,$X$1)*(1-TPCIL!$L$11))-ISGS!I98</f>
        <v>0.00368000000000013</v>
      </c>
      <c r="Y88" s="105">
        <f>(INDEX(Entitlement!$A$4:$BC$102,ROW()+1,$Y$1)*(1-TPCIL!$L$11))-ISGS!M98</f>
        <v>-0.000580000000006464</v>
      </c>
      <c r="Z88" s="105">
        <f>TPCIL!I98-TPCIL!C98</f>
        <v>0.000544999999988249</v>
      </c>
      <c r="AA88" s="105">
        <f>TPCIL!P98-TPCIL!D98</f>
        <v>0</v>
      </c>
      <c r="AB88" s="105">
        <f>'Individual BD'!M88</f>
        <v>0</v>
      </c>
      <c r="AC88" s="105">
        <f>'Individual BD'!N88</f>
        <v>0</v>
      </c>
      <c r="AD88" s="105">
        <f>(INDEX(Entitlement!$A$4:$BC$102,ROW()+1,$AD$1)*(1-TPCIL!$L$11))-ISGS!S98</f>
        <v>0.00303199999999038</v>
      </c>
      <c r="AE88" s="107"/>
      <c r="AG88" s="114">
        <f t="shared" si="3"/>
        <v>4.39902072551953</v>
      </c>
    </row>
    <row r="89" s="99" customFormat="1" ht="18" customHeight="1" spans="1:33">
      <c r="A89" s="108" t="s">
        <v>100</v>
      </c>
      <c r="B89" s="107">
        <v>87</v>
      </c>
      <c r="C89" s="105">
        <f>'Individual BD'!C89</f>
        <v>65.5</v>
      </c>
      <c r="D89" s="105">
        <f>'Individual BD'!D89</f>
        <v>155.85</v>
      </c>
      <c r="E89" s="105">
        <f>'Individual BD'!E89</f>
        <v>60.13</v>
      </c>
      <c r="F89" s="105">
        <f>(INDEX(Entitlement!$A$4:$BC$102,ROW()+1,$F$1)*(1-TPCIL!$L$11))-ISGS!G99</f>
        <v>85.034432</v>
      </c>
      <c r="G89" s="105">
        <f>(INDEX(Entitlement!$A$4:$BC$102,ROW()+1,$G$1)*(1-TPCIL!$L$11))-ISGS!N99</f>
        <v>33.243883</v>
      </c>
      <c r="H89" s="105">
        <f>'Individual BD'!F89</f>
        <v>64.5</v>
      </c>
      <c r="I89" s="105">
        <f>'Individual BD'!G89</f>
        <v>54.85</v>
      </c>
      <c r="J89" s="105">
        <f>'Individual BD'!H89</f>
        <v>8.93000000000001</v>
      </c>
      <c r="K89" s="105">
        <f>'Individual BD'!I89</f>
        <v>0</v>
      </c>
      <c r="L89" s="105">
        <f>(INDEX(Entitlement!$A$4:$BC$102,ROW()+1,$L$1)*(1-TPCIL!$L$11))-ISGS!U99</f>
        <v>0.00165299999999746</v>
      </c>
      <c r="M89" s="105">
        <f>'Individual BD'!J89</f>
        <v>0</v>
      </c>
      <c r="N89" s="105">
        <f>'Individual BD'!K89</f>
        <v>0</v>
      </c>
      <c r="O89" s="105">
        <f>(INDEX(Entitlement!$A$4:$BC$102,ROW()+1,$O$1)*(1-TPCIL!$L$11))-ISGS!O99</f>
        <v>-0.00382899999999609</v>
      </c>
      <c r="P89" s="105">
        <f>(INDEX(Entitlement!$A$4:$BC$102,ROW()+1,$P$1)*(1-TPCIL!$L$11))-ISGS!P99</f>
        <v>0.00125900000000456</v>
      </c>
      <c r="Q89" s="105">
        <f>(INDEX(Entitlement!$A$4:$BC$102,ROW()+1,$Q$1)*(1-TPCIL!$L$11))-ISGS!R99</f>
        <v>0.00469499999999812</v>
      </c>
      <c r="R89" s="105">
        <f>(INDEX(Entitlement!$A$4:$BC$102,ROW()+1,$R$1)*(1-TPCIL!$L$11))-ISGS!L99</f>
        <v>0.00193399999999944</v>
      </c>
      <c r="S89" s="105">
        <f>(INDEX(Entitlement!$A$4:$BC$102,ROW()+1,$S$1)*(1-TPCIL!$L$11))-ISGS!J99</f>
        <v>-0.004722000000001</v>
      </c>
      <c r="T89" s="105">
        <f>(INDEX(Entitlement!$A$4:$BC$102,ROW()+1,$T$1)*(1-TPCIL!$L$11))-ISGS!K99</f>
        <v>-0.00499099999999686</v>
      </c>
      <c r="U89" s="105">
        <f>'Individual BD'!L89</f>
        <v>0</v>
      </c>
      <c r="V89" s="105">
        <f>(INDEX(Entitlement!$A$4:$BC$102,ROW()+1,$V$1))-ISGS!Q99</f>
        <v>0</v>
      </c>
      <c r="W89" s="105">
        <f>(INDEX(Entitlement!$A$4:$BC$102,ROW()+1,$W$1)*(1-TPCIL!$L$11))-ISGS!T99</f>
        <v>0.00110800000000211</v>
      </c>
      <c r="X89" s="105">
        <f>(INDEX(Entitlement!$A$4:$BC$102,ROW()+1,$X$1)*(1-TPCIL!$L$11))-ISGS!I99</f>
        <v>0.00368000000000013</v>
      </c>
      <c r="Y89" s="105">
        <f>(INDEX(Entitlement!$A$4:$BC$102,ROW()+1,$Y$1)*(1-TPCIL!$L$11))-ISGS!M99</f>
        <v>-0.000580000000006464</v>
      </c>
      <c r="Z89" s="105">
        <f>TPCIL!I99-TPCIL!C99</f>
        <v>0.000544999999988249</v>
      </c>
      <c r="AA89" s="105">
        <f>TPCIL!P99-TPCIL!D99</f>
        <v>0</v>
      </c>
      <c r="AB89" s="105">
        <f>'Individual BD'!M89</f>
        <v>0</v>
      </c>
      <c r="AC89" s="105">
        <f>'Individual BD'!N89</f>
        <v>0</v>
      </c>
      <c r="AD89" s="105">
        <f>(INDEX(Entitlement!$A$4:$BC$102,ROW()+1,$AD$1)*(1-TPCIL!$L$11))-ISGS!S99</f>
        <v>0.00303199999999038</v>
      </c>
      <c r="AE89" s="107"/>
      <c r="AG89" s="114">
        <f t="shared" si="3"/>
        <v>4.36256649226182</v>
      </c>
    </row>
    <row r="90" s="99" customFormat="1" ht="18" customHeight="1" spans="1:33">
      <c r="A90" s="108" t="s">
        <v>101</v>
      </c>
      <c r="B90" s="107">
        <v>88</v>
      </c>
      <c r="C90" s="105">
        <f>'Individual BD'!C90</f>
        <v>63.2</v>
      </c>
      <c r="D90" s="105">
        <f>'Individual BD'!D90</f>
        <v>153.92</v>
      </c>
      <c r="E90" s="105">
        <f>'Individual BD'!E90</f>
        <v>62.49</v>
      </c>
      <c r="F90" s="105">
        <f>(INDEX(Entitlement!$A$4:$BC$102,ROW()+1,$F$1)*(1-TPCIL!$L$11))-ISGS!G100</f>
        <v>229.674432</v>
      </c>
      <c r="G90" s="105">
        <f>(INDEX(Entitlement!$A$4:$BC$102,ROW()+1,$G$1)*(1-TPCIL!$L$11))-ISGS!N100</f>
        <v>33.243883</v>
      </c>
      <c r="H90" s="105">
        <f>'Individual BD'!F90</f>
        <v>67.6900000000001</v>
      </c>
      <c r="I90" s="105">
        <f>'Individual BD'!G90</f>
        <v>147.11</v>
      </c>
      <c r="J90" s="105">
        <f>'Individual BD'!H90</f>
        <v>61.11</v>
      </c>
      <c r="K90" s="105">
        <f>'Individual BD'!I90</f>
        <v>18.4499999999998</v>
      </c>
      <c r="L90" s="105">
        <f>(INDEX(Entitlement!$A$4:$BC$102,ROW()+1,$L$1)*(1-TPCIL!$L$11))-ISGS!U100</f>
        <v>0.00165299999999746</v>
      </c>
      <c r="M90" s="105">
        <f>'Individual BD'!J90</f>
        <v>0</v>
      </c>
      <c r="N90" s="105">
        <f>'Individual BD'!K90</f>
        <v>0</v>
      </c>
      <c r="O90" s="105">
        <f>(INDEX(Entitlement!$A$4:$BC$102,ROW()+1,$O$1)*(1-TPCIL!$L$11))-ISGS!O100</f>
        <v>-0.00382899999999609</v>
      </c>
      <c r="P90" s="105">
        <f>(INDEX(Entitlement!$A$4:$BC$102,ROW()+1,$P$1)*(1-TPCIL!$L$11))-ISGS!P100</f>
        <v>0.00125900000000456</v>
      </c>
      <c r="Q90" s="105">
        <f>(INDEX(Entitlement!$A$4:$BC$102,ROW()+1,$Q$1)*(1-TPCIL!$L$11))-ISGS!R100</f>
        <v>0.00469499999999812</v>
      </c>
      <c r="R90" s="105">
        <f>(INDEX(Entitlement!$A$4:$BC$102,ROW()+1,$R$1)*(1-TPCIL!$L$11))-ISGS!L100</f>
        <v>0.00193399999999944</v>
      </c>
      <c r="S90" s="105">
        <f>(INDEX(Entitlement!$A$4:$BC$102,ROW()+1,$S$1)*(1-TPCIL!$L$11))-ISGS!J100</f>
        <v>-0.004722000000001</v>
      </c>
      <c r="T90" s="105">
        <f>(INDEX(Entitlement!$A$4:$BC$102,ROW()+1,$T$1)*(1-TPCIL!$L$11))-ISGS!K100</f>
        <v>-0.00499099999999686</v>
      </c>
      <c r="U90" s="105">
        <f>'Individual BD'!L90</f>
        <v>0</v>
      </c>
      <c r="V90" s="105">
        <f>(INDEX(Entitlement!$A$4:$BC$102,ROW()+1,$V$1))-ISGS!Q100</f>
        <v>0</v>
      </c>
      <c r="W90" s="105">
        <f>(INDEX(Entitlement!$A$4:$BC$102,ROW()+1,$W$1)*(1-TPCIL!$L$11))-ISGS!T100</f>
        <v>0.00110800000000211</v>
      </c>
      <c r="X90" s="105">
        <f>(INDEX(Entitlement!$A$4:$BC$102,ROW()+1,$X$1)*(1-TPCIL!$L$11))-ISGS!I100</f>
        <v>0.00368000000000013</v>
      </c>
      <c r="Y90" s="105">
        <f>(INDEX(Entitlement!$A$4:$BC$102,ROW()+1,$Y$1)*(1-TPCIL!$L$11))-ISGS!M100</f>
        <v>-0.000580000000006464</v>
      </c>
      <c r="Z90" s="105">
        <f>TPCIL!I100-TPCIL!C100</f>
        <v>0.000544999999988249</v>
      </c>
      <c r="AA90" s="105">
        <f>TPCIL!P100-TPCIL!D100</f>
        <v>0</v>
      </c>
      <c r="AB90" s="105">
        <f>'Individual BD'!M90</f>
        <v>0</v>
      </c>
      <c r="AC90" s="105">
        <f>'Individual BD'!N90</f>
        <v>0</v>
      </c>
      <c r="AD90" s="105">
        <f>(INDEX(Entitlement!$A$4:$BC$102,ROW()+1,$AD$1)*(1-TPCIL!$L$11))-ISGS!S100</f>
        <v>0.00303199999999038</v>
      </c>
      <c r="AE90" s="107"/>
      <c r="AG90" s="114">
        <f t="shared" si="3"/>
        <v>4.31382314627516</v>
      </c>
    </row>
    <row r="91" s="99" customFormat="1" ht="18" customHeight="1" spans="1:33">
      <c r="A91" s="108" t="s">
        <v>102</v>
      </c>
      <c r="B91" s="107">
        <v>89</v>
      </c>
      <c r="C91" s="105">
        <f>'Individual BD'!C91</f>
        <v>61.74</v>
      </c>
      <c r="D91" s="105">
        <f>'Individual BD'!D91</f>
        <v>151.38</v>
      </c>
      <c r="E91" s="105">
        <f>'Individual BD'!E91</f>
        <v>60.93</v>
      </c>
      <c r="F91" s="105">
        <f>(INDEX(Entitlement!$A$4:$BC$102,ROW()+1,$F$1)*(1-TPCIL!$L$11))-ISGS!G101</f>
        <v>229.674432</v>
      </c>
      <c r="G91" s="105">
        <f>(INDEX(Entitlement!$A$4:$BC$102,ROW()+1,$G$1)*(1-TPCIL!$L$11))-ISGS!N101</f>
        <v>63.773883</v>
      </c>
      <c r="H91" s="105">
        <f>'Individual BD'!F91</f>
        <v>58.98</v>
      </c>
      <c r="I91" s="105">
        <f>'Individual BD'!G91</f>
        <v>162.75</v>
      </c>
      <c r="J91" s="105">
        <f>'Individual BD'!H91</f>
        <v>136.83</v>
      </c>
      <c r="K91" s="105">
        <f>'Individual BD'!I91</f>
        <v>154.21</v>
      </c>
      <c r="L91" s="105">
        <f>(INDEX(Entitlement!$A$4:$BC$102,ROW()+1,$L$1)*(1-TPCIL!$L$11))-ISGS!U101</f>
        <v>65.842923</v>
      </c>
      <c r="M91" s="105">
        <f>'Individual BD'!J91</f>
        <v>0</v>
      </c>
      <c r="N91" s="105">
        <f>'Individual BD'!K91</f>
        <v>0</v>
      </c>
      <c r="O91" s="105">
        <f>(INDEX(Entitlement!$A$4:$BC$102,ROW()+1,$O$1)*(1-TPCIL!$L$11))-ISGS!O101</f>
        <v>-0.00382899999999609</v>
      </c>
      <c r="P91" s="105">
        <f>(INDEX(Entitlement!$A$4:$BC$102,ROW()+1,$P$1)*(1-TPCIL!$L$11))-ISGS!P101</f>
        <v>0.00125900000000456</v>
      </c>
      <c r="Q91" s="105">
        <f>(INDEX(Entitlement!$A$4:$BC$102,ROW()+1,$Q$1)*(1-TPCIL!$L$11))-ISGS!R101</f>
        <v>0.00469499999999812</v>
      </c>
      <c r="R91" s="105">
        <f>(INDEX(Entitlement!$A$4:$BC$102,ROW()+1,$R$1)*(1-TPCIL!$L$11))-ISGS!L101</f>
        <v>0.00193399999999944</v>
      </c>
      <c r="S91" s="105">
        <f>(INDEX(Entitlement!$A$4:$BC$102,ROW()+1,$S$1)*(1-TPCIL!$L$11))-ISGS!J101</f>
        <v>0.0318870000000011</v>
      </c>
      <c r="T91" s="105">
        <f>(INDEX(Entitlement!$A$4:$BC$102,ROW()+1,$T$1)*(1-TPCIL!$L$11))-ISGS!K101</f>
        <v>0.0815169999999981</v>
      </c>
      <c r="U91" s="105">
        <f>'Individual BD'!L91</f>
        <v>0</v>
      </c>
      <c r="V91" s="105">
        <f>(INDEX(Entitlement!$A$4:$BC$102,ROW()+1,$V$1))-ISGS!Q101</f>
        <v>0</v>
      </c>
      <c r="W91" s="105">
        <f>(INDEX(Entitlement!$A$4:$BC$102,ROW()+1,$W$1)*(1-TPCIL!$L$11))-ISGS!T101</f>
        <v>0.00110800000000211</v>
      </c>
      <c r="X91" s="105">
        <f>(INDEX(Entitlement!$A$4:$BC$102,ROW()+1,$X$1)*(1-TPCIL!$L$11))-ISGS!I101</f>
        <v>0.00368000000000013</v>
      </c>
      <c r="Y91" s="105">
        <f>(INDEX(Entitlement!$A$4:$BC$102,ROW()+1,$Y$1)*(1-TPCIL!$L$11))-ISGS!M101</f>
        <v>-0.000580000000006464</v>
      </c>
      <c r="Z91" s="105">
        <f>TPCIL!I101-TPCIL!C101</f>
        <v>0.000544999999988249</v>
      </c>
      <c r="AA91" s="105">
        <f>TPCIL!P101-TPCIL!D101</f>
        <v>0</v>
      </c>
      <c r="AB91" s="105">
        <f>'Individual BD'!M91</f>
        <v>0</v>
      </c>
      <c r="AC91" s="105">
        <f>'Individual BD'!N91</f>
        <v>0</v>
      </c>
      <c r="AD91" s="105">
        <f>(INDEX(Entitlement!$A$4:$BC$102,ROW()+1,$AD$1)*(1-TPCIL!$L$11))-ISGS!S101</f>
        <v>0.00303199999999038</v>
      </c>
      <c r="AE91" s="107"/>
      <c r="AG91" s="114">
        <f t="shared" si="3"/>
        <v>4.19735695748565</v>
      </c>
    </row>
    <row r="92" s="99" customFormat="1" ht="18" customHeight="1" spans="1:33">
      <c r="A92" s="108" t="s">
        <v>103</v>
      </c>
      <c r="B92" s="107">
        <v>90</v>
      </c>
      <c r="C92" s="105">
        <f>'Individual BD'!C92</f>
        <v>59.94</v>
      </c>
      <c r="D92" s="105">
        <f>'Individual BD'!D92</f>
        <v>151.88</v>
      </c>
      <c r="E92" s="105">
        <f>'Individual BD'!E92</f>
        <v>66.16</v>
      </c>
      <c r="F92" s="105">
        <f>(INDEX(Entitlement!$A$4:$BC$102,ROW()+1,$F$1)*(1-TPCIL!$L$11))-ISGS!G102</f>
        <v>229.674432</v>
      </c>
      <c r="G92" s="105">
        <f>(INDEX(Entitlement!$A$4:$BC$102,ROW()+1,$G$1)*(1-TPCIL!$L$11))-ISGS!N102</f>
        <v>121.433883</v>
      </c>
      <c r="H92" s="105">
        <f>'Individual BD'!F92</f>
        <v>56.25</v>
      </c>
      <c r="I92" s="105">
        <f>'Individual BD'!G92</f>
        <v>154.15</v>
      </c>
      <c r="J92" s="105">
        <f>'Individual BD'!H92</f>
        <v>164.4</v>
      </c>
      <c r="K92" s="105">
        <f>'Individual BD'!I92</f>
        <v>222.73</v>
      </c>
      <c r="L92" s="105">
        <f>(INDEX(Entitlement!$A$4:$BC$102,ROW()+1,$L$1)*(1-TPCIL!$L$11))-ISGS!U102</f>
        <v>65.842923</v>
      </c>
      <c r="M92" s="105">
        <f>'Individual BD'!J92</f>
        <v>0</v>
      </c>
      <c r="N92" s="105">
        <f>'Individual BD'!K92</f>
        <v>0</v>
      </c>
      <c r="O92" s="105">
        <f>(INDEX(Entitlement!$A$4:$BC$102,ROW()+1,$O$1)*(1-TPCIL!$L$11))-ISGS!O102</f>
        <v>-0.00382899999999609</v>
      </c>
      <c r="P92" s="105">
        <f>(INDEX(Entitlement!$A$4:$BC$102,ROW()+1,$P$1)*(1-TPCIL!$L$11))-ISGS!P102</f>
        <v>0.00125900000000456</v>
      </c>
      <c r="Q92" s="105">
        <f>(INDEX(Entitlement!$A$4:$BC$102,ROW()+1,$Q$1)*(1-TPCIL!$L$11))-ISGS!R102</f>
        <v>0.00469499999999812</v>
      </c>
      <c r="R92" s="105">
        <f>(INDEX(Entitlement!$A$4:$BC$102,ROW()+1,$R$1)*(1-TPCIL!$L$11))-ISGS!L102</f>
        <v>0.00193399999999944</v>
      </c>
      <c r="S92" s="105">
        <f>(INDEX(Entitlement!$A$4:$BC$102,ROW()+1,$S$1)*(1-TPCIL!$L$11))-ISGS!J102</f>
        <v>0.00188699999999997</v>
      </c>
      <c r="T92" s="105">
        <f>(INDEX(Entitlement!$A$4:$BC$102,ROW()+1,$T$1)*(1-TPCIL!$L$11))-ISGS!K102</f>
        <v>0.00151699999999977</v>
      </c>
      <c r="U92" s="105">
        <f>'Individual BD'!L92</f>
        <v>0</v>
      </c>
      <c r="V92" s="105">
        <f>(INDEX(Entitlement!$A$4:$BC$102,ROW()+1,$V$1))-ISGS!Q102</f>
        <v>0</v>
      </c>
      <c r="W92" s="105">
        <f>(INDEX(Entitlement!$A$4:$BC$102,ROW()+1,$W$1)*(1-TPCIL!$L$11))-ISGS!T102</f>
        <v>0.00110800000000211</v>
      </c>
      <c r="X92" s="105">
        <f>(INDEX(Entitlement!$A$4:$BC$102,ROW()+1,$X$1)*(1-TPCIL!$L$11))-ISGS!I102</f>
        <v>0.00368000000000013</v>
      </c>
      <c r="Y92" s="105">
        <f>(INDEX(Entitlement!$A$4:$BC$102,ROW()+1,$Y$1)*(1-TPCIL!$L$11))-ISGS!M102</f>
        <v>-0.000580000000006464</v>
      </c>
      <c r="Z92" s="105">
        <f>TPCIL!I102-TPCIL!C102</f>
        <v>0.000544999999988249</v>
      </c>
      <c r="AA92" s="105">
        <f>TPCIL!P102-TPCIL!D102</f>
        <v>0</v>
      </c>
      <c r="AB92" s="105">
        <f>'Individual BD'!M92</f>
        <v>0</v>
      </c>
      <c r="AC92" s="105">
        <f>'Individual BD'!N92</f>
        <v>0</v>
      </c>
      <c r="AD92" s="105">
        <f>(INDEX(Entitlement!$A$4:$BC$102,ROW()+1,$AD$1)*(1-TPCIL!$L$11))-ISGS!S102</f>
        <v>0.00303199999999038</v>
      </c>
      <c r="AE92" s="107"/>
      <c r="AG92" s="114">
        <f t="shared" si="3"/>
        <v>4.17935913569572</v>
      </c>
    </row>
    <row r="93" s="99" customFormat="1" ht="18" customHeight="1" spans="1:33">
      <c r="A93" s="108" t="s">
        <v>104</v>
      </c>
      <c r="B93" s="107">
        <v>91</v>
      </c>
      <c r="C93" s="105">
        <f>'Individual BD'!C93</f>
        <v>55.87</v>
      </c>
      <c r="D93" s="105">
        <f>'Individual BD'!D93</f>
        <v>151.55</v>
      </c>
      <c r="E93" s="105">
        <f>'Individual BD'!E93</f>
        <v>64.09</v>
      </c>
      <c r="F93" s="105">
        <f>(INDEX(Entitlement!$A$4:$BC$102,ROW()+1,$F$1)*(1-TPCIL!$L$11))-ISGS!G103</f>
        <v>229.674432</v>
      </c>
      <c r="G93" s="105">
        <f>(INDEX(Entitlement!$A$4:$BC$102,ROW()+1,$G$1)*(1-TPCIL!$L$11))-ISGS!N103</f>
        <v>121.433883</v>
      </c>
      <c r="H93" s="105">
        <f>'Individual BD'!F93</f>
        <v>59.3699999999999</v>
      </c>
      <c r="I93" s="105">
        <f>'Individual BD'!G93</f>
        <v>155.07</v>
      </c>
      <c r="J93" s="105">
        <f>'Individual BD'!H93</f>
        <v>171.28</v>
      </c>
      <c r="K93" s="105">
        <f>'Individual BD'!I93</f>
        <v>214.02</v>
      </c>
      <c r="L93" s="105">
        <f>(INDEX(Entitlement!$A$4:$BC$102,ROW()+1,$L$1)*(1-TPCIL!$L$11))-ISGS!U103</f>
        <v>65.842923</v>
      </c>
      <c r="M93" s="105">
        <f>'Individual BD'!J93</f>
        <v>0</v>
      </c>
      <c r="N93" s="105">
        <f>'Individual BD'!K93</f>
        <v>0</v>
      </c>
      <c r="O93" s="105">
        <f>(INDEX(Entitlement!$A$4:$BC$102,ROW()+1,$O$1)*(1-TPCIL!$L$11))-ISGS!O103</f>
        <v>-0.00382899999999609</v>
      </c>
      <c r="P93" s="105">
        <f>(INDEX(Entitlement!$A$4:$BC$102,ROW()+1,$P$1)*(1-TPCIL!$L$11))-ISGS!P103</f>
        <v>0.00125900000000456</v>
      </c>
      <c r="Q93" s="105">
        <f>(INDEX(Entitlement!$A$4:$BC$102,ROW()+1,$Q$1)*(1-TPCIL!$L$11))-ISGS!R103</f>
        <v>0.00469499999999812</v>
      </c>
      <c r="R93" s="105">
        <f>(INDEX(Entitlement!$A$4:$BC$102,ROW()+1,$R$1)*(1-TPCIL!$L$11))-ISGS!L103</f>
        <v>0.00193399999999944</v>
      </c>
      <c r="S93" s="105">
        <f>(INDEX(Entitlement!$A$4:$BC$102,ROW()+1,$S$1)*(1-TPCIL!$L$11))-ISGS!J103</f>
        <v>0.00188699999999997</v>
      </c>
      <c r="T93" s="105">
        <f>(INDEX(Entitlement!$A$4:$BC$102,ROW()+1,$T$1)*(1-TPCIL!$L$11))-ISGS!K103</f>
        <v>0.00151699999999977</v>
      </c>
      <c r="U93" s="105">
        <f>'Individual BD'!L93</f>
        <v>0</v>
      </c>
      <c r="V93" s="105">
        <f>(INDEX(Entitlement!$A$4:$BC$102,ROW()+1,$V$1))-ISGS!Q103</f>
        <v>0</v>
      </c>
      <c r="W93" s="105">
        <f>(INDEX(Entitlement!$A$4:$BC$102,ROW()+1,$W$1)*(1-TPCIL!$L$11))-ISGS!T103</f>
        <v>0.00110800000000211</v>
      </c>
      <c r="X93" s="105">
        <f>(INDEX(Entitlement!$A$4:$BC$102,ROW()+1,$X$1)*(1-TPCIL!$L$11))-ISGS!I103</f>
        <v>0.00368000000000013</v>
      </c>
      <c r="Y93" s="105">
        <f>(INDEX(Entitlement!$A$4:$BC$102,ROW()+1,$Y$1)*(1-TPCIL!$L$11))-ISGS!M103</f>
        <v>-0.000580000000006464</v>
      </c>
      <c r="Z93" s="105">
        <f>TPCIL!I103-TPCIL!C103</f>
        <v>0.000544999999988249</v>
      </c>
      <c r="AA93" s="105">
        <f>TPCIL!P103-TPCIL!D103</f>
        <v>0</v>
      </c>
      <c r="AB93" s="105">
        <f>'Individual BD'!M93</f>
        <v>0</v>
      </c>
      <c r="AC93" s="105">
        <f>'Individual BD'!N93</f>
        <v>0</v>
      </c>
      <c r="AD93" s="105">
        <f>(INDEX(Entitlement!$A$4:$BC$102,ROW()+1,$AD$1)*(1-TPCIL!$L$11))-ISGS!S103</f>
        <v>0.00303199999999038</v>
      </c>
      <c r="AE93" s="107"/>
      <c r="AG93" s="114">
        <f t="shared" si="3"/>
        <v>4.17952469786666</v>
      </c>
    </row>
    <row r="94" s="99" customFormat="1" ht="18" customHeight="1" spans="1:33">
      <c r="A94" s="108" t="s">
        <v>105</v>
      </c>
      <c r="B94" s="107">
        <v>92</v>
      </c>
      <c r="C94" s="105">
        <f>'Individual BD'!C94</f>
        <v>60.5</v>
      </c>
      <c r="D94" s="105">
        <f>'Individual BD'!D94</f>
        <v>151.91</v>
      </c>
      <c r="E94" s="105">
        <f>'Individual BD'!E94</f>
        <v>63.37</v>
      </c>
      <c r="F94" s="105">
        <f>(INDEX(Entitlement!$A$4:$BC$102,ROW()+1,$F$1)*(1-TPCIL!$L$11))-ISGS!G104</f>
        <v>229.674432</v>
      </c>
      <c r="G94" s="105">
        <f>(INDEX(Entitlement!$A$4:$BC$102,ROW()+1,$G$1)*(1-TPCIL!$L$11))-ISGS!N104</f>
        <v>121.433883</v>
      </c>
      <c r="H94" s="105">
        <f>'Individual BD'!F94</f>
        <v>56.0400000000002</v>
      </c>
      <c r="I94" s="105">
        <f>'Individual BD'!G94</f>
        <v>157.63</v>
      </c>
      <c r="J94" s="105">
        <f>'Individual BD'!H94</f>
        <v>167.41</v>
      </c>
      <c r="K94" s="105">
        <f>'Individual BD'!I94</f>
        <v>220.09</v>
      </c>
      <c r="L94" s="105">
        <f>(INDEX(Entitlement!$A$4:$BC$102,ROW()+1,$L$1)*(1-TPCIL!$L$11))-ISGS!U104</f>
        <v>65.842923</v>
      </c>
      <c r="M94" s="105">
        <f>'Individual BD'!J94</f>
        <v>0</v>
      </c>
      <c r="N94" s="105">
        <f>'Individual BD'!K94</f>
        <v>72.28</v>
      </c>
      <c r="O94" s="105">
        <f>(INDEX(Entitlement!$A$4:$BC$102,ROW()+1,$O$1)*(1-TPCIL!$L$11))-ISGS!O104</f>
        <v>-0.00382899999999609</v>
      </c>
      <c r="P94" s="105">
        <f>(INDEX(Entitlement!$A$4:$BC$102,ROW()+1,$P$1)*(1-TPCIL!$L$11))-ISGS!P104</f>
        <v>0.00125900000000456</v>
      </c>
      <c r="Q94" s="105">
        <f>(INDEX(Entitlement!$A$4:$BC$102,ROW()+1,$Q$1)*(1-TPCIL!$L$11))-ISGS!R104</f>
        <v>0.00469499999999812</v>
      </c>
      <c r="R94" s="105">
        <f>(INDEX(Entitlement!$A$4:$BC$102,ROW()+1,$R$1)*(1-TPCIL!$L$11))-ISGS!L104</f>
        <v>0.00193399999999944</v>
      </c>
      <c r="S94" s="105">
        <f>(INDEX(Entitlement!$A$4:$BC$102,ROW()+1,$S$1)*(1-TPCIL!$L$11))-ISGS!J104</f>
        <v>-0.00386100000000056</v>
      </c>
      <c r="T94" s="105">
        <f>(INDEX(Entitlement!$A$4:$BC$102,ROW()+1,$T$1)*(1-TPCIL!$L$11))-ISGS!K104</f>
        <v>-0.000762999999999181</v>
      </c>
      <c r="U94" s="105">
        <f>'Individual BD'!L94</f>
        <v>0</v>
      </c>
      <c r="V94" s="105">
        <f>(INDEX(Entitlement!$A$4:$BC$102,ROW()+1,$V$1))-ISGS!Q104</f>
        <v>0</v>
      </c>
      <c r="W94" s="105">
        <f>(INDEX(Entitlement!$A$4:$BC$102,ROW()+1,$W$1)*(1-TPCIL!$L$11))-ISGS!T104</f>
        <v>0.00110800000000211</v>
      </c>
      <c r="X94" s="105">
        <f>(INDEX(Entitlement!$A$4:$BC$102,ROW()+1,$X$1)*(1-TPCIL!$L$11))-ISGS!I104</f>
        <v>0.00368000000000013</v>
      </c>
      <c r="Y94" s="105">
        <f>(INDEX(Entitlement!$A$4:$BC$102,ROW()+1,$Y$1)*(1-TPCIL!$L$11))-ISGS!M104</f>
        <v>-0.000580000000006464</v>
      </c>
      <c r="Z94" s="105">
        <f>TPCIL!I104-TPCIL!C104</f>
        <v>0.000544999999988249</v>
      </c>
      <c r="AA94" s="105">
        <f>TPCIL!P104-TPCIL!D104</f>
        <v>0</v>
      </c>
      <c r="AB94" s="105">
        <f>'Individual BD'!M94</f>
        <v>0</v>
      </c>
      <c r="AC94" s="105">
        <f>'Individual BD'!N94</f>
        <v>0</v>
      </c>
      <c r="AD94" s="105">
        <f>(INDEX(Entitlement!$A$4:$BC$102,ROW()+1,$AD$1)*(1-TPCIL!$L$11))-ISGS!S104</f>
        <v>0.00303199999999038</v>
      </c>
      <c r="AE94" s="107"/>
      <c r="AG94" s="114">
        <f t="shared" si="3"/>
        <v>4.14792202498317</v>
      </c>
    </row>
    <row r="95" s="99" customFormat="1" ht="18" customHeight="1" spans="1:33">
      <c r="A95" s="108" t="s">
        <v>106</v>
      </c>
      <c r="B95" s="107">
        <v>93</v>
      </c>
      <c r="C95" s="105">
        <f>'Individual BD'!C95</f>
        <v>60.68</v>
      </c>
      <c r="D95" s="105">
        <f>'Individual BD'!D95</f>
        <v>154.29</v>
      </c>
      <c r="E95" s="105">
        <f>'Individual BD'!E95</f>
        <v>62.95</v>
      </c>
      <c r="F95" s="105">
        <f>(INDEX(Entitlement!$A$4:$BC$102,ROW()+1,$F$1)*(1-TPCIL!$L$11))-ISGS!G105</f>
        <v>229.674432</v>
      </c>
      <c r="G95" s="105">
        <f>(INDEX(Entitlement!$A$4:$BC$102,ROW()+1,$G$1)*(1-TPCIL!$L$11))-ISGS!N105</f>
        <v>121.433883</v>
      </c>
      <c r="H95" s="105">
        <f>'Individual BD'!F95</f>
        <v>56.9100000000001</v>
      </c>
      <c r="I95" s="105">
        <f>'Individual BD'!G95</f>
        <v>154.19</v>
      </c>
      <c r="J95" s="105">
        <f>'Individual BD'!H95</f>
        <v>168.41</v>
      </c>
      <c r="K95" s="105">
        <f>'Individual BD'!I95</f>
        <v>345.54</v>
      </c>
      <c r="L95" s="105">
        <f>(INDEX(Entitlement!$A$4:$BC$102,ROW()+1,$L$1)*(1-TPCIL!$L$11))-ISGS!U105</f>
        <v>67.718166</v>
      </c>
      <c r="M95" s="105">
        <f>'Individual BD'!J95</f>
        <v>0</v>
      </c>
      <c r="N95" s="105">
        <f>'Individual BD'!K95</f>
        <v>153.79</v>
      </c>
      <c r="O95" s="105">
        <f>(INDEX(Entitlement!$A$4:$BC$102,ROW()+1,$O$1)*(1-TPCIL!$L$11))-ISGS!O105</f>
        <v>53.136171</v>
      </c>
      <c r="P95" s="105">
        <f>(INDEX(Entitlement!$A$4:$BC$102,ROW()+1,$P$1)*(1-TPCIL!$L$11))-ISGS!P105</f>
        <v>15.091259</v>
      </c>
      <c r="Q95" s="105">
        <f>(INDEX(Entitlement!$A$4:$BC$102,ROW()+1,$Q$1)*(1-TPCIL!$L$11))-ISGS!R105</f>
        <v>68.534695</v>
      </c>
      <c r="R95" s="105">
        <f>(INDEX(Entitlement!$A$4:$BC$102,ROW()+1,$R$1)*(1-TPCIL!$L$11))-ISGS!L105</f>
        <v>7.481934</v>
      </c>
      <c r="S95" s="105">
        <f>(INDEX(Entitlement!$A$4:$BC$102,ROW()+1,$S$1)*(1-TPCIL!$L$11))-ISGS!J105</f>
        <v>28.376139</v>
      </c>
      <c r="T95" s="105">
        <f>(INDEX(Entitlement!$A$4:$BC$102,ROW()+1,$T$1)*(1-TPCIL!$L$11))-ISGS!K105</f>
        <v>35.439237</v>
      </c>
      <c r="U95" s="105">
        <f>'Individual BD'!L95</f>
        <v>0</v>
      </c>
      <c r="V95" s="105">
        <f>(INDEX(Entitlement!$A$4:$BC$102,ROW()+1,$V$1))-ISGS!Q105</f>
        <v>0</v>
      </c>
      <c r="W95" s="105">
        <f>(INDEX(Entitlement!$A$4:$BC$102,ROW()+1,$W$1)*(1-TPCIL!$L$11))-ISGS!T105</f>
        <v>0.00110800000000211</v>
      </c>
      <c r="X95" s="105">
        <f>(INDEX(Entitlement!$A$4:$BC$102,ROW()+1,$X$1)*(1-TPCIL!$L$11))-ISGS!I105</f>
        <v>0.00368000000000013</v>
      </c>
      <c r="Y95" s="105">
        <f>(INDEX(Entitlement!$A$4:$BC$102,ROW()+1,$Y$1)*(1-TPCIL!$L$11))-ISGS!M105</f>
        <v>-0.000580000000006464</v>
      </c>
      <c r="Z95" s="105">
        <f>TPCIL!I105-TPCIL!C105</f>
        <v>0.000544999999988249</v>
      </c>
      <c r="AA95" s="105">
        <f>TPCIL!P105-TPCIL!D105</f>
        <v>0</v>
      </c>
      <c r="AB95" s="105">
        <f>'Individual BD'!M95</f>
        <v>0</v>
      </c>
      <c r="AC95" s="105">
        <f>'Individual BD'!N95</f>
        <v>0</v>
      </c>
      <c r="AD95" s="105">
        <f>(INDEX(Entitlement!$A$4:$BC$102,ROW()+1,$AD$1)*(1-TPCIL!$L$11))-ISGS!S105</f>
        <v>0.00303199999999038</v>
      </c>
      <c r="AE95" s="107"/>
      <c r="AG95" s="114">
        <f t="shared" si="3"/>
        <v>4.01634674932508</v>
      </c>
    </row>
    <row r="96" s="99" customFormat="1" ht="18" customHeight="1" spans="1:33">
      <c r="A96" s="108" t="s">
        <v>107</v>
      </c>
      <c r="B96" s="107">
        <v>94</v>
      </c>
      <c r="C96" s="105">
        <f>'Individual BD'!C96</f>
        <v>66.78</v>
      </c>
      <c r="D96" s="105">
        <f>'Individual BD'!D96</f>
        <v>153.56</v>
      </c>
      <c r="E96" s="105">
        <f>'Individual BD'!E96</f>
        <v>63.47</v>
      </c>
      <c r="F96" s="105">
        <f>(INDEX(Entitlement!$A$4:$BC$102,ROW()+1,$F$1)*(1-TPCIL!$L$11))-ISGS!G106</f>
        <v>229.674432</v>
      </c>
      <c r="G96" s="105">
        <f>(INDEX(Entitlement!$A$4:$BC$102,ROW()+1,$G$1)*(1-TPCIL!$L$11))-ISGS!N106</f>
        <v>121.433883</v>
      </c>
      <c r="H96" s="105">
        <f>'Individual BD'!F96</f>
        <v>63.3099999999999</v>
      </c>
      <c r="I96" s="105">
        <f>'Individual BD'!G96</f>
        <v>157.53</v>
      </c>
      <c r="J96" s="105">
        <f>'Individual BD'!H96</f>
        <v>170.52</v>
      </c>
      <c r="K96" s="105">
        <f>'Individual BD'!I96</f>
        <v>398.94</v>
      </c>
      <c r="L96" s="105">
        <f>(INDEX(Entitlement!$A$4:$BC$102,ROW()+1,$L$1)*(1-TPCIL!$L$11))-ISGS!U106</f>
        <v>69.602928</v>
      </c>
      <c r="M96" s="105">
        <f>'Individual BD'!J96</f>
        <v>0</v>
      </c>
      <c r="N96" s="105">
        <f>'Individual BD'!K96</f>
        <v>204.26</v>
      </c>
      <c r="O96" s="105">
        <f>(INDEX(Entitlement!$A$4:$BC$102,ROW()+1,$O$1)*(1-TPCIL!$L$11))-ISGS!O106</f>
        <v>177.236171</v>
      </c>
      <c r="P96" s="105">
        <f>(INDEX(Entitlement!$A$4:$BC$102,ROW()+1,$P$1)*(1-TPCIL!$L$11))-ISGS!P106</f>
        <v>46.791259</v>
      </c>
      <c r="Q96" s="105">
        <f>(INDEX(Entitlement!$A$4:$BC$102,ROW()+1,$Q$1)*(1-TPCIL!$L$11))-ISGS!R106</f>
        <v>198.994695</v>
      </c>
      <c r="R96" s="105">
        <f>(INDEX(Entitlement!$A$4:$BC$102,ROW()+1,$R$1)*(1-TPCIL!$L$11))-ISGS!L106</f>
        <v>7.481934</v>
      </c>
      <c r="S96" s="105">
        <f>(INDEX(Entitlement!$A$4:$BC$102,ROW()+1,$S$1)*(1-TPCIL!$L$11))-ISGS!J106</f>
        <v>28.376139</v>
      </c>
      <c r="T96" s="105">
        <f>(INDEX(Entitlement!$A$4:$BC$102,ROW()+1,$T$1)*(1-TPCIL!$L$11))-ISGS!K106</f>
        <v>35.439237</v>
      </c>
      <c r="U96" s="105">
        <f>'Individual BD'!L96</f>
        <v>0</v>
      </c>
      <c r="V96" s="105">
        <f>(INDEX(Entitlement!$A$4:$BC$102,ROW()+1,$V$1))-ISGS!Q106</f>
        <v>0</v>
      </c>
      <c r="W96" s="105">
        <f>(INDEX(Entitlement!$A$4:$BC$102,ROW()+1,$W$1)*(1-TPCIL!$L$11))-ISGS!T106</f>
        <v>0.00110800000000211</v>
      </c>
      <c r="X96" s="105">
        <f>(INDEX(Entitlement!$A$4:$BC$102,ROW()+1,$X$1)*(1-TPCIL!$L$11))-ISGS!I106</f>
        <v>0.00368000000000013</v>
      </c>
      <c r="Y96" s="105">
        <f>(INDEX(Entitlement!$A$4:$BC$102,ROW()+1,$Y$1)*(1-TPCIL!$L$11))-ISGS!M106</f>
        <v>-0.000580000000006464</v>
      </c>
      <c r="Z96" s="105">
        <f>TPCIL!I106-TPCIL!C106</f>
        <v>0.000544999999988249</v>
      </c>
      <c r="AA96" s="105">
        <f>TPCIL!P106-TPCIL!D106</f>
        <v>0</v>
      </c>
      <c r="AB96" s="105">
        <f>'Individual BD'!M96</f>
        <v>0</v>
      </c>
      <c r="AC96" s="105">
        <f>'Individual BD'!N96</f>
        <v>0</v>
      </c>
      <c r="AD96" s="105">
        <f>(INDEX(Entitlement!$A$4:$BC$102,ROW()+1,$AD$1)*(1-TPCIL!$L$11))-ISGS!S106</f>
        <v>0.00303199999999038</v>
      </c>
      <c r="AE96" s="107"/>
      <c r="AG96" s="114">
        <f t="shared" si="3"/>
        <v>3.93313871963984</v>
      </c>
    </row>
    <row r="97" s="99" customFormat="1" ht="18" customHeight="1" spans="1:33">
      <c r="A97" s="108" t="s">
        <v>108</v>
      </c>
      <c r="B97" s="107">
        <v>95</v>
      </c>
      <c r="C97" s="105">
        <f>'Individual BD'!C97</f>
        <v>61.15</v>
      </c>
      <c r="D97" s="105">
        <f>'Individual BD'!D97</f>
        <v>152.84</v>
      </c>
      <c r="E97" s="105">
        <f>'Individual BD'!E97</f>
        <v>63.91</v>
      </c>
      <c r="F97" s="105">
        <f>(INDEX(Entitlement!$A$4:$BC$102,ROW()+1,$F$1)*(1-TPCIL!$L$11))-ISGS!G107</f>
        <v>229.674432</v>
      </c>
      <c r="G97" s="105">
        <f>(INDEX(Entitlement!$A$4:$BC$102,ROW()+1,$G$1)*(1-TPCIL!$L$11))-ISGS!N107</f>
        <v>121.433883</v>
      </c>
      <c r="H97" s="105">
        <f>'Individual BD'!F97</f>
        <v>69.2500000000001</v>
      </c>
      <c r="I97" s="105">
        <f>'Individual BD'!G97</f>
        <v>153.77</v>
      </c>
      <c r="J97" s="105">
        <f>'Individual BD'!H97</f>
        <v>171.51</v>
      </c>
      <c r="K97" s="105">
        <f>'Individual BD'!I97</f>
        <v>387.06</v>
      </c>
      <c r="L97" s="105">
        <f>(INDEX(Entitlement!$A$4:$BC$102,ROW()+1,$L$1)*(1-TPCIL!$L$11))-ISGS!U107</f>
        <v>59.103471</v>
      </c>
      <c r="M97" s="105">
        <f>'Individual BD'!J97</f>
        <v>0</v>
      </c>
      <c r="N97" s="105">
        <f>'Individual BD'!K97</f>
        <v>204.29</v>
      </c>
      <c r="O97" s="105">
        <f>(INDEX(Entitlement!$A$4:$BC$102,ROW()+1,$O$1)*(1-TPCIL!$L$11))-ISGS!O107</f>
        <v>280.896171</v>
      </c>
      <c r="P97" s="105">
        <f>(INDEX(Entitlement!$A$4:$BC$102,ROW()+1,$P$1)*(1-TPCIL!$L$11))-ISGS!P107</f>
        <v>71.021259</v>
      </c>
      <c r="Q97" s="105">
        <f>(INDEX(Entitlement!$A$4:$BC$102,ROW()+1,$Q$1)*(1-TPCIL!$L$11))-ISGS!R107</f>
        <v>198.994695</v>
      </c>
      <c r="R97" s="105">
        <f>(INDEX(Entitlement!$A$4:$BC$102,ROW()+1,$R$1)*(1-TPCIL!$L$11))-ISGS!L107</f>
        <v>7.481934</v>
      </c>
      <c r="S97" s="105">
        <f>(INDEX(Entitlement!$A$4:$BC$102,ROW()+1,$S$1)*(1-TPCIL!$L$11))-ISGS!J107</f>
        <v>28.376139</v>
      </c>
      <c r="T97" s="105">
        <f>(INDEX(Entitlement!$A$4:$BC$102,ROW()+1,$T$1)*(1-TPCIL!$L$11))-ISGS!K107</f>
        <v>35.439237</v>
      </c>
      <c r="U97" s="105">
        <f>'Individual BD'!L97</f>
        <v>0</v>
      </c>
      <c r="V97" s="105">
        <f>(INDEX(Entitlement!$A$4:$BC$102,ROW()+1,$V$1))-ISGS!Q107</f>
        <v>0</v>
      </c>
      <c r="W97" s="105">
        <f>(INDEX(Entitlement!$A$4:$BC$102,ROW()+1,$W$1)*(1-TPCIL!$L$11))-ISGS!T107</f>
        <v>0.00110800000000211</v>
      </c>
      <c r="X97" s="105">
        <f>(INDEX(Entitlement!$A$4:$BC$102,ROW()+1,$X$1)*(1-TPCIL!$L$11))-ISGS!I107</f>
        <v>0.00368000000000013</v>
      </c>
      <c r="Y97" s="105">
        <f>(INDEX(Entitlement!$A$4:$BC$102,ROW()+1,$Y$1)*(1-TPCIL!$L$11))-ISGS!M107</f>
        <v>-0.000580000000006464</v>
      </c>
      <c r="Z97" s="105">
        <f>TPCIL!I107-TPCIL!C107</f>
        <v>0.000544999999988249</v>
      </c>
      <c r="AA97" s="105">
        <f>TPCIL!P107-TPCIL!D107</f>
        <v>0</v>
      </c>
      <c r="AB97" s="105">
        <f>'Individual BD'!M97</f>
        <v>0</v>
      </c>
      <c r="AC97" s="105">
        <f>'Individual BD'!N97</f>
        <v>0</v>
      </c>
      <c r="AD97" s="105">
        <f>(INDEX(Entitlement!$A$4:$BC$102,ROW()+1,$AD$1)*(1-TPCIL!$L$11))-ISGS!S107</f>
        <v>0.00303199999999038</v>
      </c>
      <c r="AE97" s="107"/>
      <c r="AG97" s="114">
        <f t="shared" si="3"/>
        <v>3.91093885607206</v>
      </c>
    </row>
    <row r="98" s="99" customFormat="1" ht="18" customHeight="1" spans="1:33">
      <c r="A98" s="108" t="s">
        <v>109</v>
      </c>
      <c r="B98" s="107">
        <v>96</v>
      </c>
      <c r="C98" s="105">
        <f>'Individual BD'!C98</f>
        <v>63.89</v>
      </c>
      <c r="D98" s="105">
        <f>'Individual BD'!D98</f>
        <v>151.62</v>
      </c>
      <c r="E98" s="105">
        <f>'Individual BD'!E98</f>
        <v>64.74</v>
      </c>
      <c r="F98" s="105">
        <f>(INDEX(Entitlement!$A$4:$BC$102,ROW()+1,$F$1)*(1-TPCIL!$L$11))-ISGS!G108</f>
        <v>229.674432</v>
      </c>
      <c r="G98" s="105">
        <f>(INDEX(Entitlement!$A$4:$BC$102,ROW()+1,$G$1)*(1-TPCIL!$L$11))-ISGS!N108</f>
        <v>121.433883</v>
      </c>
      <c r="H98" s="105">
        <f>'Individual BD'!F98</f>
        <v>72.8</v>
      </c>
      <c r="I98" s="105">
        <f>'Individual BD'!G98</f>
        <v>153.73</v>
      </c>
      <c r="J98" s="105">
        <f>'Individual BD'!H98</f>
        <v>164.3</v>
      </c>
      <c r="K98" s="105">
        <f>'Individual BD'!I98</f>
        <v>386.01</v>
      </c>
      <c r="L98" s="105">
        <f>(INDEX(Entitlement!$A$4:$BC$102,ROW()+1,$L$1)*(1-TPCIL!$L$11))-ISGS!U108</f>
        <v>59.103471</v>
      </c>
      <c r="M98" s="105">
        <f>'Individual BD'!J98</f>
        <v>0</v>
      </c>
      <c r="N98" s="105">
        <f>'Individual BD'!K98</f>
        <v>205.93</v>
      </c>
      <c r="O98" s="105">
        <f>(INDEX(Entitlement!$A$4:$BC$102,ROW()+1,$O$1)*(1-TPCIL!$L$11))-ISGS!O108</f>
        <v>280.896171</v>
      </c>
      <c r="P98" s="105">
        <f>(INDEX(Entitlement!$A$4:$BC$102,ROW()+1,$P$1)*(1-TPCIL!$L$11))-ISGS!P108</f>
        <v>71.021259</v>
      </c>
      <c r="Q98" s="105">
        <f>(INDEX(Entitlement!$A$4:$BC$102,ROW()+1,$Q$1)*(1-TPCIL!$L$11))-ISGS!R108</f>
        <v>198.994695</v>
      </c>
      <c r="R98" s="105">
        <f>(INDEX(Entitlement!$A$4:$BC$102,ROW()+1,$R$1)*(1-TPCIL!$L$11))-ISGS!L108</f>
        <v>7.481934</v>
      </c>
      <c r="S98" s="105">
        <f>(INDEX(Entitlement!$A$4:$BC$102,ROW()+1,$S$1)*(1-TPCIL!$L$11))-ISGS!J108</f>
        <v>28.376139</v>
      </c>
      <c r="T98" s="105">
        <f>(INDEX(Entitlement!$A$4:$BC$102,ROW()+1,$T$1)*(1-TPCIL!$L$11))-ISGS!K108</f>
        <v>35.439237</v>
      </c>
      <c r="U98" s="105">
        <f>'Individual BD'!L98</f>
        <v>0</v>
      </c>
      <c r="V98" s="105">
        <f>(INDEX(Entitlement!$A$4:$BC$102,ROW()+1,$V$1))-ISGS!Q108</f>
        <v>0</v>
      </c>
      <c r="W98" s="105">
        <f>(INDEX(Entitlement!$A$4:$BC$102,ROW()+1,$W$1)*(1-TPCIL!$L$11))-ISGS!T108</f>
        <v>0.00110800000000211</v>
      </c>
      <c r="X98" s="105">
        <f>(INDEX(Entitlement!$A$4:$BC$102,ROW()+1,$X$1)*(1-TPCIL!$L$11))-ISGS!I108</f>
        <v>0.00368000000000013</v>
      </c>
      <c r="Y98" s="105">
        <f>(INDEX(Entitlement!$A$4:$BC$102,ROW()+1,$Y$1)*(1-TPCIL!$L$11))-ISGS!M108</f>
        <v>-0.000580000000006464</v>
      </c>
      <c r="Z98" s="105">
        <f>TPCIL!I108-TPCIL!C108</f>
        <v>0.000544999999988249</v>
      </c>
      <c r="AA98" s="105">
        <f>TPCIL!P108-TPCIL!D108</f>
        <v>0</v>
      </c>
      <c r="AB98" s="105">
        <f>'Individual BD'!M98</f>
        <v>0</v>
      </c>
      <c r="AC98" s="105">
        <f>'Individual BD'!N98</f>
        <v>0</v>
      </c>
      <c r="AD98" s="105">
        <f>(INDEX(Entitlement!$A$4:$BC$102,ROW()+1,$AD$1)*(1-TPCIL!$L$11))-ISGS!S108</f>
        <v>0.00303199999999038</v>
      </c>
      <c r="AE98" s="112"/>
      <c r="AG98" s="114">
        <f t="shared" si="3"/>
        <v>3.9115296962637</v>
      </c>
    </row>
    <row r="99" s="98" customFormat="1" ht="24" customHeight="1" spans="1:34">
      <c r="A99" s="106"/>
      <c r="C99" s="98">
        <v>1</v>
      </c>
      <c r="D99" s="98">
        <v>2</v>
      </c>
      <c r="E99" s="98">
        <v>3</v>
      </c>
      <c r="F99" s="98">
        <v>4</v>
      </c>
      <c r="G99" s="98">
        <v>5</v>
      </c>
      <c r="H99" s="98">
        <v>6</v>
      </c>
      <c r="I99" s="98">
        <v>7</v>
      </c>
      <c r="J99" s="98">
        <v>8</v>
      </c>
      <c r="K99" s="98">
        <v>9</v>
      </c>
      <c r="L99" s="98">
        <v>10</v>
      </c>
      <c r="M99" s="98">
        <v>11</v>
      </c>
      <c r="N99" s="98">
        <v>12</v>
      </c>
      <c r="O99" s="98">
        <v>13</v>
      </c>
      <c r="P99" s="98">
        <v>14</v>
      </c>
      <c r="Q99" s="98">
        <v>15</v>
      </c>
      <c r="R99" s="98">
        <v>16</v>
      </c>
      <c r="S99" s="98">
        <v>18</v>
      </c>
      <c r="T99" s="98">
        <v>17</v>
      </c>
      <c r="U99" s="98">
        <v>19</v>
      </c>
      <c r="V99" s="98">
        <v>20</v>
      </c>
      <c r="W99" s="98">
        <v>21</v>
      </c>
      <c r="X99" s="98">
        <v>22</v>
      </c>
      <c r="Y99" s="98">
        <v>23</v>
      </c>
      <c r="Z99" s="98">
        <v>24</v>
      </c>
      <c r="AA99" s="98">
        <v>25</v>
      </c>
      <c r="AB99" s="98">
        <v>26</v>
      </c>
      <c r="AC99" s="98">
        <v>27</v>
      </c>
      <c r="AD99" s="98">
        <v>28</v>
      </c>
      <c r="AE99" s="106"/>
      <c r="AG99" s="119"/>
      <c r="AH99" s="119"/>
    </row>
    <row r="100" spans="3:34"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G100" s="115"/>
      <c r="AH100" s="115"/>
    </row>
    <row r="101" ht="25.5" spans="2:33">
      <c r="B101" s="116"/>
      <c r="C101" s="101">
        <v>4.435</v>
      </c>
      <c r="D101" s="101">
        <v>4.435</v>
      </c>
      <c r="E101" s="101">
        <v>4.435</v>
      </c>
      <c r="F101" s="101">
        <v>4.433</v>
      </c>
      <c r="G101" s="101">
        <v>4.316</v>
      </c>
      <c r="H101" s="101">
        <v>4.221</v>
      </c>
      <c r="I101" s="101">
        <v>4.138</v>
      </c>
      <c r="J101" s="101">
        <v>3.985</v>
      </c>
      <c r="K101" s="101">
        <v>3.822</v>
      </c>
      <c r="L101" s="101">
        <v>3.719</v>
      </c>
      <c r="M101" s="101">
        <v>3.695</v>
      </c>
      <c r="N101" s="101">
        <v>3.59</v>
      </c>
      <c r="O101" s="101">
        <v>3.536</v>
      </c>
      <c r="P101" s="101">
        <v>3.463</v>
      </c>
      <c r="Q101" s="101">
        <v>3.426</v>
      </c>
      <c r="R101" s="101">
        <v>3.376</v>
      </c>
      <c r="S101" s="101">
        <v>3.365</v>
      </c>
      <c r="T101" s="101">
        <v>3.365</v>
      </c>
      <c r="U101" s="101">
        <v>3.335</v>
      </c>
      <c r="V101" s="101">
        <v>3.316</v>
      </c>
      <c r="W101" s="101">
        <v>3.18</v>
      </c>
      <c r="X101" s="101">
        <v>3.127</v>
      </c>
      <c r="Y101" s="101">
        <v>2.986</v>
      </c>
      <c r="Z101" s="101">
        <v>2.98</v>
      </c>
      <c r="AA101" s="101">
        <v>2.83</v>
      </c>
      <c r="AB101" s="101">
        <v>2.53</v>
      </c>
      <c r="AC101" s="101">
        <v>2.53</v>
      </c>
      <c r="AD101" s="101">
        <v>1.669</v>
      </c>
      <c r="AG101" s="101">
        <f>AVERAGE(AG3:AG98)</f>
        <v>3.99683222190769</v>
      </c>
    </row>
    <row r="102" spans="1:1">
      <c r="A102" s="117"/>
    </row>
    <row r="111" spans="12:22">
      <c r="L111" s="115"/>
      <c r="O111" s="115" t="e">
        <f>D100+E100+#REF!+#REF!+M100+N100+#REF!+AA100+AB100</f>
        <v>#REF!</v>
      </c>
      <c r="P111" s="115"/>
      <c r="T111" s="118"/>
      <c r="V111" s="115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7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607</v>
      </c>
      <c r="C1" s="1" t="s">
        <v>211</v>
      </c>
      <c r="D1" s="1" t="s">
        <v>608</v>
      </c>
      <c r="E1" s="1" t="s">
        <v>609</v>
      </c>
      <c r="F1" s="1" t="s">
        <v>610</v>
      </c>
      <c r="G1" s="1" t="s">
        <v>611</v>
      </c>
      <c r="H1" s="1" t="s">
        <v>612</v>
      </c>
      <c r="I1" s="1" t="s">
        <v>613</v>
      </c>
      <c r="J1" s="1" t="s">
        <v>614</v>
      </c>
      <c r="K1" s="1" t="s">
        <v>615</v>
      </c>
      <c r="L1" s="1" t="s">
        <v>616</v>
      </c>
      <c r="M1" s="1" t="s">
        <v>617</v>
      </c>
    </row>
    <row r="2" customHeight="1" spans="1:13">
      <c r="A2" s="1">
        <v>1</v>
      </c>
      <c r="B2" s="1">
        <f>Entitlement!AR9-ISGS!T13</f>
        <v>-33.62</v>
      </c>
      <c r="C2" s="1">
        <f>Entitlement!AB9-ISGS!N13</f>
        <v>40.08</v>
      </c>
      <c r="D2" s="1">
        <f>Entitlement!G9-ISGS!G13</f>
        <v>0</v>
      </c>
      <c r="E2" s="1">
        <f>Entitlement!AN9-ISGS!R13</f>
        <v>216.14</v>
      </c>
      <c r="F2" s="1">
        <f>Entitlement!AK9-ISGS!Q13</f>
        <v>-141.53</v>
      </c>
      <c r="G2" s="1">
        <f>Entitlement!S9-ISGS!K13</f>
        <v>18.46</v>
      </c>
      <c r="H2" s="1">
        <f>Entitlement!P9-ISGS!J13</f>
        <v>7.64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-31.6</v>
      </c>
      <c r="L2" s="95" t="e">
        <f>#REF!-#REF!</f>
        <v>#REF!</v>
      </c>
      <c r="M2" s="1">
        <f>Entitlement!AQ9-ISGS!S13</f>
        <v>80.28</v>
      </c>
    </row>
    <row r="3" customHeight="1" spans="1:13">
      <c r="A3" s="1">
        <v>2</v>
      </c>
      <c r="B3" s="1">
        <f>Entitlement!AR10-ISGS!T14</f>
        <v>-33.62</v>
      </c>
      <c r="C3" s="1">
        <f>Entitlement!AB10-ISGS!N14</f>
        <v>40.08</v>
      </c>
      <c r="D3" s="1">
        <f>Entitlement!G10-ISGS!G14</f>
        <v>0</v>
      </c>
      <c r="E3" s="1">
        <f>Entitlement!AN10-ISGS!R14</f>
        <v>216.14</v>
      </c>
      <c r="F3" s="1">
        <f>Entitlement!AK10-ISGS!Q14</f>
        <v>-141.53</v>
      </c>
      <c r="G3" s="1">
        <f>Entitlement!S10-ISGS!K14</f>
        <v>18.46</v>
      </c>
      <c r="H3" s="1">
        <f>Entitlement!P10-ISGS!J14</f>
        <v>7.64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-31.6</v>
      </c>
      <c r="L3" s="95" t="e">
        <f>#REF!-#REF!</f>
        <v>#REF!</v>
      </c>
      <c r="M3" s="1">
        <f>Entitlement!AQ10-ISGS!S14</f>
        <v>80.28</v>
      </c>
    </row>
    <row r="4" customHeight="1" spans="1:13">
      <c r="A4" s="1">
        <v>3</v>
      </c>
      <c r="B4" s="1">
        <f>Entitlement!AR11-ISGS!T15</f>
        <v>-33.62</v>
      </c>
      <c r="C4" s="1">
        <f>Entitlement!AB11-ISGS!N15</f>
        <v>40.08</v>
      </c>
      <c r="D4" s="1">
        <f>Entitlement!G11-ISGS!G15</f>
        <v>0</v>
      </c>
      <c r="E4" s="1">
        <f>Entitlement!AN11-ISGS!R15</f>
        <v>216.14</v>
      </c>
      <c r="F4" s="1">
        <f>Entitlement!AK11-ISGS!Q15</f>
        <v>-141.53</v>
      </c>
      <c r="G4" s="1">
        <f>Entitlement!S11-ISGS!K15</f>
        <v>18.46</v>
      </c>
      <c r="H4" s="1">
        <f>Entitlement!P11-ISGS!J15</f>
        <v>7.64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-31.6</v>
      </c>
      <c r="L4" s="95" t="e">
        <f>#REF!-#REF!</f>
        <v>#REF!</v>
      </c>
      <c r="M4" s="1">
        <f>Entitlement!AQ11-ISGS!S15</f>
        <v>80.28</v>
      </c>
    </row>
    <row r="5" customHeight="1" spans="1:13">
      <c r="A5" s="1">
        <v>4</v>
      </c>
      <c r="B5" s="1">
        <f>Entitlement!AR12-ISGS!T16</f>
        <v>-33.62</v>
      </c>
      <c r="C5" s="1">
        <f>Entitlement!AB12-ISGS!N16</f>
        <v>40.08</v>
      </c>
      <c r="D5" s="1">
        <f>Entitlement!G12-ISGS!G16</f>
        <v>0</v>
      </c>
      <c r="E5" s="1">
        <f>Entitlement!AN12-ISGS!R16</f>
        <v>216.14</v>
      </c>
      <c r="F5" s="1">
        <f>Entitlement!AK12-ISGS!Q16</f>
        <v>-141.53</v>
      </c>
      <c r="G5" s="1">
        <f>Entitlement!S12-ISGS!K16</f>
        <v>18.46</v>
      </c>
      <c r="H5" s="1">
        <f>Entitlement!P12-ISGS!J16</f>
        <v>7.64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-31.6</v>
      </c>
      <c r="L5" s="95" t="e">
        <f>#REF!-#REF!</f>
        <v>#REF!</v>
      </c>
      <c r="M5" s="1">
        <f>Entitlement!AQ12-ISGS!S16</f>
        <v>80.28</v>
      </c>
    </row>
    <row r="6" customHeight="1" spans="1:13">
      <c r="A6" s="1">
        <v>5</v>
      </c>
      <c r="B6" s="1">
        <f>Entitlement!AR13-ISGS!T17</f>
        <v>-33.62</v>
      </c>
      <c r="C6" s="1">
        <f>Entitlement!AB13-ISGS!N17</f>
        <v>40.08</v>
      </c>
      <c r="D6" s="1">
        <f>Entitlement!G13-ISGS!G17</f>
        <v>0</v>
      </c>
      <c r="E6" s="1">
        <f>Entitlement!AN13-ISGS!R17</f>
        <v>216.14</v>
      </c>
      <c r="F6" s="1">
        <f>Entitlement!AK13-ISGS!Q17</f>
        <v>-141.53</v>
      </c>
      <c r="G6" s="1">
        <f>Entitlement!S13-ISGS!K17</f>
        <v>18.46</v>
      </c>
      <c r="H6" s="1">
        <f>Entitlement!P13-ISGS!J17</f>
        <v>7.64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-31.17</v>
      </c>
      <c r="L6" s="95" t="e">
        <f>#REF!-#REF!</f>
        <v>#REF!</v>
      </c>
      <c r="M6" s="1">
        <f>Entitlement!AQ13-ISGS!S17</f>
        <v>80.28</v>
      </c>
    </row>
    <row r="7" customHeight="1" spans="1:13">
      <c r="A7" s="1">
        <v>6</v>
      </c>
      <c r="B7" s="1">
        <f>Entitlement!AR14-ISGS!T18</f>
        <v>-33.62</v>
      </c>
      <c r="C7" s="1">
        <f>Entitlement!AB14-ISGS!N18</f>
        <v>40.08</v>
      </c>
      <c r="D7" s="1">
        <f>Entitlement!G14-ISGS!G18</f>
        <v>0</v>
      </c>
      <c r="E7" s="1">
        <f>Entitlement!AN14-ISGS!R18</f>
        <v>216.14</v>
      </c>
      <c r="F7" s="1">
        <f>Entitlement!AK14-ISGS!Q18</f>
        <v>-141.53</v>
      </c>
      <c r="G7" s="1">
        <f>Entitlement!S14-ISGS!K18</f>
        <v>18.46</v>
      </c>
      <c r="H7" s="1">
        <f>Entitlement!P14-ISGS!J18</f>
        <v>7.64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-31.17</v>
      </c>
      <c r="L7" s="95" t="e">
        <f>#REF!-#REF!</f>
        <v>#REF!</v>
      </c>
      <c r="M7" s="1">
        <f>Entitlement!AQ14-ISGS!S18</f>
        <v>80.28</v>
      </c>
    </row>
    <row r="8" customHeight="1" spans="1:13">
      <c r="A8" s="1">
        <v>7</v>
      </c>
      <c r="B8" s="1">
        <f>Entitlement!AR15-ISGS!T19</f>
        <v>-30.51</v>
      </c>
      <c r="C8" s="1">
        <f>Entitlement!AB15-ISGS!N19</f>
        <v>40.08</v>
      </c>
      <c r="D8" s="1">
        <f>Entitlement!G15-ISGS!G19</f>
        <v>0</v>
      </c>
      <c r="E8" s="1">
        <f>Entitlement!AN15-ISGS!R19</f>
        <v>216.14</v>
      </c>
      <c r="F8" s="1">
        <f>Entitlement!AK15-ISGS!Q19</f>
        <v>-141.53</v>
      </c>
      <c r="G8" s="1">
        <f>Entitlement!S15-ISGS!K19</f>
        <v>18.46</v>
      </c>
      <c r="H8" s="1">
        <f>Entitlement!P15-ISGS!J19</f>
        <v>7.64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-26.09</v>
      </c>
      <c r="L8" s="95" t="e">
        <f>#REF!-#REF!</f>
        <v>#REF!</v>
      </c>
      <c r="M8" s="1">
        <f>Entitlement!AQ15-ISGS!S19</f>
        <v>80.28</v>
      </c>
    </row>
    <row r="9" customHeight="1" spans="1:13">
      <c r="A9" s="1">
        <v>8</v>
      </c>
      <c r="B9" s="1">
        <f>Entitlement!AR16-ISGS!T20</f>
        <v>-18.91</v>
      </c>
      <c r="C9" s="1">
        <f>Entitlement!AB16-ISGS!N20</f>
        <v>40.08</v>
      </c>
      <c r="D9" s="1">
        <f>Entitlement!G16-ISGS!G20</f>
        <v>0</v>
      </c>
      <c r="E9" s="1">
        <f>Entitlement!AN16-ISGS!R20</f>
        <v>216.14</v>
      </c>
      <c r="F9" s="1">
        <f>Entitlement!AK16-ISGS!Q20</f>
        <v>-141.53</v>
      </c>
      <c r="G9" s="1">
        <f>Entitlement!S16-ISGS!K20</f>
        <v>18.46</v>
      </c>
      <c r="H9" s="1">
        <f>Entitlement!P16-ISGS!J20</f>
        <v>7.64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-23.27</v>
      </c>
      <c r="L9" s="95" t="e">
        <f>#REF!-#REF!</f>
        <v>#REF!</v>
      </c>
      <c r="M9" s="1">
        <f>Entitlement!AQ16-ISGS!S20</f>
        <v>80.28</v>
      </c>
    </row>
    <row r="10" customHeight="1" spans="1:13">
      <c r="A10" s="1">
        <v>9</v>
      </c>
      <c r="B10" s="1">
        <f>Entitlement!AR17-ISGS!T21</f>
        <v>-18.91</v>
      </c>
      <c r="C10" s="1">
        <f>Entitlement!AB17-ISGS!N21</f>
        <v>40.08</v>
      </c>
      <c r="D10" s="1">
        <f>Entitlement!G17-ISGS!G21</f>
        <v>0</v>
      </c>
      <c r="E10" s="1">
        <f>Entitlement!AN17-ISGS!R21</f>
        <v>216.14</v>
      </c>
      <c r="F10" s="1">
        <f>Entitlement!AK17-ISGS!Q21</f>
        <v>-141.53</v>
      </c>
      <c r="G10" s="1">
        <f>Entitlement!S17-ISGS!K21</f>
        <v>18.46</v>
      </c>
      <c r="H10" s="1">
        <f>Entitlement!P17-ISGS!J21</f>
        <v>7.64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-23.27</v>
      </c>
      <c r="L10" s="95" t="e">
        <f>#REF!-#REF!</f>
        <v>#REF!</v>
      </c>
      <c r="M10" s="1">
        <f>Entitlement!AQ17-ISGS!S21</f>
        <v>80.28</v>
      </c>
    </row>
    <row r="11" customHeight="1" spans="1:13">
      <c r="A11" s="1">
        <v>10</v>
      </c>
      <c r="B11" s="1">
        <f>Entitlement!AR18-ISGS!T22</f>
        <v>-18.91</v>
      </c>
      <c r="C11" s="1">
        <f>Entitlement!AB18-ISGS!N22</f>
        <v>40.08</v>
      </c>
      <c r="D11" s="1">
        <f>Entitlement!G18-ISGS!G22</f>
        <v>0</v>
      </c>
      <c r="E11" s="1">
        <f>Entitlement!AN18-ISGS!R22</f>
        <v>216.14</v>
      </c>
      <c r="F11" s="1">
        <f>Entitlement!AK18-ISGS!Q22</f>
        <v>-141.53</v>
      </c>
      <c r="G11" s="1">
        <f>Entitlement!S18-ISGS!K22</f>
        <v>18.46</v>
      </c>
      <c r="H11" s="1">
        <f>Entitlement!P18-ISGS!J22</f>
        <v>7.64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-23.27</v>
      </c>
      <c r="L11" s="95" t="e">
        <f>#REF!-#REF!</f>
        <v>#REF!</v>
      </c>
      <c r="M11" s="1">
        <f>Entitlement!AQ18-ISGS!S22</f>
        <v>80.28</v>
      </c>
    </row>
    <row r="12" customHeight="1" spans="1:13">
      <c r="A12" s="1">
        <v>11</v>
      </c>
      <c r="B12" s="1">
        <f>Entitlement!AR19-ISGS!T23</f>
        <v>-18.91</v>
      </c>
      <c r="C12" s="1">
        <f>Entitlement!AB19-ISGS!N23</f>
        <v>40.08</v>
      </c>
      <c r="D12" s="1">
        <f>Entitlement!G19-ISGS!G23</f>
        <v>0</v>
      </c>
      <c r="E12" s="1">
        <f>Entitlement!AN19-ISGS!R23</f>
        <v>216.14</v>
      </c>
      <c r="F12" s="1">
        <f>Entitlement!AK19-ISGS!Q23</f>
        <v>-141.53</v>
      </c>
      <c r="G12" s="1">
        <f>Entitlement!S19-ISGS!K23</f>
        <v>18.46</v>
      </c>
      <c r="H12" s="1">
        <f>Entitlement!P19-ISGS!J23</f>
        <v>7.64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-23.27</v>
      </c>
      <c r="L12" s="95" t="e">
        <f>#REF!-#REF!</f>
        <v>#REF!</v>
      </c>
      <c r="M12" s="1">
        <f>Entitlement!AQ19-ISGS!S23</f>
        <v>80.28</v>
      </c>
    </row>
    <row r="13" customHeight="1" spans="1:13">
      <c r="A13" s="1">
        <v>12</v>
      </c>
      <c r="B13" s="1">
        <f>Entitlement!AR20-ISGS!T24</f>
        <v>-18.91</v>
      </c>
      <c r="C13" s="1">
        <f>Entitlement!AB20-ISGS!N24</f>
        <v>40.08</v>
      </c>
      <c r="D13" s="1">
        <f>Entitlement!G20-ISGS!G24</f>
        <v>0</v>
      </c>
      <c r="E13" s="1">
        <f>Entitlement!AN20-ISGS!R24</f>
        <v>216.14</v>
      </c>
      <c r="F13" s="1">
        <f>Entitlement!AK20-ISGS!Q24</f>
        <v>-141.53</v>
      </c>
      <c r="G13" s="1">
        <f>Entitlement!S20-ISGS!K24</f>
        <v>18.46</v>
      </c>
      <c r="H13" s="1">
        <f>Entitlement!P20-ISGS!J24</f>
        <v>7.64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-23.27</v>
      </c>
      <c r="L13" s="95" t="e">
        <f>#REF!-#REF!</f>
        <v>#REF!</v>
      </c>
      <c r="M13" s="1">
        <f>Entitlement!AQ20-ISGS!S24</f>
        <v>80.28</v>
      </c>
    </row>
    <row r="14" customHeight="1" spans="1:13">
      <c r="A14" s="1">
        <v>13</v>
      </c>
      <c r="B14" s="1">
        <f>Entitlement!AR21-ISGS!T25</f>
        <v>-18.5</v>
      </c>
      <c r="C14" s="1">
        <f>Entitlement!AB21-ISGS!N25</f>
        <v>40.08</v>
      </c>
      <c r="D14" s="1">
        <f>Entitlement!G21-ISGS!G25</f>
        <v>0</v>
      </c>
      <c r="E14" s="1">
        <f>Entitlement!AN21-ISGS!R25</f>
        <v>216.14</v>
      </c>
      <c r="F14" s="1">
        <f>Entitlement!AK21-ISGS!Q25</f>
        <v>-141.53</v>
      </c>
      <c r="G14" s="1">
        <f>Entitlement!S21-ISGS!K25</f>
        <v>18.46</v>
      </c>
      <c r="H14" s="1">
        <f>Entitlement!P21-ISGS!J25</f>
        <v>7.64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-21.56</v>
      </c>
      <c r="L14" s="95" t="e">
        <f>#REF!-#REF!</f>
        <v>#REF!</v>
      </c>
      <c r="M14" s="1">
        <f>Entitlement!AQ21-ISGS!S25</f>
        <v>80.28</v>
      </c>
    </row>
    <row r="15" customHeight="1" spans="1:13">
      <c r="A15" s="1">
        <v>14</v>
      </c>
      <c r="B15" s="1">
        <f>Entitlement!AR22-ISGS!T26</f>
        <v>-18.5</v>
      </c>
      <c r="C15" s="1">
        <f>Entitlement!AB22-ISGS!N26</f>
        <v>40.08</v>
      </c>
      <c r="D15" s="1">
        <f>Entitlement!G22-ISGS!G26</f>
        <v>0</v>
      </c>
      <c r="E15" s="1">
        <f>Entitlement!AN22-ISGS!R26</f>
        <v>216.14</v>
      </c>
      <c r="F15" s="1">
        <f>Entitlement!AK22-ISGS!Q26</f>
        <v>-141.53</v>
      </c>
      <c r="G15" s="1">
        <f>Entitlement!S22-ISGS!K26</f>
        <v>18.46</v>
      </c>
      <c r="H15" s="1">
        <f>Entitlement!P22-ISGS!J26</f>
        <v>7.64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-21.56</v>
      </c>
      <c r="L15" s="95" t="e">
        <f>#REF!-#REF!</f>
        <v>#REF!</v>
      </c>
      <c r="M15" s="1">
        <f>Entitlement!AQ22-ISGS!S26</f>
        <v>80.28</v>
      </c>
    </row>
    <row r="16" customHeight="1" spans="1:13">
      <c r="A16" s="1">
        <v>15</v>
      </c>
      <c r="B16" s="1">
        <f>Entitlement!AR23-ISGS!T27</f>
        <v>-32.66</v>
      </c>
      <c r="C16" s="1">
        <f>Entitlement!AB23-ISGS!N27</f>
        <v>40.08</v>
      </c>
      <c r="D16" s="1">
        <f>Entitlement!G23-ISGS!G27</f>
        <v>0</v>
      </c>
      <c r="E16" s="1">
        <f>Entitlement!AN23-ISGS!R27</f>
        <v>216.14</v>
      </c>
      <c r="F16" s="1">
        <f>Entitlement!AK23-ISGS!Q27</f>
        <v>-141.53</v>
      </c>
      <c r="G16" s="1">
        <f>Entitlement!S23-ISGS!K27</f>
        <v>18.46</v>
      </c>
      <c r="H16" s="1">
        <f>Entitlement!P23-ISGS!J27</f>
        <v>7.64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-28.98</v>
      </c>
      <c r="L16" s="95" t="e">
        <f>#REF!-#REF!</f>
        <v>#REF!</v>
      </c>
      <c r="M16" s="1">
        <f>Entitlement!AQ23-ISGS!S27</f>
        <v>80.28</v>
      </c>
    </row>
    <row r="17" customHeight="1" spans="1:13">
      <c r="A17" s="1">
        <v>16</v>
      </c>
      <c r="B17" s="1">
        <f>Entitlement!AR24-ISGS!T28</f>
        <v>-32.66</v>
      </c>
      <c r="C17" s="1">
        <f>Entitlement!AB24-ISGS!N28</f>
        <v>40.08</v>
      </c>
      <c r="D17" s="1">
        <f>Entitlement!G24-ISGS!G28</f>
        <v>0</v>
      </c>
      <c r="E17" s="1">
        <f>Entitlement!AN24-ISGS!R28</f>
        <v>216.14</v>
      </c>
      <c r="F17" s="1">
        <f>Entitlement!AK24-ISGS!Q28</f>
        <v>-141.53</v>
      </c>
      <c r="G17" s="1">
        <f>Entitlement!S24-ISGS!K28</f>
        <v>18.46</v>
      </c>
      <c r="H17" s="1">
        <f>Entitlement!P24-ISGS!J28</f>
        <v>7.64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-28.98</v>
      </c>
      <c r="L17" s="95" t="e">
        <f>#REF!-#REF!</f>
        <v>#REF!</v>
      </c>
      <c r="M17" s="1">
        <f>Entitlement!AQ24-ISGS!S28</f>
        <v>80.28</v>
      </c>
    </row>
    <row r="18" customHeight="1" spans="1:13">
      <c r="A18" s="1">
        <v>17</v>
      </c>
      <c r="B18" s="1">
        <f>Entitlement!AR25-ISGS!T29</f>
        <v>-33.62</v>
      </c>
      <c r="C18" s="1">
        <f>Entitlement!AB25-ISGS!N29</f>
        <v>40.08</v>
      </c>
      <c r="D18" s="1">
        <f>Entitlement!G25-ISGS!G29</f>
        <v>0</v>
      </c>
      <c r="E18" s="1">
        <f>Entitlement!AN25-ISGS!R29</f>
        <v>216.14</v>
      </c>
      <c r="F18" s="1">
        <f>Entitlement!AK25-ISGS!Q29</f>
        <v>-141.53</v>
      </c>
      <c r="G18" s="1">
        <f>Entitlement!S25-ISGS!K29</f>
        <v>18.46</v>
      </c>
      <c r="H18" s="1">
        <f>Entitlement!P25-ISGS!J29</f>
        <v>7.64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-30.95</v>
      </c>
      <c r="L18" s="95" t="e">
        <f>#REF!-#REF!</f>
        <v>#REF!</v>
      </c>
      <c r="M18" s="1">
        <f>Entitlement!AQ25-ISGS!S29</f>
        <v>80.28</v>
      </c>
    </row>
    <row r="19" customHeight="1" spans="1:13">
      <c r="A19" s="1">
        <v>18</v>
      </c>
      <c r="B19" s="1">
        <f>Entitlement!AR26-ISGS!T30</f>
        <v>-33.62</v>
      </c>
      <c r="C19" s="1">
        <f>Entitlement!AB26-ISGS!N30</f>
        <v>40.08</v>
      </c>
      <c r="D19" s="1">
        <f>Entitlement!G26-ISGS!G30</f>
        <v>0</v>
      </c>
      <c r="E19" s="1">
        <f>Entitlement!AN26-ISGS!R30</f>
        <v>216.14</v>
      </c>
      <c r="F19" s="1">
        <f>Entitlement!AK26-ISGS!Q30</f>
        <v>-141.53</v>
      </c>
      <c r="G19" s="1">
        <f>Entitlement!S26-ISGS!K30</f>
        <v>18.46</v>
      </c>
      <c r="H19" s="1">
        <f>Entitlement!P26-ISGS!J30</f>
        <v>7.64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-30.95</v>
      </c>
      <c r="L19" s="95" t="e">
        <f>#REF!-#REF!</f>
        <v>#REF!</v>
      </c>
      <c r="M19" s="1">
        <f>Entitlement!AQ26-ISGS!S30</f>
        <v>80.28</v>
      </c>
    </row>
    <row r="20" customHeight="1" spans="1:13">
      <c r="A20" s="1">
        <v>19</v>
      </c>
      <c r="B20" s="1">
        <f>Entitlement!AR27-ISGS!T31</f>
        <v>-33.62</v>
      </c>
      <c r="C20" s="1">
        <f>Entitlement!AB27-ISGS!N31</f>
        <v>40.08</v>
      </c>
      <c r="D20" s="1">
        <f>Entitlement!G27-ISGS!G31</f>
        <v>0</v>
      </c>
      <c r="E20" s="1">
        <f>Entitlement!AN27-ISGS!R31</f>
        <v>147.6</v>
      </c>
      <c r="F20" s="1">
        <f>Entitlement!AK27-ISGS!Q31</f>
        <v>-141.53</v>
      </c>
      <c r="G20" s="1">
        <f>Entitlement!S27-ISGS!K31</f>
        <v>-15.29</v>
      </c>
      <c r="H20" s="1">
        <f>Entitlement!P27-ISGS!J31</f>
        <v>-12.68</v>
      </c>
      <c r="I20" s="1">
        <f>Entitlement!AE27-ISGS!O31</f>
        <v>-68.34</v>
      </c>
      <c r="J20" s="1">
        <f>Entitlement!AH27-ISGS!P31</f>
        <v>245.27</v>
      </c>
      <c r="K20" s="1">
        <f>Entitlement!Y27-ISGS!M31</f>
        <v>-30.95</v>
      </c>
      <c r="L20" s="95" t="e">
        <f>#REF!-#REF!</f>
        <v>#REF!</v>
      </c>
      <c r="M20" s="1">
        <f>Entitlement!AQ27-ISGS!S31</f>
        <v>80.28</v>
      </c>
    </row>
    <row r="21" customHeight="1" spans="1:13">
      <c r="A21" s="1">
        <v>20</v>
      </c>
      <c r="B21" s="1">
        <f>Entitlement!AR28-ISGS!T32</f>
        <v>-33.62</v>
      </c>
      <c r="C21" s="1">
        <f>Entitlement!AB28-ISGS!N32</f>
        <v>40.08</v>
      </c>
      <c r="D21" s="1">
        <f>Entitlement!G28-ISGS!G32</f>
        <v>0</v>
      </c>
      <c r="E21" s="1">
        <f>Entitlement!AN28-ISGS!R32</f>
        <v>104.34</v>
      </c>
      <c r="F21" s="1">
        <f>Entitlement!AK28-ISGS!Q32</f>
        <v>-141.53</v>
      </c>
      <c r="G21" s="1">
        <f>Entitlement!S28-ISGS!K32</f>
        <v>-16.87</v>
      </c>
      <c r="H21" s="1">
        <f>Entitlement!P28-ISGS!J32</f>
        <v>-12.68</v>
      </c>
      <c r="I21" s="1">
        <f>Entitlement!AE28-ISGS!O32</f>
        <v>-68.34</v>
      </c>
      <c r="J21" s="1">
        <f>Entitlement!AH28-ISGS!P32</f>
        <v>245.27</v>
      </c>
      <c r="K21" s="1">
        <f>Entitlement!Y28-ISGS!M32</f>
        <v>-30.95</v>
      </c>
      <c r="L21" s="95" t="e">
        <f>#REF!-#REF!</f>
        <v>#REF!</v>
      </c>
      <c r="M21" s="1">
        <f>Entitlement!AQ28-ISGS!S32</f>
        <v>80.28</v>
      </c>
    </row>
    <row r="22" customHeight="1" spans="1:13">
      <c r="A22" s="1">
        <v>21</v>
      </c>
      <c r="B22" s="1">
        <f>Entitlement!AR29-ISGS!T33</f>
        <v>-33.62</v>
      </c>
      <c r="C22" s="1">
        <f>Entitlement!AB29-ISGS!N33</f>
        <v>-67.8</v>
      </c>
      <c r="D22" s="1">
        <f>Entitlement!G29-ISGS!G33</f>
        <v>-38.01</v>
      </c>
      <c r="E22" s="1">
        <f>Entitlement!AN29-ISGS!R33</f>
        <v>104.34</v>
      </c>
      <c r="F22" s="1">
        <f>Entitlement!AK29-ISGS!Q33</f>
        <v>-141.53</v>
      </c>
      <c r="G22" s="1">
        <f>Entitlement!S29-ISGS!K33</f>
        <v>-16.87</v>
      </c>
      <c r="H22" s="1">
        <f>Entitlement!P29-ISGS!J33</f>
        <v>-12.68</v>
      </c>
      <c r="I22" s="1">
        <f>Entitlement!AE29-ISGS!O33</f>
        <v>-68.34</v>
      </c>
      <c r="J22" s="1">
        <f>Entitlement!AH29-ISGS!P33</f>
        <v>245.27</v>
      </c>
      <c r="K22" s="1">
        <f>Entitlement!Y29-ISGS!M33</f>
        <v>-30.95</v>
      </c>
      <c r="L22" s="95" t="e">
        <f>#REF!-#REF!</f>
        <v>#REF!</v>
      </c>
      <c r="M22" s="1">
        <f>Entitlement!AQ29-ISGS!S33</f>
        <v>80.28</v>
      </c>
    </row>
    <row r="23" customHeight="1" spans="1:13">
      <c r="A23" s="1">
        <v>22</v>
      </c>
      <c r="B23" s="1">
        <f>Entitlement!AR30-ISGS!T34</f>
        <v>-33.62</v>
      </c>
      <c r="C23" s="1">
        <f>Entitlement!AB30-ISGS!N34</f>
        <v>-67.8</v>
      </c>
      <c r="D23" s="1">
        <f>Entitlement!G30-ISGS!G34</f>
        <v>-81.66</v>
      </c>
      <c r="E23" s="1">
        <f>Entitlement!AN30-ISGS!R34</f>
        <v>104.34</v>
      </c>
      <c r="F23" s="1">
        <f>Entitlement!AK30-ISGS!Q34</f>
        <v>-141.53</v>
      </c>
      <c r="G23" s="1">
        <f>Entitlement!S30-ISGS!K34</f>
        <v>-15.95</v>
      </c>
      <c r="H23" s="1">
        <f>Entitlement!P30-ISGS!J34</f>
        <v>-12.68</v>
      </c>
      <c r="I23" s="1">
        <f>Entitlement!AE30-ISGS!O34</f>
        <v>-68.34</v>
      </c>
      <c r="J23" s="1">
        <f>Entitlement!AH30-ISGS!P34</f>
        <v>245.27</v>
      </c>
      <c r="K23" s="1">
        <f>Entitlement!Y30-ISGS!M34</f>
        <v>-30.95</v>
      </c>
      <c r="L23" s="95" t="e">
        <f>#REF!-#REF!</f>
        <v>#REF!</v>
      </c>
      <c r="M23" s="1">
        <f>Entitlement!AQ30-ISGS!S34</f>
        <v>80.28</v>
      </c>
    </row>
    <row r="24" customHeight="1" spans="1:13">
      <c r="A24" s="1">
        <v>23</v>
      </c>
      <c r="B24" s="1">
        <f>Entitlement!AR31-ISGS!T35</f>
        <v>-33.62</v>
      </c>
      <c r="C24" s="1">
        <f>Entitlement!AB31-ISGS!N35</f>
        <v>-66.56</v>
      </c>
      <c r="D24" s="1">
        <f>Entitlement!G31-ISGS!G35</f>
        <v>-121.03</v>
      </c>
      <c r="E24" s="1">
        <f>Entitlement!AN31-ISGS!R35</f>
        <v>50.02</v>
      </c>
      <c r="F24" s="1">
        <f>Entitlement!AK31-ISGS!Q35</f>
        <v>-141.53</v>
      </c>
      <c r="G24" s="1">
        <f>Entitlement!S31-ISGS!K35</f>
        <v>-15.95</v>
      </c>
      <c r="H24" s="1">
        <f>Entitlement!P31-ISGS!J35</f>
        <v>-12.68</v>
      </c>
      <c r="I24" s="1">
        <f>Entitlement!AE31-ISGS!O35</f>
        <v>-153.33</v>
      </c>
      <c r="J24" s="1">
        <f>Entitlement!AH31-ISGS!P35</f>
        <v>224.07</v>
      </c>
      <c r="K24" s="1">
        <f>Entitlement!Y31-ISGS!M35</f>
        <v>-30.95</v>
      </c>
      <c r="L24" s="95" t="e">
        <f>#REF!-#REF!</f>
        <v>#REF!</v>
      </c>
      <c r="M24" s="1">
        <f>Entitlement!AQ31-ISGS!S35</f>
        <v>80.28</v>
      </c>
    </row>
    <row r="25" customHeight="1" spans="1:13">
      <c r="A25" s="1">
        <v>24</v>
      </c>
      <c r="B25" s="1">
        <f>Entitlement!AR32-ISGS!T36</f>
        <v>-33.62</v>
      </c>
      <c r="C25" s="1">
        <f>Entitlement!AB32-ISGS!N36</f>
        <v>-48.11</v>
      </c>
      <c r="D25" s="1">
        <f>Entitlement!G32-ISGS!G36</f>
        <v>-157.08</v>
      </c>
      <c r="E25" s="1">
        <f>Entitlement!AN32-ISGS!R36</f>
        <v>17.15</v>
      </c>
      <c r="F25" s="1">
        <f>Entitlement!AK32-ISGS!Q36</f>
        <v>-141.53</v>
      </c>
      <c r="G25" s="1">
        <f>Entitlement!S32-ISGS!K36</f>
        <v>-17.2</v>
      </c>
      <c r="H25" s="1">
        <f>Entitlement!P32-ISGS!J36</f>
        <v>-13.53</v>
      </c>
      <c r="I25" s="1">
        <f>Entitlement!AE32-ISGS!O36</f>
        <v>-153.33</v>
      </c>
      <c r="J25" s="1">
        <f>Entitlement!AH32-ISGS!P36</f>
        <v>224.07</v>
      </c>
      <c r="K25" s="1">
        <f>Entitlement!Y32-ISGS!M36</f>
        <v>-30.95</v>
      </c>
      <c r="L25" s="95" t="e">
        <f>#REF!-#REF!</f>
        <v>#REF!</v>
      </c>
      <c r="M25" s="1">
        <f>Entitlement!AQ32-ISGS!S36</f>
        <v>80.28</v>
      </c>
    </row>
    <row r="26" customHeight="1" spans="1:13">
      <c r="A26" s="1">
        <v>25</v>
      </c>
      <c r="B26" s="1">
        <f>Entitlement!AR33-ISGS!T37</f>
        <v>-33.62</v>
      </c>
      <c r="C26" s="1">
        <f>Entitlement!AB33-ISGS!N37</f>
        <v>-81.35</v>
      </c>
      <c r="D26" s="1">
        <f>Entitlement!G33-ISGS!G37</f>
        <v>-204.1</v>
      </c>
      <c r="E26" s="1">
        <f>Entitlement!AN33-ISGS!R37</f>
        <v>17.15</v>
      </c>
      <c r="F26" s="1">
        <f>Entitlement!AK33-ISGS!Q37</f>
        <v>-141.53</v>
      </c>
      <c r="G26" s="1">
        <f>Entitlement!S33-ISGS!K37</f>
        <v>-17.2</v>
      </c>
      <c r="H26" s="1">
        <f>Entitlement!P33-ISGS!J37</f>
        <v>-10.81</v>
      </c>
      <c r="I26" s="1">
        <f>Entitlement!AE33-ISGS!O37</f>
        <v>-153.33</v>
      </c>
      <c r="J26" s="1">
        <f>Entitlement!AH33-ISGS!P37</f>
        <v>224.07</v>
      </c>
      <c r="K26" s="1">
        <f>Entitlement!Y33-ISGS!M37</f>
        <v>-30.95</v>
      </c>
      <c r="L26" s="95" t="e">
        <f>#REF!-#REF!</f>
        <v>#REF!</v>
      </c>
      <c r="M26" s="1">
        <f>Entitlement!AQ33-ISGS!S37</f>
        <v>80.28</v>
      </c>
    </row>
    <row r="27" customHeight="1" spans="1:13">
      <c r="A27" s="1">
        <v>26</v>
      </c>
      <c r="B27" s="1">
        <f>Entitlement!AR34-ISGS!T38</f>
        <v>-33.62</v>
      </c>
      <c r="C27" s="1">
        <f>Entitlement!AB34-ISGS!N38</f>
        <v>-81.35</v>
      </c>
      <c r="D27" s="1">
        <f>Entitlement!G34-ISGS!G38</f>
        <v>-229.67</v>
      </c>
      <c r="E27" s="1">
        <f>Entitlement!AN34-ISGS!R38</f>
        <v>17.15</v>
      </c>
      <c r="F27" s="1">
        <f>Entitlement!AK34-ISGS!Q38</f>
        <v>-141.53</v>
      </c>
      <c r="G27" s="1">
        <f>Entitlement!S34-ISGS!K38</f>
        <v>-17.2</v>
      </c>
      <c r="H27" s="1">
        <f>Entitlement!P34-ISGS!J38</f>
        <v>-10.81</v>
      </c>
      <c r="I27" s="1">
        <f>Entitlement!AE34-ISGS!O38</f>
        <v>-153.33</v>
      </c>
      <c r="J27" s="1">
        <f>Entitlement!AH34-ISGS!P38</f>
        <v>224.07</v>
      </c>
      <c r="K27" s="1">
        <f>Entitlement!Y34-ISGS!M38</f>
        <v>-30.95</v>
      </c>
      <c r="L27" s="95" t="e">
        <f>#REF!-#REF!</f>
        <v>#REF!</v>
      </c>
      <c r="M27" s="1">
        <f>Entitlement!AQ34-ISGS!S38</f>
        <v>80.28</v>
      </c>
    </row>
    <row r="28" customHeight="1" spans="1:13">
      <c r="A28" s="1">
        <v>27</v>
      </c>
      <c r="B28" s="1">
        <f>Entitlement!AR35-ISGS!T39</f>
        <v>-33.62</v>
      </c>
      <c r="C28" s="1">
        <f>Entitlement!AB35-ISGS!N39</f>
        <v>-81.35</v>
      </c>
      <c r="D28" s="1">
        <f>Entitlement!G35-ISGS!G39</f>
        <v>-229.67</v>
      </c>
      <c r="E28" s="1">
        <f>Entitlement!AN35-ISGS!R39</f>
        <v>17.15</v>
      </c>
      <c r="F28" s="1">
        <f>Entitlement!AK35-ISGS!Q39</f>
        <v>-141.53</v>
      </c>
      <c r="G28" s="1">
        <f>Entitlement!S35-ISGS!K39</f>
        <v>-17.75</v>
      </c>
      <c r="H28" s="1">
        <f>Entitlement!P35-ISGS!J39</f>
        <v>-10.81</v>
      </c>
      <c r="I28" s="1">
        <f>Entitlement!AE35-ISGS!O39</f>
        <v>-153.33</v>
      </c>
      <c r="J28" s="1">
        <f>Entitlement!AH35-ISGS!P39</f>
        <v>224.07</v>
      </c>
      <c r="K28" s="1">
        <f>Entitlement!Y35-ISGS!M39</f>
        <v>-30.95</v>
      </c>
      <c r="L28" s="95" t="e">
        <f>#REF!-#REF!</f>
        <v>#REF!</v>
      </c>
      <c r="M28" s="1">
        <f>Entitlement!AQ35-ISGS!S39</f>
        <v>80.28</v>
      </c>
    </row>
    <row r="29" customHeight="1" spans="1:13">
      <c r="A29" s="1">
        <v>28</v>
      </c>
      <c r="B29" s="1">
        <f>Entitlement!AR36-ISGS!T40</f>
        <v>-33.62</v>
      </c>
      <c r="C29" s="1">
        <f>Entitlement!AB36-ISGS!N40</f>
        <v>-81.35</v>
      </c>
      <c r="D29" s="1">
        <f>Entitlement!G36-ISGS!G40</f>
        <v>-229.67</v>
      </c>
      <c r="E29" s="1">
        <f>Entitlement!AN36-ISGS!R40</f>
        <v>17.15</v>
      </c>
      <c r="F29" s="1">
        <f>Entitlement!AK36-ISGS!Q40</f>
        <v>-141.53</v>
      </c>
      <c r="G29" s="1">
        <f>Entitlement!S36-ISGS!K40</f>
        <v>-17.75</v>
      </c>
      <c r="H29" s="1">
        <f>Entitlement!P36-ISGS!J40</f>
        <v>-10.81</v>
      </c>
      <c r="I29" s="1">
        <f>Entitlement!AE36-ISGS!O40</f>
        <v>-153.33</v>
      </c>
      <c r="J29" s="1">
        <f>Entitlement!AH36-ISGS!P40</f>
        <v>224.07</v>
      </c>
      <c r="K29" s="1">
        <f>Entitlement!Y36-ISGS!M40</f>
        <v>-30.95</v>
      </c>
      <c r="L29" s="95" t="e">
        <f>#REF!-#REF!</f>
        <v>#REF!</v>
      </c>
      <c r="M29" s="1">
        <f>Entitlement!AQ36-ISGS!S40</f>
        <v>80.28</v>
      </c>
    </row>
    <row r="30" customHeight="1" spans="1:13">
      <c r="A30" s="1">
        <v>29</v>
      </c>
      <c r="B30" s="1">
        <f>Entitlement!AR37-ISGS!T41</f>
        <v>-33.62</v>
      </c>
      <c r="C30" s="1">
        <f>Entitlement!AB37-ISGS!N41</f>
        <v>-81.35</v>
      </c>
      <c r="D30" s="1">
        <f>Entitlement!G37-ISGS!G41</f>
        <v>-229.67</v>
      </c>
      <c r="E30" s="1">
        <f>Entitlement!AN37-ISGS!R41</f>
        <v>17.15</v>
      </c>
      <c r="F30" s="1">
        <f>Entitlement!AK37-ISGS!Q41</f>
        <v>-141.53</v>
      </c>
      <c r="G30" s="1">
        <f>Entitlement!S37-ISGS!K41</f>
        <v>-12.6</v>
      </c>
      <c r="H30" s="1">
        <f>Entitlement!P37-ISGS!J41</f>
        <v>-10.28</v>
      </c>
      <c r="I30" s="1">
        <f>Entitlement!AE37-ISGS!O41</f>
        <v>-153.33</v>
      </c>
      <c r="J30" s="1">
        <f>Entitlement!AH37-ISGS!P41</f>
        <v>224.07</v>
      </c>
      <c r="K30" s="1">
        <f>Entitlement!Y37-ISGS!M41</f>
        <v>-30.62</v>
      </c>
      <c r="L30" s="95" t="e">
        <f>#REF!-#REF!</f>
        <v>#REF!</v>
      </c>
      <c r="M30" s="1">
        <f>Entitlement!AQ37-ISGS!S41</f>
        <v>80.28</v>
      </c>
    </row>
    <row r="31" customHeight="1" spans="1:13">
      <c r="A31" s="1">
        <v>30</v>
      </c>
      <c r="B31" s="1">
        <f>Entitlement!AR38-ISGS!T42</f>
        <v>-33.62</v>
      </c>
      <c r="C31" s="1">
        <f>Entitlement!AB38-ISGS!N42</f>
        <v>-81.35</v>
      </c>
      <c r="D31" s="1">
        <f>Entitlement!G38-ISGS!G42</f>
        <v>-229.67</v>
      </c>
      <c r="E31" s="1">
        <f>Entitlement!AN38-ISGS!R42</f>
        <v>17.15</v>
      </c>
      <c r="F31" s="1">
        <f>Entitlement!AK38-ISGS!Q42</f>
        <v>-141.53</v>
      </c>
      <c r="G31" s="1">
        <f>Entitlement!S38-ISGS!K42</f>
        <v>-8.91</v>
      </c>
      <c r="H31" s="1">
        <f>Entitlement!P38-ISGS!J42</f>
        <v>-10.28</v>
      </c>
      <c r="I31" s="1">
        <f>Entitlement!AE38-ISGS!O42</f>
        <v>-153.33</v>
      </c>
      <c r="J31" s="1">
        <f>Entitlement!AH38-ISGS!P42</f>
        <v>224.07</v>
      </c>
      <c r="K31" s="1">
        <f>Entitlement!Y38-ISGS!M42</f>
        <v>-30.62</v>
      </c>
      <c r="L31" s="95" t="e">
        <f>#REF!-#REF!</f>
        <v>#REF!</v>
      </c>
      <c r="M31" s="1">
        <f>Entitlement!AQ38-ISGS!S42</f>
        <v>80.28</v>
      </c>
    </row>
    <row r="32" customHeight="1" spans="1:13">
      <c r="A32" s="1">
        <v>31</v>
      </c>
      <c r="B32" s="1">
        <f>Entitlement!AR39-ISGS!T43</f>
        <v>-33.62</v>
      </c>
      <c r="C32" s="1">
        <f>Entitlement!AB39-ISGS!N43</f>
        <v>-81.35</v>
      </c>
      <c r="D32" s="1">
        <f>Entitlement!G39-ISGS!G43</f>
        <v>-229.67</v>
      </c>
      <c r="E32" s="1">
        <f>Entitlement!AN39-ISGS!R43</f>
        <v>17.15</v>
      </c>
      <c r="F32" s="1">
        <f>Entitlement!AK39-ISGS!Q43</f>
        <v>-141.53</v>
      </c>
      <c r="G32" s="1">
        <f>Entitlement!S39-ISGS!K43</f>
        <v>-6.14</v>
      </c>
      <c r="H32" s="1">
        <f>Entitlement!P39-ISGS!J43</f>
        <v>-12.69</v>
      </c>
      <c r="I32" s="1">
        <f>Entitlement!AE39-ISGS!O43</f>
        <v>-153.33</v>
      </c>
      <c r="J32" s="1">
        <f>Entitlement!AH39-ISGS!P43</f>
        <v>224.07</v>
      </c>
      <c r="K32" s="1">
        <f>Entitlement!Y39-ISGS!M43</f>
        <v>-30.62</v>
      </c>
      <c r="L32" s="95" t="e">
        <f>#REF!-#REF!</f>
        <v>#REF!</v>
      </c>
      <c r="M32" s="1">
        <f>Entitlement!AQ39-ISGS!S43</f>
        <v>80.28</v>
      </c>
    </row>
    <row r="33" customHeight="1" spans="1:13">
      <c r="A33" s="1">
        <v>32</v>
      </c>
      <c r="B33" s="1">
        <f>Entitlement!AR40-ISGS!T44</f>
        <v>-33.62</v>
      </c>
      <c r="C33" s="1">
        <f>Entitlement!AB40-ISGS!N44</f>
        <v>-81.35</v>
      </c>
      <c r="D33" s="1">
        <f>Entitlement!G40-ISGS!G44</f>
        <v>-229.67</v>
      </c>
      <c r="E33" s="1">
        <f>Entitlement!AN40-ISGS!R44</f>
        <v>17.15</v>
      </c>
      <c r="F33" s="1">
        <f>Entitlement!AK40-ISGS!Q44</f>
        <v>-141.53</v>
      </c>
      <c r="G33" s="1">
        <f>Entitlement!S40-ISGS!K44</f>
        <v>-6.14</v>
      </c>
      <c r="H33" s="1">
        <f>Entitlement!P40-ISGS!J44</f>
        <v>-16.29</v>
      </c>
      <c r="I33" s="1">
        <f>Entitlement!AE40-ISGS!O44</f>
        <v>-153.33</v>
      </c>
      <c r="J33" s="1">
        <f>Entitlement!AH40-ISGS!P44</f>
        <v>224.07</v>
      </c>
      <c r="K33" s="1">
        <f>Entitlement!Y40-ISGS!M44</f>
        <v>-30.62</v>
      </c>
      <c r="L33" s="95" t="e">
        <f>#REF!-#REF!</f>
        <v>#REF!</v>
      </c>
      <c r="M33" s="1">
        <f>Entitlement!AQ40-ISGS!S44</f>
        <v>80.28</v>
      </c>
    </row>
    <row r="34" customHeight="1" spans="1:13">
      <c r="A34" s="1">
        <v>33</v>
      </c>
      <c r="B34" s="1">
        <f>Entitlement!AR41-ISGS!T45</f>
        <v>-33.62</v>
      </c>
      <c r="C34" s="1">
        <f>Entitlement!AB41-ISGS!N45</f>
        <v>-81.35</v>
      </c>
      <c r="D34" s="1">
        <f>Entitlement!G41-ISGS!G45</f>
        <v>-229.67</v>
      </c>
      <c r="E34" s="1">
        <f>Entitlement!AN41-ISGS!R45</f>
        <v>17.15</v>
      </c>
      <c r="F34" s="1">
        <f>Entitlement!AK41-ISGS!Q45</f>
        <v>-141.53</v>
      </c>
      <c r="G34" s="1">
        <f>Entitlement!S41-ISGS!K45</f>
        <v>-5.68</v>
      </c>
      <c r="H34" s="1">
        <f>Entitlement!P41-ISGS!J45</f>
        <v>-19.78</v>
      </c>
      <c r="I34" s="1">
        <f>Entitlement!AE41-ISGS!O45</f>
        <v>-153.33</v>
      </c>
      <c r="J34" s="1">
        <f>Entitlement!AH41-ISGS!P45</f>
        <v>224.07</v>
      </c>
      <c r="K34" s="1">
        <f>Entitlement!Y41-ISGS!M45</f>
        <v>-30.62</v>
      </c>
      <c r="L34" s="95" t="e">
        <f>#REF!-#REF!</f>
        <v>#REF!</v>
      </c>
      <c r="M34" s="1">
        <f>Entitlement!AQ41-ISGS!S45</f>
        <v>80.28</v>
      </c>
    </row>
    <row r="35" customHeight="1" spans="1:13">
      <c r="A35" s="1">
        <v>34</v>
      </c>
      <c r="B35" s="1">
        <f>Entitlement!AR42-ISGS!T46</f>
        <v>-33.62</v>
      </c>
      <c r="C35" s="1">
        <f>Entitlement!AB42-ISGS!N46</f>
        <v>-81.35</v>
      </c>
      <c r="D35" s="1">
        <f>Entitlement!G42-ISGS!G46</f>
        <v>-229.67</v>
      </c>
      <c r="E35" s="1">
        <f>Entitlement!AN42-ISGS!R46</f>
        <v>17.15</v>
      </c>
      <c r="F35" s="1">
        <f>Entitlement!AK42-ISGS!Q46</f>
        <v>-141.53</v>
      </c>
      <c r="G35" s="1">
        <f>Entitlement!S42-ISGS!K46</f>
        <v>-5.68</v>
      </c>
      <c r="H35" s="1">
        <f>Entitlement!P42-ISGS!J46</f>
        <v>-20.47</v>
      </c>
      <c r="I35" s="1">
        <f>Entitlement!AE42-ISGS!O46</f>
        <v>-153.33</v>
      </c>
      <c r="J35" s="1">
        <f>Entitlement!AH42-ISGS!P46</f>
        <v>224.07</v>
      </c>
      <c r="K35" s="1">
        <f>Entitlement!Y42-ISGS!M46</f>
        <v>-30.62</v>
      </c>
      <c r="L35" s="95" t="e">
        <f>#REF!-#REF!</f>
        <v>#REF!</v>
      </c>
      <c r="M35" s="1">
        <f>Entitlement!AQ42-ISGS!S46</f>
        <v>80.28</v>
      </c>
    </row>
    <row r="36" customHeight="1" spans="1:13">
      <c r="A36" s="1">
        <v>35</v>
      </c>
      <c r="B36" s="1">
        <f>Entitlement!AR43-ISGS!T47</f>
        <v>-33.62</v>
      </c>
      <c r="C36" s="1">
        <f>Entitlement!AB43-ISGS!N47</f>
        <v>-81.35</v>
      </c>
      <c r="D36" s="1">
        <f>Entitlement!G43-ISGS!G47</f>
        <v>-229.67</v>
      </c>
      <c r="E36" s="1">
        <f>Entitlement!AN43-ISGS!R47</f>
        <v>17.15</v>
      </c>
      <c r="F36" s="1">
        <f>Entitlement!AK43-ISGS!Q47</f>
        <v>-141.53</v>
      </c>
      <c r="G36" s="1">
        <f>Entitlement!S43-ISGS!K47</f>
        <v>-5.68</v>
      </c>
      <c r="H36" s="1">
        <f>Entitlement!P43-ISGS!J47</f>
        <v>-20.9</v>
      </c>
      <c r="I36" s="1">
        <f>Entitlement!AE43-ISGS!O47</f>
        <v>-153.33</v>
      </c>
      <c r="J36" s="1">
        <f>Entitlement!AH43-ISGS!P47</f>
        <v>224.07</v>
      </c>
      <c r="K36" s="1">
        <f>Entitlement!Y43-ISGS!M47</f>
        <v>-30.29</v>
      </c>
      <c r="L36" s="95" t="e">
        <f>#REF!-#REF!</f>
        <v>#REF!</v>
      </c>
      <c r="M36" s="1">
        <f>Entitlement!AQ43-ISGS!S47</f>
        <v>80.28</v>
      </c>
    </row>
    <row r="37" customHeight="1" spans="1:13">
      <c r="A37" s="1">
        <v>36</v>
      </c>
      <c r="B37" s="1">
        <f>Entitlement!AR44-ISGS!T48</f>
        <v>-33.62</v>
      </c>
      <c r="C37" s="1">
        <f>Entitlement!AB44-ISGS!N48</f>
        <v>-81.35</v>
      </c>
      <c r="D37" s="1">
        <f>Entitlement!G44-ISGS!G48</f>
        <v>-229.67</v>
      </c>
      <c r="E37" s="1">
        <f>Entitlement!AN44-ISGS!R48</f>
        <v>17.15</v>
      </c>
      <c r="F37" s="1">
        <f>Entitlement!AK44-ISGS!Q48</f>
        <v>-141.53</v>
      </c>
      <c r="G37" s="1">
        <f>Entitlement!S44-ISGS!K48</f>
        <v>-5.68</v>
      </c>
      <c r="H37" s="1">
        <f>Entitlement!P44-ISGS!J48</f>
        <v>-20.91</v>
      </c>
      <c r="I37" s="1">
        <f>Entitlement!AE44-ISGS!O48</f>
        <v>-153.33</v>
      </c>
      <c r="J37" s="1">
        <f>Entitlement!AH44-ISGS!P48</f>
        <v>224.07</v>
      </c>
      <c r="K37" s="1">
        <f>Entitlement!Y44-ISGS!M48</f>
        <v>-30.29</v>
      </c>
      <c r="L37" s="95" t="e">
        <f>#REF!-#REF!</f>
        <v>#REF!</v>
      </c>
      <c r="M37" s="1">
        <f>Entitlement!AQ44-ISGS!S48</f>
        <v>80.28</v>
      </c>
    </row>
    <row r="38" customHeight="1" spans="1:13">
      <c r="A38" s="1">
        <v>37</v>
      </c>
      <c r="B38" s="1">
        <f>Entitlement!AR45-ISGS!T49</f>
        <v>-33.62</v>
      </c>
      <c r="C38" s="1">
        <f>Entitlement!AB45-ISGS!N49</f>
        <v>-81.35</v>
      </c>
      <c r="D38" s="1">
        <f>Entitlement!G45-ISGS!G49</f>
        <v>-229.67</v>
      </c>
      <c r="E38" s="1">
        <f>Entitlement!AN45-ISGS!R49</f>
        <v>17.15</v>
      </c>
      <c r="F38" s="1">
        <f>Entitlement!AK45-ISGS!Q49</f>
        <v>-141.53</v>
      </c>
      <c r="G38" s="1">
        <f>Entitlement!S45-ISGS!K49</f>
        <v>-5.68</v>
      </c>
      <c r="H38" s="1">
        <f>Entitlement!P45-ISGS!J49</f>
        <v>-20.91</v>
      </c>
      <c r="I38" s="1">
        <f>Entitlement!AE45-ISGS!O49</f>
        <v>-153.33</v>
      </c>
      <c r="J38" s="1">
        <f>Entitlement!AH45-ISGS!P49</f>
        <v>224.07</v>
      </c>
      <c r="K38" s="1">
        <f>Entitlement!Y45-ISGS!M49</f>
        <v>-30.29</v>
      </c>
      <c r="L38" s="95" t="e">
        <f>#REF!-#REF!</f>
        <v>#REF!</v>
      </c>
      <c r="M38" s="1">
        <f>Entitlement!AQ45-ISGS!S49</f>
        <v>80.28</v>
      </c>
    </row>
    <row r="39" customHeight="1" spans="1:13">
      <c r="A39" s="1">
        <v>38</v>
      </c>
      <c r="B39" s="1">
        <f>Entitlement!AR46-ISGS!T50</f>
        <v>-33.62</v>
      </c>
      <c r="C39" s="1">
        <f>Entitlement!AB46-ISGS!N50</f>
        <v>-81.35</v>
      </c>
      <c r="D39" s="1">
        <f>Entitlement!G46-ISGS!G50</f>
        <v>-229.67</v>
      </c>
      <c r="E39" s="1">
        <f>Entitlement!AN46-ISGS!R50</f>
        <v>17.15</v>
      </c>
      <c r="F39" s="1">
        <f>Entitlement!AK46-ISGS!Q50</f>
        <v>-141.53</v>
      </c>
      <c r="G39" s="1">
        <f>Entitlement!S46-ISGS!K50</f>
        <v>-4.94</v>
      </c>
      <c r="H39" s="1">
        <f>Entitlement!P46-ISGS!J50</f>
        <v>-20.91</v>
      </c>
      <c r="I39" s="1">
        <f>Entitlement!AE46-ISGS!O50</f>
        <v>-153.33</v>
      </c>
      <c r="J39" s="1">
        <f>Entitlement!AH46-ISGS!P50</f>
        <v>224.07</v>
      </c>
      <c r="K39" s="1">
        <f>Entitlement!Y46-ISGS!M50</f>
        <v>-30.29</v>
      </c>
      <c r="L39" s="95" t="e">
        <f>#REF!-#REF!</f>
        <v>#REF!</v>
      </c>
      <c r="M39" s="1">
        <f>Entitlement!AQ46-ISGS!S50</f>
        <v>80.28</v>
      </c>
    </row>
    <row r="40" customHeight="1" spans="1:13">
      <c r="A40" s="1">
        <v>39</v>
      </c>
      <c r="B40" s="1">
        <f>Entitlement!AR47-ISGS!T51</f>
        <v>-33.62</v>
      </c>
      <c r="C40" s="1">
        <f>Entitlement!AB47-ISGS!N51</f>
        <v>-81.35</v>
      </c>
      <c r="D40" s="1">
        <f>Entitlement!G47-ISGS!G51</f>
        <v>-229.67</v>
      </c>
      <c r="E40" s="1">
        <f>Entitlement!AN47-ISGS!R51</f>
        <v>17.15</v>
      </c>
      <c r="F40" s="1">
        <f>Entitlement!AK47-ISGS!Q51</f>
        <v>-141.53</v>
      </c>
      <c r="G40" s="1">
        <f>Entitlement!S47-ISGS!K51</f>
        <v>-4.94</v>
      </c>
      <c r="H40" s="1">
        <f>Entitlement!P47-ISGS!J51</f>
        <v>-20.91</v>
      </c>
      <c r="I40" s="1">
        <f>Entitlement!AE47-ISGS!O51</f>
        <v>-153.33</v>
      </c>
      <c r="J40" s="1">
        <f>Entitlement!AH47-ISGS!P51</f>
        <v>224.07</v>
      </c>
      <c r="K40" s="1">
        <f>Entitlement!Y47-ISGS!M51</f>
        <v>-30.29</v>
      </c>
      <c r="L40" s="95" t="e">
        <f>#REF!-#REF!</f>
        <v>#REF!</v>
      </c>
      <c r="M40" s="1">
        <f>Entitlement!AQ47-ISGS!S51</f>
        <v>80.28</v>
      </c>
    </row>
    <row r="41" customHeight="1" spans="1:13">
      <c r="A41" s="1">
        <v>40</v>
      </c>
      <c r="B41" s="1">
        <f>Entitlement!AR48-ISGS!T52</f>
        <v>-33.62</v>
      </c>
      <c r="C41" s="1">
        <f>Entitlement!AB48-ISGS!N52</f>
        <v>-81.35</v>
      </c>
      <c r="D41" s="1">
        <f>Entitlement!G48-ISGS!G52</f>
        <v>-229.67</v>
      </c>
      <c r="E41" s="1">
        <f>Entitlement!AN48-ISGS!R52</f>
        <v>17.15</v>
      </c>
      <c r="F41" s="1">
        <f>Entitlement!AK48-ISGS!Q52</f>
        <v>-141.53</v>
      </c>
      <c r="G41" s="1">
        <f>Entitlement!S48-ISGS!K52</f>
        <v>-4.41</v>
      </c>
      <c r="H41" s="1">
        <f>Entitlement!P48-ISGS!J52</f>
        <v>-21.57</v>
      </c>
      <c r="I41" s="1">
        <f>Entitlement!AE48-ISGS!O52</f>
        <v>-153.33</v>
      </c>
      <c r="J41" s="1">
        <f>Entitlement!AH48-ISGS!P52</f>
        <v>224.07</v>
      </c>
      <c r="K41" s="1">
        <f>Entitlement!Y48-ISGS!M52</f>
        <v>-30.29</v>
      </c>
      <c r="L41" s="95" t="e">
        <f>#REF!-#REF!</f>
        <v>#REF!</v>
      </c>
      <c r="M41" s="1">
        <f>Entitlement!AQ48-ISGS!S52</f>
        <v>80.28</v>
      </c>
    </row>
    <row r="42" customHeight="1" spans="1:13">
      <c r="A42" s="1">
        <v>41</v>
      </c>
      <c r="B42" s="1">
        <f>Entitlement!AR49-ISGS!T53</f>
        <v>-33.62</v>
      </c>
      <c r="C42" s="1">
        <f>Entitlement!AB49-ISGS!N53</f>
        <v>-81.35</v>
      </c>
      <c r="D42" s="1">
        <f>Entitlement!G49-ISGS!G53</f>
        <v>-229.67</v>
      </c>
      <c r="E42" s="1">
        <f>Entitlement!AN49-ISGS!R53</f>
        <v>17.15</v>
      </c>
      <c r="F42" s="1">
        <f>Entitlement!AK49-ISGS!Q53</f>
        <v>-141.53</v>
      </c>
      <c r="G42" s="1">
        <f>Entitlement!S49-ISGS!K53</f>
        <v>-4.46</v>
      </c>
      <c r="H42" s="1">
        <f>Entitlement!P49-ISGS!J53</f>
        <v>-21.61</v>
      </c>
      <c r="I42" s="1">
        <f>Entitlement!AE49-ISGS!O53</f>
        <v>-153.33</v>
      </c>
      <c r="J42" s="1">
        <f>Entitlement!AH49-ISGS!P53</f>
        <v>224.07</v>
      </c>
      <c r="K42" s="1">
        <f>Entitlement!Y49-ISGS!M53</f>
        <v>-30.29</v>
      </c>
      <c r="L42" s="95" t="e">
        <f>#REF!-#REF!</f>
        <v>#REF!</v>
      </c>
      <c r="M42" s="1">
        <f>Entitlement!AQ49-ISGS!S53</f>
        <v>80.28</v>
      </c>
    </row>
    <row r="43" customHeight="1" spans="1:13">
      <c r="A43" s="1">
        <v>42</v>
      </c>
      <c r="B43" s="1">
        <f>Entitlement!AR50-ISGS!T54</f>
        <v>-33.62</v>
      </c>
      <c r="C43" s="1">
        <f>Entitlement!AB50-ISGS!N54</f>
        <v>-81.35</v>
      </c>
      <c r="D43" s="1">
        <f>Entitlement!G50-ISGS!G54</f>
        <v>-229.67</v>
      </c>
      <c r="E43" s="1">
        <f>Entitlement!AN50-ISGS!R54</f>
        <v>17.15</v>
      </c>
      <c r="F43" s="1">
        <f>Entitlement!AK50-ISGS!Q54</f>
        <v>-141.53</v>
      </c>
      <c r="G43" s="1">
        <f>Entitlement!S50-ISGS!K54</f>
        <v>-5.74</v>
      </c>
      <c r="H43" s="1">
        <f>Entitlement!P50-ISGS!J54</f>
        <v>-22.81</v>
      </c>
      <c r="I43" s="1">
        <f>Entitlement!AE50-ISGS!O54</f>
        <v>-153.33</v>
      </c>
      <c r="J43" s="1">
        <f>Entitlement!AH50-ISGS!P54</f>
        <v>224.07</v>
      </c>
      <c r="K43" s="1">
        <f>Entitlement!Y50-ISGS!M54</f>
        <v>-30.29</v>
      </c>
      <c r="L43" s="95" t="e">
        <f>#REF!-#REF!</f>
        <v>#REF!</v>
      </c>
      <c r="M43" s="1">
        <f>Entitlement!AQ50-ISGS!S54</f>
        <v>80.28</v>
      </c>
    </row>
    <row r="44" customHeight="1" spans="1:13">
      <c r="A44" s="1">
        <v>43</v>
      </c>
      <c r="B44" s="1">
        <f>Entitlement!AR51-ISGS!T55</f>
        <v>-33.62</v>
      </c>
      <c r="C44" s="1">
        <f>Entitlement!AB51-ISGS!N55</f>
        <v>-81.35</v>
      </c>
      <c r="D44" s="1">
        <f>Entitlement!G51-ISGS!G55</f>
        <v>-229.67</v>
      </c>
      <c r="E44" s="1">
        <f>Entitlement!AN51-ISGS!R55</f>
        <v>17.15</v>
      </c>
      <c r="F44" s="1">
        <f>Entitlement!AK51-ISGS!Q55</f>
        <v>-141.53</v>
      </c>
      <c r="G44" s="1">
        <f>Entitlement!S51-ISGS!K55</f>
        <v>-5.83000000000001</v>
      </c>
      <c r="H44" s="1">
        <f>Entitlement!P51-ISGS!J55</f>
        <v>-22.94</v>
      </c>
      <c r="I44" s="1">
        <f>Entitlement!AE51-ISGS!O55</f>
        <v>-153.33</v>
      </c>
      <c r="J44" s="1">
        <f>Entitlement!AH51-ISGS!P55</f>
        <v>224.07</v>
      </c>
      <c r="K44" s="1">
        <f>Entitlement!Y51-ISGS!M55</f>
        <v>-30.29</v>
      </c>
      <c r="L44" s="95" t="e">
        <f>#REF!-#REF!</f>
        <v>#REF!</v>
      </c>
      <c r="M44" s="1">
        <f>Entitlement!AQ51-ISGS!S55</f>
        <v>80.28</v>
      </c>
    </row>
    <row r="45" customHeight="1" spans="1:13">
      <c r="A45" s="1">
        <v>44</v>
      </c>
      <c r="B45" s="1">
        <f>Entitlement!AR52-ISGS!T56</f>
        <v>-33.62</v>
      </c>
      <c r="C45" s="1">
        <f>Entitlement!AB52-ISGS!N56</f>
        <v>-81.35</v>
      </c>
      <c r="D45" s="1">
        <f>Entitlement!G52-ISGS!G56</f>
        <v>-229.67</v>
      </c>
      <c r="E45" s="1">
        <f>Entitlement!AN52-ISGS!R56</f>
        <v>17.15</v>
      </c>
      <c r="F45" s="1">
        <f>Entitlement!AK52-ISGS!Q56</f>
        <v>-141.53</v>
      </c>
      <c r="G45" s="1">
        <f>Entitlement!S52-ISGS!K56</f>
        <v>-5.83000000000001</v>
      </c>
      <c r="H45" s="1">
        <f>Entitlement!P52-ISGS!J56</f>
        <v>-22.94</v>
      </c>
      <c r="I45" s="1">
        <f>Entitlement!AE52-ISGS!O56</f>
        <v>-153.33</v>
      </c>
      <c r="J45" s="1">
        <f>Entitlement!AH52-ISGS!P56</f>
        <v>224.07</v>
      </c>
      <c r="K45" s="1">
        <f>Entitlement!Y52-ISGS!M56</f>
        <v>-30.29</v>
      </c>
      <c r="L45" s="95" t="e">
        <f>#REF!-#REF!</f>
        <v>#REF!</v>
      </c>
      <c r="M45" s="1">
        <f>Entitlement!AQ52-ISGS!S56</f>
        <v>80.28</v>
      </c>
    </row>
    <row r="46" customHeight="1" spans="1:13">
      <c r="A46" s="1">
        <v>45</v>
      </c>
      <c r="B46" s="1">
        <f>Entitlement!AR53-ISGS!T57</f>
        <v>-33.62</v>
      </c>
      <c r="C46" s="1">
        <f>Entitlement!AB53-ISGS!N57</f>
        <v>-51.86</v>
      </c>
      <c r="D46" s="1">
        <f>Entitlement!G53-ISGS!G57</f>
        <v>-107.97</v>
      </c>
      <c r="E46" s="1">
        <f>Entitlement!AN53-ISGS!R57</f>
        <v>17.15</v>
      </c>
      <c r="F46" s="1">
        <f>Entitlement!AK53-ISGS!Q57</f>
        <v>-141.53</v>
      </c>
      <c r="G46" s="1">
        <f>Entitlement!S53-ISGS!K57</f>
        <v>-5.83000000000001</v>
      </c>
      <c r="H46" s="1">
        <f>Entitlement!P53-ISGS!J57</f>
        <v>-22.94</v>
      </c>
      <c r="I46" s="1">
        <f>Entitlement!AE53-ISGS!O57</f>
        <v>-153.33</v>
      </c>
      <c r="J46" s="1">
        <f>Entitlement!AH53-ISGS!P57</f>
        <v>224.07</v>
      </c>
      <c r="K46" s="1">
        <f>Entitlement!Y53-ISGS!M57</f>
        <v>-30.29</v>
      </c>
      <c r="L46" s="95" t="e">
        <f>#REF!-#REF!</f>
        <v>#REF!</v>
      </c>
      <c r="M46" s="1">
        <f>Entitlement!AQ53-ISGS!S57</f>
        <v>80.28</v>
      </c>
    </row>
    <row r="47" customHeight="1" spans="1:13">
      <c r="A47" s="1">
        <v>46</v>
      </c>
      <c r="B47" s="1">
        <f>Entitlement!AR54-ISGS!T58</f>
        <v>-33.62</v>
      </c>
      <c r="C47" s="1">
        <f>Entitlement!AB54-ISGS!N58</f>
        <v>-62.57</v>
      </c>
      <c r="D47" s="1">
        <f>Entitlement!G54-ISGS!G58</f>
        <v>-21.08</v>
      </c>
      <c r="E47" s="1">
        <f>Entitlement!AN54-ISGS!R58</f>
        <v>17.15</v>
      </c>
      <c r="F47" s="1">
        <f>Entitlement!AK54-ISGS!Q58</f>
        <v>-141.53</v>
      </c>
      <c r="G47" s="1">
        <f>Entitlement!S54-ISGS!K58</f>
        <v>-5.83000000000001</v>
      </c>
      <c r="H47" s="1">
        <f>Entitlement!P54-ISGS!J58</f>
        <v>-22.94</v>
      </c>
      <c r="I47" s="1">
        <f>Entitlement!AE54-ISGS!O58</f>
        <v>-153.33</v>
      </c>
      <c r="J47" s="1">
        <f>Entitlement!AH54-ISGS!P58</f>
        <v>224.07</v>
      </c>
      <c r="K47" s="1">
        <f>Entitlement!Y54-ISGS!M58</f>
        <v>-30.29</v>
      </c>
      <c r="L47" s="95" t="e">
        <f>#REF!-#REF!</f>
        <v>#REF!</v>
      </c>
      <c r="M47" s="1">
        <f>Entitlement!AQ54-ISGS!S58</f>
        <v>80.28</v>
      </c>
    </row>
    <row r="48" customHeight="1" spans="1:13">
      <c r="A48" s="1">
        <v>47</v>
      </c>
      <c r="B48" s="1">
        <f>Entitlement!AR55-ISGS!T59</f>
        <v>-33.62</v>
      </c>
      <c r="C48" s="1">
        <f>Entitlement!AB55-ISGS!N59</f>
        <v>40.08</v>
      </c>
      <c r="D48" s="1">
        <f>Entitlement!G55-ISGS!G59</f>
        <v>0</v>
      </c>
      <c r="E48" s="1">
        <f>Entitlement!AN55-ISGS!R59</f>
        <v>17.15</v>
      </c>
      <c r="F48" s="1">
        <f>Entitlement!AK55-ISGS!Q59</f>
        <v>-141.53</v>
      </c>
      <c r="G48" s="1">
        <f>Entitlement!S55-ISGS!K59</f>
        <v>-5.83000000000001</v>
      </c>
      <c r="H48" s="1">
        <f>Entitlement!P55-ISGS!J59</f>
        <v>-22.94</v>
      </c>
      <c r="I48" s="1">
        <f>Entitlement!AE55-ISGS!O59</f>
        <v>-153.33</v>
      </c>
      <c r="J48" s="1">
        <f>Entitlement!AH55-ISGS!P59</f>
        <v>224.07</v>
      </c>
      <c r="K48" s="1">
        <f>Entitlement!Y55-ISGS!M59</f>
        <v>-30.29</v>
      </c>
      <c r="L48" s="95" t="e">
        <f>#REF!-#REF!</f>
        <v>#REF!</v>
      </c>
      <c r="M48" s="1">
        <f>Entitlement!AQ55-ISGS!S59</f>
        <v>80.28</v>
      </c>
    </row>
    <row r="49" customHeight="1" spans="1:13">
      <c r="A49" s="1">
        <v>48</v>
      </c>
      <c r="B49" s="1">
        <f>Entitlement!AR56-ISGS!T60</f>
        <v>-33.62</v>
      </c>
      <c r="C49" s="1">
        <f>Entitlement!AB56-ISGS!N60</f>
        <v>40.08</v>
      </c>
      <c r="D49" s="1">
        <f>Entitlement!G56-ISGS!G60</f>
        <v>0</v>
      </c>
      <c r="E49" s="1">
        <f>Entitlement!AN56-ISGS!R60</f>
        <v>17.15</v>
      </c>
      <c r="F49" s="1">
        <f>Entitlement!AK56-ISGS!Q60</f>
        <v>-141.53</v>
      </c>
      <c r="G49" s="1">
        <f>Entitlement!S56-ISGS!K60</f>
        <v>-5.83000000000001</v>
      </c>
      <c r="H49" s="1">
        <f>Entitlement!P56-ISGS!J60</f>
        <v>-22.94</v>
      </c>
      <c r="I49" s="1">
        <f>Entitlement!AE56-ISGS!O60</f>
        <v>-153.33</v>
      </c>
      <c r="J49" s="1">
        <f>Entitlement!AH56-ISGS!P60</f>
        <v>224.07</v>
      </c>
      <c r="K49" s="1">
        <f>Entitlement!Y56-ISGS!M60</f>
        <v>-30.29</v>
      </c>
      <c r="L49" s="95" t="e">
        <f>#REF!-#REF!</f>
        <v>#REF!</v>
      </c>
      <c r="M49" s="1">
        <f>Entitlement!AQ56-ISGS!S60</f>
        <v>80.28</v>
      </c>
    </row>
    <row r="50" customHeight="1" spans="1:13">
      <c r="A50" s="1">
        <v>49</v>
      </c>
      <c r="B50" s="1">
        <f>Entitlement!AR57-ISGS!T61</f>
        <v>-33.62</v>
      </c>
      <c r="C50" s="1">
        <f>Entitlement!AB57-ISGS!N61</f>
        <v>40.08</v>
      </c>
      <c r="D50" s="1">
        <f>Entitlement!G57-ISGS!G61</f>
        <v>0</v>
      </c>
      <c r="E50" s="1">
        <f>Entitlement!AN57-ISGS!R61</f>
        <v>17.15</v>
      </c>
      <c r="F50" s="1">
        <f>Entitlement!AK57-ISGS!Q61</f>
        <v>-141.53</v>
      </c>
      <c r="G50" s="1">
        <f>Entitlement!S57-ISGS!K61</f>
        <v>-5.83000000000001</v>
      </c>
      <c r="H50" s="1">
        <f>Entitlement!P57-ISGS!J61</f>
        <v>-23.81</v>
      </c>
      <c r="I50" s="1">
        <f>Entitlement!AE57-ISGS!O61</f>
        <v>-153.33</v>
      </c>
      <c r="J50" s="1">
        <f>Entitlement!AH57-ISGS!P61</f>
        <v>224.07</v>
      </c>
      <c r="K50" s="1">
        <f>Entitlement!Y57-ISGS!M61</f>
        <v>-30.29</v>
      </c>
      <c r="L50" s="95" t="e">
        <f>#REF!-#REF!</f>
        <v>#REF!</v>
      </c>
      <c r="M50" s="1">
        <f>Entitlement!AQ57-ISGS!S61</f>
        <v>80.28</v>
      </c>
    </row>
    <row r="51" customHeight="1" spans="1:13">
      <c r="A51" s="1">
        <v>50</v>
      </c>
      <c r="B51" s="1">
        <f>Entitlement!AR58-ISGS!T62</f>
        <v>-33.62</v>
      </c>
      <c r="C51" s="1">
        <f>Entitlement!AB58-ISGS!N62</f>
        <v>40.08</v>
      </c>
      <c r="D51" s="1">
        <f>Entitlement!G58-ISGS!G62</f>
        <v>0</v>
      </c>
      <c r="E51" s="1">
        <f>Entitlement!AN58-ISGS!R62</f>
        <v>17.15</v>
      </c>
      <c r="F51" s="1">
        <f>Entitlement!AK58-ISGS!Q62</f>
        <v>-141.53</v>
      </c>
      <c r="G51" s="1">
        <f>Entitlement!S58-ISGS!K62</f>
        <v>-7.4</v>
      </c>
      <c r="H51" s="1">
        <f>Entitlement!P58-ISGS!J62</f>
        <v>-23.81</v>
      </c>
      <c r="I51" s="1">
        <f>Entitlement!AE58-ISGS!O62</f>
        <v>-153.33</v>
      </c>
      <c r="J51" s="1">
        <f>Entitlement!AH58-ISGS!P62</f>
        <v>224.07</v>
      </c>
      <c r="K51" s="1">
        <f>Entitlement!Y58-ISGS!M62</f>
        <v>-30.29</v>
      </c>
      <c r="L51" s="95" t="e">
        <f>#REF!-#REF!</f>
        <v>#REF!</v>
      </c>
      <c r="M51" s="1">
        <f>Entitlement!AQ58-ISGS!S62</f>
        <v>80.28</v>
      </c>
    </row>
    <row r="52" customHeight="1" spans="1:13">
      <c r="A52" s="1">
        <v>51</v>
      </c>
      <c r="B52" s="1">
        <f>Entitlement!AR59-ISGS!T63</f>
        <v>-33.62</v>
      </c>
      <c r="C52" s="1">
        <f>Entitlement!AB59-ISGS!N63</f>
        <v>40.08</v>
      </c>
      <c r="D52" s="1">
        <f>Entitlement!G59-ISGS!G63</f>
        <v>0</v>
      </c>
      <c r="E52" s="1">
        <f>Entitlement!AN59-ISGS!R63</f>
        <v>17.15</v>
      </c>
      <c r="F52" s="1">
        <f>Entitlement!AK59-ISGS!Q63</f>
        <v>-141.53</v>
      </c>
      <c r="G52" s="1">
        <f>Entitlement!S59-ISGS!K63</f>
        <v>-7.4</v>
      </c>
      <c r="H52" s="1">
        <f>Entitlement!P59-ISGS!J63</f>
        <v>-23.81</v>
      </c>
      <c r="I52" s="1">
        <f>Entitlement!AE59-ISGS!O63</f>
        <v>-153.33</v>
      </c>
      <c r="J52" s="1">
        <f>Entitlement!AH59-ISGS!P63</f>
        <v>224.07</v>
      </c>
      <c r="K52" s="1">
        <f>Entitlement!Y59-ISGS!M63</f>
        <v>-30.29</v>
      </c>
      <c r="L52" s="95" t="e">
        <f>#REF!-#REF!</f>
        <v>#REF!</v>
      </c>
      <c r="M52" s="1">
        <f>Entitlement!AQ59-ISGS!S63</f>
        <v>80.28</v>
      </c>
    </row>
    <row r="53" customHeight="1" spans="1:13">
      <c r="A53" s="1">
        <v>52</v>
      </c>
      <c r="B53" s="1">
        <f>Entitlement!AR60-ISGS!T64</f>
        <v>-33.62</v>
      </c>
      <c r="C53" s="1">
        <f>Entitlement!AB60-ISGS!N64</f>
        <v>40.08</v>
      </c>
      <c r="D53" s="1">
        <f>Entitlement!G60-ISGS!G64</f>
        <v>0</v>
      </c>
      <c r="E53" s="1">
        <f>Entitlement!AN60-ISGS!R64</f>
        <v>79.16</v>
      </c>
      <c r="F53" s="1">
        <f>Entitlement!AK60-ISGS!Q64</f>
        <v>-141.53</v>
      </c>
      <c r="G53" s="1">
        <f>Entitlement!S60-ISGS!K64</f>
        <v>21.13</v>
      </c>
      <c r="H53" s="1">
        <f>Entitlement!P60-ISGS!J64</f>
        <v>3.67</v>
      </c>
      <c r="I53" s="1">
        <f>Entitlement!AE60-ISGS!O64</f>
        <v>-13.2</v>
      </c>
      <c r="J53" s="1">
        <f>Entitlement!AH60-ISGS!P64</f>
        <v>258.34</v>
      </c>
      <c r="K53" s="1">
        <f>Entitlement!Y60-ISGS!M64</f>
        <v>-30.29</v>
      </c>
      <c r="L53" s="95" t="e">
        <f>#REF!-#REF!</f>
        <v>#REF!</v>
      </c>
      <c r="M53" s="1">
        <f>Entitlement!AQ60-ISGS!S64</f>
        <v>80.28</v>
      </c>
    </row>
    <row r="54" customHeight="1" spans="1:13">
      <c r="A54" s="1">
        <v>53</v>
      </c>
      <c r="B54" s="1">
        <f>Entitlement!AR61-ISGS!T65</f>
        <v>-33.62</v>
      </c>
      <c r="C54" s="1">
        <f>Entitlement!AB61-ISGS!N65</f>
        <v>40.08</v>
      </c>
      <c r="D54" s="1">
        <f>Entitlement!G61-ISGS!G65</f>
        <v>0</v>
      </c>
      <c r="E54" s="1">
        <f>Entitlement!AN61-ISGS!R65</f>
        <v>156.38</v>
      </c>
      <c r="F54" s="1">
        <f>Entitlement!AK61-ISGS!Q65</f>
        <v>-141.53</v>
      </c>
      <c r="G54" s="1">
        <f>Entitlement!S61-ISGS!K65</f>
        <v>30.55</v>
      </c>
      <c r="H54" s="1">
        <f>Entitlement!P61-ISGS!J65</f>
        <v>6.77</v>
      </c>
      <c r="I54" s="1">
        <f>Entitlement!AE61-ISGS!O65</f>
        <v>99.85</v>
      </c>
      <c r="J54" s="1">
        <f>Entitlement!AH61-ISGS!P65</f>
        <v>286.19</v>
      </c>
      <c r="K54" s="1">
        <f>Entitlement!Y61-ISGS!M65</f>
        <v>-30.29</v>
      </c>
      <c r="L54" s="95" t="e">
        <f>#REF!-#REF!</f>
        <v>#REF!</v>
      </c>
      <c r="M54" s="1">
        <f>Entitlement!AQ61-ISGS!S65</f>
        <v>80.28</v>
      </c>
    </row>
    <row r="55" customHeight="1" spans="1:13">
      <c r="A55" s="1">
        <v>54</v>
      </c>
      <c r="B55" s="1">
        <f>Entitlement!AR62-ISGS!T66</f>
        <v>-33.62</v>
      </c>
      <c r="C55" s="1">
        <f>Entitlement!AB62-ISGS!N66</f>
        <v>40.08</v>
      </c>
      <c r="D55" s="1">
        <f>Entitlement!G62-ISGS!G66</f>
        <v>0</v>
      </c>
      <c r="E55" s="1">
        <f>Entitlement!AN62-ISGS!R66</f>
        <v>216.14</v>
      </c>
      <c r="F55" s="1">
        <f>Entitlement!AK62-ISGS!Q66</f>
        <v>-141.53</v>
      </c>
      <c r="G55" s="1">
        <f>Entitlement!S62-ISGS!K66</f>
        <v>30.55</v>
      </c>
      <c r="H55" s="1">
        <f>Entitlement!P62-ISGS!J66</f>
        <v>6.77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-30.29</v>
      </c>
      <c r="L55" s="95" t="e">
        <f>#REF!-#REF!</f>
        <v>#REF!</v>
      </c>
      <c r="M55" s="1">
        <f>Entitlement!AQ62-ISGS!S66</f>
        <v>80.28</v>
      </c>
    </row>
    <row r="56" customHeight="1" spans="1:13">
      <c r="A56" s="1">
        <v>55</v>
      </c>
      <c r="B56" s="1">
        <f>Entitlement!AR63-ISGS!T67</f>
        <v>-33.62</v>
      </c>
      <c r="C56" s="1">
        <f>Entitlement!AB63-ISGS!N67</f>
        <v>40.08</v>
      </c>
      <c r="D56" s="1">
        <f>Entitlement!G63-ISGS!G67</f>
        <v>0</v>
      </c>
      <c r="E56" s="1">
        <f>Entitlement!AN63-ISGS!R67</f>
        <v>211.96</v>
      </c>
      <c r="F56" s="1">
        <f>Entitlement!AK63-ISGS!Q67</f>
        <v>-141.53</v>
      </c>
      <c r="G56" s="1">
        <f>Entitlement!S63-ISGS!K67</f>
        <v>-3.78</v>
      </c>
      <c r="H56" s="1">
        <f>Entitlement!P63-ISGS!J67</f>
        <v>-22.31</v>
      </c>
      <c r="I56" s="1">
        <f>Entitlement!AE63-ISGS!O67</f>
        <v>90.09</v>
      </c>
      <c r="J56" s="1">
        <f>Entitlement!AH63-ISGS!P67</f>
        <v>288.39</v>
      </c>
      <c r="K56" s="1">
        <f>Entitlement!Y63-ISGS!M67</f>
        <v>-30.29</v>
      </c>
      <c r="L56" s="95" t="e">
        <f>#REF!-#REF!</f>
        <v>#REF!</v>
      </c>
      <c r="M56" s="1">
        <f>Entitlement!AQ63-ISGS!S67</f>
        <v>80.28</v>
      </c>
    </row>
    <row r="57" customHeight="1" spans="1:13">
      <c r="A57" s="1">
        <v>56</v>
      </c>
      <c r="B57" s="1">
        <f>Entitlement!AR64-ISGS!T68</f>
        <v>-33.62</v>
      </c>
      <c r="C57" s="1">
        <f>Entitlement!AB64-ISGS!N68</f>
        <v>40.08</v>
      </c>
      <c r="D57" s="1">
        <f>Entitlement!G64-ISGS!G68</f>
        <v>0</v>
      </c>
      <c r="E57" s="1">
        <f>Entitlement!AN64-ISGS!R68</f>
        <v>159.47</v>
      </c>
      <c r="F57" s="1">
        <f>Entitlement!AK64-ISGS!Q68</f>
        <v>-141.53</v>
      </c>
      <c r="G57" s="1">
        <f>Entitlement!S64-ISGS!K68</f>
        <v>-5.8</v>
      </c>
      <c r="H57" s="1">
        <f>Entitlement!P64-ISGS!J68</f>
        <v>-22.31</v>
      </c>
      <c r="I57" s="1">
        <f>Entitlement!AE64-ISGS!O68</f>
        <v>-25.39</v>
      </c>
      <c r="J57" s="1">
        <f>Entitlement!AH64-ISGS!P68</f>
        <v>263.38</v>
      </c>
      <c r="K57" s="1">
        <f>Entitlement!Y64-ISGS!M68</f>
        <v>-30.29</v>
      </c>
      <c r="L57" s="95" t="e">
        <f>#REF!-#REF!</f>
        <v>#REF!</v>
      </c>
      <c r="M57" s="1">
        <f>Entitlement!AQ64-ISGS!S68</f>
        <v>80.28</v>
      </c>
    </row>
    <row r="58" customHeight="1" spans="1:13">
      <c r="A58" s="1">
        <v>57</v>
      </c>
      <c r="B58" s="1">
        <f>Entitlement!AR65-ISGS!T69</f>
        <v>-33.62</v>
      </c>
      <c r="C58" s="1">
        <f>Entitlement!AB65-ISGS!N69</f>
        <v>40.08</v>
      </c>
      <c r="D58" s="1">
        <f>Entitlement!G65-ISGS!G69</f>
        <v>0</v>
      </c>
      <c r="E58" s="1">
        <f>Entitlement!AN65-ISGS!R69</f>
        <v>48.42</v>
      </c>
      <c r="F58" s="1">
        <f>Entitlement!AK65-ISGS!Q69</f>
        <v>-141.53</v>
      </c>
      <c r="G58" s="1">
        <f>Entitlement!S65-ISGS!K69</f>
        <v>-5.8</v>
      </c>
      <c r="H58" s="1">
        <f>Entitlement!P65-ISGS!J69</f>
        <v>-22.31</v>
      </c>
      <c r="I58" s="1">
        <f>Entitlement!AE65-ISGS!O69</f>
        <v>-153.33</v>
      </c>
      <c r="J58" s="1">
        <f>Entitlement!AH65-ISGS!P69</f>
        <v>227.85</v>
      </c>
      <c r="K58" s="1">
        <f>Entitlement!Y65-ISGS!M69</f>
        <v>-30.29</v>
      </c>
      <c r="L58" s="95" t="e">
        <f>#REF!-#REF!</f>
        <v>#REF!</v>
      </c>
      <c r="M58" s="1">
        <f>Entitlement!AQ65-ISGS!S69</f>
        <v>80.28</v>
      </c>
    </row>
    <row r="59" customHeight="1" spans="1:13">
      <c r="A59" s="1">
        <v>58</v>
      </c>
      <c r="B59" s="1">
        <f>Entitlement!AR66-ISGS!T70</f>
        <v>-33.62</v>
      </c>
      <c r="C59" s="1">
        <f>Entitlement!AB66-ISGS!N70</f>
        <v>40.08</v>
      </c>
      <c r="D59" s="1">
        <f>Entitlement!G66-ISGS!G70</f>
        <v>0</v>
      </c>
      <c r="E59" s="1">
        <f>Entitlement!AN66-ISGS!R70</f>
        <v>17.15</v>
      </c>
      <c r="F59" s="1">
        <f>Entitlement!AK66-ISGS!Q70</f>
        <v>-141.53</v>
      </c>
      <c r="G59" s="1">
        <f>Entitlement!S66-ISGS!K70</f>
        <v>-6.73</v>
      </c>
      <c r="H59" s="1">
        <f>Entitlement!P66-ISGS!J70</f>
        <v>-22.31</v>
      </c>
      <c r="I59" s="1">
        <f>Entitlement!AE66-ISGS!O70</f>
        <v>-153.33</v>
      </c>
      <c r="J59" s="1">
        <f>Entitlement!AH66-ISGS!P70</f>
        <v>224.07</v>
      </c>
      <c r="K59" s="1">
        <f>Entitlement!Y66-ISGS!M70</f>
        <v>-30.29</v>
      </c>
      <c r="L59" s="95" t="e">
        <f>#REF!-#REF!</f>
        <v>#REF!</v>
      </c>
      <c r="M59" s="1">
        <f>Entitlement!AQ66-ISGS!S70</f>
        <v>80.28</v>
      </c>
    </row>
    <row r="60" customHeight="1" spans="1:13">
      <c r="A60" s="1">
        <v>59</v>
      </c>
      <c r="B60" s="1">
        <f>Entitlement!AR67-ISGS!T71</f>
        <v>-33.62</v>
      </c>
      <c r="C60" s="1">
        <f>Entitlement!AB67-ISGS!N71</f>
        <v>-31.31</v>
      </c>
      <c r="D60" s="1">
        <f>Entitlement!G67-ISGS!G71</f>
        <v>0</v>
      </c>
      <c r="E60" s="1">
        <f>Entitlement!AN67-ISGS!R71</f>
        <v>17.15</v>
      </c>
      <c r="F60" s="1">
        <f>Entitlement!AK67-ISGS!Q71</f>
        <v>-141.53</v>
      </c>
      <c r="G60" s="1">
        <f>Entitlement!S67-ISGS!K71</f>
        <v>-6.73</v>
      </c>
      <c r="H60" s="1">
        <f>Entitlement!P67-ISGS!J71</f>
        <v>-22.31</v>
      </c>
      <c r="I60" s="1">
        <f>Entitlement!AE67-ISGS!O71</f>
        <v>-153.33</v>
      </c>
      <c r="J60" s="1">
        <f>Entitlement!AH67-ISGS!P71</f>
        <v>224.07</v>
      </c>
      <c r="K60" s="1">
        <f>Entitlement!Y67-ISGS!M71</f>
        <v>-30.29</v>
      </c>
      <c r="L60" s="95" t="e">
        <f>#REF!-#REF!</f>
        <v>#REF!</v>
      </c>
      <c r="M60" s="1">
        <f>Entitlement!AQ67-ISGS!S71</f>
        <v>80.28</v>
      </c>
    </row>
    <row r="61" customHeight="1" spans="1:13">
      <c r="A61" s="1">
        <v>60</v>
      </c>
      <c r="B61" s="1">
        <f>Entitlement!AR68-ISGS!T72</f>
        <v>-33.62</v>
      </c>
      <c r="C61" s="1">
        <f>Entitlement!AB68-ISGS!N72</f>
        <v>-81.35</v>
      </c>
      <c r="D61" s="1">
        <f>Entitlement!G68-ISGS!G72</f>
        <v>-229.67</v>
      </c>
      <c r="E61" s="1">
        <f>Entitlement!AN68-ISGS!R72</f>
        <v>17.15</v>
      </c>
      <c r="F61" s="1">
        <f>Entitlement!AK68-ISGS!Q72</f>
        <v>-141.53</v>
      </c>
      <c r="G61" s="1">
        <f>Entitlement!S68-ISGS!K72</f>
        <v>-5.71</v>
      </c>
      <c r="H61" s="1">
        <f>Entitlement!P68-ISGS!J72</f>
        <v>-21.43</v>
      </c>
      <c r="I61" s="1">
        <f>Entitlement!AE68-ISGS!O72</f>
        <v>-153.33</v>
      </c>
      <c r="J61" s="1">
        <f>Entitlement!AH68-ISGS!P72</f>
        <v>224.07</v>
      </c>
      <c r="K61" s="1">
        <f>Entitlement!Y68-ISGS!M72</f>
        <v>-30.29</v>
      </c>
      <c r="L61" s="95" t="e">
        <f>#REF!-#REF!</f>
        <v>#REF!</v>
      </c>
      <c r="M61" s="1">
        <f>Entitlement!AQ68-ISGS!S72</f>
        <v>80.28</v>
      </c>
    </row>
    <row r="62" customHeight="1" spans="1:13">
      <c r="A62" s="1">
        <v>61</v>
      </c>
      <c r="B62" s="1">
        <f>Entitlement!AR69-ISGS!T73</f>
        <v>-33.62</v>
      </c>
      <c r="C62" s="1">
        <f>Entitlement!AB69-ISGS!N73</f>
        <v>-60</v>
      </c>
      <c r="D62" s="1">
        <f>Entitlement!G69-ISGS!G73</f>
        <v>-229.67</v>
      </c>
      <c r="E62" s="1">
        <f>Entitlement!AN69-ISGS!R73</f>
        <v>17.15</v>
      </c>
      <c r="F62" s="1">
        <f>Entitlement!AK69-ISGS!Q73</f>
        <v>-141.53</v>
      </c>
      <c r="G62" s="1">
        <f>Entitlement!S69-ISGS!K73</f>
        <v>-5.71</v>
      </c>
      <c r="H62" s="1">
        <f>Entitlement!P69-ISGS!J73</f>
        <v>-21.43</v>
      </c>
      <c r="I62" s="1">
        <f>Entitlement!AE69-ISGS!O73</f>
        <v>-153.33</v>
      </c>
      <c r="J62" s="1">
        <f>Entitlement!AH69-ISGS!P73</f>
        <v>224.07</v>
      </c>
      <c r="K62" s="1">
        <f>Entitlement!Y69-ISGS!M73</f>
        <v>-30.29</v>
      </c>
      <c r="L62" s="95" t="e">
        <f>#REF!-#REF!</f>
        <v>#REF!</v>
      </c>
      <c r="M62" s="1">
        <f>Entitlement!AQ69-ISGS!S73</f>
        <v>80.28</v>
      </c>
    </row>
    <row r="63" customHeight="1" spans="1:13">
      <c r="A63" s="1">
        <v>62</v>
      </c>
      <c r="B63" s="1">
        <f>Entitlement!AR70-ISGS!T74</f>
        <v>-33.62</v>
      </c>
      <c r="C63" s="1">
        <f>Entitlement!AB70-ISGS!N74</f>
        <v>-51.98</v>
      </c>
      <c r="D63" s="1">
        <f>Entitlement!G70-ISGS!G74</f>
        <v>-159.54</v>
      </c>
      <c r="E63" s="1">
        <f>Entitlement!AN70-ISGS!R74</f>
        <v>17.15</v>
      </c>
      <c r="F63" s="1">
        <f>Entitlement!AK70-ISGS!Q74</f>
        <v>-141.53</v>
      </c>
      <c r="G63" s="1">
        <f>Entitlement!S70-ISGS!K74</f>
        <v>-5.71</v>
      </c>
      <c r="H63" s="1">
        <f>Entitlement!P70-ISGS!J74</f>
        <v>-21.43</v>
      </c>
      <c r="I63" s="1">
        <f>Entitlement!AE70-ISGS!O74</f>
        <v>-153.33</v>
      </c>
      <c r="J63" s="1">
        <f>Entitlement!AH70-ISGS!P74</f>
        <v>224.07</v>
      </c>
      <c r="K63" s="1">
        <f>Entitlement!Y70-ISGS!M74</f>
        <v>-30.29</v>
      </c>
      <c r="L63" s="95" t="e">
        <f>#REF!-#REF!</f>
        <v>#REF!</v>
      </c>
      <c r="M63" s="1">
        <f>Entitlement!AQ70-ISGS!S74</f>
        <v>80.28</v>
      </c>
    </row>
    <row r="64" customHeight="1" spans="1:13">
      <c r="A64" s="1">
        <v>63</v>
      </c>
      <c r="B64" s="1">
        <f>Entitlement!AR71-ISGS!T75</f>
        <v>-33.62</v>
      </c>
      <c r="C64" s="1">
        <f>Entitlement!AB71-ISGS!N75</f>
        <v>-64.13</v>
      </c>
      <c r="D64" s="1">
        <f>Entitlement!G71-ISGS!G75</f>
        <v>-159.54</v>
      </c>
      <c r="E64" s="1">
        <f>Entitlement!AN71-ISGS!R75</f>
        <v>17.15</v>
      </c>
      <c r="F64" s="1">
        <f>Entitlement!AK71-ISGS!Q75</f>
        <v>-141.53</v>
      </c>
      <c r="G64" s="1">
        <f>Entitlement!S71-ISGS!K75</f>
        <v>-5.71</v>
      </c>
      <c r="H64" s="1">
        <f>Entitlement!P71-ISGS!J75</f>
        <v>-21.43</v>
      </c>
      <c r="I64" s="1">
        <f>Entitlement!AE71-ISGS!O75</f>
        <v>-153.33</v>
      </c>
      <c r="J64" s="1">
        <f>Entitlement!AH71-ISGS!P75</f>
        <v>224.07</v>
      </c>
      <c r="K64" s="1">
        <f>Entitlement!Y71-ISGS!M75</f>
        <v>-30.29</v>
      </c>
      <c r="L64" s="95" t="e">
        <f>#REF!-#REF!</f>
        <v>#REF!</v>
      </c>
      <c r="M64" s="1">
        <f>Entitlement!AQ71-ISGS!S75</f>
        <v>80.28</v>
      </c>
    </row>
    <row r="65" customHeight="1" spans="1:13">
      <c r="A65" s="1">
        <v>64</v>
      </c>
      <c r="B65" s="1">
        <f>Entitlement!AR72-ISGS!T76</f>
        <v>-33.62</v>
      </c>
      <c r="C65" s="1">
        <f>Entitlement!AB72-ISGS!N76</f>
        <v>-81.35</v>
      </c>
      <c r="D65" s="1">
        <f>Entitlement!G72-ISGS!G76</f>
        <v>-126.32</v>
      </c>
      <c r="E65" s="1">
        <f>Entitlement!AN72-ISGS!R76</f>
        <v>17.15</v>
      </c>
      <c r="F65" s="1">
        <f>Entitlement!AK72-ISGS!Q76</f>
        <v>-141.53</v>
      </c>
      <c r="G65" s="1">
        <f>Entitlement!S72-ISGS!K76</f>
        <v>-5.71</v>
      </c>
      <c r="H65" s="1">
        <f>Entitlement!P72-ISGS!J76</f>
        <v>-21.43</v>
      </c>
      <c r="I65" s="1">
        <f>Entitlement!AE72-ISGS!O76</f>
        <v>-153.33</v>
      </c>
      <c r="J65" s="1">
        <f>Entitlement!AH72-ISGS!P76</f>
        <v>224.07</v>
      </c>
      <c r="K65" s="1">
        <f>Entitlement!Y72-ISGS!M76</f>
        <v>-30.29</v>
      </c>
      <c r="L65" s="95" t="e">
        <f>#REF!-#REF!</f>
        <v>#REF!</v>
      </c>
      <c r="M65" s="1">
        <f>Entitlement!AQ72-ISGS!S76</f>
        <v>80.28</v>
      </c>
    </row>
    <row r="66" customHeight="1" spans="1:13">
      <c r="A66" s="1">
        <v>65</v>
      </c>
      <c r="B66" s="1">
        <f>Entitlement!AR73-ISGS!T77</f>
        <v>-33.62</v>
      </c>
      <c r="C66" s="1">
        <f>Entitlement!AB73-ISGS!N77</f>
        <v>-81.35</v>
      </c>
      <c r="D66" s="1">
        <f>Entitlement!G73-ISGS!G77</f>
        <v>-143.89</v>
      </c>
      <c r="E66" s="1">
        <f>Entitlement!AN73-ISGS!R77</f>
        <v>17.15</v>
      </c>
      <c r="F66" s="1">
        <f>Entitlement!AK73-ISGS!Q77</f>
        <v>-141.53</v>
      </c>
      <c r="G66" s="1">
        <f>Entitlement!S73-ISGS!K77</f>
        <v>-5.71</v>
      </c>
      <c r="H66" s="1">
        <f>Entitlement!P73-ISGS!J77</f>
        <v>-21.43</v>
      </c>
      <c r="I66" s="1">
        <f>Entitlement!AE73-ISGS!O77</f>
        <v>-153.33</v>
      </c>
      <c r="J66" s="1">
        <f>Entitlement!AH73-ISGS!P77</f>
        <v>224.07</v>
      </c>
      <c r="K66" s="1">
        <f>Entitlement!Y73-ISGS!M77</f>
        <v>-30.29</v>
      </c>
      <c r="L66" s="95" t="e">
        <f>#REF!-#REF!</f>
        <v>#REF!</v>
      </c>
      <c r="M66" s="1">
        <f>Entitlement!AQ73-ISGS!S77</f>
        <v>80.28</v>
      </c>
    </row>
    <row r="67" customHeight="1" spans="1:13">
      <c r="A67" s="1">
        <v>66</v>
      </c>
      <c r="B67" s="1">
        <f>Entitlement!AR74-ISGS!T78</f>
        <v>-33.62</v>
      </c>
      <c r="C67" s="1">
        <f>Entitlement!AB74-ISGS!N78</f>
        <v>-81.35</v>
      </c>
      <c r="D67" s="1">
        <f>Entitlement!G74-ISGS!G78</f>
        <v>-129.17</v>
      </c>
      <c r="E67" s="1">
        <f>Entitlement!AN74-ISGS!R78</f>
        <v>17.15</v>
      </c>
      <c r="F67" s="1">
        <f>Entitlement!AK74-ISGS!Q78</f>
        <v>-141.53</v>
      </c>
      <c r="G67" s="1">
        <f>Entitlement!S74-ISGS!K78</f>
        <v>-5.71</v>
      </c>
      <c r="H67" s="1">
        <f>Entitlement!P74-ISGS!J78</f>
        <v>-21.43</v>
      </c>
      <c r="I67" s="1">
        <f>Entitlement!AE74-ISGS!O78</f>
        <v>-153.33</v>
      </c>
      <c r="J67" s="1">
        <f>Entitlement!AH74-ISGS!P78</f>
        <v>224.07</v>
      </c>
      <c r="K67" s="1">
        <f>Entitlement!Y74-ISGS!M78</f>
        <v>-30.29</v>
      </c>
      <c r="L67" s="95" t="e">
        <f>#REF!-#REF!</f>
        <v>#REF!</v>
      </c>
      <c r="M67" s="1">
        <f>Entitlement!AQ74-ISGS!S78</f>
        <v>80.28</v>
      </c>
    </row>
    <row r="68" customHeight="1" spans="1:13">
      <c r="A68" s="1">
        <v>67</v>
      </c>
      <c r="B68" s="1">
        <f>Entitlement!AR75-ISGS!T79</f>
        <v>-33.62</v>
      </c>
      <c r="C68" s="1">
        <f>Entitlement!AB75-ISGS!N79</f>
        <v>-81.35</v>
      </c>
      <c r="D68" s="1">
        <f>Entitlement!G75-ISGS!G79</f>
        <v>-129.17</v>
      </c>
      <c r="E68" s="1">
        <f>Entitlement!AN75-ISGS!R79</f>
        <v>17.15</v>
      </c>
      <c r="F68" s="1">
        <f>Entitlement!AK75-ISGS!Q79</f>
        <v>-141.53</v>
      </c>
      <c r="G68" s="1">
        <f>Entitlement!S75-ISGS!K79</f>
        <v>-5.71</v>
      </c>
      <c r="H68" s="1">
        <f>Entitlement!P75-ISGS!J79</f>
        <v>-21.43</v>
      </c>
      <c r="I68" s="1">
        <f>Entitlement!AE75-ISGS!O79</f>
        <v>-153.33</v>
      </c>
      <c r="J68" s="1">
        <f>Entitlement!AH75-ISGS!P79</f>
        <v>224.07</v>
      </c>
      <c r="K68" s="1">
        <f>Entitlement!Y75-ISGS!M79</f>
        <v>-30.29</v>
      </c>
      <c r="L68" s="95" t="e">
        <f>#REF!-#REF!</f>
        <v>#REF!</v>
      </c>
      <c r="M68" s="1">
        <f>Entitlement!AQ75-ISGS!S79</f>
        <v>80.28</v>
      </c>
    </row>
    <row r="69" customHeight="1" spans="1:13">
      <c r="A69" s="1">
        <v>68</v>
      </c>
      <c r="B69" s="1">
        <f>Entitlement!AR76-ISGS!T80</f>
        <v>-33.62</v>
      </c>
      <c r="C69" s="1">
        <f>Entitlement!AB76-ISGS!N80</f>
        <v>-81.35</v>
      </c>
      <c r="D69" s="1">
        <f>Entitlement!G76-ISGS!G80</f>
        <v>-129.17</v>
      </c>
      <c r="E69" s="1">
        <f>Entitlement!AN76-ISGS!R80</f>
        <v>17.15</v>
      </c>
      <c r="F69" s="1">
        <f>Entitlement!AK76-ISGS!Q80</f>
        <v>-141.53</v>
      </c>
      <c r="G69" s="1">
        <f>Entitlement!S76-ISGS!K80</f>
        <v>-5.71</v>
      </c>
      <c r="H69" s="1">
        <f>Entitlement!P76-ISGS!J80</f>
        <v>-21.43</v>
      </c>
      <c r="I69" s="1">
        <f>Entitlement!AE76-ISGS!O80</f>
        <v>-153.33</v>
      </c>
      <c r="J69" s="1">
        <f>Entitlement!AH76-ISGS!P80</f>
        <v>224.07</v>
      </c>
      <c r="K69" s="1">
        <f>Entitlement!Y76-ISGS!M80</f>
        <v>-30.29</v>
      </c>
      <c r="L69" s="95" t="e">
        <f>#REF!-#REF!</f>
        <v>#REF!</v>
      </c>
      <c r="M69" s="1">
        <f>Entitlement!AQ76-ISGS!S80</f>
        <v>80.28</v>
      </c>
    </row>
    <row r="70" customHeight="1" spans="1:13">
      <c r="A70" s="1">
        <v>69</v>
      </c>
      <c r="B70" s="1">
        <f>Entitlement!AR77-ISGS!T81</f>
        <v>-33.62</v>
      </c>
      <c r="C70" s="1">
        <f>Entitlement!AB77-ISGS!N81</f>
        <v>-81.35</v>
      </c>
      <c r="D70" s="1">
        <f>Entitlement!G77-ISGS!G81</f>
        <v>-229.67</v>
      </c>
      <c r="E70" s="1">
        <f>Entitlement!AN77-ISGS!R81</f>
        <v>17.15</v>
      </c>
      <c r="F70" s="1">
        <f>Entitlement!AK77-ISGS!Q81</f>
        <v>-141.53</v>
      </c>
      <c r="G70" s="1">
        <f>Entitlement!S77-ISGS!K81</f>
        <v>-5.71</v>
      </c>
      <c r="H70" s="1">
        <f>Entitlement!P77-ISGS!J81</f>
        <v>-21.43</v>
      </c>
      <c r="I70" s="1">
        <f>Entitlement!AE77-ISGS!O81</f>
        <v>-153.33</v>
      </c>
      <c r="J70" s="1">
        <f>Entitlement!AH77-ISGS!P81</f>
        <v>224.07</v>
      </c>
      <c r="K70" s="1">
        <f>Entitlement!Y77-ISGS!M81</f>
        <v>-30.29</v>
      </c>
      <c r="L70" s="95" t="e">
        <f>#REF!-#REF!</f>
        <v>#REF!</v>
      </c>
      <c r="M70" s="1">
        <f>Entitlement!AQ77-ISGS!S81</f>
        <v>80.28</v>
      </c>
    </row>
    <row r="71" customHeight="1" spans="1:13">
      <c r="A71" s="1">
        <v>70</v>
      </c>
      <c r="B71" s="1">
        <f>Entitlement!AR78-ISGS!T82</f>
        <v>-33.62</v>
      </c>
      <c r="C71" s="1">
        <f>Entitlement!AB78-ISGS!N82</f>
        <v>-81.35</v>
      </c>
      <c r="D71" s="1">
        <f>Entitlement!G78-ISGS!G82</f>
        <v>-229.67</v>
      </c>
      <c r="E71" s="1">
        <f>Entitlement!AN78-ISGS!R82</f>
        <v>17.15</v>
      </c>
      <c r="F71" s="1">
        <f>Entitlement!AK78-ISGS!Q82</f>
        <v>-141.53</v>
      </c>
      <c r="G71" s="1">
        <f>Entitlement!S78-ISGS!K82</f>
        <v>-5.71</v>
      </c>
      <c r="H71" s="1">
        <f>Entitlement!P78-ISGS!J82</f>
        <v>-21.43</v>
      </c>
      <c r="I71" s="1">
        <f>Entitlement!AE78-ISGS!O82</f>
        <v>-153.33</v>
      </c>
      <c r="J71" s="1">
        <f>Entitlement!AH78-ISGS!P82</f>
        <v>224.07</v>
      </c>
      <c r="K71" s="1">
        <f>Entitlement!Y78-ISGS!M82</f>
        <v>-30.29</v>
      </c>
      <c r="L71" s="95" t="e">
        <f>#REF!-#REF!</f>
        <v>#REF!</v>
      </c>
      <c r="M71" s="1">
        <f>Entitlement!AQ78-ISGS!S82</f>
        <v>80.28</v>
      </c>
    </row>
    <row r="72" customHeight="1" spans="1:13">
      <c r="A72" s="1">
        <v>71</v>
      </c>
      <c r="B72" s="1">
        <f>Entitlement!AR79-ISGS!T83</f>
        <v>-33.62</v>
      </c>
      <c r="C72" s="1">
        <f>Entitlement!AB79-ISGS!N83</f>
        <v>-81.35</v>
      </c>
      <c r="D72" s="1">
        <f>Entitlement!G79-ISGS!G83</f>
        <v>-229.67</v>
      </c>
      <c r="E72" s="1">
        <f>Entitlement!AN79-ISGS!R83</f>
        <v>17.15</v>
      </c>
      <c r="F72" s="1">
        <f>Entitlement!AK79-ISGS!Q83</f>
        <v>-141.53</v>
      </c>
      <c r="G72" s="1">
        <f>Entitlement!S79-ISGS!K83</f>
        <v>-5.71</v>
      </c>
      <c r="H72" s="1">
        <f>Entitlement!P79-ISGS!J83</f>
        <v>-21.43</v>
      </c>
      <c r="I72" s="1">
        <f>Entitlement!AE79-ISGS!O83</f>
        <v>-153.33</v>
      </c>
      <c r="J72" s="1">
        <f>Entitlement!AH79-ISGS!P83</f>
        <v>224.07</v>
      </c>
      <c r="K72" s="1">
        <f>Entitlement!Y79-ISGS!M83</f>
        <v>-30.29</v>
      </c>
      <c r="L72" s="95" t="e">
        <f>#REF!-#REF!</f>
        <v>#REF!</v>
      </c>
      <c r="M72" s="1">
        <f>Entitlement!AQ79-ISGS!S83</f>
        <v>80.28</v>
      </c>
    </row>
    <row r="73" customHeight="1" spans="1:13">
      <c r="A73" s="1">
        <v>72</v>
      </c>
      <c r="B73" s="1">
        <f>Entitlement!AR80-ISGS!T84</f>
        <v>-33.62</v>
      </c>
      <c r="C73" s="1">
        <f>Entitlement!AB80-ISGS!N84</f>
        <v>-81.35</v>
      </c>
      <c r="D73" s="1">
        <f>Entitlement!G80-ISGS!G84</f>
        <v>-229.67</v>
      </c>
      <c r="E73" s="1">
        <f>Entitlement!AN80-ISGS!R84</f>
        <v>17.15</v>
      </c>
      <c r="F73" s="1">
        <f>Entitlement!AK80-ISGS!Q84</f>
        <v>-141.53</v>
      </c>
      <c r="G73" s="1">
        <f>Entitlement!S80-ISGS!K84</f>
        <v>-5.71</v>
      </c>
      <c r="H73" s="1">
        <f>Entitlement!P80-ISGS!J84</f>
        <v>-21.43</v>
      </c>
      <c r="I73" s="1">
        <f>Entitlement!AE80-ISGS!O84</f>
        <v>-153.33</v>
      </c>
      <c r="J73" s="1">
        <f>Entitlement!AH80-ISGS!P84</f>
        <v>224.07</v>
      </c>
      <c r="K73" s="1">
        <f>Entitlement!Y80-ISGS!M84</f>
        <v>-30.29</v>
      </c>
      <c r="L73" s="95" t="e">
        <f>#REF!-#REF!</f>
        <v>#REF!</v>
      </c>
      <c r="M73" s="1">
        <f>Entitlement!AQ80-ISGS!S84</f>
        <v>80.28</v>
      </c>
    </row>
    <row r="74" customHeight="1" spans="1:13">
      <c r="A74" s="1">
        <v>73</v>
      </c>
      <c r="B74" s="1">
        <f>Entitlement!AR81-ISGS!T85</f>
        <v>-33.62</v>
      </c>
      <c r="C74" s="1">
        <f>Entitlement!AB81-ISGS!N85</f>
        <v>-81.35</v>
      </c>
      <c r="D74" s="1">
        <f>Entitlement!G81-ISGS!G85</f>
        <v>-229.67</v>
      </c>
      <c r="E74" s="1">
        <f>Entitlement!AN81-ISGS!R85</f>
        <v>17.15</v>
      </c>
      <c r="F74" s="1">
        <f>Entitlement!AK81-ISGS!Q85</f>
        <v>-141.53</v>
      </c>
      <c r="G74" s="1">
        <f>Entitlement!S81-ISGS!K85</f>
        <v>-5.71</v>
      </c>
      <c r="H74" s="1">
        <f>Entitlement!P81-ISGS!J85</f>
        <v>-21.43</v>
      </c>
      <c r="I74" s="1">
        <f>Entitlement!AE81-ISGS!O85</f>
        <v>-153.33</v>
      </c>
      <c r="J74" s="1">
        <f>Entitlement!AH81-ISGS!P85</f>
        <v>224.07</v>
      </c>
      <c r="K74" s="1">
        <f>Entitlement!Y81-ISGS!M85</f>
        <v>-30.29</v>
      </c>
      <c r="L74" s="95" t="e">
        <f>#REF!-#REF!</f>
        <v>#REF!</v>
      </c>
      <c r="M74" s="1">
        <f>Entitlement!AQ81-ISGS!S85</f>
        <v>80.28</v>
      </c>
    </row>
    <row r="75" customHeight="1" spans="1:13">
      <c r="A75" s="1">
        <v>74</v>
      </c>
      <c r="B75" s="1">
        <f>Entitlement!AR82-ISGS!T86</f>
        <v>-33.62</v>
      </c>
      <c r="C75" s="1">
        <f>Entitlement!AB82-ISGS!N86</f>
        <v>-81.35</v>
      </c>
      <c r="D75" s="1">
        <f>Entitlement!G82-ISGS!G86</f>
        <v>-229.67</v>
      </c>
      <c r="E75" s="1">
        <f>Entitlement!AN82-ISGS!R86</f>
        <v>17.15</v>
      </c>
      <c r="F75" s="1">
        <f>Entitlement!AK82-ISGS!Q86</f>
        <v>-141.53</v>
      </c>
      <c r="G75" s="1">
        <f>Entitlement!S82-ISGS!K86</f>
        <v>-5.71</v>
      </c>
      <c r="H75" s="1">
        <f>Entitlement!P82-ISGS!J86</f>
        <v>-21.43</v>
      </c>
      <c r="I75" s="1">
        <f>Entitlement!AE82-ISGS!O86</f>
        <v>-153.33</v>
      </c>
      <c r="J75" s="1">
        <f>Entitlement!AH82-ISGS!P86</f>
        <v>224.07</v>
      </c>
      <c r="K75" s="1">
        <f>Entitlement!Y82-ISGS!M86</f>
        <v>-30.29</v>
      </c>
      <c r="L75" s="95" t="e">
        <f>#REF!-#REF!</f>
        <v>#REF!</v>
      </c>
      <c r="M75" s="1">
        <f>Entitlement!AQ82-ISGS!S86</f>
        <v>80.28</v>
      </c>
    </row>
    <row r="76" customHeight="1" spans="1:13">
      <c r="A76" s="1">
        <v>75</v>
      </c>
      <c r="B76" s="1">
        <f>Entitlement!AR83-ISGS!T87</f>
        <v>-33.62</v>
      </c>
      <c r="C76" s="1">
        <f>Entitlement!AB83-ISGS!N87</f>
        <v>-79.63</v>
      </c>
      <c r="D76" s="1">
        <f>Entitlement!G83-ISGS!G87</f>
        <v>-229.67</v>
      </c>
      <c r="E76" s="1">
        <f>Entitlement!AN83-ISGS!R87</f>
        <v>17.15</v>
      </c>
      <c r="F76" s="1">
        <f>Entitlement!AK83-ISGS!Q87</f>
        <v>-141.53</v>
      </c>
      <c r="G76" s="1">
        <f>Entitlement!S83-ISGS!K87</f>
        <v>-5.71</v>
      </c>
      <c r="H76" s="1">
        <f>Entitlement!P83-ISGS!J87</f>
        <v>-21.43</v>
      </c>
      <c r="I76" s="1">
        <f>Entitlement!AE83-ISGS!O87</f>
        <v>-153.33</v>
      </c>
      <c r="J76" s="1">
        <f>Entitlement!AH83-ISGS!P87</f>
        <v>224.07</v>
      </c>
      <c r="K76" s="1">
        <f>Entitlement!Y83-ISGS!M87</f>
        <v>-30.29</v>
      </c>
      <c r="L76" s="95" t="e">
        <f>#REF!-#REF!</f>
        <v>#REF!</v>
      </c>
      <c r="M76" s="1">
        <f>Entitlement!AQ83-ISGS!S87</f>
        <v>80.28</v>
      </c>
    </row>
    <row r="77" customHeight="1" spans="1:13">
      <c r="A77" s="1">
        <v>76</v>
      </c>
      <c r="B77" s="1">
        <f>Entitlement!AR84-ISGS!T88</f>
        <v>-33.62</v>
      </c>
      <c r="C77" s="1">
        <f>Entitlement!AB84-ISGS!N88</f>
        <v>-79.63</v>
      </c>
      <c r="D77" s="1">
        <f>Entitlement!G84-ISGS!G88</f>
        <v>-229.67</v>
      </c>
      <c r="E77" s="1">
        <f>Entitlement!AN84-ISGS!R88</f>
        <v>17.15</v>
      </c>
      <c r="F77" s="1">
        <f>Entitlement!AK84-ISGS!Q88</f>
        <v>-141.53</v>
      </c>
      <c r="G77" s="1">
        <f>Entitlement!S84-ISGS!K88</f>
        <v>-5.71</v>
      </c>
      <c r="H77" s="1">
        <f>Entitlement!P84-ISGS!J88</f>
        <v>-21.43</v>
      </c>
      <c r="I77" s="1">
        <f>Entitlement!AE84-ISGS!O88</f>
        <v>-153.33</v>
      </c>
      <c r="J77" s="1">
        <f>Entitlement!AH84-ISGS!P88</f>
        <v>224.07</v>
      </c>
      <c r="K77" s="1">
        <f>Entitlement!Y84-ISGS!M88</f>
        <v>-30.29</v>
      </c>
      <c r="L77" s="95" t="e">
        <f>#REF!-#REF!</f>
        <v>#REF!</v>
      </c>
      <c r="M77" s="1">
        <f>Entitlement!AQ84-ISGS!S88</f>
        <v>80.28</v>
      </c>
    </row>
    <row r="78" customHeight="1" spans="1:13">
      <c r="A78" s="1">
        <v>77</v>
      </c>
      <c r="B78" s="1">
        <f>Entitlement!AR85-ISGS!T89</f>
        <v>-33.62</v>
      </c>
      <c r="C78" s="1">
        <f>Entitlement!AB85-ISGS!N89</f>
        <v>-79.63</v>
      </c>
      <c r="D78" s="1">
        <f>Entitlement!G85-ISGS!G89</f>
        <v>-229.67</v>
      </c>
      <c r="E78" s="1">
        <f>Entitlement!AN85-ISGS!R89</f>
        <v>17.15</v>
      </c>
      <c r="F78" s="1">
        <f>Entitlement!AK85-ISGS!Q89</f>
        <v>-141.53</v>
      </c>
      <c r="G78" s="1">
        <f>Entitlement!S85-ISGS!K89</f>
        <v>-5.71</v>
      </c>
      <c r="H78" s="1">
        <f>Entitlement!P85-ISGS!J89</f>
        <v>-21.43</v>
      </c>
      <c r="I78" s="1">
        <f>Entitlement!AE85-ISGS!O89</f>
        <v>-153.33</v>
      </c>
      <c r="J78" s="1">
        <f>Entitlement!AH85-ISGS!P89</f>
        <v>224.07</v>
      </c>
      <c r="K78" s="1">
        <f>Entitlement!Y85-ISGS!M89</f>
        <v>-31.76</v>
      </c>
      <c r="L78" s="95" t="e">
        <f>#REF!-#REF!</f>
        <v>#REF!</v>
      </c>
      <c r="M78" s="1">
        <f>Entitlement!AQ85-ISGS!S89</f>
        <v>80.28</v>
      </c>
    </row>
    <row r="79" customHeight="1" spans="1:13">
      <c r="A79" s="1">
        <v>78</v>
      </c>
      <c r="B79" s="1">
        <f>Entitlement!AR86-ISGS!T90</f>
        <v>-33.62</v>
      </c>
      <c r="C79" s="1">
        <f>Entitlement!AB86-ISGS!N90</f>
        <v>-79.63</v>
      </c>
      <c r="D79" s="1">
        <f>Entitlement!G86-ISGS!G90</f>
        <v>-229.67</v>
      </c>
      <c r="E79" s="1">
        <f>Entitlement!AN86-ISGS!R90</f>
        <v>17.15</v>
      </c>
      <c r="F79" s="1">
        <f>Entitlement!AK86-ISGS!Q90</f>
        <v>-141.53</v>
      </c>
      <c r="G79" s="1">
        <f>Entitlement!S86-ISGS!K90</f>
        <v>-5.71</v>
      </c>
      <c r="H79" s="1">
        <f>Entitlement!P86-ISGS!J90</f>
        <v>-21.43</v>
      </c>
      <c r="I79" s="1">
        <f>Entitlement!AE86-ISGS!O90</f>
        <v>-153.33</v>
      </c>
      <c r="J79" s="1">
        <f>Entitlement!AH86-ISGS!P90</f>
        <v>224.07</v>
      </c>
      <c r="K79" s="1">
        <f>Entitlement!Y86-ISGS!M90</f>
        <v>-31.93</v>
      </c>
      <c r="L79" s="95" t="e">
        <f>#REF!-#REF!</f>
        <v>#REF!</v>
      </c>
      <c r="M79" s="1">
        <f>Entitlement!AQ86-ISGS!S90</f>
        <v>80.28</v>
      </c>
    </row>
    <row r="80" customHeight="1" spans="1:13">
      <c r="A80" s="1">
        <v>79</v>
      </c>
      <c r="B80" s="1">
        <f>Entitlement!AR87-ISGS!T91</f>
        <v>-33.62</v>
      </c>
      <c r="C80" s="1">
        <f>Entitlement!AB87-ISGS!N91</f>
        <v>-79.63</v>
      </c>
      <c r="D80" s="1">
        <f>Entitlement!G87-ISGS!G91</f>
        <v>-229.67</v>
      </c>
      <c r="E80" s="1">
        <f>Entitlement!AN87-ISGS!R91</f>
        <v>17.15</v>
      </c>
      <c r="F80" s="1">
        <f>Entitlement!AK87-ISGS!Q91</f>
        <v>-141.53</v>
      </c>
      <c r="G80" s="1">
        <f>Entitlement!S87-ISGS!K91</f>
        <v>-5.71</v>
      </c>
      <c r="H80" s="1">
        <f>Entitlement!P87-ISGS!J91</f>
        <v>-21.43</v>
      </c>
      <c r="I80" s="1">
        <f>Entitlement!AE87-ISGS!O91</f>
        <v>-153.33</v>
      </c>
      <c r="J80" s="1">
        <f>Entitlement!AH87-ISGS!P91</f>
        <v>224.07</v>
      </c>
      <c r="K80" s="1">
        <f>Entitlement!Y87-ISGS!M91</f>
        <v>-31.93</v>
      </c>
      <c r="L80" s="95" t="e">
        <f>#REF!-#REF!</f>
        <v>#REF!</v>
      </c>
      <c r="M80" s="1">
        <f>Entitlement!AQ87-ISGS!S91</f>
        <v>80.28</v>
      </c>
    </row>
    <row r="81" customHeight="1" spans="1:13">
      <c r="A81" s="1">
        <v>80</v>
      </c>
      <c r="B81" s="1">
        <f>Entitlement!AR88-ISGS!T92</f>
        <v>-33.62</v>
      </c>
      <c r="C81" s="1">
        <f>Entitlement!AB88-ISGS!N92</f>
        <v>-79.63</v>
      </c>
      <c r="D81" s="1">
        <f>Entitlement!G88-ISGS!G92</f>
        <v>-229.67</v>
      </c>
      <c r="E81" s="1">
        <f>Entitlement!AN88-ISGS!R92</f>
        <v>17.15</v>
      </c>
      <c r="F81" s="1">
        <f>Entitlement!AK88-ISGS!Q92</f>
        <v>-141.53</v>
      </c>
      <c r="G81" s="1">
        <f>Entitlement!S88-ISGS!K92</f>
        <v>-5.71</v>
      </c>
      <c r="H81" s="1">
        <f>Entitlement!P88-ISGS!J92</f>
        <v>-21.43</v>
      </c>
      <c r="I81" s="1">
        <f>Entitlement!AE88-ISGS!O92</f>
        <v>-153.33</v>
      </c>
      <c r="J81" s="1">
        <f>Entitlement!AH88-ISGS!P92</f>
        <v>224.07</v>
      </c>
      <c r="K81" s="1">
        <f>Entitlement!Y88-ISGS!M92</f>
        <v>-31.93</v>
      </c>
      <c r="L81" s="95" t="e">
        <f>#REF!-#REF!</f>
        <v>#REF!</v>
      </c>
      <c r="M81" s="1">
        <f>Entitlement!AQ88-ISGS!S92</f>
        <v>80.28</v>
      </c>
    </row>
    <row r="82" customHeight="1" spans="1:13">
      <c r="A82" s="1">
        <v>81</v>
      </c>
      <c r="B82" s="1">
        <f>Entitlement!AR89-ISGS!T93</f>
        <v>-33.62</v>
      </c>
      <c r="C82" s="1">
        <f>Entitlement!AB89-ISGS!N93</f>
        <v>-79.63</v>
      </c>
      <c r="D82" s="1">
        <f>Entitlement!G89-ISGS!G93</f>
        <v>-229.67</v>
      </c>
      <c r="E82" s="1">
        <f>Entitlement!AN89-ISGS!R93</f>
        <v>17.15</v>
      </c>
      <c r="F82" s="1">
        <f>Entitlement!AK89-ISGS!Q93</f>
        <v>-141.53</v>
      </c>
      <c r="G82" s="1">
        <f>Entitlement!S89-ISGS!K93</f>
        <v>-5.71</v>
      </c>
      <c r="H82" s="1">
        <f>Entitlement!P89-ISGS!J93</f>
        <v>-21</v>
      </c>
      <c r="I82" s="1">
        <f>Entitlement!AE89-ISGS!O93</f>
        <v>-153.33</v>
      </c>
      <c r="J82" s="1">
        <f>Entitlement!AH89-ISGS!P93</f>
        <v>224.07</v>
      </c>
      <c r="K82" s="1">
        <f>Entitlement!Y89-ISGS!M93</f>
        <v>-31.93</v>
      </c>
      <c r="L82" s="95" t="e">
        <f>#REF!-#REF!</f>
        <v>#REF!</v>
      </c>
      <c r="M82" s="1">
        <f>Entitlement!AQ89-ISGS!S93</f>
        <v>80.28</v>
      </c>
    </row>
    <row r="83" customHeight="1" spans="1:13">
      <c r="A83" s="1">
        <v>82</v>
      </c>
      <c r="B83" s="1">
        <f>Entitlement!AR90-ISGS!T94</f>
        <v>-33.62</v>
      </c>
      <c r="C83" s="1">
        <f>Entitlement!AB90-ISGS!N94</f>
        <v>-79.63</v>
      </c>
      <c r="D83" s="1">
        <f>Entitlement!G90-ISGS!G94</f>
        <v>-229.67</v>
      </c>
      <c r="E83" s="1">
        <f>Entitlement!AN90-ISGS!R94</f>
        <v>17.15</v>
      </c>
      <c r="F83" s="1">
        <f>Entitlement!AK90-ISGS!Q94</f>
        <v>-141.53</v>
      </c>
      <c r="G83" s="1">
        <f>Entitlement!S90-ISGS!K94</f>
        <v>-5.71</v>
      </c>
      <c r="H83" s="1">
        <f>Entitlement!P90-ISGS!J94</f>
        <v>-21</v>
      </c>
      <c r="I83" s="1">
        <f>Entitlement!AE90-ISGS!O94</f>
        <v>-153.33</v>
      </c>
      <c r="J83" s="1">
        <f>Entitlement!AH90-ISGS!P94</f>
        <v>224.07</v>
      </c>
      <c r="K83" s="1">
        <f>Entitlement!Y90-ISGS!M94</f>
        <v>-31.93</v>
      </c>
      <c r="L83" s="95" t="e">
        <f>#REF!-#REF!</f>
        <v>#REF!</v>
      </c>
      <c r="M83" s="1">
        <f>Entitlement!AQ90-ISGS!S94</f>
        <v>80.28</v>
      </c>
    </row>
    <row r="84" customHeight="1" spans="1:13">
      <c r="A84" s="1">
        <v>83</v>
      </c>
      <c r="B84" s="1">
        <f>Entitlement!AR91-ISGS!T95</f>
        <v>-33.62</v>
      </c>
      <c r="C84" s="1">
        <f>Entitlement!AB91-ISGS!N95</f>
        <v>-46.39</v>
      </c>
      <c r="D84" s="1">
        <f>Entitlement!G91-ISGS!G95</f>
        <v>-180.52</v>
      </c>
      <c r="E84" s="1">
        <f>Entitlement!AN91-ISGS!R95</f>
        <v>17.15</v>
      </c>
      <c r="F84" s="1">
        <f>Entitlement!AK91-ISGS!Q95</f>
        <v>-141.53</v>
      </c>
      <c r="G84" s="1">
        <f>Entitlement!S91-ISGS!K95</f>
        <v>-5.71</v>
      </c>
      <c r="H84" s="1">
        <f>Entitlement!P91-ISGS!J95</f>
        <v>-21</v>
      </c>
      <c r="I84" s="1">
        <f>Entitlement!AE91-ISGS!O95</f>
        <v>-153.33</v>
      </c>
      <c r="J84" s="1">
        <f>Entitlement!AH91-ISGS!P95</f>
        <v>224.07</v>
      </c>
      <c r="K84" s="1">
        <f>Entitlement!Y91-ISGS!M95</f>
        <v>-31.93</v>
      </c>
      <c r="L84" s="95" t="e">
        <f>#REF!-#REF!</f>
        <v>#REF!</v>
      </c>
      <c r="M84" s="1">
        <f>Entitlement!AQ91-ISGS!S95</f>
        <v>80.28</v>
      </c>
    </row>
    <row r="85" customHeight="1" spans="1:13">
      <c r="A85" s="1">
        <v>84</v>
      </c>
      <c r="B85" s="1">
        <f>Entitlement!AR92-ISGS!T96</f>
        <v>-33.62</v>
      </c>
      <c r="C85" s="1">
        <f>Entitlement!AB92-ISGS!N96</f>
        <v>-46.39</v>
      </c>
      <c r="D85" s="1">
        <f>Entitlement!G92-ISGS!G96</f>
        <v>-139.89</v>
      </c>
      <c r="E85" s="1">
        <f>Entitlement!AN92-ISGS!R96</f>
        <v>17.15</v>
      </c>
      <c r="F85" s="1">
        <f>Entitlement!AK92-ISGS!Q96</f>
        <v>-141.53</v>
      </c>
      <c r="G85" s="1">
        <f>Entitlement!S92-ISGS!K96</f>
        <v>-5.71</v>
      </c>
      <c r="H85" s="1">
        <f>Entitlement!P92-ISGS!J96</f>
        <v>-21</v>
      </c>
      <c r="I85" s="1">
        <f>Entitlement!AE92-ISGS!O96</f>
        <v>-153.33</v>
      </c>
      <c r="J85" s="1">
        <f>Entitlement!AH92-ISGS!P96</f>
        <v>224.07</v>
      </c>
      <c r="K85" s="1">
        <f>Entitlement!Y92-ISGS!M96</f>
        <v>-31.93</v>
      </c>
      <c r="L85" s="95" t="e">
        <f>#REF!-#REF!</f>
        <v>#REF!</v>
      </c>
      <c r="M85" s="1">
        <f>Entitlement!AQ92-ISGS!S96</f>
        <v>80.28</v>
      </c>
    </row>
    <row r="86" customHeight="1" spans="1:13">
      <c r="A86" s="1">
        <v>85</v>
      </c>
      <c r="B86" s="1">
        <f>Entitlement!AR93-ISGS!T97</f>
        <v>-33.62</v>
      </c>
      <c r="C86" s="1">
        <f>Entitlement!AB93-ISGS!N97</f>
        <v>-46.39</v>
      </c>
      <c r="D86" s="1">
        <f>Entitlement!G93-ISGS!G97</f>
        <v>-139.89</v>
      </c>
      <c r="E86" s="1">
        <f>Entitlement!AN93-ISGS!R97</f>
        <v>17.15</v>
      </c>
      <c r="F86" s="1">
        <f>Entitlement!AK93-ISGS!Q97</f>
        <v>-141.53</v>
      </c>
      <c r="G86" s="1">
        <f>Entitlement!S93-ISGS!K97</f>
        <v>-5.71</v>
      </c>
      <c r="H86" s="1">
        <f>Entitlement!P93-ISGS!J97</f>
        <v>-21</v>
      </c>
      <c r="I86" s="1">
        <f>Entitlement!AE93-ISGS!O97</f>
        <v>-153.33</v>
      </c>
      <c r="J86" s="1">
        <f>Entitlement!AH93-ISGS!P97</f>
        <v>224.07</v>
      </c>
      <c r="K86" s="1">
        <f>Entitlement!Y93-ISGS!M97</f>
        <v>-31.93</v>
      </c>
      <c r="L86" s="95" t="e">
        <f>#REF!-#REF!</f>
        <v>#REF!</v>
      </c>
      <c r="M86" s="1">
        <f>Entitlement!AQ93-ISGS!S97</f>
        <v>80.28</v>
      </c>
    </row>
    <row r="87" customHeight="1" spans="1:13">
      <c r="A87" s="1">
        <v>86</v>
      </c>
      <c r="B87" s="1">
        <f>Entitlement!AR94-ISGS!T98</f>
        <v>-33.62</v>
      </c>
      <c r="C87" s="1">
        <f>Entitlement!AB94-ISGS!N98</f>
        <v>-46.39</v>
      </c>
      <c r="D87" s="1">
        <f>Entitlement!G94-ISGS!G98</f>
        <v>-139.89</v>
      </c>
      <c r="E87" s="1">
        <f>Entitlement!AN94-ISGS!R98</f>
        <v>17.15</v>
      </c>
      <c r="F87" s="1">
        <f>Entitlement!AK94-ISGS!Q98</f>
        <v>-141.53</v>
      </c>
      <c r="G87" s="1">
        <f>Entitlement!S94-ISGS!K98</f>
        <v>-5.71</v>
      </c>
      <c r="H87" s="1">
        <f>Entitlement!P94-ISGS!J98</f>
        <v>-21</v>
      </c>
      <c r="I87" s="1">
        <f>Entitlement!AE94-ISGS!O98</f>
        <v>-153.33</v>
      </c>
      <c r="J87" s="1">
        <f>Entitlement!AH94-ISGS!P98</f>
        <v>224.07</v>
      </c>
      <c r="K87" s="1">
        <f>Entitlement!Y94-ISGS!M98</f>
        <v>-31.93</v>
      </c>
      <c r="L87" s="95" t="e">
        <f>#REF!-#REF!</f>
        <v>#REF!</v>
      </c>
      <c r="M87" s="1">
        <f>Entitlement!AQ94-ISGS!S98</f>
        <v>80.28</v>
      </c>
    </row>
    <row r="88" customHeight="1" spans="1:13">
      <c r="A88" s="1">
        <v>87</v>
      </c>
      <c r="B88" s="1">
        <f>Entitlement!AR95-ISGS!T99</f>
        <v>-33.62</v>
      </c>
      <c r="C88" s="1">
        <f>Entitlement!AB95-ISGS!N99</f>
        <v>-46.39</v>
      </c>
      <c r="D88" s="1">
        <f>Entitlement!G95-ISGS!G99</f>
        <v>-144.64</v>
      </c>
      <c r="E88" s="1">
        <f>Entitlement!AN95-ISGS!R99</f>
        <v>17.15</v>
      </c>
      <c r="F88" s="1">
        <f>Entitlement!AK95-ISGS!Q99</f>
        <v>-141.53</v>
      </c>
      <c r="G88" s="1">
        <f>Entitlement!S95-ISGS!K99</f>
        <v>-4.6</v>
      </c>
      <c r="H88" s="1">
        <f>Entitlement!P95-ISGS!J99</f>
        <v>-21</v>
      </c>
      <c r="I88" s="1">
        <f>Entitlement!AE95-ISGS!O99</f>
        <v>-153.33</v>
      </c>
      <c r="J88" s="1">
        <f>Entitlement!AH95-ISGS!P99</f>
        <v>224.07</v>
      </c>
      <c r="K88" s="1">
        <f>Entitlement!Y95-ISGS!M99</f>
        <v>-31.93</v>
      </c>
      <c r="L88" s="95" t="e">
        <f>#REF!-#REF!</f>
        <v>#REF!</v>
      </c>
      <c r="M88" s="1">
        <f>Entitlement!AQ95-ISGS!S99</f>
        <v>80.28</v>
      </c>
    </row>
    <row r="89" customHeight="1" spans="1:13">
      <c r="A89" s="1">
        <v>88</v>
      </c>
      <c r="B89" s="1">
        <f>Entitlement!AR96-ISGS!T100</f>
        <v>-33.62</v>
      </c>
      <c r="C89" s="1">
        <f>Entitlement!AB96-ISGS!N100</f>
        <v>-46.39</v>
      </c>
      <c r="D89" s="1">
        <f>Entitlement!G96-ISGS!G100</f>
        <v>0</v>
      </c>
      <c r="E89" s="1">
        <f>Entitlement!AN96-ISGS!R100</f>
        <v>17.15</v>
      </c>
      <c r="F89" s="1">
        <f>Entitlement!AK96-ISGS!Q100</f>
        <v>-141.53</v>
      </c>
      <c r="G89" s="1">
        <f>Entitlement!S96-ISGS!K100</f>
        <v>-4.6</v>
      </c>
      <c r="H89" s="1">
        <f>Entitlement!P96-ISGS!J100</f>
        <v>-21</v>
      </c>
      <c r="I89" s="1">
        <f>Entitlement!AE96-ISGS!O100</f>
        <v>-153.33</v>
      </c>
      <c r="J89" s="1">
        <f>Entitlement!AH96-ISGS!P100</f>
        <v>224.07</v>
      </c>
      <c r="K89" s="1">
        <f>Entitlement!Y96-ISGS!M100</f>
        <v>-31.93</v>
      </c>
      <c r="L89" s="95" t="e">
        <f>#REF!-#REF!</f>
        <v>#REF!</v>
      </c>
      <c r="M89" s="1">
        <f>Entitlement!AQ96-ISGS!S100</f>
        <v>80.28</v>
      </c>
    </row>
    <row r="90" customHeight="1" spans="1:13">
      <c r="A90" s="1">
        <v>89</v>
      </c>
      <c r="B90" s="1">
        <f>Entitlement!AR97-ISGS!T101</f>
        <v>-33.62</v>
      </c>
      <c r="C90" s="1">
        <f>Entitlement!AB97-ISGS!N101</f>
        <v>-15.86</v>
      </c>
      <c r="D90" s="1">
        <f>Entitlement!G97-ISGS!G101</f>
        <v>0</v>
      </c>
      <c r="E90" s="1">
        <f>Entitlement!AN97-ISGS!R101</f>
        <v>17.15</v>
      </c>
      <c r="F90" s="1">
        <f>Entitlement!AK97-ISGS!Q101</f>
        <v>-141.53</v>
      </c>
      <c r="G90" s="1">
        <f>Entitlement!S97-ISGS!K101</f>
        <v>-5.77</v>
      </c>
      <c r="H90" s="1">
        <f>Entitlement!P97-ISGS!J101</f>
        <v>-22.02</v>
      </c>
      <c r="I90" s="1">
        <f>Entitlement!AE97-ISGS!O101</f>
        <v>-153.33</v>
      </c>
      <c r="J90" s="1">
        <f>Entitlement!AH97-ISGS!P101</f>
        <v>224.07</v>
      </c>
      <c r="K90" s="1">
        <f>Entitlement!Y97-ISGS!M101</f>
        <v>-31.93</v>
      </c>
      <c r="L90" s="95" t="e">
        <f>#REF!-#REF!</f>
        <v>#REF!</v>
      </c>
      <c r="M90" s="1">
        <f>Entitlement!AQ97-ISGS!S101</f>
        <v>80.28</v>
      </c>
    </row>
    <row r="91" customHeight="1" spans="1:13">
      <c r="A91" s="1">
        <v>90</v>
      </c>
      <c r="B91" s="1">
        <f>Entitlement!AR98-ISGS!T102</f>
        <v>-33.62</v>
      </c>
      <c r="C91" s="1">
        <f>Entitlement!AB98-ISGS!N102</f>
        <v>41.8</v>
      </c>
      <c r="D91" s="1">
        <f>Entitlement!G98-ISGS!G102</f>
        <v>0</v>
      </c>
      <c r="E91" s="1">
        <f>Entitlement!AN98-ISGS!R102</f>
        <v>17.15</v>
      </c>
      <c r="F91" s="1">
        <f>Entitlement!AK98-ISGS!Q102</f>
        <v>-141.53</v>
      </c>
      <c r="G91" s="1">
        <f>Entitlement!S98-ISGS!K102</f>
        <v>-6.77</v>
      </c>
      <c r="H91" s="1">
        <f>Entitlement!P98-ISGS!J102</f>
        <v>-22.05</v>
      </c>
      <c r="I91" s="1">
        <f>Entitlement!AE98-ISGS!O102</f>
        <v>-153.33</v>
      </c>
      <c r="J91" s="1">
        <f>Entitlement!AH98-ISGS!P102</f>
        <v>224.07</v>
      </c>
      <c r="K91" s="1">
        <f>Entitlement!Y98-ISGS!M102</f>
        <v>-31.93</v>
      </c>
      <c r="L91" s="95" t="e">
        <f>#REF!-#REF!</f>
        <v>#REF!</v>
      </c>
      <c r="M91" s="1">
        <f>Entitlement!AQ98-ISGS!S102</f>
        <v>80.28</v>
      </c>
    </row>
    <row r="92" customHeight="1" spans="1:13">
      <c r="A92" s="1">
        <v>91</v>
      </c>
      <c r="B92" s="1">
        <f>Entitlement!AR99-ISGS!T103</f>
        <v>-33.62</v>
      </c>
      <c r="C92" s="1">
        <f>Entitlement!AB99-ISGS!N103</f>
        <v>41.8</v>
      </c>
      <c r="D92" s="1">
        <f>Entitlement!G99-ISGS!G103</f>
        <v>0</v>
      </c>
      <c r="E92" s="1">
        <f>Entitlement!AN99-ISGS!R103</f>
        <v>17.15</v>
      </c>
      <c r="F92" s="1">
        <f>Entitlement!AK99-ISGS!Q103</f>
        <v>-141.53</v>
      </c>
      <c r="G92" s="1">
        <f>Entitlement!S99-ISGS!K103</f>
        <v>-6.77</v>
      </c>
      <c r="H92" s="1">
        <f>Entitlement!P99-ISGS!J103</f>
        <v>-22.05</v>
      </c>
      <c r="I92" s="1">
        <f>Entitlement!AE99-ISGS!O103</f>
        <v>-153.33</v>
      </c>
      <c r="J92" s="1">
        <f>Entitlement!AH99-ISGS!P103</f>
        <v>224.07</v>
      </c>
      <c r="K92" s="1">
        <f>Entitlement!Y99-ISGS!M103</f>
        <v>-31.93</v>
      </c>
      <c r="L92" s="95" t="e">
        <f>#REF!-#REF!</f>
        <v>#REF!</v>
      </c>
      <c r="M92" s="1">
        <f>Entitlement!AQ99-ISGS!S103</f>
        <v>80.28</v>
      </c>
    </row>
    <row r="93" customHeight="1" spans="1:13">
      <c r="A93" s="1">
        <v>92</v>
      </c>
      <c r="B93" s="1">
        <f>Entitlement!AR100-ISGS!T104</f>
        <v>-33.62</v>
      </c>
      <c r="C93" s="1">
        <f>Entitlement!AB100-ISGS!N104</f>
        <v>41.8</v>
      </c>
      <c r="D93" s="1">
        <f>Entitlement!G100-ISGS!G104</f>
        <v>0</v>
      </c>
      <c r="E93" s="1">
        <f>Entitlement!AN100-ISGS!R104</f>
        <v>17.15</v>
      </c>
      <c r="F93" s="1">
        <f>Entitlement!AK100-ISGS!Q104</f>
        <v>-141.53</v>
      </c>
      <c r="G93" s="1">
        <f>Entitlement!S100-ISGS!K104</f>
        <v>-5.63</v>
      </c>
      <c r="H93" s="1">
        <f>Entitlement!P100-ISGS!J104</f>
        <v>-21.18</v>
      </c>
      <c r="I93" s="1">
        <f>Entitlement!AE100-ISGS!O104</f>
        <v>-153.33</v>
      </c>
      <c r="J93" s="1">
        <f>Entitlement!AH100-ISGS!P104</f>
        <v>224.07</v>
      </c>
      <c r="K93" s="1">
        <f>Entitlement!Y100-ISGS!M104</f>
        <v>-31.93</v>
      </c>
      <c r="L93" s="95" t="e">
        <f>#REF!-#REF!</f>
        <v>#REF!</v>
      </c>
      <c r="M93" s="1">
        <f>Entitlement!AQ100-ISGS!S104</f>
        <v>80.28</v>
      </c>
    </row>
    <row r="94" customHeight="1" spans="1:13">
      <c r="A94" s="1">
        <v>93</v>
      </c>
      <c r="B94" s="1">
        <f>Entitlement!AR101-ISGS!T105</f>
        <v>-33.62</v>
      </c>
      <c r="C94" s="1">
        <f>Entitlement!AB101-ISGS!N105</f>
        <v>41.8</v>
      </c>
      <c r="D94" s="1">
        <f>Entitlement!G101-ISGS!G105</f>
        <v>0</v>
      </c>
      <c r="E94" s="1">
        <f>Entitlement!AN101-ISGS!R105</f>
        <v>85.68</v>
      </c>
      <c r="F94" s="1">
        <f>Entitlement!AK101-ISGS!Q105</f>
        <v>-141.53</v>
      </c>
      <c r="G94" s="1">
        <f>Entitlement!S101-ISGS!K105</f>
        <v>29.81</v>
      </c>
      <c r="H94" s="1">
        <f>Entitlement!P101-ISGS!J105</f>
        <v>7.2</v>
      </c>
      <c r="I94" s="1">
        <f>Entitlement!AE101-ISGS!O105</f>
        <v>-100.19</v>
      </c>
      <c r="J94" s="1">
        <f>Entitlement!AH101-ISGS!P105</f>
        <v>239.16</v>
      </c>
      <c r="K94" s="1">
        <f>Entitlement!Y101-ISGS!M105</f>
        <v>-31.93</v>
      </c>
      <c r="L94" s="95" t="e">
        <f>#REF!-#REF!</f>
        <v>#REF!</v>
      </c>
      <c r="M94" s="1">
        <f>Entitlement!AQ101-ISGS!S105</f>
        <v>80.28</v>
      </c>
    </row>
    <row r="95" customHeight="1" spans="1:13">
      <c r="A95" s="1">
        <v>94</v>
      </c>
      <c r="B95" s="1">
        <f>Entitlement!AR102-ISGS!T106</f>
        <v>-33.62</v>
      </c>
      <c r="C95" s="1">
        <f>Entitlement!AB102-ISGS!N106</f>
        <v>41.8</v>
      </c>
      <c r="D95" s="1">
        <f>Entitlement!G102-ISGS!G106</f>
        <v>0</v>
      </c>
      <c r="E95" s="1">
        <f>Entitlement!AN102-ISGS!R106</f>
        <v>216.14</v>
      </c>
      <c r="F95" s="1">
        <f>Entitlement!AK102-ISGS!Q106</f>
        <v>-141.53</v>
      </c>
      <c r="G95" s="1">
        <f>Entitlement!S102-ISGS!K106</f>
        <v>29.81</v>
      </c>
      <c r="H95" s="1">
        <f>Entitlement!P102-ISGS!J106</f>
        <v>7.2</v>
      </c>
      <c r="I95" s="1">
        <f>Entitlement!AE102-ISGS!O106</f>
        <v>23.91</v>
      </c>
      <c r="J95" s="1">
        <f>Entitlement!AH102-ISGS!P106</f>
        <v>270.86</v>
      </c>
      <c r="K95" s="1">
        <f>Entitlement!Y102-ISGS!M106</f>
        <v>-31.93</v>
      </c>
      <c r="L95" s="95" t="e">
        <f>#REF!-#REF!</f>
        <v>#REF!</v>
      </c>
      <c r="M95" s="1">
        <f>Entitlement!AQ102-ISGS!S106</f>
        <v>80.28</v>
      </c>
    </row>
    <row r="96" customHeight="1" spans="1:13">
      <c r="A96" s="1">
        <v>95</v>
      </c>
      <c r="B96" s="1">
        <f>Entitlement!AR103-ISGS!T107</f>
        <v>-33.62</v>
      </c>
      <c r="C96" s="1">
        <f>Entitlement!AB103-ISGS!N107</f>
        <v>40.4383333333333</v>
      </c>
      <c r="D96" s="1">
        <f>Entitlement!G103-ISGS!G107</f>
        <v>0</v>
      </c>
      <c r="E96" s="1">
        <f>Entitlement!AN103-ISGS!R107</f>
        <v>216.14</v>
      </c>
      <c r="F96" s="1">
        <f>Entitlement!AK103-ISGS!Q107</f>
        <v>-141.53</v>
      </c>
      <c r="G96" s="1">
        <f>Entitlement!S103-ISGS!K107</f>
        <v>26.513125</v>
      </c>
      <c r="H96" s="1">
        <f>Entitlement!P103-ISGS!J107</f>
        <v>7.28583333333333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-32.2158333333333</v>
      </c>
      <c r="L96" s="95" t="e">
        <f>#REF!-#REF!</f>
        <v>#REF!</v>
      </c>
      <c r="M96" s="1">
        <f>Entitlement!AQ103-ISGS!S107</f>
        <v>80.28</v>
      </c>
    </row>
    <row r="97" customHeight="1" spans="1:13">
      <c r="A97" s="1">
        <v>96</v>
      </c>
      <c r="B97" s="1">
        <f>Entitlement!AR104-ISGS!T108</f>
        <v>-33.62</v>
      </c>
      <c r="C97" s="1">
        <f>Entitlement!AB104-ISGS!N108</f>
        <v>40.08</v>
      </c>
      <c r="D97" s="1">
        <f>Entitlement!G104-ISGS!G108</f>
        <v>0</v>
      </c>
      <c r="E97" s="1">
        <f>Entitlement!AN104-ISGS!R108</f>
        <v>216.14</v>
      </c>
      <c r="F97" s="1">
        <f>Entitlement!AK104-ISGS!Q108</f>
        <v>-141.53</v>
      </c>
      <c r="G97" s="1">
        <f>Entitlement!S104-ISGS!K108</f>
        <v>18.46</v>
      </c>
      <c r="H97" s="1">
        <f>Entitlement!P104-ISGS!J108</f>
        <v>6.77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-33.24</v>
      </c>
      <c r="L97" s="95" t="e">
        <f>#REF!-#REF!</f>
        <v>#REF!</v>
      </c>
      <c r="M97" s="1">
        <f>Entitlement!AQ104-ISGS!S108</f>
        <v>80.28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1" width="9" style="86"/>
    <col min="12" max="12" width="11.552380952381" style="85" customWidth="1"/>
    <col min="13" max="16384" width="9" style="85"/>
  </cols>
  <sheetData>
    <row r="3" ht="48.75" customHeight="1" spans="1:21">
      <c r="A3" s="87" t="str">
        <f>'[1]Individual BD'!A1</f>
        <v>03/12/2024</v>
      </c>
      <c r="B3" s="87"/>
      <c r="C3" s="87" t="s">
        <v>145</v>
      </c>
      <c r="D3" s="93" t="s">
        <v>618</v>
      </c>
      <c r="E3" s="88" t="s">
        <v>619</v>
      </c>
      <c r="F3" s="88" t="s">
        <v>620</v>
      </c>
      <c r="G3" s="9"/>
      <c r="H3" s="9"/>
      <c r="I3" s="9"/>
      <c r="J3" s="9"/>
      <c r="K3" s="9"/>
      <c r="L3" s="27" t="s">
        <v>621</v>
      </c>
      <c r="M3" s="27" t="s">
        <v>622</v>
      </c>
      <c r="Q3" s="94" t="s">
        <v>623</v>
      </c>
      <c r="R3" s="94"/>
      <c r="S3" s="94"/>
      <c r="T3" s="94"/>
      <c r="U3" s="94"/>
    </row>
    <row r="4" ht="16.5" spans="1:13">
      <c r="A4" s="89">
        <v>0</v>
      </c>
      <c r="B4" s="89">
        <v>1.01041666666667</v>
      </c>
      <c r="C4" s="78">
        <v>1</v>
      </c>
      <c r="D4" s="92">
        <v>0</v>
      </c>
      <c r="E4" s="91">
        <f>[1]TPCIL!N13</f>
        <v>0</v>
      </c>
      <c r="F4" s="90">
        <f t="shared" ref="F4:F67" si="0">D4-E4</f>
        <v>0</v>
      </c>
      <c r="G4" s="90">
        <f t="shared" ref="G4:G67" si="1">F4-500</f>
        <v>-500</v>
      </c>
      <c r="H4" s="90">
        <f t="shared" ref="H4:H67" si="2">625-F4</f>
        <v>625</v>
      </c>
      <c r="I4" s="90">
        <f t="shared" ref="I4:I67" si="3">IF(H4&lt;125,H4,125)</f>
        <v>125</v>
      </c>
      <c r="J4" s="92">
        <f t="shared" ref="J4:J67" si="4">IF(H4&gt;125,H4-125,0)</f>
        <v>500</v>
      </c>
      <c r="K4" s="92">
        <f t="shared" ref="K4:K67" si="5">IF(J4&gt;156,156,J4)</f>
        <v>156</v>
      </c>
      <c r="L4" s="92">
        <v>0</v>
      </c>
      <c r="M4" s="92">
        <v>0</v>
      </c>
    </row>
    <row r="5" ht="16.5" spans="1:13">
      <c r="A5" s="89">
        <v>1.01041666666667</v>
      </c>
      <c r="B5" s="89">
        <v>1.02083333333334</v>
      </c>
      <c r="C5" s="78">
        <v>2</v>
      </c>
      <c r="D5" s="92">
        <v>0</v>
      </c>
      <c r="E5" s="91">
        <f>[1]TPCIL!N14</f>
        <v>0</v>
      </c>
      <c r="F5" s="90">
        <f t="shared" si="0"/>
        <v>0</v>
      </c>
      <c r="G5" s="90">
        <f t="shared" si="1"/>
        <v>-500</v>
      </c>
      <c r="H5" s="90">
        <f t="shared" si="2"/>
        <v>625</v>
      </c>
      <c r="I5" s="90">
        <f t="shared" si="3"/>
        <v>125</v>
      </c>
      <c r="J5" s="92">
        <f t="shared" si="4"/>
        <v>500</v>
      </c>
      <c r="K5" s="92">
        <f t="shared" si="5"/>
        <v>156</v>
      </c>
      <c r="L5" s="92">
        <v>0</v>
      </c>
      <c r="M5" s="92">
        <v>0</v>
      </c>
    </row>
    <row r="6" ht="16.5" spans="1:13">
      <c r="A6" s="89">
        <v>1.02083333333334</v>
      </c>
      <c r="B6" s="89">
        <v>1.03125000000001</v>
      </c>
      <c r="C6" s="78">
        <v>3</v>
      </c>
      <c r="D6" s="92">
        <v>0</v>
      </c>
      <c r="E6" s="91">
        <f>[1]TPCIL!N15</f>
        <v>0</v>
      </c>
      <c r="F6" s="90">
        <f t="shared" si="0"/>
        <v>0</v>
      </c>
      <c r="G6" s="90">
        <f t="shared" si="1"/>
        <v>-500</v>
      </c>
      <c r="H6" s="90">
        <f t="shared" si="2"/>
        <v>625</v>
      </c>
      <c r="I6" s="90">
        <f t="shared" si="3"/>
        <v>125</v>
      </c>
      <c r="J6" s="92">
        <f t="shared" si="4"/>
        <v>500</v>
      </c>
      <c r="K6" s="92">
        <f t="shared" si="5"/>
        <v>156</v>
      </c>
      <c r="L6" s="92">
        <v>0</v>
      </c>
      <c r="M6" s="92">
        <v>0</v>
      </c>
    </row>
    <row r="7" ht="16.5" spans="1:13">
      <c r="A7" s="89">
        <v>1.03125000000001</v>
      </c>
      <c r="B7" s="89">
        <v>1.04166666666668</v>
      </c>
      <c r="C7" s="78">
        <v>4</v>
      </c>
      <c r="D7" s="92">
        <v>0</v>
      </c>
      <c r="E7" s="91">
        <f>[1]TPCIL!N16</f>
        <v>0</v>
      </c>
      <c r="F7" s="90">
        <f t="shared" si="0"/>
        <v>0</v>
      </c>
      <c r="G7" s="90">
        <f t="shared" si="1"/>
        <v>-500</v>
      </c>
      <c r="H7" s="90">
        <f t="shared" si="2"/>
        <v>625</v>
      </c>
      <c r="I7" s="90">
        <f t="shared" si="3"/>
        <v>125</v>
      </c>
      <c r="J7" s="92">
        <f t="shared" si="4"/>
        <v>500</v>
      </c>
      <c r="K7" s="92">
        <f t="shared" si="5"/>
        <v>156</v>
      </c>
      <c r="L7" s="92">
        <v>0</v>
      </c>
      <c r="M7" s="92">
        <v>0</v>
      </c>
    </row>
    <row r="8" ht="16.5" spans="1:13">
      <c r="A8" s="89">
        <v>1.04166666666668</v>
      </c>
      <c r="B8" s="89">
        <v>1.05208333333335</v>
      </c>
      <c r="C8" s="78">
        <v>5</v>
      </c>
      <c r="D8" s="92">
        <v>0</v>
      </c>
      <c r="E8" s="91">
        <f>[1]TPCIL!N17</f>
        <v>0</v>
      </c>
      <c r="F8" s="90">
        <f t="shared" si="0"/>
        <v>0</v>
      </c>
      <c r="G8" s="90">
        <f t="shared" si="1"/>
        <v>-500</v>
      </c>
      <c r="H8" s="90">
        <f t="shared" si="2"/>
        <v>625</v>
      </c>
      <c r="I8" s="90">
        <f t="shared" si="3"/>
        <v>125</v>
      </c>
      <c r="J8" s="92">
        <f t="shared" si="4"/>
        <v>500</v>
      </c>
      <c r="K8" s="92">
        <f t="shared" si="5"/>
        <v>156</v>
      </c>
      <c r="L8" s="92">
        <v>0</v>
      </c>
      <c r="M8" s="92">
        <v>0</v>
      </c>
    </row>
    <row r="9" ht="16.5" spans="1:13">
      <c r="A9" s="89">
        <v>1.05208333333335</v>
      </c>
      <c r="B9" s="89">
        <v>1.06250000000002</v>
      </c>
      <c r="C9" s="78">
        <v>6</v>
      </c>
      <c r="D9" s="92">
        <v>0</v>
      </c>
      <c r="E9" s="91">
        <f>[1]TPCIL!N18</f>
        <v>0</v>
      </c>
      <c r="F9" s="90">
        <f t="shared" si="0"/>
        <v>0</v>
      </c>
      <c r="G9" s="90">
        <f t="shared" si="1"/>
        <v>-500</v>
      </c>
      <c r="H9" s="90">
        <f t="shared" si="2"/>
        <v>625</v>
      </c>
      <c r="I9" s="90">
        <f t="shared" si="3"/>
        <v>125</v>
      </c>
      <c r="J9" s="92">
        <f t="shared" si="4"/>
        <v>500</v>
      </c>
      <c r="K9" s="92">
        <f t="shared" si="5"/>
        <v>156</v>
      </c>
      <c r="L9" s="92">
        <v>0</v>
      </c>
      <c r="M9" s="92">
        <v>0</v>
      </c>
    </row>
    <row r="10" ht="16.5" spans="1:13">
      <c r="A10" s="89">
        <v>1.06250000000002</v>
      </c>
      <c r="B10" s="89">
        <v>1.07291666666669</v>
      </c>
      <c r="C10" s="78">
        <v>7</v>
      </c>
      <c r="D10" s="92">
        <v>0</v>
      </c>
      <c r="E10" s="91">
        <f>[1]TPCIL!N19</f>
        <v>0</v>
      </c>
      <c r="F10" s="90">
        <f t="shared" si="0"/>
        <v>0</v>
      </c>
      <c r="G10" s="90">
        <f t="shared" si="1"/>
        <v>-500</v>
      </c>
      <c r="H10" s="90">
        <f t="shared" si="2"/>
        <v>625</v>
      </c>
      <c r="I10" s="90">
        <f t="shared" si="3"/>
        <v>125</v>
      </c>
      <c r="J10" s="92">
        <f t="shared" si="4"/>
        <v>500</v>
      </c>
      <c r="K10" s="92">
        <f t="shared" si="5"/>
        <v>156</v>
      </c>
      <c r="L10" s="92">
        <v>0</v>
      </c>
      <c r="M10" s="92">
        <v>0</v>
      </c>
    </row>
    <row r="11" ht="16.5" spans="1:13">
      <c r="A11" s="89">
        <v>1.07291666666669</v>
      </c>
      <c r="B11" s="89">
        <v>1.08333333333336</v>
      </c>
      <c r="C11" s="78">
        <v>8</v>
      </c>
      <c r="D11" s="92">
        <v>0</v>
      </c>
      <c r="E11" s="91">
        <f>[1]TPCIL!N20</f>
        <v>0</v>
      </c>
      <c r="F11" s="90">
        <f t="shared" si="0"/>
        <v>0</v>
      </c>
      <c r="G11" s="90">
        <f t="shared" si="1"/>
        <v>-500</v>
      </c>
      <c r="H11" s="90">
        <f t="shared" si="2"/>
        <v>625</v>
      </c>
      <c r="I11" s="90">
        <f t="shared" si="3"/>
        <v>125</v>
      </c>
      <c r="J11" s="92">
        <f t="shared" si="4"/>
        <v>500</v>
      </c>
      <c r="K11" s="92">
        <f t="shared" si="5"/>
        <v>156</v>
      </c>
      <c r="L11" s="92">
        <v>0</v>
      </c>
      <c r="M11" s="92">
        <v>0</v>
      </c>
    </row>
    <row r="12" ht="16.5" spans="1:13">
      <c r="A12" s="89">
        <v>1.08333333333336</v>
      </c>
      <c r="B12" s="89">
        <v>1.09375000000003</v>
      </c>
      <c r="C12" s="78">
        <v>9</v>
      </c>
      <c r="D12" s="92">
        <v>0</v>
      </c>
      <c r="E12" s="91">
        <f>[1]TPCIL!N21</f>
        <v>0</v>
      </c>
      <c r="F12" s="90">
        <f t="shared" si="0"/>
        <v>0</v>
      </c>
      <c r="G12" s="90">
        <f t="shared" si="1"/>
        <v>-500</v>
      </c>
      <c r="H12" s="90">
        <f t="shared" si="2"/>
        <v>625</v>
      </c>
      <c r="I12" s="90">
        <f t="shared" si="3"/>
        <v>125</v>
      </c>
      <c r="J12" s="92">
        <f t="shared" si="4"/>
        <v>500</v>
      </c>
      <c r="K12" s="92">
        <f t="shared" si="5"/>
        <v>156</v>
      </c>
      <c r="L12" s="92">
        <v>0</v>
      </c>
      <c r="M12" s="92">
        <v>0</v>
      </c>
    </row>
    <row r="13" ht="16.5" spans="1:13">
      <c r="A13" s="89">
        <v>1.09375000000003</v>
      </c>
      <c r="B13" s="89">
        <v>1.1041666666667</v>
      </c>
      <c r="C13" s="78">
        <v>10</v>
      </c>
      <c r="D13" s="92">
        <v>0</v>
      </c>
      <c r="E13" s="91">
        <f>[1]TPCIL!N22</f>
        <v>0</v>
      </c>
      <c r="F13" s="90">
        <f t="shared" si="0"/>
        <v>0</v>
      </c>
      <c r="G13" s="90">
        <f t="shared" si="1"/>
        <v>-500</v>
      </c>
      <c r="H13" s="90">
        <f t="shared" si="2"/>
        <v>625</v>
      </c>
      <c r="I13" s="90">
        <f t="shared" si="3"/>
        <v>125</v>
      </c>
      <c r="J13" s="92">
        <f t="shared" si="4"/>
        <v>500</v>
      </c>
      <c r="K13" s="92">
        <f t="shared" si="5"/>
        <v>156</v>
      </c>
      <c r="L13" s="92">
        <v>0</v>
      </c>
      <c r="M13" s="92">
        <v>0</v>
      </c>
    </row>
    <row r="14" ht="16.5" spans="1:13">
      <c r="A14" s="89">
        <v>1.1041666666667</v>
      </c>
      <c r="B14" s="89">
        <v>1.11458333333337</v>
      </c>
      <c r="C14" s="78">
        <v>11</v>
      </c>
      <c r="D14" s="92">
        <v>0</v>
      </c>
      <c r="E14" s="91">
        <f>[1]TPCIL!N23</f>
        <v>0</v>
      </c>
      <c r="F14" s="90">
        <f t="shared" si="0"/>
        <v>0</v>
      </c>
      <c r="G14" s="90">
        <f t="shared" si="1"/>
        <v>-500</v>
      </c>
      <c r="H14" s="90">
        <f t="shared" si="2"/>
        <v>625</v>
      </c>
      <c r="I14" s="90">
        <f t="shared" si="3"/>
        <v>125</v>
      </c>
      <c r="J14" s="92">
        <f t="shared" si="4"/>
        <v>500</v>
      </c>
      <c r="K14" s="92">
        <f t="shared" si="5"/>
        <v>156</v>
      </c>
      <c r="L14" s="92">
        <v>0</v>
      </c>
      <c r="M14" s="92">
        <v>0</v>
      </c>
    </row>
    <row r="15" ht="16.5" spans="1:13">
      <c r="A15" s="89">
        <v>1.11458333333337</v>
      </c>
      <c r="B15" s="89">
        <v>1.12500000000004</v>
      </c>
      <c r="C15" s="78">
        <v>12</v>
      </c>
      <c r="D15" s="92">
        <v>0</v>
      </c>
      <c r="E15" s="91">
        <f>[1]TPCIL!N24</f>
        <v>0</v>
      </c>
      <c r="F15" s="90">
        <f t="shared" si="0"/>
        <v>0</v>
      </c>
      <c r="G15" s="90">
        <f t="shared" si="1"/>
        <v>-500</v>
      </c>
      <c r="H15" s="90">
        <f t="shared" si="2"/>
        <v>625</v>
      </c>
      <c r="I15" s="90">
        <f t="shared" si="3"/>
        <v>125</v>
      </c>
      <c r="J15" s="92">
        <f t="shared" si="4"/>
        <v>500</v>
      </c>
      <c r="K15" s="92">
        <f t="shared" si="5"/>
        <v>156</v>
      </c>
      <c r="L15" s="92">
        <v>0</v>
      </c>
      <c r="M15" s="92">
        <v>0</v>
      </c>
    </row>
    <row r="16" ht="16.5" spans="1:13">
      <c r="A16" s="89">
        <v>1.12500000000004</v>
      </c>
      <c r="B16" s="89">
        <v>1.13541666666671</v>
      </c>
      <c r="C16" s="78">
        <v>13</v>
      </c>
      <c r="D16" s="92">
        <v>0</v>
      </c>
      <c r="E16" s="91">
        <f>[1]TPCIL!N25</f>
        <v>0</v>
      </c>
      <c r="F16" s="90">
        <f t="shared" si="0"/>
        <v>0</v>
      </c>
      <c r="G16" s="90">
        <f t="shared" si="1"/>
        <v>-500</v>
      </c>
      <c r="H16" s="90">
        <f t="shared" si="2"/>
        <v>625</v>
      </c>
      <c r="I16" s="90">
        <f t="shared" si="3"/>
        <v>125</v>
      </c>
      <c r="J16" s="92">
        <f t="shared" si="4"/>
        <v>500</v>
      </c>
      <c r="K16" s="92">
        <f t="shared" si="5"/>
        <v>156</v>
      </c>
      <c r="L16" s="92">
        <v>0</v>
      </c>
      <c r="M16" s="92">
        <v>0</v>
      </c>
    </row>
    <row r="17" ht="16.5" spans="1:13">
      <c r="A17" s="89">
        <v>1.13541666666671</v>
      </c>
      <c r="B17" s="89">
        <v>1.14583333333338</v>
      </c>
      <c r="C17" s="78">
        <v>14</v>
      </c>
      <c r="D17" s="92">
        <v>0</v>
      </c>
      <c r="E17" s="91">
        <f>[1]TPCIL!N26</f>
        <v>0</v>
      </c>
      <c r="F17" s="90">
        <f t="shared" si="0"/>
        <v>0</v>
      </c>
      <c r="G17" s="90">
        <f t="shared" si="1"/>
        <v>-500</v>
      </c>
      <c r="H17" s="90">
        <f t="shared" si="2"/>
        <v>625</v>
      </c>
      <c r="I17" s="90">
        <f t="shared" si="3"/>
        <v>125</v>
      </c>
      <c r="J17" s="92">
        <f t="shared" si="4"/>
        <v>500</v>
      </c>
      <c r="K17" s="92">
        <f t="shared" si="5"/>
        <v>156</v>
      </c>
      <c r="L17" s="92">
        <v>0</v>
      </c>
      <c r="M17" s="92">
        <v>0</v>
      </c>
    </row>
    <row r="18" ht="16.5" spans="1:13">
      <c r="A18" s="89">
        <v>1.14583333333338</v>
      </c>
      <c r="B18" s="89">
        <v>1.15625000000005</v>
      </c>
      <c r="C18" s="78">
        <v>15</v>
      </c>
      <c r="D18" s="92">
        <v>0</v>
      </c>
      <c r="E18" s="91">
        <f>[1]TPCIL!N27</f>
        <v>0</v>
      </c>
      <c r="F18" s="90">
        <f t="shared" si="0"/>
        <v>0</v>
      </c>
      <c r="G18" s="90">
        <f t="shared" si="1"/>
        <v>-500</v>
      </c>
      <c r="H18" s="90">
        <f t="shared" si="2"/>
        <v>625</v>
      </c>
      <c r="I18" s="90">
        <f t="shared" si="3"/>
        <v>125</v>
      </c>
      <c r="J18" s="92">
        <f t="shared" si="4"/>
        <v>500</v>
      </c>
      <c r="K18" s="92">
        <f t="shared" si="5"/>
        <v>156</v>
      </c>
      <c r="L18" s="92">
        <v>0</v>
      </c>
      <c r="M18" s="92">
        <v>0</v>
      </c>
    </row>
    <row r="19" ht="16.5" spans="1:13">
      <c r="A19" s="89">
        <v>1.15625000000005</v>
      </c>
      <c r="B19" s="89">
        <v>1.16666666666672</v>
      </c>
      <c r="C19" s="78">
        <v>16</v>
      </c>
      <c r="D19" s="92">
        <v>0</v>
      </c>
      <c r="E19" s="91">
        <f>[1]TPCIL!N28</f>
        <v>0</v>
      </c>
      <c r="F19" s="90">
        <f t="shared" si="0"/>
        <v>0</v>
      </c>
      <c r="G19" s="90">
        <f t="shared" si="1"/>
        <v>-500</v>
      </c>
      <c r="H19" s="90">
        <f t="shared" si="2"/>
        <v>625</v>
      </c>
      <c r="I19" s="90">
        <f t="shared" si="3"/>
        <v>125</v>
      </c>
      <c r="J19" s="92">
        <f t="shared" si="4"/>
        <v>500</v>
      </c>
      <c r="K19" s="92">
        <f t="shared" si="5"/>
        <v>156</v>
      </c>
      <c r="L19" s="92">
        <v>0</v>
      </c>
      <c r="M19" s="92">
        <v>0</v>
      </c>
    </row>
    <row r="20" ht="16.5" spans="1:13">
      <c r="A20" s="89">
        <v>1.16666666666672</v>
      </c>
      <c r="B20" s="89">
        <v>1.17708333333339</v>
      </c>
      <c r="C20" s="78">
        <v>17</v>
      </c>
      <c r="D20" s="92">
        <v>0</v>
      </c>
      <c r="E20" s="91">
        <f>[1]TPCIL!N29</f>
        <v>0</v>
      </c>
      <c r="F20" s="90">
        <f t="shared" si="0"/>
        <v>0</v>
      </c>
      <c r="G20" s="90">
        <f t="shared" si="1"/>
        <v>-500</v>
      </c>
      <c r="H20" s="90">
        <f t="shared" si="2"/>
        <v>625</v>
      </c>
      <c r="I20" s="90">
        <f t="shared" si="3"/>
        <v>125</v>
      </c>
      <c r="J20" s="92">
        <f t="shared" si="4"/>
        <v>500</v>
      </c>
      <c r="K20" s="92">
        <f t="shared" si="5"/>
        <v>156</v>
      </c>
      <c r="L20" s="92">
        <v>0</v>
      </c>
      <c r="M20" s="92">
        <v>0</v>
      </c>
    </row>
    <row r="21" ht="16.5" spans="1:13">
      <c r="A21" s="89">
        <v>1.17708333333339</v>
      </c>
      <c r="B21" s="89">
        <v>1.18750000000006</v>
      </c>
      <c r="C21" s="78">
        <v>18</v>
      </c>
      <c r="D21" s="92">
        <v>0</v>
      </c>
      <c r="E21" s="91">
        <f>[1]TPCIL!N30</f>
        <v>0</v>
      </c>
      <c r="F21" s="90">
        <f t="shared" si="0"/>
        <v>0</v>
      </c>
      <c r="G21" s="90">
        <f t="shared" si="1"/>
        <v>-500</v>
      </c>
      <c r="H21" s="90">
        <f t="shared" si="2"/>
        <v>625</v>
      </c>
      <c r="I21" s="90">
        <f t="shared" si="3"/>
        <v>125</v>
      </c>
      <c r="J21" s="92">
        <f t="shared" si="4"/>
        <v>500</v>
      </c>
      <c r="K21" s="92">
        <f t="shared" si="5"/>
        <v>156</v>
      </c>
      <c r="L21" s="92">
        <v>0</v>
      </c>
      <c r="M21" s="92">
        <v>0</v>
      </c>
    </row>
    <row r="22" ht="16.5" spans="1:13">
      <c r="A22" s="89">
        <v>1.18750000000006</v>
      </c>
      <c r="B22" s="89">
        <v>1.19791666666673</v>
      </c>
      <c r="C22" s="78">
        <v>19</v>
      </c>
      <c r="D22" s="92">
        <v>0</v>
      </c>
      <c r="E22" s="91">
        <f>[1]TPCIL!N31</f>
        <v>0</v>
      </c>
      <c r="F22" s="90">
        <f t="shared" si="0"/>
        <v>0</v>
      </c>
      <c r="G22" s="90">
        <f t="shared" si="1"/>
        <v>-500</v>
      </c>
      <c r="H22" s="90">
        <f t="shared" si="2"/>
        <v>625</v>
      </c>
      <c r="I22" s="90">
        <f t="shared" si="3"/>
        <v>125</v>
      </c>
      <c r="J22" s="92">
        <f t="shared" si="4"/>
        <v>500</v>
      </c>
      <c r="K22" s="92">
        <f t="shared" si="5"/>
        <v>156</v>
      </c>
      <c r="L22" s="92">
        <v>0</v>
      </c>
      <c r="M22" s="92">
        <v>0</v>
      </c>
    </row>
    <row r="23" ht="16.5" spans="1:13">
      <c r="A23" s="89">
        <v>1.19791666666673</v>
      </c>
      <c r="B23" s="89">
        <v>1.2083333333334</v>
      </c>
      <c r="C23" s="78">
        <v>20</v>
      </c>
      <c r="D23" s="92">
        <v>0</v>
      </c>
      <c r="E23" s="91">
        <f>[1]TPCIL!N32</f>
        <v>0</v>
      </c>
      <c r="F23" s="90">
        <f t="shared" si="0"/>
        <v>0</v>
      </c>
      <c r="G23" s="90">
        <f t="shared" si="1"/>
        <v>-500</v>
      </c>
      <c r="H23" s="90">
        <f t="shared" si="2"/>
        <v>625</v>
      </c>
      <c r="I23" s="90">
        <f t="shared" si="3"/>
        <v>125</v>
      </c>
      <c r="J23" s="92">
        <f t="shared" si="4"/>
        <v>500</v>
      </c>
      <c r="K23" s="92">
        <f t="shared" si="5"/>
        <v>156</v>
      </c>
      <c r="L23" s="92">
        <v>0</v>
      </c>
      <c r="M23" s="92">
        <v>0</v>
      </c>
    </row>
    <row r="24" ht="16.5" spans="1:18">
      <c r="A24" s="89">
        <v>1.2083333333334</v>
      </c>
      <c r="B24" s="89">
        <v>1.21875000000007</v>
      </c>
      <c r="C24" s="78">
        <v>21</v>
      </c>
      <c r="D24" s="92">
        <v>0</v>
      </c>
      <c r="E24" s="91">
        <f>[1]TPCIL!N33</f>
        <v>0</v>
      </c>
      <c r="F24" s="90">
        <f t="shared" si="0"/>
        <v>0</v>
      </c>
      <c r="G24" s="90">
        <f t="shared" si="1"/>
        <v>-500</v>
      </c>
      <c r="H24" s="90">
        <f t="shared" si="2"/>
        <v>625</v>
      </c>
      <c r="I24" s="90">
        <f t="shared" si="3"/>
        <v>125</v>
      </c>
      <c r="J24" s="92">
        <f t="shared" si="4"/>
        <v>500</v>
      </c>
      <c r="K24" s="92">
        <f t="shared" si="5"/>
        <v>156</v>
      </c>
      <c r="L24" s="92">
        <v>0</v>
      </c>
      <c r="M24" s="92">
        <v>0</v>
      </c>
      <c r="R24" s="86"/>
    </row>
    <row r="25" ht="16.5" spans="1:13">
      <c r="A25" s="89">
        <v>1.21875000000007</v>
      </c>
      <c r="B25" s="89">
        <v>1.22916666666674</v>
      </c>
      <c r="C25" s="78">
        <v>22</v>
      </c>
      <c r="D25" s="92">
        <v>0</v>
      </c>
      <c r="E25" s="91">
        <f>[1]TPCIL!N34</f>
        <v>0</v>
      </c>
      <c r="F25" s="90">
        <f t="shared" si="0"/>
        <v>0</v>
      </c>
      <c r="G25" s="90">
        <f t="shared" si="1"/>
        <v>-500</v>
      </c>
      <c r="H25" s="90">
        <f t="shared" si="2"/>
        <v>625</v>
      </c>
      <c r="I25" s="90">
        <f t="shared" si="3"/>
        <v>125</v>
      </c>
      <c r="J25" s="92">
        <f t="shared" si="4"/>
        <v>500</v>
      </c>
      <c r="K25" s="92">
        <f t="shared" si="5"/>
        <v>156</v>
      </c>
      <c r="L25" s="92">
        <v>0</v>
      </c>
      <c r="M25" s="92">
        <v>0</v>
      </c>
    </row>
    <row r="26" ht="16.5" spans="1:13">
      <c r="A26" s="89">
        <v>1.22916666666674</v>
      </c>
      <c r="B26" s="89">
        <v>1.23958333333341</v>
      </c>
      <c r="C26" s="78">
        <v>23</v>
      </c>
      <c r="D26" s="92">
        <v>0</v>
      </c>
      <c r="E26" s="91">
        <f>[1]TPCIL!N35</f>
        <v>0</v>
      </c>
      <c r="F26" s="90">
        <f t="shared" si="0"/>
        <v>0</v>
      </c>
      <c r="G26" s="90">
        <f t="shared" si="1"/>
        <v>-500</v>
      </c>
      <c r="H26" s="90">
        <f t="shared" si="2"/>
        <v>625</v>
      </c>
      <c r="I26" s="90">
        <f t="shared" si="3"/>
        <v>125</v>
      </c>
      <c r="J26" s="92">
        <f t="shared" si="4"/>
        <v>500</v>
      </c>
      <c r="K26" s="92">
        <f t="shared" si="5"/>
        <v>156</v>
      </c>
      <c r="L26" s="92">
        <v>0</v>
      </c>
      <c r="M26" s="92">
        <v>0</v>
      </c>
    </row>
    <row r="27" ht="16.5" spans="1:13">
      <c r="A27" s="89">
        <v>1.23958333333341</v>
      </c>
      <c r="B27" s="89">
        <v>1.25000000000008</v>
      </c>
      <c r="C27" s="78">
        <v>24</v>
      </c>
      <c r="D27" s="92">
        <v>0</v>
      </c>
      <c r="E27" s="91">
        <f>[1]TPCIL!N36</f>
        <v>0</v>
      </c>
      <c r="F27" s="90">
        <f t="shared" si="0"/>
        <v>0</v>
      </c>
      <c r="G27" s="90">
        <f t="shared" si="1"/>
        <v>-500</v>
      </c>
      <c r="H27" s="90">
        <f t="shared" si="2"/>
        <v>625</v>
      </c>
      <c r="I27" s="90">
        <f t="shared" si="3"/>
        <v>125</v>
      </c>
      <c r="J27" s="92">
        <f t="shared" si="4"/>
        <v>500</v>
      </c>
      <c r="K27" s="92">
        <f t="shared" si="5"/>
        <v>156</v>
      </c>
      <c r="L27" s="92">
        <v>0</v>
      </c>
      <c r="M27" s="92">
        <v>0</v>
      </c>
    </row>
    <row r="28" ht="16.5" spans="1:13">
      <c r="A28" s="89">
        <v>1.25000000000008</v>
      </c>
      <c r="B28" s="89">
        <v>1.26041666666675</v>
      </c>
      <c r="C28" s="78">
        <v>25</v>
      </c>
      <c r="D28" s="92">
        <v>0</v>
      </c>
      <c r="E28" s="91">
        <f>[1]TPCIL!N37</f>
        <v>0</v>
      </c>
      <c r="F28" s="90">
        <f t="shared" si="0"/>
        <v>0</v>
      </c>
      <c r="G28" s="90">
        <f t="shared" si="1"/>
        <v>-500</v>
      </c>
      <c r="H28" s="90">
        <f t="shared" si="2"/>
        <v>625</v>
      </c>
      <c r="I28" s="90">
        <f t="shared" si="3"/>
        <v>125</v>
      </c>
      <c r="J28" s="92">
        <f t="shared" si="4"/>
        <v>500</v>
      </c>
      <c r="K28" s="92">
        <f t="shared" si="5"/>
        <v>156</v>
      </c>
      <c r="L28" s="92">
        <v>0</v>
      </c>
      <c r="M28" s="92">
        <v>0</v>
      </c>
    </row>
    <row r="29" ht="16.5" spans="1:13">
      <c r="A29" s="89">
        <v>1.26041666666675</v>
      </c>
      <c r="B29" s="89">
        <v>1.27083333333342</v>
      </c>
      <c r="C29" s="78">
        <v>26</v>
      </c>
      <c r="D29" s="92">
        <v>0</v>
      </c>
      <c r="E29" s="91">
        <f>[1]TPCIL!N38</f>
        <v>0</v>
      </c>
      <c r="F29" s="90">
        <f t="shared" si="0"/>
        <v>0</v>
      </c>
      <c r="G29" s="90">
        <f t="shared" si="1"/>
        <v>-500</v>
      </c>
      <c r="H29" s="90">
        <f t="shared" si="2"/>
        <v>625</v>
      </c>
      <c r="I29" s="90">
        <f t="shared" si="3"/>
        <v>125</v>
      </c>
      <c r="J29" s="92">
        <f t="shared" si="4"/>
        <v>500</v>
      </c>
      <c r="K29" s="92">
        <f t="shared" si="5"/>
        <v>156</v>
      </c>
      <c r="L29" s="92">
        <v>0</v>
      </c>
      <c r="M29" s="92">
        <v>0</v>
      </c>
    </row>
    <row r="30" ht="16.5" spans="1:13">
      <c r="A30" s="89">
        <v>1.27083333333342</v>
      </c>
      <c r="B30" s="89">
        <v>1.28125000000009</v>
      </c>
      <c r="C30" s="78">
        <v>27</v>
      </c>
      <c r="D30" s="92">
        <v>0</v>
      </c>
      <c r="E30" s="91">
        <f>[1]TPCIL!N39</f>
        <v>0</v>
      </c>
      <c r="F30" s="90">
        <f t="shared" si="0"/>
        <v>0</v>
      </c>
      <c r="G30" s="90">
        <f t="shared" si="1"/>
        <v>-500</v>
      </c>
      <c r="H30" s="90">
        <f t="shared" si="2"/>
        <v>625</v>
      </c>
      <c r="I30" s="90">
        <f t="shared" si="3"/>
        <v>125</v>
      </c>
      <c r="J30" s="92">
        <f t="shared" si="4"/>
        <v>500</v>
      </c>
      <c r="K30" s="92">
        <f t="shared" si="5"/>
        <v>156</v>
      </c>
      <c r="L30" s="92">
        <v>0</v>
      </c>
      <c r="M30" s="92">
        <v>0</v>
      </c>
    </row>
    <row r="31" ht="16.5" spans="1:13">
      <c r="A31" s="89">
        <v>1.28125000000009</v>
      </c>
      <c r="B31" s="89">
        <v>1.29166666666676</v>
      </c>
      <c r="C31" s="78">
        <v>28</v>
      </c>
      <c r="D31" s="92">
        <v>0</v>
      </c>
      <c r="E31" s="91">
        <f>[1]TPCIL!N40</f>
        <v>0</v>
      </c>
      <c r="F31" s="90">
        <f t="shared" si="0"/>
        <v>0</v>
      </c>
      <c r="G31" s="90">
        <f t="shared" si="1"/>
        <v>-500</v>
      </c>
      <c r="H31" s="90">
        <f t="shared" si="2"/>
        <v>625</v>
      </c>
      <c r="I31" s="90">
        <f t="shared" si="3"/>
        <v>125</v>
      </c>
      <c r="J31" s="92">
        <f t="shared" si="4"/>
        <v>500</v>
      </c>
      <c r="K31" s="92">
        <f t="shared" si="5"/>
        <v>156</v>
      </c>
      <c r="L31" s="92">
        <v>0</v>
      </c>
      <c r="M31" s="92">
        <v>0</v>
      </c>
    </row>
    <row r="32" ht="16.5" spans="1:13">
      <c r="A32" s="89">
        <v>1.29166666666676</v>
      </c>
      <c r="B32" s="89">
        <v>1.30208333333343</v>
      </c>
      <c r="C32" s="78">
        <v>29</v>
      </c>
      <c r="D32" s="92">
        <v>0</v>
      </c>
      <c r="E32" s="91">
        <f>[1]TPCIL!N41</f>
        <v>0</v>
      </c>
      <c r="F32" s="90">
        <f t="shared" si="0"/>
        <v>0</v>
      </c>
      <c r="G32" s="90">
        <f t="shared" si="1"/>
        <v>-500</v>
      </c>
      <c r="H32" s="90">
        <f t="shared" si="2"/>
        <v>625</v>
      </c>
      <c r="I32" s="90">
        <f t="shared" si="3"/>
        <v>125</v>
      </c>
      <c r="J32" s="92">
        <f t="shared" si="4"/>
        <v>500</v>
      </c>
      <c r="K32" s="92">
        <f t="shared" si="5"/>
        <v>156</v>
      </c>
      <c r="L32" s="92">
        <v>0</v>
      </c>
      <c r="M32" s="92">
        <v>0</v>
      </c>
    </row>
    <row r="33" ht="16.5" spans="1:13">
      <c r="A33" s="89">
        <v>1.30208333333343</v>
      </c>
      <c r="B33" s="89">
        <v>1.3125000000001</v>
      </c>
      <c r="C33" s="78">
        <v>30</v>
      </c>
      <c r="D33" s="92">
        <v>0</v>
      </c>
      <c r="E33" s="91">
        <f>[1]TPCIL!N42</f>
        <v>0</v>
      </c>
      <c r="F33" s="90">
        <f t="shared" si="0"/>
        <v>0</v>
      </c>
      <c r="G33" s="90">
        <f t="shared" si="1"/>
        <v>-500</v>
      </c>
      <c r="H33" s="90">
        <f t="shared" si="2"/>
        <v>625</v>
      </c>
      <c r="I33" s="90">
        <f t="shared" si="3"/>
        <v>125</v>
      </c>
      <c r="J33" s="92">
        <f t="shared" si="4"/>
        <v>500</v>
      </c>
      <c r="K33" s="92">
        <f t="shared" si="5"/>
        <v>156</v>
      </c>
      <c r="L33" s="92">
        <v>0</v>
      </c>
      <c r="M33" s="92">
        <v>0</v>
      </c>
    </row>
    <row r="34" ht="16.5" spans="1:13">
      <c r="A34" s="89">
        <v>1.3125000000001</v>
      </c>
      <c r="B34" s="89">
        <v>1.32291666666677</v>
      </c>
      <c r="C34" s="78">
        <v>31</v>
      </c>
      <c r="D34" s="92">
        <v>0</v>
      </c>
      <c r="E34" s="91">
        <f>[1]TPCIL!N43</f>
        <v>0</v>
      </c>
      <c r="F34" s="90">
        <f t="shared" si="0"/>
        <v>0</v>
      </c>
      <c r="G34" s="90">
        <f t="shared" si="1"/>
        <v>-500</v>
      </c>
      <c r="H34" s="90">
        <f t="shared" si="2"/>
        <v>625</v>
      </c>
      <c r="I34" s="90">
        <f t="shared" si="3"/>
        <v>125</v>
      </c>
      <c r="J34" s="92">
        <f t="shared" si="4"/>
        <v>500</v>
      </c>
      <c r="K34" s="92">
        <f t="shared" si="5"/>
        <v>156</v>
      </c>
      <c r="L34" s="92">
        <v>0</v>
      </c>
      <c r="M34" s="92">
        <v>0</v>
      </c>
    </row>
    <row r="35" ht="16.5" spans="1:13">
      <c r="A35" s="89">
        <v>1.32291666666677</v>
      </c>
      <c r="B35" s="89">
        <v>1.33333333333344</v>
      </c>
      <c r="C35" s="78">
        <v>32</v>
      </c>
      <c r="D35" s="92">
        <v>0</v>
      </c>
      <c r="E35" s="91">
        <f>[1]TPCIL!N44</f>
        <v>0</v>
      </c>
      <c r="F35" s="90">
        <f t="shared" si="0"/>
        <v>0</v>
      </c>
      <c r="G35" s="90">
        <f t="shared" si="1"/>
        <v>-500</v>
      </c>
      <c r="H35" s="90">
        <f t="shared" si="2"/>
        <v>625</v>
      </c>
      <c r="I35" s="90">
        <f t="shared" si="3"/>
        <v>125</v>
      </c>
      <c r="J35" s="92">
        <f t="shared" si="4"/>
        <v>500</v>
      </c>
      <c r="K35" s="92">
        <f t="shared" si="5"/>
        <v>156</v>
      </c>
      <c r="L35" s="92">
        <v>0</v>
      </c>
      <c r="M35" s="92">
        <v>0</v>
      </c>
    </row>
    <row r="36" ht="16.5" spans="1:13">
      <c r="A36" s="89">
        <v>1.33333333333344</v>
      </c>
      <c r="B36" s="89">
        <v>1.34375000000011</v>
      </c>
      <c r="C36" s="78">
        <v>33</v>
      </c>
      <c r="D36" s="92">
        <v>0</v>
      </c>
      <c r="E36" s="91">
        <f>[1]TPCIL!N45</f>
        <v>0</v>
      </c>
      <c r="F36" s="90">
        <f t="shared" si="0"/>
        <v>0</v>
      </c>
      <c r="G36" s="90">
        <f t="shared" si="1"/>
        <v>-500</v>
      </c>
      <c r="H36" s="90">
        <f t="shared" si="2"/>
        <v>625</v>
      </c>
      <c r="I36" s="90">
        <f t="shared" si="3"/>
        <v>125</v>
      </c>
      <c r="J36" s="92">
        <f t="shared" si="4"/>
        <v>500</v>
      </c>
      <c r="K36" s="92">
        <f t="shared" si="5"/>
        <v>156</v>
      </c>
      <c r="L36" s="92">
        <v>0</v>
      </c>
      <c r="M36" s="92">
        <v>0</v>
      </c>
    </row>
    <row r="37" ht="16.5" spans="1:13">
      <c r="A37" s="89">
        <v>1.34375000000011</v>
      </c>
      <c r="B37" s="89">
        <v>1.35416666666678</v>
      </c>
      <c r="C37" s="78">
        <v>34</v>
      </c>
      <c r="D37" s="92">
        <v>0</v>
      </c>
      <c r="E37" s="91">
        <f>[1]TPCIL!N46</f>
        <v>0</v>
      </c>
      <c r="F37" s="90">
        <f t="shared" si="0"/>
        <v>0</v>
      </c>
      <c r="G37" s="90">
        <f t="shared" si="1"/>
        <v>-500</v>
      </c>
      <c r="H37" s="90">
        <f t="shared" si="2"/>
        <v>625</v>
      </c>
      <c r="I37" s="90">
        <f t="shared" si="3"/>
        <v>125</v>
      </c>
      <c r="J37" s="92">
        <f t="shared" si="4"/>
        <v>500</v>
      </c>
      <c r="K37" s="92">
        <f t="shared" si="5"/>
        <v>156</v>
      </c>
      <c r="L37" s="92">
        <v>0</v>
      </c>
      <c r="M37" s="92">
        <v>0</v>
      </c>
    </row>
    <row r="38" ht="16.5" spans="1:13">
      <c r="A38" s="89">
        <v>1.35416666666678</v>
      </c>
      <c r="B38" s="89">
        <v>1.36458333333344</v>
      </c>
      <c r="C38" s="78">
        <v>35</v>
      </c>
      <c r="D38" s="92">
        <v>0</v>
      </c>
      <c r="E38" s="91">
        <f>[1]TPCIL!N47</f>
        <v>0</v>
      </c>
      <c r="F38" s="90">
        <f t="shared" si="0"/>
        <v>0</v>
      </c>
      <c r="G38" s="90">
        <f t="shared" si="1"/>
        <v>-500</v>
      </c>
      <c r="H38" s="90">
        <f t="shared" si="2"/>
        <v>625</v>
      </c>
      <c r="I38" s="90">
        <f t="shared" si="3"/>
        <v>125</v>
      </c>
      <c r="J38" s="92">
        <f t="shared" si="4"/>
        <v>500</v>
      </c>
      <c r="K38" s="92">
        <f t="shared" si="5"/>
        <v>156</v>
      </c>
      <c r="L38" s="92">
        <v>0</v>
      </c>
      <c r="M38" s="92">
        <v>0</v>
      </c>
    </row>
    <row r="39" ht="16.5" spans="1:13">
      <c r="A39" s="89">
        <v>1.36458333333345</v>
      </c>
      <c r="B39" s="89">
        <v>1.37500000000012</v>
      </c>
      <c r="C39" s="78">
        <v>36</v>
      </c>
      <c r="D39" s="92">
        <v>0</v>
      </c>
      <c r="E39" s="91">
        <f>[1]TPCIL!N48</f>
        <v>0</v>
      </c>
      <c r="F39" s="90">
        <f t="shared" si="0"/>
        <v>0</v>
      </c>
      <c r="G39" s="90">
        <f t="shared" si="1"/>
        <v>-500</v>
      </c>
      <c r="H39" s="90">
        <f t="shared" si="2"/>
        <v>625</v>
      </c>
      <c r="I39" s="90">
        <f t="shared" si="3"/>
        <v>125</v>
      </c>
      <c r="J39" s="92">
        <f t="shared" si="4"/>
        <v>500</v>
      </c>
      <c r="K39" s="92">
        <f t="shared" si="5"/>
        <v>156</v>
      </c>
      <c r="L39" s="92">
        <v>0</v>
      </c>
      <c r="M39" s="92">
        <v>0</v>
      </c>
    </row>
    <row r="40" ht="16.5" spans="1:13">
      <c r="A40" s="89">
        <v>1.37500000000012</v>
      </c>
      <c r="B40" s="89">
        <v>1.38541666666679</v>
      </c>
      <c r="C40" s="78">
        <v>37</v>
      </c>
      <c r="D40" s="92">
        <v>0</v>
      </c>
      <c r="E40" s="91">
        <f>[1]TPCIL!N49</f>
        <v>0</v>
      </c>
      <c r="F40" s="90">
        <f t="shared" si="0"/>
        <v>0</v>
      </c>
      <c r="G40" s="90">
        <f t="shared" si="1"/>
        <v>-500</v>
      </c>
      <c r="H40" s="90">
        <f t="shared" si="2"/>
        <v>625</v>
      </c>
      <c r="I40" s="90">
        <f t="shared" si="3"/>
        <v>125</v>
      </c>
      <c r="J40" s="92">
        <f t="shared" si="4"/>
        <v>500</v>
      </c>
      <c r="K40" s="92">
        <f t="shared" si="5"/>
        <v>156</v>
      </c>
      <c r="L40" s="92">
        <v>0</v>
      </c>
      <c r="M40" s="92">
        <v>0</v>
      </c>
    </row>
    <row r="41" ht="16.5" spans="1:13">
      <c r="A41" s="89">
        <v>1.38541666666679</v>
      </c>
      <c r="B41" s="89">
        <v>1.39583333333345</v>
      </c>
      <c r="C41" s="78">
        <v>38</v>
      </c>
      <c r="D41" s="92">
        <v>0</v>
      </c>
      <c r="E41" s="91">
        <f>[1]TPCIL!N50</f>
        <v>0</v>
      </c>
      <c r="F41" s="90">
        <f t="shared" si="0"/>
        <v>0</v>
      </c>
      <c r="G41" s="90">
        <f t="shared" si="1"/>
        <v>-500</v>
      </c>
      <c r="H41" s="90">
        <f t="shared" si="2"/>
        <v>625</v>
      </c>
      <c r="I41" s="90">
        <f t="shared" si="3"/>
        <v>125</v>
      </c>
      <c r="J41" s="92">
        <f t="shared" si="4"/>
        <v>500</v>
      </c>
      <c r="K41" s="92">
        <f t="shared" si="5"/>
        <v>156</v>
      </c>
      <c r="L41" s="92">
        <v>0</v>
      </c>
      <c r="M41" s="92">
        <v>0</v>
      </c>
    </row>
    <row r="42" ht="16.5" spans="1:13">
      <c r="A42" s="89">
        <v>1.39583333333346</v>
      </c>
      <c r="B42" s="89">
        <v>1.40625000000012</v>
      </c>
      <c r="C42" s="78">
        <v>39</v>
      </c>
      <c r="D42" s="92">
        <v>0</v>
      </c>
      <c r="E42" s="91">
        <f>[1]TPCIL!N51</f>
        <v>0</v>
      </c>
      <c r="F42" s="90">
        <f t="shared" si="0"/>
        <v>0</v>
      </c>
      <c r="G42" s="90">
        <f t="shared" si="1"/>
        <v>-500</v>
      </c>
      <c r="H42" s="90">
        <f t="shared" si="2"/>
        <v>625</v>
      </c>
      <c r="I42" s="90">
        <f t="shared" si="3"/>
        <v>125</v>
      </c>
      <c r="J42" s="92">
        <f t="shared" si="4"/>
        <v>500</v>
      </c>
      <c r="K42" s="92">
        <f t="shared" si="5"/>
        <v>156</v>
      </c>
      <c r="L42" s="92">
        <v>0</v>
      </c>
      <c r="M42" s="92">
        <v>0</v>
      </c>
    </row>
    <row r="43" ht="16.5" spans="1:13">
      <c r="A43" s="89">
        <v>1.40625000000013</v>
      </c>
      <c r="B43" s="89">
        <v>1.41666666666679</v>
      </c>
      <c r="C43" s="78">
        <v>40</v>
      </c>
      <c r="D43" s="92">
        <v>0</v>
      </c>
      <c r="E43" s="91">
        <f>[1]TPCIL!N52</f>
        <v>0</v>
      </c>
      <c r="F43" s="90">
        <f t="shared" si="0"/>
        <v>0</v>
      </c>
      <c r="G43" s="90">
        <f t="shared" si="1"/>
        <v>-500</v>
      </c>
      <c r="H43" s="90">
        <f t="shared" si="2"/>
        <v>625</v>
      </c>
      <c r="I43" s="90">
        <f t="shared" si="3"/>
        <v>125</v>
      </c>
      <c r="J43" s="92">
        <f t="shared" si="4"/>
        <v>500</v>
      </c>
      <c r="K43" s="92">
        <f t="shared" si="5"/>
        <v>156</v>
      </c>
      <c r="L43" s="92">
        <v>0</v>
      </c>
      <c r="M43" s="92">
        <v>0</v>
      </c>
    </row>
    <row r="44" ht="16.5" spans="1:13">
      <c r="A44" s="89">
        <v>1.4166666666668</v>
      </c>
      <c r="B44" s="89">
        <v>1.42708333333346</v>
      </c>
      <c r="C44" s="78">
        <v>41</v>
      </c>
      <c r="D44" s="92">
        <v>0</v>
      </c>
      <c r="E44" s="91">
        <f>[1]TPCIL!N53</f>
        <v>0</v>
      </c>
      <c r="F44" s="90">
        <f t="shared" si="0"/>
        <v>0</v>
      </c>
      <c r="G44" s="90">
        <f t="shared" si="1"/>
        <v>-500</v>
      </c>
      <c r="H44" s="90">
        <f t="shared" si="2"/>
        <v>625</v>
      </c>
      <c r="I44" s="90">
        <f t="shared" si="3"/>
        <v>125</v>
      </c>
      <c r="J44" s="92">
        <f t="shared" si="4"/>
        <v>500</v>
      </c>
      <c r="K44" s="92">
        <f t="shared" si="5"/>
        <v>156</v>
      </c>
      <c r="L44" s="92">
        <v>0</v>
      </c>
      <c r="M44" s="92">
        <v>0</v>
      </c>
    </row>
    <row r="45" ht="16.5" spans="1:13">
      <c r="A45" s="89">
        <v>1.42708333333347</v>
      </c>
      <c r="B45" s="89">
        <v>1.43750000000013</v>
      </c>
      <c r="C45" s="78">
        <v>42</v>
      </c>
      <c r="D45" s="92">
        <v>0</v>
      </c>
      <c r="E45" s="91">
        <f>[1]TPCIL!N54</f>
        <v>0</v>
      </c>
      <c r="F45" s="90">
        <f t="shared" si="0"/>
        <v>0</v>
      </c>
      <c r="G45" s="90">
        <f t="shared" si="1"/>
        <v>-500</v>
      </c>
      <c r="H45" s="90">
        <f t="shared" si="2"/>
        <v>625</v>
      </c>
      <c r="I45" s="90">
        <f t="shared" si="3"/>
        <v>125</v>
      </c>
      <c r="J45" s="92">
        <f t="shared" si="4"/>
        <v>500</v>
      </c>
      <c r="K45" s="92">
        <f t="shared" si="5"/>
        <v>156</v>
      </c>
      <c r="L45" s="92">
        <v>0</v>
      </c>
      <c r="M45" s="92">
        <v>0</v>
      </c>
    </row>
    <row r="46" ht="16.5" spans="1:13">
      <c r="A46" s="89">
        <v>1.43750000000014</v>
      </c>
      <c r="B46" s="89">
        <v>1.4479166666668</v>
      </c>
      <c r="C46" s="78">
        <v>43</v>
      </c>
      <c r="D46" s="92">
        <v>0</v>
      </c>
      <c r="E46" s="91">
        <f>[1]TPCIL!N55</f>
        <v>0</v>
      </c>
      <c r="F46" s="90">
        <f t="shared" si="0"/>
        <v>0</v>
      </c>
      <c r="G46" s="90">
        <f t="shared" si="1"/>
        <v>-500</v>
      </c>
      <c r="H46" s="90">
        <f t="shared" si="2"/>
        <v>625</v>
      </c>
      <c r="I46" s="90">
        <f t="shared" si="3"/>
        <v>125</v>
      </c>
      <c r="J46" s="92">
        <f t="shared" si="4"/>
        <v>500</v>
      </c>
      <c r="K46" s="92">
        <f t="shared" si="5"/>
        <v>156</v>
      </c>
      <c r="L46" s="92">
        <v>0</v>
      </c>
      <c r="M46" s="92">
        <v>0</v>
      </c>
    </row>
    <row r="47" ht="16.5" spans="1:13">
      <c r="A47" s="89">
        <v>1.44791666666681</v>
      </c>
      <c r="B47" s="89">
        <v>1.45833333333347</v>
      </c>
      <c r="C47" s="78">
        <v>44</v>
      </c>
      <c r="D47" s="92">
        <v>0</v>
      </c>
      <c r="E47" s="91">
        <f>[1]TPCIL!N56</f>
        <v>0</v>
      </c>
      <c r="F47" s="90">
        <f t="shared" si="0"/>
        <v>0</v>
      </c>
      <c r="G47" s="90">
        <f t="shared" si="1"/>
        <v>-500</v>
      </c>
      <c r="H47" s="90">
        <f t="shared" si="2"/>
        <v>625</v>
      </c>
      <c r="I47" s="90">
        <f t="shared" si="3"/>
        <v>125</v>
      </c>
      <c r="J47" s="92">
        <f t="shared" si="4"/>
        <v>500</v>
      </c>
      <c r="K47" s="92">
        <f t="shared" si="5"/>
        <v>156</v>
      </c>
      <c r="L47" s="92">
        <v>0</v>
      </c>
      <c r="M47" s="92">
        <v>0</v>
      </c>
    </row>
    <row r="48" ht="16.5" spans="1:13">
      <c r="A48" s="89">
        <v>1.45833333333348</v>
      </c>
      <c r="B48" s="89">
        <v>1.46875000000014</v>
      </c>
      <c r="C48" s="78">
        <v>45</v>
      </c>
      <c r="D48" s="92">
        <v>0</v>
      </c>
      <c r="E48" s="91">
        <f>[1]TPCIL!N57</f>
        <v>0</v>
      </c>
      <c r="F48" s="90">
        <f t="shared" si="0"/>
        <v>0</v>
      </c>
      <c r="G48" s="90">
        <f t="shared" si="1"/>
        <v>-500</v>
      </c>
      <c r="H48" s="90">
        <f t="shared" si="2"/>
        <v>625</v>
      </c>
      <c r="I48" s="90">
        <f t="shared" si="3"/>
        <v>125</v>
      </c>
      <c r="J48" s="92">
        <f t="shared" si="4"/>
        <v>500</v>
      </c>
      <c r="K48" s="92">
        <f t="shared" si="5"/>
        <v>156</v>
      </c>
      <c r="L48" s="92">
        <v>0</v>
      </c>
      <c r="M48" s="92">
        <v>0</v>
      </c>
    </row>
    <row r="49" ht="16.5" spans="1:13">
      <c r="A49" s="89">
        <v>1.46875000000015</v>
      </c>
      <c r="B49" s="89">
        <v>1.47916666666681</v>
      </c>
      <c r="C49" s="78">
        <v>46</v>
      </c>
      <c r="D49" s="92">
        <v>0</v>
      </c>
      <c r="E49" s="91">
        <f>[1]TPCIL!N58</f>
        <v>0</v>
      </c>
      <c r="F49" s="90">
        <f t="shared" si="0"/>
        <v>0</v>
      </c>
      <c r="G49" s="90">
        <f t="shared" si="1"/>
        <v>-500</v>
      </c>
      <c r="H49" s="90">
        <f t="shared" si="2"/>
        <v>625</v>
      </c>
      <c r="I49" s="90">
        <f t="shared" si="3"/>
        <v>125</v>
      </c>
      <c r="J49" s="92">
        <f t="shared" si="4"/>
        <v>500</v>
      </c>
      <c r="K49" s="92">
        <f t="shared" si="5"/>
        <v>156</v>
      </c>
      <c r="L49" s="92">
        <v>0</v>
      </c>
      <c r="M49" s="92">
        <v>0</v>
      </c>
    </row>
    <row r="50" ht="16.5" spans="1:13">
      <c r="A50" s="89">
        <v>1.47916666666682</v>
      </c>
      <c r="B50" s="89">
        <v>1.48958333333348</v>
      </c>
      <c r="C50" s="78">
        <v>47</v>
      </c>
      <c r="D50" s="92">
        <v>0</v>
      </c>
      <c r="E50" s="91">
        <f>[1]TPCIL!N59</f>
        <v>0</v>
      </c>
      <c r="F50" s="90">
        <f t="shared" si="0"/>
        <v>0</v>
      </c>
      <c r="G50" s="90">
        <f t="shared" si="1"/>
        <v>-500</v>
      </c>
      <c r="H50" s="90">
        <f t="shared" si="2"/>
        <v>625</v>
      </c>
      <c r="I50" s="90">
        <f t="shared" si="3"/>
        <v>125</v>
      </c>
      <c r="J50" s="92">
        <f t="shared" si="4"/>
        <v>500</v>
      </c>
      <c r="K50" s="92">
        <f t="shared" si="5"/>
        <v>156</v>
      </c>
      <c r="L50" s="92">
        <v>0</v>
      </c>
      <c r="M50" s="92">
        <v>0</v>
      </c>
    </row>
    <row r="51" ht="16.5" spans="1:13">
      <c r="A51" s="89">
        <v>1.48958333333349</v>
      </c>
      <c r="B51" s="89">
        <v>1.50000000000015</v>
      </c>
      <c r="C51" s="78">
        <v>48</v>
      </c>
      <c r="D51" s="92">
        <v>0</v>
      </c>
      <c r="E51" s="91">
        <f>[1]TPCIL!N60</f>
        <v>0</v>
      </c>
      <c r="F51" s="90">
        <f t="shared" si="0"/>
        <v>0</v>
      </c>
      <c r="G51" s="90">
        <f t="shared" si="1"/>
        <v>-500</v>
      </c>
      <c r="H51" s="90">
        <f t="shared" si="2"/>
        <v>625</v>
      </c>
      <c r="I51" s="90">
        <f t="shared" si="3"/>
        <v>125</v>
      </c>
      <c r="J51" s="92">
        <f t="shared" si="4"/>
        <v>500</v>
      </c>
      <c r="K51" s="92">
        <f t="shared" si="5"/>
        <v>156</v>
      </c>
      <c r="L51" s="92">
        <v>0</v>
      </c>
      <c r="M51" s="92">
        <v>0</v>
      </c>
    </row>
    <row r="52" ht="16.5" spans="1:13">
      <c r="A52" s="89">
        <v>1.50000000000016</v>
      </c>
      <c r="B52" s="89">
        <v>1.51041666666682</v>
      </c>
      <c r="C52" s="78">
        <v>49</v>
      </c>
      <c r="D52" s="92">
        <v>0</v>
      </c>
      <c r="E52" s="91">
        <f>[1]TPCIL!N61</f>
        <v>0</v>
      </c>
      <c r="F52" s="90">
        <f t="shared" si="0"/>
        <v>0</v>
      </c>
      <c r="G52" s="90">
        <f t="shared" si="1"/>
        <v>-500</v>
      </c>
      <c r="H52" s="90">
        <f t="shared" si="2"/>
        <v>625</v>
      </c>
      <c r="I52" s="90">
        <f t="shared" si="3"/>
        <v>125</v>
      </c>
      <c r="J52" s="92">
        <f t="shared" si="4"/>
        <v>500</v>
      </c>
      <c r="K52" s="92">
        <f t="shared" si="5"/>
        <v>156</v>
      </c>
      <c r="L52" s="92">
        <v>0</v>
      </c>
      <c r="M52" s="92">
        <v>0</v>
      </c>
    </row>
    <row r="53" ht="16.5" spans="1:13">
      <c r="A53" s="89">
        <v>1.51041666666683</v>
      </c>
      <c r="B53" s="89">
        <v>1.52083333333349</v>
      </c>
      <c r="C53" s="78">
        <v>50</v>
      </c>
      <c r="D53" s="92">
        <v>0</v>
      </c>
      <c r="E53" s="91">
        <f>[1]TPCIL!N62</f>
        <v>0</v>
      </c>
      <c r="F53" s="90">
        <f t="shared" si="0"/>
        <v>0</v>
      </c>
      <c r="G53" s="90">
        <f t="shared" si="1"/>
        <v>-500</v>
      </c>
      <c r="H53" s="90">
        <f t="shared" si="2"/>
        <v>625</v>
      </c>
      <c r="I53" s="90">
        <f t="shared" si="3"/>
        <v>125</v>
      </c>
      <c r="J53" s="92">
        <f t="shared" si="4"/>
        <v>500</v>
      </c>
      <c r="K53" s="92">
        <f t="shared" si="5"/>
        <v>156</v>
      </c>
      <c r="L53" s="92">
        <v>0</v>
      </c>
      <c r="M53" s="92">
        <v>0</v>
      </c>
    </row>
    <row r="54" ht="16.5" spans="1:13">
      <c r="A54" s="89">
        <v>1.5208333333335</v>
      </c>
      <c r="B54" s="89">
        <v>1.53125000000016</v>
      </c>
      <c r="C54" s="78">
        <v>51</v>
      </c>
      <c r="D54" s="92">
        <v>0</v>
      </c>
      <c r="E54" s="91">
        <f>[1]TPCIL!N63</f>
        <v>0</v>
      </c>
      <c r="F54" s="90">
        <f t="shared" si="0"/>
        <v>0</v>
      </c>
      <c r="G54" s="90">
        <f t="shared" si="1"/>
        <v>-500</v>
      </c>
      <c r="H54" s="90">
        <f t="shared" si="2"/>
        <v>625</v>
      </c>
      <c r="I54" s="90">
        <f t="shared" si="3"/>
        <v>125</v>
      </c>
      <c r="J54" s="92">
        <f t="shared" si="4"/>
        <v>500</v>
      </c>
      <c r="K54" s="92">
        <f t="shared" si="5"/>
        <v>156</v>
      </c>
      <c r="L54" s="92">
        <v>0</v>
      </c>
      <c r="M54" s="92">
        <v>0</v>
      </c>
    </row>
    <row r="55" ht="16.5" spans="1:13">
      <c r="A55" s="89">
        <v>1.53125000000017</v>
      </c>
      <c r="B55" s="89">
        <v>1.54166666666683</v>
      </c>
      <c r="C55" s="78">
        <v>52</v>
      </c>
      <c r="D55" s="92">
        <v>0</v>
      </c>
      <c r="E55" s="91">
        <f>[1]TPCIL!N64</f>
        <v>0</v>
      </c>
      <c r="F55" s="90">
        <f t="shared" si="0"/>
        <v>0</v>
      </c>
      <c r="G55" s="90">
        <f t="shared" si="1"/>
        <v>-500</v>
      </c>
      <c r="H55" s="90">
        <f t="shared" si="2"/>
        <v>625</v>
      </c>
      <c r="I55" s="90">
        <f t="shared" si="3"/>
        <v>125</v>
      </c>
      <c r="J55" s="92">
        <f t="shared" si="4"/>
        <v>500</v>
      </c>
      <c r="K55" s="92">
        <f t="shared" si="5"/>
        <v>156</v>
      </c>
      <c r="L55" s="92">
        <v>0</v>
      </c>
      <c r="M55" s="92">
        <v>0</v>
      </c>
    </row>
    <row r="56" ht="16.5" spans="1:13">
      <c r="A56" s="89">
        <v>1.54166666666684</v>
      </c>
      <c r="B56" s="89">
        <v>1.5520833333335</v>
      </c>
      <c r="C56" s="78">
        <v>53</v>
      </c>
      <c r="D56" s="92">
        <v>0</v>
      </c>
      <c r="E56" s="91">
        <f>[1]TPCIL!N65</f>
        <v>0</v>
      </c>
      <c r="F56" s="90">
        <f t="shared" si="0"/>
        <v>0</v>
      </c>
      <c r="G56" s="90">
        <f t="shared" si="1"/>
        <v>-500</v>
      </c>
      <c r="H56" s="90">
        <f t="shared" si="2"/>
        <v>625</v>
      </c>
      <c r="I56" s="90">
        <f t="shared" si="3"/>
        <v>125</v>
      </c>
      <c r="J56" s="92">
        <f t="shared" si="4"/>
        <v>500</v>
      </c>
      <c r="K56" s="92">
        <f t="shared" si="5"/>
        <v>156</v>
      </c>
      <c r="L56" s="92">
        <v>0</v>
      </c>
      <c r="M56" s="92">
        <v>0</v>
      </c>
    </row>
    <row r="57" ht="16.5" spans="1:13">
      <c r="A57" s="89">
        <v>1.55208333333351</v>
      </c>
      <c r="B57" s="89">
        <v>1.56250000000017</v>
      </c>
      <c r="C57" s="78">
        <v>54</v>
      </c>
      <c r="D57" s="92">
        <v>0</v>
      </c>
      <c r="E57" s="91">
        <f>[1]TPCIL!N66</f>
        <v>0</v>
      </c>
      <c r="F57" s="90">
        <f t="shared" si="0"/>
        <v>0</v>
      </c>
      <c r="G57" s="90">
        <f t="shared" si="1"/>
        <v>-500</v>
      </c>
      <c r="H57" s="90">
        <f t="shared" si="2"/>
        <v>625</v>
      </c>
      <c r="I57" s="90">
        <f t="shared" si="3"/>
        <v>125</v>
      </c>
      <c r="J57" s="92">
        <f t="shared" si="4"/>
        <v>500</v>
      </c>
      <c r="K57" s="92">
        <f t="shared" si="5"/>
        <v>156</v>
      </c>
      <c r="L57" s="92">
        <v>0</v>
      </c>
      <c r="M57" s="92">
        <v>0</v>
      </c>
    </row>
    <row r="58" ht="16.5" spans="1:13">
      <c r="A58" s="89">
        <v>1.56250000000018</v>
      </c>
      <c r="B58" s="89">
        <v>1.57291666666684</v>
      </c>
      <c r="C58" s="78">
        <v>55</v>
      </c>
      <c r="D58" s="92">
        <v>0</v>
      </c>
      <c r="E58" s="91">
        <f>[1]TPCIL!N67</f>
        <v>0</v>
      </c>
      <c r="F58" s="90">
        <f t="shared" si="0"/>
        <v>0</v>
      </c>
      <c r="G58" s="90">
        <f t="shared" si="1"/>
        <v>-500</v>
      </c>
      <c r="H58" s="90">
        <f t="shared" si="2"/>
        <v>625</v>
      </c>
      <c r="I58" s="90">
        <f t="shared" si="3"/>
        <v>125</v>
      </c>
      <c r="J58" s="92">
        <f t="shared" si="4"/>
        <v>500</v>
      </c>
      <c r="K58" s="92">
        <f t="shared" si="5"/>
        <v>156</v>
      </c>
      <c r="L58" s="92">
        <v>0</v>
      </c>
      <c r="M58" s="92">
        <v>0</v>
      </c>
    </row>
    <row r="59" ht="16.5" spans="1:13">
      <c r="A59" s="89">
        <v>1.57291666666685</v>
      </c>
      <c r="B59" s="89">
        <v>1.58333333333351</v>
      </c>
      <c r="C59" s="78">
        <v>56</v>
      </c>
      <c r="D59" s="92">
        <v>0</v>
      </c>
      <c r="E59" s="91">
        <f>[1]TPCIL!N68</f>
        <v>0</v>
      </c>
      <c r="F59" s="90">
        <f t="shared" si="0"/>
        <v>0</v>
      </c>
      <c r="G59" s="90">
        <f t="shared" si="1"/>
        <v>-500</v>
      </c>
      <c r="H59" s="90">
        <f t="shared" si="2"/>
        <v>625</v>
      </c>
      <c r="I59" s="90">
        <f t="shared" si="3"/>
        <v>125</v>
      </c>
      <c r="J59" s="92">
        <f t="shared" si="4"/>
        <v>500</v>
      </c>
      <c r="K59" s="92">
        <f t="shared" si="5"/>
        <v>156</v>
      </c>
      <c r="L59" s="92">
        <v>0</v>
      </c>
      <c r="M59" s="92">
        <v>0</v>
      </c>
    </row>
    <row r="60" ht="16.5" spans="1:13">
      <c r="A60" s="89">
        <v>1.58333333333352</v>
      </c>
      <c r="B60" s="89">
        <v>1.59375000000018</v>
      </c>
      <c r="C60" s="78">
        <v>57</v>
      </c>
      <c r="D60" s="92">
        <v>0</v>
      </c>
      <c r="E60" s="91">
        <f>[1]TPCIL!N69</f>
        <v>0</v>
      </c>
      <c r="F60" s="90">
        <f t="shared" si="0"/>
        <v>0</v>
      </c>
      <c r="G60" s="90">
        <f t="shared" si="1"/>
        <v>-500</v>
      </c>
      <c r="H60" s="90">
        <f t="shared" si="2"/>
        <v>625</v>
      </c>
      <c r="I60" s="90">
        <f t="shared" si="3"/>
        <v>125</v>
      </c>
      <c r="J60" s="92">
        <f t="shared" si="4"/>
        <v>500</v>
      </c>
      <c r="K60" s="92">
        <f t="shared" si="5"/>
        <v>156</v>
      </c>
      <c r="L60" s="92">
        <v>0</v>
      </c>
      <c r="M60" s="92">
        <v>0</v>
      </c>
    </row>
    <row r="61" ht="16.5" spans="1:13">
      <c r="A61" s="89">
        <v>1.59375000000019</v>
      </c>
      <c r="B61" s="89">
        <v>1.60416666666685</v>
      </c>
      <c r="C61" s="78">
        <v>58</v>
      </c>
      <c r="D61" s="92">
        <v>0</v>
      </c>
      <c r="E61" s="91">
        <f>[1]TPCIL!N70</f>
        <v>0</v>
      </c>
      <c r="F61" s="90">
        <f t="shared" si="0"/>
        <v>0</v>
      </c>
      <c r="G61" s="90">
        <f t="shared" si="1"/>
        <v>-500</v>
      </c>
      <c r="H61" s="90">
        <f t="shared" si="2"/>
        <v>625</v>
      </c>
      <c r="I61" s="90">
        <f t="shared" si="3"/>
        <v>125</v>
      </c>
      <c r="J61" s="92">
        <f t="shared" si="4"/>
        <v>500</v>
      </c>
      <c r="K61" s="92">
        <f t="shared" si="5"/>
        <v>156</v>
      </c>
      <c r="L61" s="92">
        <v>0</v>
      </c>
      <c r="M61" s="92">
        <v>0</v>
      </c>
    </row>
    <row r="62" ht="16.5" spans="1:13">
      <c r="A62" s="89">
        <v>1.60416666666686</v>
      </c>
      <c r="B62" s="89">
        <v>1.61458333333352</v>
      </c>
      <c r="C62" s="78">
        <v>59</v>
      </c>
      <c r="D62" s="92">
        <v>0</v>
      </c>
      <c r="E62" s="91">
        <f>[1]TPCIL!N71</f>
        <v>0</v>
      </c>
      <c r="F62" s="90">
        <f t="shared" si="0"/>
        <v>0</v>
      </c>
      <c r="G62" s="90">
        <f t="shared" si="1"/>
        <v>-500</v>
      </c>
      <c r="H62" s="90">
        <f t="shared" si="2"/>
        <v>625</v>
      </c>
      <c r="I62" s="90">
        <f t="shared" si="3"/>
        <v>125</v>
      </c>
      <c r="J62" s="92">
        <f t="shared" si="4"/>
        <v>500</v>
      </c>
      <c r="K62" s="92">
        <f t="shared" si="5"/>
        <v>156</v>
      </c>
      <c r="L62" s="92">
        <v>0</v>
      </c>
      <c r="M62" s="92">
        <v>0</v>
      </c>
    </row>
    <row r="63" ht="16.5" spans="1:13">
      <c r="A63" s="89">
        <v>1.61458333333353</v>
      </c>
      <c r="B63" s="89">
        <v>1.62500000000019</v>
      </c>
      <c r="C63" s="78">
        <v>60</v>
      </c>
      <c r="D63" s="92">
        <v>0</v>
      </c>
      <c r="E63" s="91">
        <f>[1]TPCIL!N72</f>
        <v>0</v>
      </c>
      <c r="F63" s="90">
        <f t="shared" si="0"/>
        <v>0</v>
      </c>
      <c r="G63" s="90">
        <f t="shared" si="1"/>
        <v>-500</v>
      </c>
      <c r="H63" s="90">
        <f t="shared" si="2"/>
        <v>625</v>
      </c>
      <c r="I63" s="90">
        <f t="shared" si="3"/>
        <v>125</v>
      </c>
      <c r="J63" s="92">
        <f t="shared" si="4"/>
        <v>500</v>
      </c>
      <c r="K63" s="92">
        <f t="shared" si="5"/>
        <v>156</v>
      </c>
      <c r="L63" s="92">
        <v>0</v>
      </c>
      <c r="M63" s="92">
        <v>0</v>
      </c>
    </row>
    <row r="64" ht="16.5" spans="1:13">
      <c r="A64" s="89">
        <v>1.6250000000002</v>
      </c>
      <c r="B64" s="89">
        <v>1.63541666666686</v>
      </c>
      <c r="C64" s="78">
        <v>61</v>
      </c>
      <c r="D64" s="92">
        <v>0</v>
      </c>
      <c r="E64" s="91">
        <f>[1]TPCIL!N73</f>
        <v>0</v>
      </c>
      <c r="F64" s="90">
        <f t="shared" si="0"/>
        <v>0</v>
      </c>
      <c r="G64" s="90">
        <f t="shared" si="1"/>
        <v>-500</v>
      </c>
      <c r="H64" s="90">
        <f t="shared" si="2"/>
        <v>625</v>
      </c>
      <c r="I64" s="90">
        <f t="shared" si="3"/>
        <v>125</v>
      </c>
      <c r="J64" s="92">
        <f t="shared" si="4"/>
        <v>500</v>
      </c>
      <c r="K64" s="92">
        <f t="shared" si="5"/>
        <v>156</v>
      </c>
      <c r="L64" s="92">
        <v>0</v>
      </c>
      <c r="M64" s="92">
        <v>0</v>
      </c>
    </row>
    <row r="65" ht="16.5" spans="1:13">
      <c r="A65" s="89">
        <v>1.63541666666687</v>
      </c>
      <c r="B65" s="89">
        <v>1.64583333333353</v>
      </c>
      <c r="C65" s="78">
        <v>62</v>
      </c>
      <c r="D65" s="92">
        <v>0</v>
      </c>
      <c r="E65" s="91">
        <f>[1]TPCIL!N74</f>
        <v>0</v>
      </c>
      <c r="F65" s="90">
        <f t="shared" si="0"/>
        <v>0</v>
      </c>
      <c r="G65" s="90">
        <f t="shared" si="1"/>
        <v>-500</v>
      </c>
      <c r="H65" s="90">
        <f t="shared" si="2"/>
        <v>625</v>
      </c>
      <c r="I65" s="90">
        <f t="shared" si="3"/>
        <v>125</v>
      </c>
      <c r="J65" s="92">
        <f t="shared" si="4"/>
        <v>500</v>
      </c>
      <c r="K65" s="92">
        <f t="shared" si="5"/>
        <v>156</v>
      </c>
      <c r="L65" s="92">
        <v>0</v>
      </c>
      <c r="M65" s="92">
        <v>0</v>
      </c>
    </row>
    <row r="66" ht="16.5" spans="1:13">
      <c r="A66" s="89">
        <v>1.64583333333354</v>
      </c>
      <c r="B66" s="89">
        <v>1.6562500000002</v>
      </c>
      <c r="C66" s="78">
        <v>63</v>
      </c>
      <c r="D66" s="92">
        <v>0</v>
      </c>
      <c r="E66" s="91">
        <f>[1]TPCIL!N75</f>
        <v>0</v>
      </c>
      <c r="F66" s="90">
        <f t="shared" si="0"/>
        <v>0</v>
      </c>
      <c r="G66" s="90">
        <f t="shared" si="1"/>
        <v>-500</v>
      </c>
      <c r="H66" s="90">
        <f t="shared" si="2"/>
        <v>625</v>
      </c>
      <c r="I66" s="90">
        <f t="shared" si="3"/>
        <v>125</v>
      </c>
      <c r="J66" s="92">
        <f t="shared" si="4"/>
        <v>500</v>
      </c>
      <c r="K66" s="92">
        <f t="shared" si="5"/>
        <v>156</v>
      </c>
      <c r="L66" s="92">
        <v>0</v>
      </c>
      <c r="M66" s="92">
        <v>0</v>
      </c>
    </row>
    <row r="67" ht="16.5" spans="1:13">
      <c r="A67" s="89">
        <v>1.65625000000021</v>
      </c>
      <c r="B67" s="89">
        <v>1.66666666666687</v>
      </c>
      <c r="C67" s="78">
        <v>64</v>
      </c>
      <c r="D67" s="92">
        <v>0</v>
      </c>
      <c r="E67" s="91">
        <f>[1]TPCIL!N76</f>
        <v>0</v>
      </c>
      <c r="F67" s="90">
        <f t="shared" si="0"/>
        <v>0</v>
      </c>
      <c r="G67" s="90">
        <f t="shared" si="1"/>
        <v>-500</v>
      </c>
      <c r="H67" s="90">
        <f t="shared" si="2"/>
        <v>625</v>
      </c>
      <c r="I67" s="90">
        <f t="shared" si="3"/>
        <v>125</v>
      </c>
      <c r="J67" s="92">
        <f t="shared" si="4"/>
        <v>500</v>
      </c>
      <c r="K67" s="92">
        <f t="shared" si="5"/>
        <v>156</v>
      </c>
      <c r="L67" s="92">
        <v>0</v>
      </c>
      <c r="M67" s="92">
        <v>0</v>
      </c>
    </row>
    <row r="68" ht="16.5" spans="1:13">
      <c r="A68" s="89">
        <v>1.66666666666689</v>
      </c>
      <c r="B68" s="89">
        <v>1.67708333333354</v>
      </c>
      <c r="C68" s="78">
        <v>65</v>
      </c>
      <c r="D68" s="92">
        <v>0</v>
      </c>
      <c r="E68" s="91">
        <f>[1]TPCIL!N77</f>
        <v>0</v>
      </c>
      <c r="F68" s="90">
        <f t="shared" ref="F68:F99" si="6">D68-E68</f>
        <v>0</v>
      </c>
      <c r="G68" s="90">
        <f t="shared" ref="G68:G99" si="7">F68-500</f>
        <v>-500</v>
      </c>
      <c r="H68" s="90">
        <f t="shared" ref="H68:H99" si="8">625-F68</f>
        <v>625</v>
      </c>
      <c r="I68" s="90">
        <f t="shared" ref="I68:I99" si="9">IF(H68&lt;125,H68,125)</f>
        <v>125</v>
      </c>
      <c r="J68" s="92">
        <f t="shared" ref="J68:J99" si="10">IF(H68&gt;125,H68-125,0)</f>
        <v>500</v>
      </c>
      <c r="K68" s="92">
        <f t="shared" ref="K68:K99" si="11">IF(J68&gt;156,156,J68)</f>
        <v>156</v>
      </c>
      <c r="L68" s="92">
        <v>0</v>
      </c>
      <c r="M68" s="92">
        <v>0</v>
      </c>
    </row>
    <row r="69" ht="16.5" spans="1:13">
      <c r="A69" s="89">
        <v>1.67708333333356</v>
      </c>
      <c r="B69" s="89">
        <v>1.68750000000021</v>
      </c>
      <c r="C69" s="78">
        <v>66</v>
      </c>
      <c r="D69" s="92">
        <v>0</v>
      </c>
      <c r="E69" s="91">
        <f>[1]TPCIL!N78</f>
        <v>0</v>
      </c>
      <c r="F69" s="90">
        <f t="shared" si="6"/>
        <v>0</v>
      </c>
      <c r="G69" s="90">
        <f t="shared" si="7"/>
        <v>-500</v>
      </c>
      <c r="H69" s="90">
        <f t="shared" si="8"/>
        <v>625</v>
      </c>
      <c r="I69" s="90">
        <f t="shared" si="9"/>
        <v>125</v>
      </c>
      <c r="J69" s="92">
        <f t="shared" si="10"/>
        <v>500</v>
      </c>
      <c r="K69" s="92">
        <f t="shared" si="11"/>
        <v>156</v>
      </c>
      <c r="L69" s="92">
        <v>0</v>
      </c>
      <c r="M69" s="92">
        <v>0</v>
      </c>
    </row>
    <row r="70" ht="16.5" spans="1:13">
      <c r="A70" s="89">
        <v>1.68750000000023</v>
      </c>
      <c r="B70" s="89">
        <v>1.69791666666688</v>
      </c>
      <c r="C70" s="78">
        <v>67</v>
      </c>
      <c r="D70" s="92">
        <v>0</v>
      </c>
      <c r="E70" s="91">
        <f>[1]TPCIL!N79</f>
        <v>0</v>
      </c>
      <c r="F70" s="90">
        <f t="shared" si="6"/>
        <v>0</v>
      </c>
      <c r="G70" s="90">
        <f t="shared" si="7"/>
        <v>-500</v>
      </c>
      <c r="H70" s="90">
        <f t="shared" si="8"/>
        <v>625</v>
      </c>
      <c r="I70" s="90">
        <f t="shared" si="9"/>
        <v>125</v>
      </c>
      <c r="J70" s="92">
        <f t="shared" si="10"/>
        <v>500</v>
      </c>
      <c r="K70" s="92">
        <f t="shared" si="11"/>
        <v>156</v>
      </c>
      <c r="L70" s="92">
        <v>0</v>
      </c>
      <c r="M70" s="92">
        <v>0</v>
      </c>
    </row>
    <row r="71" ht="16.5" spans="1:13">
      <c r="A71" s="89">
        <v>1.6979166666669</v>
      </c>
      <c r="B71" s="89">
        <v>1.70833333333355</v>
      </c>
      <c r="C71" s="78">
        <v>68</v>
      </c>
      <c r="D71" s="92">
        <v>0</v>
      </c>
      <c r="E71" s="91">
        <f>[1]TPCIL!N80</f>
        <v>0</v>
      </c>
      <c r="F71" s="90">
        <f t="shared" si="6"/>
        <v>0</v>
      </c>
      <c r="G71" s="90">
        <f t="shared" si="7"/>
        <v>-500</v>
      </c>
      <c r="H71" s="90">
        <f t="shared" si="8"/>
        <v>625</v>
      </c>
      <c r="I71" s="90">
        <f t="shared" si="9"/>
        <v>125</v>
      </c>
      <c r="J71" s="92">
        <f t="shared" si="10"/>
        <v>500</v>
      </c>
      <c r="K71" s="92">
        <f t="shared" si="11"/>
        <v>156</v>
      </c>
      <c r="L71" s="92">
        <v>0</v>
      </c>
      <c r="M71" s="92">
        <v>0</v>
      </c>
    </row>
    <row r="72" ht="16.5" spans="1:13">
      <c r="A72" s="89">
        <v>1.70833333333356</v>
      </c>
      <c r="B72" s="89">
        <v>1.71875000000022</v>
      </c>
      <c r="C72" s="78">
        <v>69</v>
      </c>
      <c r="D72" s="92">
        <v>0</v>
      </c>
      <c r="E72" s="91">
        <f>[1]TPCIL!N81</f>
        <v>0</v>
      </c>
      <c r="F72" s="90">
        <f t="shared" si="6"/>
        <v>0</v>
      </c>
      <c r="G72" s="90">
        <f t="shared" si="7"/>
        <v>-500</v>
      </c>
      <c r="H72" s="90">
        <f t="shared" si="8"/>
        <v>625</v>
      </c>
      <c r="I72" s="90">
        <f t="shared" si="9"/>
        <v>125</v>
      </c>
      <c r="J72" s="92">
        <f t="shared" si="10"/>
        <v>500</v>
      </c>
      <c r="K72" s="92">
        <f t="shared" si="11"/>
        <v>156</v>
      </c>
      <c r="L72" s="92">
        <v>0</v>
      </c>
      <c r="M72" s="92">
        <v>0</v>
      </c>
    </row>
    <row r="73" ht="16.5" spans="1:13">
      <c r="A73" s="89">
        <v>1.71875000000023</v>
      </c>
      <c r="B73" s="89">
        <v>1.72916666666689</v>
      </c>
      <c r="C73" s="78">
        <v>70</v>
      </c>
      <c r="D73" s="92">
        <v>0</v>
      </c>
      <c r="E73" s="91">
        <f>[1]TPCIL!N82</f>
        <v>0</v>
      </c>
      <c r="F73" s="90">
        <f t="shared" si="6"/>
        <v>0</v>
      </c>
      <c r="G73" s="90">
        <f t="shared" si="7"/>
        <v>-500</v>
      </c>
      <c r="H73" s="90">
        <f t="shared" si="8"/>
        <v>625</v>
      </c>
      <c r="I73" s="90">
        <f t="shared" si="9"/>
        <v>125</v>
      </c>
      <c r="J73" s="92">
        <f t="shared" si="10"/>
        <v>500</v>
      </c>
      <c r="K73" s="92">
        <f t="shared" si="11"/>
        <v>156</v>
      </c>
      <c r="L73" s="92">
        <v>0</v>
      </c>
      <c r="M73" s="92">
        <v>0</v>
      </c>
    </row>
    <row r="74" ht="16.5" spans="1:13">
      <c r="A74" s="89">
        <v>1.7291666666669</v>
      </c>
      <c r="B74" s="89">
        <v>1.73958333333356</v>
      </c>
      <c r="C74" s="78">
        <v>71</v>
      </c>
      <c r="D74" s="92">
        <v>0</v>
      </c>
      <c r="E74" s="91">
        <f>[1]TPCIL!N83</f>
        <v>0</v>
      </c>
      <c r="F74" s="90">
        <f t="shared" si="6"/>
        <v>0</v>
      </c>
      <c r="G74" s="90">
        <f t="shared" si="7"/>
        <v>-500</v>
      </c>
      <c r="H74" s="90">
        <f t="shared" si="8"/>
        <v>625</v>
      </c>
      <c r="I74" s="90">
        <f t="shared" si="9"/>
        <v>125</v>
      </c>
      <c r="J74" s="92">
        <f t="shared" si="10"/>
        <v>500</v>
      </c>
      <c r="K74" s="92">
        <f t="shared" si="11"/>
        <v>156</v>
      </c>
      <c r="L74" s="92">
        <v>0</v>
      </c>
      <c r="M74" s="92">
        <v>0</v>
      </c>
    </row>
    <row r="75" ht="16.5" spans="1:13">
      <c r="A75" s="89">
        <v>1.73958333333358</v>
      </c>
      <c r="B75" s="89">
        <v>1.75000000000023</v>
      </c>
      <c r="C75" s="78">
        <v>72</v>
      </c>
      <c r="D75" s="92">
        <v>0</v>
      </c>
      <c r="E75" s="91">
        <f>[1]TPCIL!N84</f>
        <v>0</v>
      </c>
      <c r="F75" s="90">
        <f t="shared" si="6"/>
        <v>0</v>
      </c>
      <c r="G75" s="90">
        <f t="shared" si="7"/>
        <v>-500</v>
      </c>
      <c r="H75" s="90">
        <f t="shared" si="8"/>
        <v>625</v>
      </c>
      <c r="I75" s="90">
        <f t="shared" si="9"/>
        <v>125</v>
      </c>
      <c r="J75" s="92">
        <f t="shared" si="10"/>
        <v>500</v>
      </c>
      <c r="K75" s="92">
        <f t="shared" si="11"/>
        <v>156</v>
      </c>
      <c r="L75" s="92">
        <v>0</v>
      </c>
      <c r="M75" s="92">
        <v>0</v>
      </c>
    </row>
    <row r="76" ht="16.5" spans="1:13">
      <c r="A76" s="89">
        <v>1.75000000000025</v>
      </c>
      <c r="B76" s="89">
        <v>1.7604166666669</v>
      </c>
      <c r="C76" s="78">
        <v>73</v>
      </c>
      <c r="D76" s="92">
        <v>0</v>
      </c>
      <c r="E76" s="91">
        <f>[1]TPCIL!N85</f>
        <v>0</v>
      </c>
      <c r="F76" s="90">
        <f t="shared" si="6"/>
        <v>0</v>
      </c>
      <c r="G76" s="90">
        <f t="shared" si="7"/>
        <v>-500</v>
      </c>
      <c r="H76" s="90">
        <f t="shared" si="8"/>
        <v>625</v>
      </c>
      <c r="I76" s="90">
        <f t="shared" si="9"/>
        <v>125</v>
      </c>
      <c r="J76" s="92">
        <f t="shared" si="10"/>
        <v>500</v>
      </c>
      <c r="K76" s="92">
        <f t="shared" si="11"/>
        <v>156</v>
      </c>
      <c r="L76" s="92">
        <v>0</v>
      </c>
      <c r="M76" s="92">
        <v>0</v>
      </c>
    </row>
    <row r="77" ht="16.5" spans="1:13">
      <c r="A77" s="89">
        <v>1.76041666666691</v>
      </c>
      <c r="B77" s="89">
        <v>1.77083333333357</v>
      </c>
      <c r="C77" s="78">
        <v>74</v>
      </c>
      <c r="D77" s="92">
        <v>0</v>
      </c>
      <c r="E77" s="91">
        <f>[1]TPCIL!N86</f>
        <v>0</v>
      </c>
      <c r="F77" s="90">
        <f t="shared" si="6"/>
        <v>0</v>
      </c>
      <c r="G77" s="90">
        <f t="shared" si="7"/>
        <v>-500</v>
      </c>
      <c r="H77" s="90">
        <f t="shared" si="8"/>
        <v>625</v>
      </c>
      <c r="I77" s="90">
        <f t="shared" si="9"/>
        <v>125</v>
      </c>
      <c r="J77" s="92">
        <f t="shared" si="10"/>
        <v>500</v>
      </c>
      <c r="K77" s="92">
        <f t="shared" si="11"/>
        <v>156</v>
      </c>
      <c r="L77" s="92">
        <v>0</v>
      </c>
      <c r="M77" s="92">
        <v>0</v>
      </c>
    </row>
    <row r="78" ht="16.5" spans="1:13">
      <c r="A78" s="89">
        <v>1.77083333333358</v>
      </c>
      <c r="B78" s="89">
        <v>1.78125000000024</v>
      </c>
      <c r="C78" s="78">
        <v>75</v>
      </c>
      <c r="D78" s="92">
        <v>0</v>
      </c>
      <c r="E78" s="91">
        <f>[1]TPCIL!N87</f>
        <v>0</v>
      </c>
      <c r="F78" s="90">
        <f t="shared" si="6"/>
        <v>0</v>
      </c>
      <c r="G78" s="90">
        <f t="shared" si="7"/>
        <v>-500</v>
      </c>
      <c r="H78" s="90">
        <f t="shared" si="8"/>
        <v>625</v>
      </c>
      <c r="I78" s="90">
        <f t="shared" si="9"/>
        <v>125</v>
      </c>
      <c r="J78" s="92">
        <f t="shared" si="10"/>
        <v>500</v>
      </c>
      <c r="K78" s="92">
        <f t="shared" si="11"/>
        <v>156</v>
      </c>
      <c r="L78" s="92">
        <v>0</v>
      </c>
      <c r="M78" s="92">
        <v>0</v>
      </c>
    </row>
    <row r="79" ht="16.5" spans="1:13">
      <c r="A79" s="89">
        <v>1.78125000000025</v>
      </c>
      <c r="B79" s="89">
        <v>1.79166666666691</v>
      </c>
      <c r="C79" s="78">
        <v>76</v>
      </c>
      <c r="D79" s="92">
        <v>0</v>
      </c>
      <c r="E79" s="91">
        <f>[1]TPCIL!N88</f>
        <v>0</v>
      </c>
      <c r="F79" s="90">
        <f t="shared" si="6"/>
        <v>0</v>
      </c>
      <c r="G79" s="90">
        <f t="shared" si="7"/>
        <v>-500</v>
      </c>
      <c r="H79" s="90">
        <f t="shared" si="8"/>
        <v>625</v>
      </c>
      <c r="I79" s="90">
        <f t="shared" si="9"/>
        <v>125</v>
      </c>
      <c r="J79" s="92">
        <f t="shared" si="10"/>
        <v>500</v>
      </c>
      <c r="K79" s="92">
        <f t="shared" si="11"/>
        <v>156</v>
      </c>
      <c r="L79" s="92">
        <v>0</v>
      </c>
      <c r="M79" s="92">
        <v>0</v>
      </c>
    </row>
    <row r="80" ht="16.5" spans="1:13">
      <c r="A80" s="89">
        <v>1.79166666666692</v>
      </c>
      <c r="B80" s="89">
        <v>1.80208333333358</v>
      </c>
      <c r="C80" s="78">
        <v>77</v>
      </c>
      <c r="D80" s="92">
        <v>0</v>
      </c>
      <c r="E80" s="91">
        <f>[1]TPCIL!N89</f>
        <v>0</v>
      </c>
      <c r="F80" s="90">
        <f t="shared" si="6"/>
        <v>0</v>
      </c>
      <c r="G80" s="90">
        <f t="shared" si="7"/>
        <v>-500</v>
      </c>
      <c r="H80" s="90">
        <f t="shared" si="8"/>
        <v>625</v>
      </c>
      <c r="I80" s="90">
        <f t="shared" si="9"/>
        <v>125</v>
      </c>
      <c r="J80" s="92">
        <f t="shared" si="10"/>
        <v>500</v>
      </c>
      <c r="K80" s="92">
        <f t="shared" si="11"/>
        <v>156</v>
      </c>
      <c r="L80" s="92">
        <v>0</v>
      </c>
      <c r="M80" s="92">
        <v>0</v>
      </c>
    </row>
    <row r="81" ht="16.5" spans="1:13">
      <c r="A81" s="89">
        <v>1.8020833333336</v>
      </c>
      <c r="B81" s="89">
        <v>1.81250000000025</v>
      </c>
      <c r="C81" s="78">
        <v>78</v>
      </c>
      <c r="D81" s="92">
        <v>0</v>
      </c>
      <c r="E81" s="91">
        <f>[1]TPCIL!N90</f>
        <v>0</v>
      </c>
      <c r="F81" s="90">
        <f t="shared" si="6"/>
        <v>0</v>
      </c>
      <c r="G81" s="90">
        <f t="shared" si="7"/>
        <v>-500</v>
      </c>
      <c r="H81" s="90">
        <f t="shared" si="8"/>
        <v>625</v>
      </c>
      <c r="I81" s="90">
        <f t="shared" si="9"/>
        <v>125</v>
      </c>
      <c r="J81" s="92">
        <f t="shared" si="10"/>
        <v>500</v>
      </c>
      <c r="K81" s="92">
        <f t="shared" si="11"/>
        <v>156</v>
      </c>
      <c r="L81" s="92">
        <v>0</v>
      </c>
      <c r="M81" s="92">
        <v>0</v>
      </c>
    </row>
    <row r="82" ht="16.5" spans="1:13">
      <c r="A82" s="89">
        <v>1.81250000000027</v>
      </c>
      <c r="B82" s="89">
        <v>1.82291666666692</v>
      </c>
      <c r="C82" s="78">
        <v>79</v>
      </c>
      <c r="D82" s="92">
        <v>0</v>
      </c>
      <c r="E82" s="91">
        <f>[1]TPCIL!N91</f>
        <v>0</v>
      </c>
      <c r="F82" s="90">
        <f t="shared" si="6"/>
        <v>0</v>
      </c>
      <c r="G82" s="90">
        <f t="shared" si="7"/>
        <v>-500</v>
      </c>
      <c r="H82" s="90">
        <f t="shared" si="8"/>
        <v>625</v>
      </c>
      <c r="I82" s="90">
        <f t="shared" si="9"/>
        <v>125</v>
      </c>
      <c r="J82" s="92">
        <f t="shared" si="10"/>
        <v>500</v>
      </c>
      <c r="K82" s="92">
        <f t="shared" si="11"/>
        <v>156</v>
      </c>
      <c r="L82" s="92">
        <v>0</v>
      </c>
      <c r="M82" s="92">
        <v>0</v>
      </c>
    </row>
    <row r="83" ht="16.5" spans="1:13">
      <c r="A83" s="89">
        <v>1.82291666666694</v>
      </c>
      <c r="B83" s="89">
        <v>1.83333333333359</v>
      </c>
      <c r="C83" s="78">
        <v>80</v>
      </c>
      <c r="D83" s="92">
        <v>0</v>
      </c>
      <c r="E83" s="91">
        <f>[1]TPCIL!N92</f>
        <v>0</v>
      </c>
      <c r="F83" s="90">
        <f t="shared" si="6"/>
        <v>0</v>
      </c>
      <c r="G83" s="90">
        <f t="shared" si="7"/>
        <v>-500</v>
      </c>
      <c r="H83" s="90">
        <f t="shared" si="8"/>
        <v>625</v>
      </c>
      <c r="I83" s="90">
        <f t="shared" si="9"/>
        <v>125</v>
      </c>
      <c r="J83" s="92">
        <f t="shared" si="10"/>
        <v>500</v>
      </c>
      <c r="K83" s="92">
        <f t="shared" si="11"/>
        <v>156</v>
      </c>
      <c r="L83" s="92">
        <v>0</v>
      </c>
      <c r="M83" s="92">
        <v>0</v>
      </c>
    </row>
    <row r="84" ht="16.5" spans="1:13">
      <c r="A84" s="89">
        <v>1.83333333333361</v>
      </c>
      <c r="B84" s="89">
        <v>1.84375000000026</v>
      </c>
      <c r="C84" s="78">
        <v>81</v>
      </c>
      <c r="D84" s="92">
        <v>0</v>
      </c>
      <c r="E84" s="91">
        <f>[1]TPCIL!N93</f>
        <v>0</v>
      </c>
      <c r="F84" s="90">
        <f t="shared" si="6"/>
        <v>0</v>
      </c>
      <c r="G84" s="90">
        <f t="shared" si="7"/>
        <v>-500</v>
      </c>
      <c r="H84" s="90">
        <f t="shared" si="8"/>
        <v>625</v>
      </c>
      <c r="I84" s="90">
        <f t="shared" si="9"/>
        <v>125</v>
      </c>
      <c r="J84" s="92">
        <f t="shared" si="10"/>
        <v>500</v>
      </c>
      <c r="K84" s="92">
        <f t="shared" si="11"/>
        <v>156</v>
      </c>
      <c r="L84" s="92">
        <v>0</v>
      </c>
      <c r="M84" s="92">
        <v>0</v>
      </c>
    </row>
    <row r="85" ht="16.5" spans="1:13">
      <c r="A85" s="89">
        <v>1.84375000000028</v>
      </c>
      <c r="B85" s="89">
        <v>1.85416666666693</v>
      </c>
      <c r="C85" s="78">
        <v>82</v>
      </c>
      <c r="D85" s="92">
        <v>0</v>
      </c>
      <c r="E85" s="91">
        <f>[1]TPCIL!N94</f>
        <v>0</v>
      </c>
      <c r="F85" s="90">
        <f t="shared" si="6"/>
        <v>0</v>
      </c>
      <c r="G85" s="90">
        <f t="shared" si="7"/>
        <v>-500</v>
      </c>
      <c r="H85" s="90">
        <f t="shared" si="8"/>
        <v>625</v>
      </c>
      <c r="I85" s="90">
        <f t="shared" si="9"/>
        <v>125</v>
      </c>
      <c r="J85" s="92">
        <f t="shared" si="10"/>
        <v>500</v>
      </c>
      <c r="K85" s="92">
        <f t="shared" si="11"/>
        <v>156</v>
      </c>
      <c r="L85" s="92">
        <v>0</v>
      </c>
      <c r="M85" s="92">
        <v>0</v>
      </c>
    </row>
    <row r="86" ht="16.5" spans="1:13">
      <c r="A86" s="89">
        <v>1.85416666666695</v>
      </c>
      <c r="B86" s="89">
        <v>1.8645833333336</v>
      </c>
      <c r="C86" s="78">
        <v>83</v>
      </c>
      <c r="D86" s="92">
        <v>0</v>
      </c>
      <c r="E86" s="91">
        <f>[1]TPCIL!N95</f>
        <v>0</v>
      </c>
      <c r="F86" s="90">
        <f t="shared" si="6"/>
        <v>0</v>
      </c>
      <c r="G86" s="90">
        <f t="shared" si="7"/>
        <v>-500</v>
      </c>
      <c r="H86" s="90">
        <f t="shared" si="8"/>
        <v>625</v>
      </c>
      <c r="I86" s="90">
        <f t="shared" si="9"/>
        <v>125</v>
      </c>
      <c r="J86" s="92">
        <f t="shared" si="10"/>
        <v>500</v>
      </c>
      <c r="K86" s="92">
        <f t="shared" si="11"/>
        <v>156</v>
      </c>
      <c r="L86" s="92">
        <v>0</v>
      </c>
      <c r="M86" s="92">
        <v>0</v>
      </c>
    </row>
    <row r="87" ht="16.5" spans="1:13">
      <c r="A87" s="89">
        <v>1.86458333333362</v>
      </c>
      <c r="B87" s="89">
        <v>1.87500000000027</v>
      </c>
      <c r="C87" s="78">
        <v>84</v>
      </c>
      <c r="D87" s="92">
        <v>0</v>
      </c>
      <c r="E87" s="91">
        <f>[1]TPCIL!N96</f>
        <v>0</v>
      </c>
      <c r="F87" s="90">
        <f t="shared" si="6"/>
        <v>0</v>
      </c>
      <c r="G87" s="90">
        <f t="shared" si="7"/>
        <v>-500</v>
      </c>
      <c r="H87" s="90">
        <f t="shared" si="8"/>
        <v>625</v>
      </c>
      <c r="I87" s="90">
        <f t="shared" si="9"/>
        <v>125</v>
      </c>
      <c r="J87" s="92">
        <f t="shared" si="10"/>
        <v>500</v>
      </c>
      <c r="K87" s="92">
        <f t="shared" si="11"/>
        <v>156</v>
      </c>
      <c r="L87" s="92">
        <v>0</v>
      </c>
      <c r="M87" s="92">
        <v>0</v>
      </c>
    </row>
    <row r="88" ht="16.5" spans="1:13">
      <c r="A88" s="89">
        <v>1.87500000000029</v>
      </c>
      <c r="B88" s="89">
        <v>1.88541666666694</v>
      </c>
      <c r="C88" s="78">
        <v>85</v>
      </c>
      <c r="D88" s="92">
        <v>0</v>
      </c>
      <c r="E88" s="91">
        <f>[1]TPCIL!N97</f>
        <v>0</v>
      </c>
      <c r="F88" s="90">
        <f t="shared" si="6"/>
        <v>0</v>
      </c>
      <c r="G88" s="90">
        <f t="shared" si="7"/>
        <v>-500</v>
      </c>
      <c r="H88" s="90">
        <f t="shared" si="8"/>
        <v>625</v>
      </c>
      <c r="I88" s="90">
        <f t="shared" si="9"/>
        <v>125</v>
      </c>
      <c r="J88" s="92">
        <f t="shared" si="10"/>
        <v>500</v>
      </c>
      <c r="K88" s="92">
        <f t="shared" si="11"/>
        <v>156</v>
      </c>
      <c r="L88" s="92">
        <v>0</v>
      </c>
      <c r="M88" s="92">
        <v>0</v>
      </c>
    </row>
    <row r="89" ht="16.5" spans="1:13">
      <c r="A89" s="89">
        <v>1.88541666666696</v>
      </c>
      <c r="B89" s="89">
        <v>1.89583333333361</v>
      </c>
      <c r="C89" s="78">
        <v>86</v>
      </c>
      <c r="D89" s="92">
        <v>0</v>
      </c>
      <c r="E89" s="91">
        <f>[1]TPCIL!N98</f>
        <v>0</v>
      </c>
      <c r="F89" s="90">
        <f t="shared" si="6"/>
        <v>0</v>
      </c>
      <c r="G89" s="90">
        <f t="shared" si="7"/>
        <v>-500</v>
      </c>
      <c r="H89" s="90">
        <f t="shared" si="8"/>
        <v>625</v>
      </c>
      <c r="I89" s="90">
        <f t="shared" si="9"/>
        <v>125</v>
      </c>
      <c r="J89" s="92">
        <f t="shared" si="10"/>
        <v>500</v>
      </c>
      <c r="K89" s="92">
        <f t="shared" si="11"/>
        <v>156</v>
      </c>
      <c r="L89" s="92">
        <v>0</v>
      </c>
      <c r="M89" s="92">
        <v>0</v>
      </c>
    </row>
    <row r="90" ht="16.5" spans="1:13">
      <c r="A90" s="89">
        <v>1.89583333333363</v>
      </c>
      <c r="B90" s="89">
        <v>1.90625000000028</v>
      </c>
      <c r="C90" s="78">
        <v>87</v>
      </c>
      <c r="D90" s="92">
        <v>0</v>
      </c>
      <c r="E90" s="91">
        <f>[1]TPCIL!N99</f>
        <v>0</v>
      </c>
      <c r="F90" s="90">
        <f t="shared" si="6"/>
        <v>0</v>
      </c>
      <c r="G90" s="90">
        <f t="shared" si="7"/>
        <v>-500</v>
      </c>
      <c r="H90" s="90">
        <f t="shared" si="8"/>
        <v>625</v>
      </c>
      <c r="I90" s="90">
        <f t="shared" si="9"/>
        <v>125</v>
      </c>
      <c r="J90" s="92">
        <f t="shared" si="10"/>
        <v>500</v>
      </c>
      <c r="K90" s="92">
        <f t="shared" si="11"/>
        <v>156</v>
      </c>
      <c r="L90" s="92">
        <v>0</v>
      </c>
      <c r="M90" s="92">
        <v>0</v>
      </c>
    </row>
    <row r="91" ht="16.5" spans="1:13">
      <c r="A91" s="89">
        <v>1.9062500000003</v>
      </c>
      <c r="B91" s="89">
        <v>1.91666666666695</v>
      </c>
      <c r="C91" s="78">
        <v>88</v>
      </c>
      <c r="D91" s="92">
        <v>0</v>
      </c>
      <c r="E91" s="91">
        <f>[1]TPCIL!N100</f>
        <v>0</v>
      </c>
      <c r="F91" s="90">
        <f t="shared" si="6"/>
        <v>0</v>
      </c>
      <c r="G91" s="90">
        <f t="shared" si="7"/>
        <v>-500</v>
      </c>
      <c r="H91" s="90">
        <f t="shared" si="8"/>
        <v>625</v>
      </c>
      <c r="I91" s="90">
        <f t="shared" si="9"/>
        <v>125</v>
      </c>
      <c r="J91" s="92">
        <f t="shared" si="10"/>
        <v>500</v>
      </c>
      <c r="K91" s="92">
        <f t="shared" si="11"/>
        <v>156</v>
      </c>
      <c r="L91" s="92">
        <v>0</v>
      </c>
      <c r="M91" s="92">
        <v>0</v>
      </c>
    </row>
    <row r="92" ht="16.5" spans="1:13">
      <c r="A92" s="89">
        <v>1.91666666666697</v>
      </c>
      <c r="B92" s="89">
        <v>1.92708333333362</v>
      </c>
      <c r="C92" s="78">
        <v>89</v>
      </c>
      <c r="D92" s="92">
        <v>0</v>
      </c>
      <c r="E92" s="91">
        <f>[1]TPCIL!N101</f>
        <v>0</v>
      </c>
      <c r="F92" s="90">
        <f t="shared" si="6"/>
        <v>0</v>
      </c>
      <c r="G92" s="90">
        <f t="shared" si="7"/>
        <v>-500</v>
      </c>
      <c r="H92" s="90">
        <f t="shared" si="8"/>
        <v>625</v>
      </c>
      <c r="I92" s="90">
        <f t="shared" si="9"/>
        <v>125</v>
      </c>
      <c r="J92" s="92">
        <f t="shared" si="10"/>
        <v>500</v>
      </c>
      <c r="K92" s="92">
        <f t="shared" si="11"/>
        <v>156</v>
      </c>
      <c r="L92" s="92">
        <v>0</v>
      </c>
      <c r="M92" s="92">
        <v>0</v>
      </c>
    </row>
    <row r="93" ht="16.5" spans="1:13">
      <c r="A93" s="89">
        <v>1.92708333333364</v>
      </c>
      <c r="B93" s="89">
        <v>1.93750000000029</v>
      </c>
      <c r="C93" s="78">
        <v>90</v>
      </c>
      <c r="D93" s="92">
        <v>0</v>
      </c>
      <c r="E93" s="91">
        <f>[1]TPCIL!N102</f>
        <v>0</v>
      </c>
      <c r="F93" s="90">
        <f t="shared" si="6"/>
        <v>0</v>
      </c>
      <c r="G93" s="90">
        <f t="shared" si="7"/>
        <v>-500</v>
      </c>
      <c r="H93" s="90">
        <f t="shared" si="8"/>
        <v>625</v>
      </c>
      <c r="I93" s="90">
        <f t="shared" si="9"/>
        <v>125</v>
      </c>
      <c r="J93" s="92">
        <f t="shared" si="10"/>
        <v>500</v>
      </c>
      <c r="K93" s="92">
        <f t="shared" si="11"/>
        <v>156</v>
      </c>
      <c r="L93" s="92">
        <v>0</v>
      </c>
      <c r="M93" s="92">
        <v>0</v>
      </c>
    </row>
    <row r="94" ht="16.5" spans="1:13">
      <c r="A94" s="89">
        <v>1.93750000000031</v>
      </c>
      <c r="B94" s="89">
        <v>1.94791666666696</v>
      </c>
      <c r="C94" s="78">
        <v>91</v>
      </c>
      <c r="D94" s="92">
        <v>0</v>
      </c>
      <c r="E94" s="91">
        <f>[1]TPCIL!N103</f>
        <v>0</v>
      </c>
      <c r="F94" s="90">
        <f t="shared" si="6"/>
        <v>0</v>
      </c>
      <c r="G94" s="90">
        <f t="shared" si="7"/>
        <v>-500</v>
      </c>
      <c r="H94" s="90">
        <f t="shared" si="8"/>
        <v>625</v>
      </c>
      <c r="I94" s="90">
        <f t="shared" si="9"/>
        <v>125</v>
      </c>
      <c r="J94" s="92">
        <f t="shared" si="10"/>
        <v>500</v>
      </c>
      <c r="K94" s="92">
        <f t="shared" si="11"/>
        <v>156</v>
      </c>
      <c r="L94" s="92">
        <v>0</v>
      </c>
      <c r="M94" s="92">
        <v>0</v>
      </c>
    </row>
    <row r="95" ht="16.5" spans="1:13">
      <c r="A95" s="89">
        <v>1.94791666666698</v>
      </c>
      <c r="B95" s="89">
        <v>1.95833333333363</v>
      </c>
      <c r="C95" s="78">
        <v>92</v>
      </c>
      <c r="D95" s="92">
        <v>0</v>
      </c>
      <c r="E95" s="91">
        <f>[1]TPCIL!N104</f>
        <v>0</v>
      </c>
      <c r="F95" s="90">
        <f t="shared" si="6"/>
        <v>0</v>
      </c>
      <c r="G95" s="90">
        <f t="shared" si="7"/>
        <v>-500</v>
      </c>
      <c r="H95" s="90">
        <f t="shared" si="8"/>
        <v>625</v>
      </c>
      <c r="I95" s="90">
        <f t="shared" si="9"/>
        <v>125</v>
      </c>
      <c r="J95" s="92">
        <f t="shared" si="10"/>
        <v>500</v>
      </c>
      <c r="K95" s="92">
        <f t="shared" si="11"/>
        <v>156</v>
      </c>
      <c r="L95" s="92">
        <v>0</v>
      </c>
      <c r="M95" s="92">
        <v>0</v>
      </c>
    </row>
    <row r="96" ht="16.5" spans="1:13">
      <c r="A96" s="89">
        <v>1.95833333333365</v>
      </c>
      <c r="B96" s="89">
        <v>1.9687500000003</v>
      </c>
      <c r="C96" s="78">
        <v>93</v>
      </c>
      <c r="D96" s="92">
        <v>0</v>
      </c>
      <c r="E96" s="91">
        <f>[1]TPCIL!N105</f>
        <v>0</v>
      </c>
      <c r="F96" s="90">
        <f t="shared" si="6"/>
        <v>0</v>
      </c>
      <c r="G96" s="90">
        <f t="shared" si="7"/>
        <v>-500</v>
      </c>
      <c r="H96" s="90">
        <f t="shared" si="8"/>
        <v>625</v>
      </c>
      <c r="I96" s="90">
        <f t="shared" si="9"/>
        <v>125</v>
      </c>
      <c r="J96" s="92">
        <f t="shared" si="10"/>
        <v>500</v>
      </c>
      <c r="K96" s="92">
        <f t="shared" si="11"/>
        <v>156</v>
      </c>
      <c r="L96" s="92">
        <v>0</v>
      </c>
      <c r="M96" s="92">
        <v>0</v>
      </c>
    </row>
    <row r="97" ht="16.5" spans="1:13">
      <c r="A97" s="89">
        <v>1.96875000000032</v>
      </c>
      <c r="B97" s="89">
        <v>1.97916666666697</v>
      </c>
      <c r="C97" s="78">
        <v>94</v>
      </c>
      <c r="D97" s="92">
        <v>0</v>
      </c>
      <c r="E97" s="91">
        <f>[1]TPCIL!N106</f>
        <v>0</v>
      </c>
      <c r="F97" s="90">
        <f t="shared" si="6"/>
        <v>0</v>
      </c>
      <c r="G97" s="90">
        <f t="shared" si="7"/>
        <v>-500</v>
      </c>
      <c r="H97" s="90">
        <f t="shared" si="8"/>
        <v>625</v>
      </c>
      <c r="I97" s="90">
        <f t="shared" si="9"/>
        <v>125</v>
      </c>
      <c r="J97" s="92">
        <f t="shared" si="10"/>
        <v>500</v>
      </c>
      <c r="K97" s="92">
        <f t="shared" si="11"/>
        <v>156</v>
      </c>
      <c r="L97" s="92">
        <v>0</v>
      </c>
      <c r="M97" s="92">
        <v>0</v>
      </c>
    </row>
    <row r="98" ht="16.5" spans="1:13">
      <c r="A98" s="89">
        <v>1.97916666666699</v>
      </c>
      <c r="B98" s="89">
        <v>1.98958333333364</v>
      </c>
      <c r="C98" s="78">
        <v>95</v>
      </c>
      <c r="D98" s="92">
        <v>0</v>
      </c>
      <c r="E98" s="91">
        <f>[1]TPCIL!N107</f>
        <v>0</v>
      </c>
      <c r="F98" s="90">
        <f t="shared" si="6"/>
        <v>0</v>
      </c>
      <c r="G98" s="90">
        <f t="shared" si="7"/>
        <v>-500</v>
      </c>
      <c r="H98" s="90">
        <f t="shared" si="8"/>
        <v>625</v>
      </c>
      <c r="I98" s="90">
        <f t="shared" si="9"/>
        <v>125</v>
      </c>
      <c r="J98" s="92">
        <f t="shared" si="10"/>
        <v>500</v>
      </c>
      <c r="K98" s="92">
        <f t="shared" si="11"/>
        <v>156</v>
      </c>
      <c r="L98" s="92">
        <v>0</v>
      </c>
      <c r="M98" s="92">
        <v>0</v>
      </c>
    </row>
    <row r="99" ht="16.5" spans="1:13">
      <c r="A99" s="89">
        <v>1.98958333333366</v>
      </c>
      <c r="B99" s="89">
        <v>2.00000000000031</v>
      </c>
      <c r="C99" s="78">
        <v>96</v>
      </c>
      <c r="D99" s="92">
        <v>0</v>
      </c>
      <c r="E99" s="91">
        <f>[1]TPCIL!N108</f>
        <v>0</v>
      </c>
      <c r="F99" s="90">
        <f t="shared" si="6"/>
        <v>0</v>
      </c>
      <c r="G99" s="90">
        <f t="shared" si="7"/>
        <v>-500</v>
      </c>
      <c r="H99" s="90">
        <f t="shared" si="8"/>
        <v>625</v>
      </c>
      <c r="I99" s="90">
        <f t="shared" si="9"/>
        <v>125</v>
      </c>
      <c r="J99" s="92">
        <f t="shared" si="10"/>
        <v>500</v>
      </c>
      <c r="K99" s="92">
        <f t="shared" si="11"/>
        <v>156</v>
      </c>
      <c r="L99" s="92">
        <v>0</v>
      </c>
      <c r="M99" s="92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0" width="9" style="86"/>
    <col min="11" max="11" width="11.552380952381" style="85" customWidth="1"/>
    <col min="12" max="16384" width="9" style="85"/>
  </cols>
  <sheetData>
    <row r="3" ht="48.75" customHeight="1" spans="1:10">
      <c r="A3" s="87" t="str">
        <f>'Individual BD'!A1</f>
        <v>12/01/2026</v>
      </c>
      <c r="B3" s="87"/>
      <c r="C3" s="87" t="s">
        <v>145</v>
      </c>
      <c r="D3" s="88" t="s">
        <v>624</v>
      </c>
      <c r="E3" s="88" t="s">
        <v>619</v>
      </c>
      <c r="F3" s="88" t="s">
        <v>620</v>
      </c>
      <c r="G3" s="9"/>
      <c r="H3" s="9"/>
      <c r="I3" s="9"/>
      <c r="J3" s="9"/>
    </row>
    <row r="4" ht="16.5" spans="1:10">
      <c r="A4" s="89">
        <v>0</v>
      </c>
      <c r="B4" s="89">
        <v>1.01041666666667</v>
      </c>
      <c r="C4" s="78">
        <v>1</v>
      </c>
      <c r="D4" s="90">
        <f>'DATA-CMD'!L3</f>
        <v>459.09</v>
      </c>
      <c r="E4" s="91">
        <f>TPCIL!O13</f>
        <v>0</v>
      </c>
      <c r="F4" s="90">
        <f t="shared" ref="F4:F67" si="0">D4-E4</f>
        <v>459.09</v>
      </c>
      <c r="G4" s="90">
        <f t="shared" ref="G4:G67" si="1">F4-502</f>
        <v>-42.91</v>
      </c>
      <c r="H4" s="90">
        <f t="shared" ref="H4:H67" si="2">627-F4</f>
        <v>167.91</v>
      </c>
      <c r="I4" s="90">
        <f t="shared" ref="I4:I67" si="3">IF(H4&lt;125,H4,125)</f>
        <v>125</v>
      </c>
      <c r="J4" s="92">
        <f t="shared" ref="J4:J67" si="4">IF(H4&gt;125,H4-125,0)</f>
        <v>42.91</v>
      </c>
    </row>
    <row r="5" ht="16.5" spans="1:10">
      <c r="A5" s="89">
        <v>1.01041666666667</v>
      </c>
      <c r="B5" s="89">
        <v>1.02083333333334</v>
      </c>
      <c r="C5" s="78">
        <v>2</v>
      </c>
      <c r="D5" s="90">
        <f>'DATA-CMD'!L4</f>
        <v>501.27</v>
      </c>
      <c r="E5" s="91">
        <f>TPCIL!O14</f>
        <v>0</v>
      </c>
      <c r="F5" s="90">
        <f t="shared" si="0"/>
        <v>501.27</v>
      </c>
      <c r="G5" s="90">
        <f t="shared" si="1"/>
        <v>-0.730000000000018</v>
      </c>
      <c r="H5" s="90">
        <f t="shared" si="2"/>
        <v>125.73</v>
      </c>
      <c r="I5" s="90">
        <f t="shared" si="3"/>
        <v>125</v>
      </c>
      <c r="J5" s="92">
        <f t="shared" si="4"/>
        <v>0.730000000000018</v>
      </c>
    </row>
    <row r="6" ht="16.5" spans="1:10">
      <c r="A6" s="89">
        <v>1.02083333333334</v>
      </c>
      <c r="B6" s="89">
        <v>1.03125000000001</v>
      </c>
      <c r="C6" s="78">
        <v>3</v>
      </c>
      <c r="D6" s="90">
        <f>'DATA-CMD'!L5</f>
        <v>502.21</v>
      </c>
      <c r="E6" s="91">
        <f>TPCIL!O15</f>
        <v>0</v>
      </c>
      <c r="F6" s="90">
        <f t="shared" si="0"/>
        <v>502.21</v>
      </c>
      <c r="G6" s="90">
        <f t="shared" si="1"/>
        <v>0.20999999999998</v>
      </c>
      <c r="H6" s="90">
        <f t="shared" si="2"/>
        <v>124.79</v>
      </c>
      <c r="I6" s="90">
        <f t="shared" si="3"/>
        <v>124.79</v>
      </c>
      <c r="J6" s="92">
        <f t="shared" si="4"/>
        <v>0</v>
      </c>
    </row>
    <row r="7" ht="16.5" spans="1:10">
      <c r="A7" s="89">
        <v>1.03125000000001</v>
      </c>
      <c r="B7" s="89">
        <v>1.04166666666668</v>
      </c>
      <c r="C7" s="78">
        <v>4</v>
      </c>
      <c r="D7" s="90">
        <f>'DATA-CMD'!L6</f>
        <v>502.44</v>
      </c>
      <c r="E7" s="91">
        <f>TPCIL!O16</f>
        <v>0</v>
      </c>
      <c r="F7" s="90">
        <f t="shared" si="0"/>
        <v>502.44</v>
      </c>
      <c r="G7" s="90">
        <f t="shared" si="1"/>
        <v>0.439999999999998</v>
      </c>
      <c r="H7" s="90">
        <f t="shared" si="2"/>
        <v>124.56</v>
      </c>
      <c r="I7" s="90">
        <f t="shared" si="3"/>
        <v>124.56</v>
      </c>
      <c r="J7" s="92">
        <f t="shared" si="4"/>
        <v>0</v>
      </c>
    </row>
    <row r="8" ht="16.5" spans="1:10">
      <c r="A8" s="89">
        <v>1.04166666666668</v>
      </c>
      <c r="B8" s="89">
        <v>1.05208333333335</v>
      </c>
      <c r="C8" s="78">
        <v>5</v>
      </c>
      <c r="D8" s="90">
        <f>'DATA-CMD'!L7</f>
        <v>488.97</v>
      </c>
      <c r="E8" s="91">
        <f>TPCIL!O17</f>
        <v>0</v>
      </c>
      <c r="F8" s="90">
        <f t="shared" si="0"/>
        <v>488.97</v>
      </c>
      <c r="G8" s="90">
        <f t="shared" si="1"/>
        <v>-13.03</v>
      </c>
      <c r="H8" s="90">
        <f t="shared" si="2"/>
        <v>138.03</v>
      </c>
      <c r="I8" s="90">
        <f t="shared" si="3"/>
        <v>125</v>
      </c>
      <c r="J8" s="92">
        <f t="shared" si="4"/>
        <v>13.03</v>
      </c>
    </row>
    <row r="9" ht="16.5" spans="1:10">
      <c r="A9" s="89">
        <v>1.05208333333335</v>
      </c>
      <c r="B9" s="89">
        <v>1.06250000000002</v>
      </c>
      <c r="C9" s="78">
        <v>6</v>
      </c>
      <c r="D9" s="90">
        <f>'DATA-CMD'!L8</f>
        <v>454.36</v>
      </c>
      <c r="E9" s="91">
        <f>TPCIL!O18</f>
        <v>0</v>
      </c>
      <c r="F9" s="90">
        <f t="shared" si="0"/>
        <v>454.36</v>
      </c>
      <c r="G9" s="90">
        <f t="shared" si="1"/>
        <v>-47.64</v>
      </c>
      <c r="H9" s="90">
        <f t="shared" si="2"/>
        <v>172.64</v>
      </c>
      <c r="I9" s="90">
        <f t="shared" si="3"/>
        <v>125</v>
      </c>
      <c r="J9" s="92">
        <f t="shared" si="4"/>
        <v>47.64</v>
      </c>
    </row>
    <row r="10" ht="16.5" spans="1:10">
      <c r="A10" s="89">
        <v>1.06250000000002</v>
      </c>
      <c r="B10" s="89">
        <v>1.07291666666669</v>
      </c>
      <c r="C10" s="78">
        <v>7</v>
      </c>
      <c r="D10" s="90">
        <f>'DATA-CMD'!L9</f>
        <v>398.67</v>
      </c>
      <c r="E10" s="91">
        <f>TPCIL!O19</f>
        <v>0</v>
      </c>
      <c r="F10" s="90">
        <f t="shared" si="0"/>
        <v>398.67</v>
      </c>
      <c r="G10" s="90">
        <f t="shared" si="1"/>
        <v>-103.33</v>
      </c>
      <c r="H10" s="90">
        <f t="shared" si="2"/>
        <v>228.33</v>
      </c>
      <c r="I10" s="90">
        <f t="shared" si="3"/>
        <v>125</v>
      </c>
      <c r="J10" s="92">
        <f t="shared" si="4"/>
        <v>103.33</v>
      </c>
    </row>
    <row r="11" ht="16.5" spans="1:10">
      <c r="A11" s="89">
        <v>1.07291666666669</v>
      </c>
      <c r="B11" s="89">
        <v>1.08333333333336</v>
      </c>
      <c r="C11" s="78">
        <v>8</v>
      </c>
      <c r="D11" s="90">
        <f>'DATA-CMD'!L10</f>
        <v>352.72</v>
      </c>
      <c r="E11" s="91">
        <f>TPCIL!O20</f>
        <v>0</v>
      </c>
      <c r="F11" s="90">
        <f t="shared" si="0"/>
        <v>352.72</v>
      </c>
      <c r="G11" s="90">
        <f t="shared" si="1"/>
        <v>-149.28</v>
      </c>
      <c r="H11" s="90">
        <f t="shared" si="2"/>
        <v>274.28</v>
      </c>
      <c r="I11" s="90">
        <f t="shared" si="3"/>
        <v>125</v>
      </c>
      <c r="J11" s="92">
        <f t="shared" si="4"/>
        <v>149.28</v>
      </c>
    </row>
    <row r="12" ht="16.5" spans="1:10">
      <c r="A12" s="89">
        <v>1.08333333333336</v>
      </c>
      <c r="B12" s="89">
        <v>1.09375000000003</v>
      </c>
      <c r="C12" s="78">
        <v>9</v>
      </c>
      <c r="D12" s="90">
        <f>'DATA-CMD'!L11</f>
        <v>344.52</v>
      </c>
      <c r="E12" s="91">
        <f>TPCIL!O21</f>
        <v>0</v>
      </c>
      <c r="F12" s="90">
        <f t="shared" si="0"/>
        <v>344.52</v>
      </c>
      <c r="G12" s="90">
        <f t="shared" si="1"/>
        <v>-157.48</v>
      </c>
      <c r="H12" s="90">
        <f t="shared" si="2"/>
        <v>282.48</v>
      </c>
      <c r="I12" s="90">
        <f t="shared" si="3"/>
        <v>125</v>
      </c>
      <c r="J12" s="92">
        <f t="shared" si="4"/>
        <v>157.48</v>
      </c>
    </row>
    <row r="13" ht="16.5" spans="1:10">
      <c r="A13" s="89">
        <v>1.09375000000003</v>
      </c>
      <c r="B13" s="89">
        <v>1.1041666666667</v>
      </c>
      <c r="C13" s="78">
        <v>10</v>
      </c>
      <c r="D13" s="90">
        <f>'DATA-CMD'!L12</f>
        <v>346.95</v>
      </c>
      <c r="E13" s="91">
        <f>TPCIL!O22</f>
        <v>0</v>
      </c>
      <c r="F13" s="90">
        <f t="shared" si="0"/>
        <v>346.95</v>
      </c>
      <c r="G13" s="90">
        <f t="shared" si="1"/>
        <v>-155.05</v>
      </c>
      <c r="H13" s="90">
        <f t="shared" si="2"/>
        <v>280.05</v>
      </c>
      <c r="I13" s="90">
        <f t="shared" si="3"/>
        <v>125</v>
      </c>
      <c r="J13" s="92">
        <f t="shared" si="4"/>
        <v>155.05</v>
      </c>
    </row>
    <row r="14" ht="16.5" spans="1:10">
      <c r="A14" s="89">
        <v>1.1041666666667</v>
      </c>
      <c r="B14" s="89">
        <v>1.11458333333337</v>
      </c>
      <c r="C14" s="78">
        <v>11</v>
      </c>
      <c r="D14" s="90">
        <f>'DATA-CMD'!L13</f>
        <v>346.91</v>
      </c>
      <c r="E14" s="91">
        <f>TPCIL!O23</f>
        <v>0</v>
      </c>
      <c r="F14" s="90">
        <f t="shared" si="0"/>
        <v>346.91</v>
      </c>
      <c r="G14" s="90">
        <f t="shared" si="1"/>
        <v>-155.09</v>
      </c>
      <c r="H14" s="90">
        <f t="shared" si="2"/>
        <v>280.09</v>
      </c>
      <c r="I14" s="90">
        <f t="shared" si="3"/>
        <v>125</v>
      </c>
      <c r="J14" s="92">
        <f t="shared" si="4"/>
        <v>155.09</v>
      </c>
    </row>
    <row r="15" ht="16.5" spans="1:10">
      <c r="A15" s="89">
        <v>1.11458333333337</v>
      </c>
      <c r="B15" s="89">
        <v>1.12500000000004</v>
      </c>
      <c r="C15" s="78">
        <v>12</v>
      </c>
      <c r="D15" s="90">
        <f>'DATA-CMD'!L14</f>
        <v>345.83</v>
      </c>
      <c r="E15" s="91">
        <f>TPCIL!O24</f>
        <v>0</v>
      </c>
      <c r="F15" s="90">
        <f t="shared" si="0"/>
        <v>345.83</v>
      </c>
      <c r="G15" s="90">
        <f t="shared" si="1"/>
        <v>-156.17</v>
      </c>
      <c r="H15" s="90">
        <f t="shared" si="2"/>
        <v>281.17</v>
      </c>
      <c r="I15" s="90">
        <f t="shared" si="3"/>
        <v>125</v>
      </c>
      <c r="J15" s="92">
        <f t="shared" si="4"/>
        <v>156.17</v>
      </c>
    </row>
    <row r="16" ht="16.5" spans="1:10">
      <c r="A16" s="89">
        <v>1.12500000000004</v>
      </c>
      <c r="B16" s="89">
        <v>1.13541666666671</v>
      </c>
      <c r="C16" s="78">
        <v>13</v>
      </c>
      <c r="D16" s="90">
        <f>'DATA-CMD'!L15</f>
        <v>346.06</v>
      </c>
      <c r="E16" s="91">
        <f>TPCIL!O25</f>
        <v>0</v>
      </c>
      <c r="F16" s="90">
        <f t="shared" si="0"/>
        <v>346.06</v>
      </c>
      <c r="G16" s="90">
        <f t="shared" si="1"/>
        <v>-155.94</v>
      </c>
      <c r="H16" s="90">
        <f t="shared" si="2"/>
        <v>280.94</v>
      </c>
      <c r="I16" s="90">
        <f t="shared" si="3"/>
        <v>125</v>
      </c>
      <c r="J16" s="92">
        <f t="shared" si="4"/>
        <v>155.94</v>
      </c>
    </row>
    <row r="17" ht="16.5" spans="1:10">
      <c r="A17" s="89">
        <v>1.13541666666671</v>
      </c>
      <c r="B17" s="89">
        <v>1.14583333333338</v>
      </c>
      <c r="C17" s="78">
        <v>14</v>
      </c>
      <c r="D17" s="90">
        <f>'DATA-CMD'!L16</f>
        <v>348.18</v>
      </c>
      <c r="E17" s="91">
        <f>TPCIL!O26</f>
        <v>0</v>
      </c>
      <c r="F17" s="90">
        <f t="shared" si="0"/>
        <v>348.18</v>
      </c>
      <c r="G17" s="90">
        <f t="shared" si="1"/>
        <v>-153.82</v>
      </c>
      <c r="H17" s="90">
        <f t="shared" si="2"/>
        <v>278.82</v>
      </c>
      <c r="I17" s="90">
        <f t="shared" si="3"/>
        <v>125</v>
      </c>
      <c r="J17" s="92">
        <f t="shared" si="4"/>
        <v>153.82</v>
      </c>
    </row>
    <row r="18" ht="16.5" spans="1:10">
      <c r="A18" s="89">
        <v>1.14583333333338</v>
      </c>
      <c r="B18" s="89">
        <v>1.15625000000005</v>
      </c>
      <c r="C18" s="78">
        <v>15</v>
      </c>
      <c r="D18" s="90">
        <f>'DATA-CMD'!L17</f>
        <v>349.04</v>
      </c>
      <c r="E18" s="91">
        <f>TPCIL!O27</f>
        <v>0</v>
      </c>
      <c r="F18" s="90">
        <f t="shared" si="0"/>
        <v>349.04</v>
      </c>
      <c r="G18" s="90">
        <f t="shared" si="1"/>
        <v>-152.96</v>
      </c>
      <c r="H18" s="90">
        <f t="shared" si="2"/>
        <v>277.96</v>
      </c>
      <c r="I18" s="90">
        <f t="shared" si="3"/>
        <v>125</v>
      </c>
      <c r="J18" s="92">
        <f t="shared" si="4"/>
        <v>152.96</v>
      </c>
    </row>
    <row r="19" ht="16.5" spans="1:10">
      <c r="A19" s="89">
        <v>1.15625000000005</v>
      </c>
      <c r="B19" s="89">
        <v>1.16666666666672</v>
      </c>
      <c r="C19" s="78">
        <v>16</v>
      </c>
      <c r="D19" s="90">
        <f>'DATA-CMD'!L18</f>
        <v>392.91</v>
      </c>
      <c r="E19" s="91">
        <f>TPCIL!O28</f>
        <v>0</v>
      </c>
      <c r="F19" s="90">
        <f t="shared" si="0"/>
        <v>392.91</v>
      </c>
      <c r="G19" s="90">
        <f t="shared" si="1"/>
        <v>-109.09</v>
      </c>
      <c r="H19" s="90">
        <f t="shared" si="2"/>
        <v>234.09</v>
      </c>
      <c r="I19" s="90">
        <f t="shared" si="3"/>
        <v>125</v>
      </c>
      <c r="J19" s="92">
        <f t="shared" si="4"/>
        <v>109.09</v>
      </c>
    </row>
    <row r="20" ht="16.5" spans="1:10">
      <c r="A20" s="89">
        <v>1.16666666666672</v>
      </c>
      <c r="B20" s="89">
        <v>1.17708333333339</v>
      </c>
      <c r="C20" s="78">
        <v>17</v>
      </c>
      <c r="D20" s="90">
        <f>'DATA-CMD'!L19</f>
        <v>450.06</v>
      </c>
      <c r="E20" s="91">
        <f>TPCIL!O29</f>
        <v>0</v>
      </c>
      <c r="F20" s="90">
        <f t="shared" si="0"/>
        <v>450.06</v>
      </c>
      <c r="G20" s="90">
        <f t="shared" si="1"/>
        <v>-51.94</v>
      </c>
      <c r="H20" s="90">
        <f t="shared" si="2"/>
        <v>176.94</v>
      </c>
      <c r="I20" s="90">
        <f t="shared" si="3"/>
        <v>125</v>
      </c>
      <c r="J20" s="92">
        <f t="shared" si="4"/>
        <v>51.94</v>
      </c>
    </row>
    <row r="21" ht="16.5" spans="1:10">
      <c r="A21" s="89">
        <v>1.17708333333339</v>
      </c>
      <c r="B21" s="89">
        <v>1.18750000000006</v>
      </c>
      <c r="C21" s="78">
        <v>18</v>
      </c>
      <c r="D21" s="90">
        <f>'DATA-CMD'!L20</f>
        <v>498.68</v>
      </c>
      <c r="E21" s="91">
        <f>TPCIL!O30</f>
        <v>0</v>
      </c>
      <c r="F21" s="90">
        <f t="shared" si="0"/>
        <v>498.68</v>
      </c>
      <c r="G21" s="90">
        <f t="shared" si="1"/>
        <v>-3.31999999999999</v>
      </c>
      <c r="H21" s="90">
        <f t="shared" si="2"/>
        <v>128.32</v>
      </c>
      <c r="I21" s="90">
        <f t="shared" si="3"/>
        <v>125</v>
      </c>
      <c r="J21" s="92">
        <f t="shared" si="4"/>
        <v>3.31999999999999</v>
      </c>
    </row>
    <row r="22" ht="16.5" spans="1:10">
      <c r="A22" s="89">
        <v>1.18750000000006</v>
      </c>
      <c r="B22" s="89">
        <v>1.19791666666673</v>
      </c>
      <c r="C22" s="78">
        <v>19</v>
      </c>
      <c r="D22" s="90">
        <f>'DATA-CMD'!L21</f>
        <v>499.66</v>
      </c>
      <c r="E22" s="91">
        <f>TPCIL!O31</f>
        <v>0</v>
      </c>
      <c r="F22" s="90">
        <f t="shared" si="0"/>
        <v>499.66</v>
      </c>
      <c r="G22" s="90">
        <f t="shared" si="1"/>
        <v>-2.33999999999997</v>
      </c>
      <c r="H22" s="90">
        <f t="shared" si="2"/>
        <v>127.34</v>
      </c>
      <c r="I22" s="90">
        <f t="shared" si="3"/>
        <v>125</v>
      </c>
      <c r="J22" s="92">
        <f t="shared" si="4"/>
        <v>2.33999999999997</v>
      </c>
    </row>
    <row r="23" ht="16.5" spans="1:10">
      <c r="A23" s="89">
        <v>1.19791666666673</v>
      </c>
      <c r="B23" s="89">
        <v>1.2083333333334</v>
      </c>
      <c r="C23" s="78">
        <v>20</v>
      </c>
      <c r="D23" s="90">
        <f>'DATA-CMD'!L22</f>
        <v>498.8</v>
      </c>
      <c r="E23" s="91">
        <f>TPCIL!O32</f>
        <v>0</v>
      </c>
      <c r="F23" s="90">
        <f t="shared" si="0"/>
        <v>498.8</v>
      </c>
      <c r="G23" s="90">
        <f t="shared" si="1"/>
        <v>-3.19999999999999</v>
      </c>
      <c r="H23" s="90">
        <f t="shared" si="2"/>
        <v>128.2</v>
      </c>
      <c r="I23" s="90">
        <f t="shared" si="3"/>
        <v>125</v>
      </c>
      <c r="J23" s="92">
        <f t="shared" si="4"/>
        <v>3.19999999999999</v>
      </c>
    </row>
    <row r="24" ht="16.5" spans="1:10">
      <c r="A24" s="89">
        <v>1.2083333333334</v>
      </c>
      <c r="B24" s="89">
        <v>1.21875000000007</v>
      </c>
      <c r="C24" s="78">
        <v>21</v>
      </c>
      <c r="D24" s="90">
        <f>'DATA-CMD'!L23</f>
        <v>502.38</v>
      </c>
      <c r="E24" s="91">
        <f>TPCIL!O33</f>
        <v>0</v>
      </c>
      <c r="F24" s="90">
        <f t="shared" si="0"/>
        <v>502.38</v>
      </c>
      <c r="G24" s="90">
        <f t="shared" si="1"/>
        <v>0.379999999999995</v>
      </c>
      <c r="H24" s="90">
        <f t="shared" si="2"/>
        <v>124.62</v>
      </c>
      <c r="I24" s="90">
        <f t="shared" si="3"/>
        <v>124.62</v>
      </c>
      <c r="J24" s="92">
        <f t="shared" si="4"/>
        <v>0</v>
      </c>
    </row>
    <row r="25" ht="16.5" spans="1:10">
      <c r="A25" s="89">
        <v>1.21875000000007</v>
      </c>
      <c r="B25" s="89">
        <v>1.22916666666674</v>
      </c>
      <c r="C25" s="78">
        <v>22</v>
      </c>
      <c r="D25" s="90">
        <f>'DATA-CMD'!L24</f>
        <v>498.82</v>
      </c>
      <c r="E25" s="91">
        <f>TPCIL!O34</f>
        <v>0</v>
      </c>
      <c r="F25" s="90">
        <f t="shared" si="0"/>
        <v>498.82</v>
      </c>
      <c r="G25" s="90">
        <f t="shared" si="1"/>
        <v>-3.18000000000001</v>
      </c>
      <c r="H25" s="90">
        <f t="shared" si="2"/>
        <v>128.18</v>
      </c>
      <c r="I25" s="90">
        <f t="shared" si="3"/>
        <v>125</v>
      </c>
      <c r="J25" s="92">
        <f t="shared" si="4"/>
        <v>3.18000000000001</v>
      </c>
    </row>
    <row r="26" ht="16.5" spans="1:10">
      <c r="A26" s="89">
        <v>1.22916666666674</v>
      </c>
      <c r="B26" s="89">
        <v>1.23958333333341</v>
      </c>
      <c r="C26" s="78">
        <v>23</v>
      </c>
      <c r="D26" s="90">
        <f>'DATA-CMD'!L25</f>
        <v>519.36</v>
      </c>
      <c r="E26" s="91">
        <f>TPCIL!O35</f>
        <v>22</v>
      </c>
      <c r="F26" s="90">
        <f t="shared" si="0"/>
        <v>497.36</v>
      </c>
      <c r="G26" s="90">
        <f t="shared" si="1"/>
        <v>-4.63999999999999</v>
      </c>
      <c r="H26" s="90">
        <f t="shared" si="2"/>
        <v>129.64</v>
      </c>
      <c r="I26" s="90">
        <f t="shared" si="3"/>
        <v>125</v>
      </c>
      <c r="J26" s="92">
        <f t="shared" si="4"/>
        <v>4.63999999999999</v>
      </c>
    </row>
    <row r="27" ht="16.5" spans="1:10">
      <c r="A27" s="89">
        <v>1.23958333333341</v>
      </c>
      <c r="B27" s="89">
        <v>1.25000000000008</v>
      </c>
      <c r="C27" s="78">
        <v>24</v>
      </c>
      <c r="D27" s="90">
        <f>'DATA-CMD'!L26</f>
        <v>562.16</v>
      </c>
      <c r="E27" s="91">
        <f>TPCIL!O36</f>
        <v>74</v>
      </c>
      <c r="F27" s="90">
        <f t="shared" si="0"/>
        <v>488.16</v>
      </c>
      <c r="G27" s="90">
        <f t="shared" si="1"/>
        <v>-13.84</v>
      </c>
      <c r="H27" s="90">
        <f t="shared" si="2"/>
        <v>138.84</v>
      </c>
      <c r="I27" s="90">
        <f t="shared" si="3"/>
        <v>125</v>
      </c>
      <c r="J27" s="92">
        <f t="shared" si="4"/>
        <v>13.84</v>
      </c>
    </row>
    <row r="28" ht="16.5" spans="1:10">
      <c r="A28" s="89">
        <v>1.25000000000008</v>
      </c>
      <c r="B28" s="89">
        <v>1.26041666666675</v>
      </c>
      <c r="C28" s="78">
        <v>25</v>
      </c>
      <c r="D28" s="90">
        <f>'DATA-CMD'!L27</f>
        <v>613.12</v>
      </c>
      <c r="E28" s="91">
        <f>TPCIL!O37</f>
        <v>125</v>
      </c>
      <c r="F28" s="90">
        <f t="shared" si="0"/>
        <v>488.12</v>
      </c>
      <c r="G28" s="90">
        <f t="shared" si="1"/>
        <v>-13.88</v>
      </c>
      <c r="H28" s="90">
        <f t="shared" si="2"/>
        <v>138.88</v>
      </c>
      <c r="I28" s="90">
        <f t="shared" si="3"/>
        <v>125</v>
      </c>
      <c r="J28" s="92">
        <f t="shared" si="4"/>
        <v>13.88</v>
      </c>
    </row>
    <row r="29" ht="16.5" spans="1:10">
      <c r="A29" s="89">
        <v>1.26041666666675</v>
      </c>
      <c r="B29" s="89">
        <v>1.27083333333342</v>
      </c>
      <c r="C29" s="78">
        <v>26</v>
      </c>
      <c r="D29" s="90">
        <f>'DATA-CMD'!L28</f>
        <v>619</v>
      </c>
      <c r="E29" s="91">
        <f>TPCIL!O38</f>
        <v>125</v>
      </c>
      <c r="F29" s="90">
        <f t="shared" si="0"/>
        <v>494</v>
      </c>
      <c r="G29" s="90">
        <f t="shared" si="1"/>
        <v>-8</v>
      </c>
      <c r="H29" s="90">
        <f t="shared" si="2"/>
        <v>133</v>
      </c>
      <c r="I29" s="90">
        <f t="shared" si="3"/>
        <v>125</v>
      </c>
      <c r="J29" s="92">
        <f t="shared" si="4"/>
        <v>8</v>
      </c>
    </row>
    <row r="30" ht="16.5" spans="1:10">
      <c r="A30" s="89">
        <v>1.27083333333342</v>
      </c>
      <c r="B30" s="89">
        <v>1.28125000000009</v>
      </c>
      <c r="C30" s="78">
        <v>27</v>
      </c>
      <c r="D30" s="90">
        <f>'DATA-CMD'!L29</f>
        <v>624.95</v>
      </c>
      <c r="E30" s="91">
        <f>TPCIL!O39</f>
        <v>125</v>
      </c>
      <c r="F30" s="90">
        <f t="shared" si="0"/>
        <v>499.95</v>
      </c>
      <c r="G30" s="90">
        <f t="shared" si="1"/>
        <v>-2.04999999999995</v>
      </c>
      <c r="H30" s="90">
        <f t="shared" si="2"/>
        <v>127.05</v>
      </c>
      <c r="I30" s="90">
        <f t="shared" si="3"/>
        <v>125</v>
      </c>
      <c r="J30" s="92">
        <f t="shared" si="4"/>
        <v>2.04999999999995</v>
      </c>
    </row>
    <row r="31" ht="16.5" spans="1:10">
      <c r="A31" s="89">
        <v>1.28125000000009</v>
      </c>
      <c r="B31" s="89">
        <v>1.29166666666676</v>
      </c>
      <c r="C31" s="78">
        <v>28</v>
      </c>
      <c r="D31" s="90">
        <f>'DATA-CMD'!L30</f>
        <v>627.91</v>
      </c>
      <c r="E31" s="91">
        <f>TPCIL!O40</f>
        <v>125</v>
      </c>
      <c r="F31" s="90">
        <f t="shared" si="0"/>
        <v>502.91</v>
      </c>
      <c r="G31" s="90">
        <f t="shared" si="1"/>
        <v>0.909999999999968</v>
      </c>
      <c r="H31" s="90">
        <f t="shared" si="2"/>
        <v>124.09</v>
      </c>
      <c r="I31" s="90">
        <f t="shared" si="3"/>
        <v>124.09</v>
      </c>
      <c r="J31" s="92">
        <f t="shared" si="4"/>
        <v>0</v>
      </c>
    </row>
    <row r="32" ht="16.5" spans="1:10">
      <c r="A32" s="89">
        <v>1.29166666666676</v>
      </c>
      <c r="B32" s="89">
        <v>1.30208333333343</v>
      </c>
      <c r="C32" s="78">
        <v>29</v>
      </c>
      <c r="D32" s="90">
        <f>'DATA-CMD'!L31</f>
        <v>627.44</v>
      </c>
      <c r="E32" s="91">
        <f>TPCIL!O41</f>
        <v>125</v>
      </c>
      <c r="F32" s="90">
        <f t="shared" si="0"/>
        <v>502.44</v>
      </c>
      <c r="G32" s="90">
        <f t="shared" si="1"/>
        <v>0.440000000000055</v>
      </c>
      <c r="H32" s="90">
        <f t="shared" si="2"/>
        <v>124.56</v>
      </c>
      <c r="I32" s="90">
        <f t="shared" si="3"/>
        <v>124.56</v>
      </c>
      <c r="J32" s="92">
        <f t="shared" si="4"/>
        <v>0</v>
      </c>
    </row>
    <row r="33" ht="16.5" spans="1:10">
      <c r="A33" s="89">
        <v>1.30208333333343</v>
      </c>
      <c r="B33" s="89">
        <v>1.3125000000001</v>
      </c>
      <c r="C33" s="78">
        <v>30</v>
      </c>
      <c r="D33" s="90">
        <f>'DATA-CMD'!L32</f>
        <v>627.74</v>
      </c>
      <c r="E33" s="91">
        <f>TPCIL!O42</f>
        <v>125</v>
      </c>
      <c r="F33" s="90">
        <f t="shared" si="0"/>
        <v>502.74</v>
      </c>
      <c r="G33" s="90">
        <f t="shared" si="1"/>
        <v>0.740000000000009</v>
      </c>
      <c r="H33" s="90">
        <f t="shared" si="2"/>
        <v>124.26</v>
      </c>
      <c r="I33" s="90">
        <f t="shared" si="3"/>
        <v>124.26</v>
      </c>
      <c r="J33" s="92">
        <f t="shared" si="4"/>
        <v>0</v>
      </c>
    </row>
    <row r="34" ht="16.5" spans="1:10">
      <c r="A34" s="89">
        <v>1.3125000000001</v>
      </c>
      <c r="B34" s="89">
        <v>1.32291666666677</v>
      </c>
      <c r="C34" s="78">
        <v>31</v>
      </c>
      <c r="D34" s="90">
        <f>'DATA-CMD'!L33</f>
        <v>627.98</v>
      </c>
      <c r="E34" s="91">
        <f>TPCIL!O43</f>
        <v>125</v>
      </c>
      <c r="F34" s="90">
        <f t="shared" si="0"/>
        <v>502.98</v>
      </c>
      <c r="G34" s="90">
        <f t="shared" si="1"/>
        <v>0.980000000000018</v>
      </c>
      <c r="H34" s="90">
        <f t="shared" si="2"/>
        <v>124.02</v>
      </c>
      <c r="I34" s="90">
        <f t="shared" si="3"/>
        <v>124.02</v>
      </c>
      <c r="J34" s="92">
        <f t="shared" si="4"/>
        <v>0</v>
      </c>
    </row>
    <row r="35" ht="16.5" spans="1:10">
      <c r="A35" s="89">
        <v>1.32291666666677</v>
      </c>
      <c r="B35" s="89">
        <v>1.33333333333344</v>
      </c>
      <c r="C35" s="78">
        <v>32</v>
      </c>
      <c r="D35" s="90">
        <f>'DATA-CMD'!L34</f>
        <v>626.36</v>
      </c>
      <c r="E35" s="91">
        <f>TPCIL!O44</f>
        <v>125</v>
      </c>
      <c r="F35" s="90">
        <f t="shared" si="0"/>
        <v>501.36</v>
      </c>
      <c r="G35" s="90">
        <f t="shared" si="1"/>
        <v>-0.639999999999986</v>
      </c>
      <c r="H35" s="90">
        <f t="shared" si="2"/>
        <v>125.64</v>
      </c>
      <c r="I35" s="90">
        <f t="shared" si="3"/>
        <v>125</v>
      </c>
      <c r="J35" s="92">
        <f t="shared" si="4"/>
        <v>0.639999999999986</v>
      </c>
    </row>
    <row r="36" ht="16.5" spans="1:10">
      <c r="A36" s="89">
        <v>1.33333333333344</v>
      </c>
      <c r="B36" s="89">
        <v>1.34375000000011</v>
      </c>
      <c r="C36" s="78">
        <v>33</v>
      </c>
      <c r="D36" s="90">
        <f>'DATA-CMD'!L35</f>
        <v>627.86</v>
      </c>
      <c r="E36" s="91">
        <f>TPCIL!O45</f>
        <v>125</v>
      </c>
      <c r="F36" s="90">
        <f t="shared" si="0"/>
        <v>502.86</v>
      </c>
      <c r="G36" s="90">
        <f t="shared" si="1"/>
        <v>0.860000000000014</v>
      </c>
      <c r="H36" s="90">
        <f t="shared" si="2"/>
        <v>124.14</v>
      </c>
      <c r="I36" s="90">
        <f t="shared" si="3"/>
        <v>124.14</v>
      </c>
      <c r="J36" s="92">
        <f t="shared" si="4"/>
        <v>0</v>
      </c>
    </row>
    <row r="37" ht="16.5" spans="1:10">
      <c r="A37" s="89">
        <v>1.34375000000011</v>
      </c>
      <c r="B37" s="89">
        <v>1.35416666666678</v>
      </c>
      <c r="C37" s="78">
        <v>34</v>
      </c>
      <c r="D37" s="90">
        <f>'DATA-CMD'!L36</f>
        <v>627.53</v>
      </c>
      <c r="E37" s="91">
        <f>TPCIL!O46</f>
        <v>125</v>
      </c>
      <c r="F37" s="90">
        <f t="shared" si="0"/>
        <v>502.53</v>
      </c>
      <c r="G37" s="90">
        <f t="shared" si="1"/>
        <v>0.529999999999973</v>
      </c>
      <c r="H37" s="90">
        <f t="shared" si="2"/>
        <v>124.47</v>
      </c>
      <c r="I37" s="90">
        <f t="shared" si="3"/>
        <v>124.47</v>
      </c>
      <c r="J37" s="92">
        <f t="shared" si="4"/>
        <v>0</v>
      </c>
    </row>
    <row r="38" ht="16.5" spans="1:10">
      <c r="A38" s="89">
        <v>1.35416666666678</v>
      </c>
      <c r="B38" s="89">
        <v>1.36458333333344</v>
      </c>
      <c r="C38" s="78">
        <v>35</v>
      </c>
      <c r="D38" s="90">
        <f>'DATA-CMD'!L37</f>
        <v>615.22</v>
      </c>
      <c r="E38" s="91">
        <f>TPCIL!O47</f>
        <v>125</v>
      </c>
      <c r="F38" s="90">
        <f t="shared" si="0"/>
        <v>490.22</v>
      </c>
      <c r="G38" s="90">
        <f t="shared" si="1"/>
        <v>-11.78</v>
      </c>
      <c r="H38" s="90">
        <f t="shared" si="2"/>
        <v>136.78</v>
      </c>
      <c r="I38" s="90">
        <f t="shared" si="3"/>
        <v>125</v>
      </c>
      <c r="J38" s="92">
        <f t="shared" si="4"/>
        <v>11.78</v>
      </c>
    </row>
    <row r="39" ht="16.5" spans="1:10">
      <c r="A39" s="89">
        <v>1.36458333333345</v>
      </c>
      <c r="B39" s="89">
        <v>1.37500000000012</v>
      </c>
      <c r="C39" s="78">
        <v>36</v>
      </c>
      <c r="D39" s="90">
        <f>'DATA-CMD'!L38</f>
        <v>617.87</v>
      </c>
      <c r="E39" s="91">
        <f>TPCIL!O48</f>
        <v>125</v>
      </c>
      <c r="F39" s="90">
        <f t="shared" si="0"/>
        <v>492.87</v>
      </c>
      <c r="G39" s="90">
        <f t="shared" si="1"/>
        <v>-9.13</v>
      </c>
      <c r="H39" s="90">
        <f t="shared" si="2"/>
        <v>134.13</v>
      </c>
      <c r="I39" s="90">
        <f t="shared" si="3"/>
        <v>125</v>
      </c>
      <c r="J39" s="92">
        <f t="shared" si="4"/>
        <v>9.13</v>
      </c>
    </row>
    <row r="40" ht="16.5" spans="1:10">
      <c r="A40" s="89">
        <v>1.37500000000012</v>
      </c>
      <c r="B40" s="89">
        <v>1.38541666666679</v>
      </c>
      <c r="C40" s="78">
        <v>37</v>
      </c>
      <c r="D40" s="90">
        <f>'DATA-CMD'!L39</f>
        <v>621.77</v>
      </c>
      <c r="E40" s="91">
        <f>TPCIL!O49</f>
        <v>125</v>
      </c>
      <c r="F40" s="90">
        <f t="shared" si="0"/>
        <v>496.77</v>
      </c>
      <c r="G40" s="90">
        <f t="shared" si="1"/>
        <v>-5.23000000000002</v>
      </c>
      <c r="H40" s="90">
        <f t="shared" si="2"/>
        <v>130.23</v>
      </c>
      <c r="I40" s="90">
        <f t="shared" si="3"/>
        <v>125</v>
      </c>
      <c r="J40" s="92">
        <f t="shared" si="4"/>
        <v>5.23000000000002</v>
      </c>
    </row>
    <row r="41" ht="16.5" spans="1:10">
      <c r="A41" s="89">
        <v>1.38541666666679</v>
      </c>
      <c r="B41" s="89">
        <v>1.39583333333345</v>
      </c>
      <c r="C41" s="78">
        <v>38</v>
      </c>
      <c r="D41" s="90">
        <f>'DATA-CMD'!L40</f>
        <v>629.21</v>
      </c>
      <c r="E41" s="91">
        <f>TPCIL!O50</f>
        <v>125</v>
      </c>
      <c r="F41" s="90">
        <f t="shared" si="0"/>
        <v>504.21</v>
      </c>
      <c r="G41" s="90">
        <f t="shared" si="1"/>
        <v>2.21000000000004</v>
      </c>
      <c r="H41" s="90">
        <f t="shared" si="2"/>
        <v>122.79</v>
      </c>
      <c r="I41" s="90">
        <f t="shared" si="3"/>
        <v>122.79</v>
      </c>
      <c r="J41" s="92">
        <f t="shared" si="4"/>
        <v>0</v>
      </c>
    </row>
    <row r="42" ht="16.5" spans="1:10">
      <c r="A42" s="89">
        <v>1.39583333333346</v>
      </c>
      <c r="B42" s="89">
        <v>1.40625000000012</v>
      </c>
      <c r="C42" s="78">
        <v>39</v>
      </c>
      <c r="D42" s="90">
        <f>'DATA-CMD'!L41</f>
        <v>625.5</v>
      </c>
      <c r="E42" s="91">
        <f>TPCIL!O51</f>
        <v>125</v>
      </c>
      <c r="F42" s="90">
        <f t="shared" si="0"/>
        <v>500.5</v>
      </c>
      <c r="G42" s="90">
        <f t="shared" si="1"/>
        <v>-1.5</v>
      </c>
      <c r="H42" s="90">
        <f t="shared" si="2"/>
        <v>126.5</v>
      </c>
      <c r="I42" s="90">
        <f t="shared" si="3"/>
        <v>125</v>
      </c>
      <c r="J42" s="92">
        <f t="shared" si="4"/>
        <v>1.5</v>
      </c>
    </row>
    <row r="43" ht="16.5" spans="1:10">
      <c r="A43" s="89">
        <v>1.40625000000013</v>
      </c>
      <c r="B43" s="89">
        <v>1.41666666666679</v>
      </c>
      <c r="C43" s="78">
        <v>40</v>
      </c>
      <c r="D43" s="90">
        <f>'DATA-CMD'!L42</f>
        <v>627.12</v>
      </c>
      <c r="E43" s="91">
        <f>TPCIL!O52</f>
        <v>125</v>
      </c>
      <c r="F43" s="90">
        <f t="shared" si="0"/>
        <v>502.12</v>
      </c>
      <c r="G43" s="90">
        <f t="shared" si="1"/>
        <v>0.120000000000005</v>
      </c>
      <c r="H43" s="90">
        <f t="shared" si="2"/>
        <v>124.88</v>
      </c>
      <c r="I43" s="90">
        <f t="shared" si="3"/>
        <v>124.88</v>
      </c>
      <c r="J43" s="92">
        <f t="shared" si="4"/>
        <v>0</v>
      </c>
    </row>
    <row r="44" ht="16.5" spans="1:10">
      <c r="A44" s="89">
        <v>1.4166666666668</v>
      </c>
      <c r="B44" s="89">
        <v>1.42708333333346</v>
      </c>
      <c r="C44" s="78">
        <v>41</v>
      </c>
      <c r="D44" s="90">
        <f>'DATA-CMD'!L43</f>
        <v>627.12</v>
      </c>
      <c r="E44" s="91">
        <f>TPCIL!O53</f>
        <v>125</v>
      </c>
      <c r="F44" s="90">
        <f t="shared" si="0"/>
        <v>502.12</v>
      </c>
      <c r="G44" s="90">
        <f t="shared" si="1"/>
        <v>0.120000000000005</v>
      </c>
      <c r="H44" s="90">
        <f t="shared" si="2"/>
        <v>124.88</v>
      </c>
      <c r="I44" s="90">
        <f t="shared" si="3"/>
        <v>124.88</v>
      </c>
      <c r="J44" s="92">
        <f t="shared" si="4"/>
        <v>0</v>
      </c>
    </row>
    <row r="45" ht="16.5" spans="1:10">
      <c r="A45" s="89">
        <v>1.42708333333347</v>
      </c>
      <c r="B45" s="89">
        <v>1.43750000000013</v>
      </c>
      <c r="C45" s="78">
        <v>42</v>
      </c>
      <c r="D45" s="90">
        <f>'DATA-CMD'!L44</f>
        <v>626.85</v>
      </c>
      <c r="E45" s="91">
        <f>TPCIL!O54</f>
        <v>125</v>
      </c>
      <c r="F45" s="90">
        <f t="shared" si="0"/>
        <v>501.85</v>
      </c>
      <c r="G45" s="90">
        <f t="shared" si="1"/>
        <v>-0.149999999999977</v>
      </c>
      <c r="H45" s="90">
        <f t="shared" si="2"/>
        <v>125.15</v>
      </c>
      <c r="I45" s="90">
        <f t="shared" si="3"/>
        <v>125</v>
      </c>
      <c r="J45" s="92">
        <f t="shared" si="4"/>
        <v>0.149999999999977</v>
      </c>
    </row>
    <row r="46" ht="16.5" spans="1:10">
      <c r="A46" s="89">
        <v>1.43750000000014</v>
      </c>
      <c r="B46" s="89">
        <v>1.4479166666668</v>
      </c>
      <c r="C46" s="78">
        <v>43</v>
      </c>
      <c r="D46" s="90">
        <f>'DATA-CMD'!L45</f>
        <v>627.24</v>
      </c>
      <c r="E46" s="91">
        <f>TPCIL!O55</f>
        <v>125</v>
      </c>
      <c r="F46" s="90">
        <f t="shared" si="0"/>
        <v>502.24</v>
      </c>
      <c r="G46" s="90">
        <f t="shared" si="1"/>
        <v>0.240000000000009</v>
      </c>
      <c r="H46" s="90">
        <f t="shared" si="2"/>
        <v>124.76</v>
      </c>
      <c r="I46" s="90">
        <f t="shared" si="3"/>
        <v>124.76</v>
      </c>
      <c r="J46" s="92">
        <f t="shared" si="4"/>
        <v>0</v>
      </c>
    </row>
    <row r="47" ht="16.5" spans="1:10">
      <c r="A47" s="89">
        <v>1.44791666666681</v>
      </c>
      <c r="B47" s="89">
        <v>1.45833333333347</v>
      </c>
      <c r="C47" s="78">
        <v>44</v>
      </c>
      <c r="D47" s="90">
        <f>'DATA-CMD'!L46</f>
        <v>625.99</v>
      </c>
      <c r="E47" s="91">
        <f>TPCIL!O56</f>
        <v>125</v>
      </c>
      <c r="F47" s="90">
        <f t="shared" si="0"/>
        <v>500.99</v>
      </c>
      <c r="G47" s="90">
        <f t="shared" si="1"/>
        <v>-1.00999999999999</v>
      </c>
      <c r="H47" s="90">
        <f t="shared" si="2"/>
        <v>126.01</v>
      </c>
      <c r="I47" s="90">
        <f t="shared" si="3"/>
        <v>125</v>
      </c>
      <c r="J47" s="92">
        <f t="shared" si="4"/>
        <v>1.00999999999999</v>
      </c>
    </row>
    <row r="48" ht="16.5" spans="1:10">
      <c r="A48" s="89">
        <v>1.45833333333348</v>
      </c>
      <c r="B48" s="89">
        <v>1.46875000000014</v>
      </c>
      <c r="C48" s="78">
        <v>45</v>
      </c>
      <c r="D48" s="90">
        <f>'DATA-CMD'!L47</f>
        <v>619.84</v>
      </c>
      <c r="E48" s="91">
        <f>TPCIL!O57</f>
        <v>125</v>
      </c>
      <c r="F48" s="90">
        <f t="shared" si="0"/>
        <v>494.84</v>
      </c>
      <c r="G48" s="90">
        <f t="shared" si="1"/>
        <v>-7.15999999999997</v>
      </c>
      <c r="H48" s="90">
        <f t="shared" si="2"/>
        <v>132.16</v>
      </c>
      <c r="I48" s="90">
        <f t="shared" si="3"/>
        <v>125</v>
      </c>
      <c r="J48" s="92">
        <f t="shared" si="4"/>
        <v>7.15999999999997</v>
      </c>
    </row>
    <row r="49" ht="16.5" spans="1:10">
      <c r="A49" s="89">
        <v>1.46875000000015</v>
      </c>
      <c r="B49" s="89">
        <v>1.47916666666681</v>
      </c>
      <c r="C49" s="78">
        <v>46</v>
      </c>
      <c r="D49" s="90">
        <f>'DATA-CMD'!L48</f>
        <v>573.41</v>
      </c>
      <c r="E49" s="91">
        <f>TPCIL!O58</f>
        <v>74</v>
      </c>
      <c r="F49" s="90">
        <f t="shared" si="0"/>
        <v>499.41</v>
      </c>
      <c r="G49" s="90">
        <f t="shared" si="1"/>
        <v>-2.59000000000003</v>
      </c>
      <c r="H49" s="90">
        <f t="shared" si="2"/>
        <v>127.59</v>
      </c>
      <c r="I49" s="90">
        <f t="shared" si="3"/>
        <v>125</v>
      </c>
      <c r="J49" s="92">
        <f t="shared" si="4"/>
        <v>2.59000000000003</v>
      </c>
    </row>
    <row r="50" ht="16.5" spans="1:10">
      <c r="A50" s="89">
        <v>1.47916666666682</v>
      </c>
      <c r="B50" s="89">
        <v>1.48958333333348</v>
      </c>
      <c r="C50" s="78">
        <v>47</v>
      </c>
      <c r="D50" s="90">
        <f>'DATA-CMD'!L49</f>
        <v>518.19</v>
      </c>
      <c r="E50" s="91">
        <f>TPCIL!O59</f>
        <v>22</v>
      </c>
      <c r="F50" s="90">
        <f t="shared" si="0"/>
        <v>496.19</v>
      </c>
      <c r="G50" s="90">
        <f t="shared" si="1"/>
        <v>-5.80999999999995</v>
      </c>
      <c r="H50" s="90">
        <f t="shared" si="2"/>
        <v>130.81</v>
      </c>
      <c r="I50" s="90">
        <f t="shared" si="3"/>
        <v>125</v>
      </c>
      <c r="J50" s="92">
        <f t="shared" si="4"/>
        <v>5.80999999999995</v>
      </c>
    </row>
    <row r="51" ht="16.5" spans="1:10">
      <c r="A51" s="89">
        <v>1.48958333333349</v>
      </c>
      <c r="B51" s="89">
        <v>1.50000000000015</v>
      </c>
      <c r="C51" s="78">
        <v>48</v>
      </c>
      <c r="D51" s="90">
        <f>'DATA-CMD'!L50</f>
        <v>499.74</v>
      </c>
      <c r="E51" s="91">
        <f>TPCIL!O60</f>
        <v>0</v>
      </c>
      <c r="F51" s="90">
        <f t="shared" si="0"/>
        <v>499.74</v>
      </c>
      <c r="G51" s="90">
        <f t="shared" si="1"/>
        <v>-2.25999999999999</v>
      </c>
      <c r="H51" s="90">
        <f t="shared" si="2"/>
        <v>127.26</v>
      </c>
      <c r="I51" s="90">
        <f t="shared" si="3"/>
        <v>125</v>
      </c>
      <c r="J51" s="92">
        <f t="shared" si="4"/>
        <v>2.25999999999999</v>
      </c>
    </row>
    <row r="52" ht="16.5" spans="1:10">
      <c r="A52" s="89">
        <v>1.50000000000016</v>
      </c>
      <c r="B52" s="89">
        <v>1.51041666666682</v>
      </c>
      <c r="C52" s="78">
        <v>49</v>
      </c>
      <c r="D52" s="90">
        <f>'DATA-CMD'!L51</f>
        <v>499.21</v>
      </c>
      <c r="E52" s="91">
        <f>TPCIL!O61</f>
        <v>0</v>
      </c>
      <c r="F52" s="90">
        <f t="shared" si="0"/>
        <v>499.21</v>
      </c>
      <c r="G52" s="90">
        <f t="shared" si="1"/>
        <v>-2.79000000000002</v>
      </c>
      <c r="H52" s="90">
        <f t="shared" si="2"/>
        <v>127.79</v>
      </c>
      <c r="I52" s="90">
        <f t="shared" si="3"/>
        <v>125</v>
      </c>
      <c r="J52" s="92">
        <f t="shared" si="4"/>
        <v>2.79000000000002</v>
      </c>
    </row>
    <row r="53" ht="16.5" spans="1:10">
      <c r="A53" s="89">
        <v>1.51041666666683</v>
      </c>
      <c r="B53" s="89">
        <v>1.52083333333349</v>
      </c>
      <c r="C53" s="78">
        <v>50</v>
      </c>
      <c r="D53" s="90">
        <f>'DATA-CMD'!L52</f>
        <v>505.58</v>
      </c>
      <c r="E53" s="91">
        <f>TPCIL!O62</f>
        <v>0</v>
      </c>
      <c r="F53" s="90">
        <f t="shared" si="0"/>
        <v>505.58</v>
      </c>
      <c r="G53" s="90">
        <f t="shared" si="1"/>
        <v>3.57999999999998</v>
      </c>
      <c r="H53" s="90">
        <f t="shared" si="2"/>
        <v>121.42</v>
      </c>
      <c r="I53" s="90">
        <f t="shared" si="3"/>
        <v>121.42</v>
      </c>
      <c r="J53" s="92">
        <f t="shared" si="4"/>
        <v>0</v>
      </c>
    </row>
    <row r="54" ht="16.5" spans="1:10">
      <c r="A54" s="89">
        <v>1.5208333333335</v>
      </c>
      <c r="B54" s="89">
        <v>1.53125000000016</v>
      </c>
      <c r="C54" s="78">
        <v>51</v>
      </c>
      <c r="D54" s="90">
        <f>'DATA-CMD'!L53</f>
        <v>503.68</v>
      </c>
      <c r="E54" s="91">
        <f>TPCIL!O63</f>
        <v>0</v>
      </c>
      <c r="F54" s="90">
        <f t="shared" si="0"/>
        <v>503.68</v>
      </c>
      <c r="G54" s="90">
        <f t="shared" si="1"/>
        <v>1.68000000000001</v>
      </c>
      <c r="H54" s="90">
        <f t="shared" si="2"/>
        <v>123.32</v>
      </c>
      <c r="I54" s="90">
        <f t="shared" si="3"/>
        <v>123.32</v>
      </c>
      <c r="J54" s="92">
        <f t="shared" si="4"/>
        <v>0</v>
      </c>
    </row>
    <row r="55" ht="16.5" spans="1:10">
      <c r="A55" s="89">
        <v>1.53125000000017</v>
      </c>
      <c r="B55" s="89">
        <v>1.54166666666683</v>
      </c>
      <c r="C55" s="78">
        <v>52</v>
      </c>
      <c r="D55" s="90">
        <f>'DATA-CMD'!L54</f>
        <v>501.62</v>
      </c>
      <c r="E55" s="91">
        <f>TPCIL!O64</f>
        <v>0</v>
      </c>
      <c r="F55" s="90">
        <f t="shared" si="0"/>
        <v>501.62</v>
      </c>
      <c r="G55" s="90">
        <f t="shared" si="1"/>
        <v>-0.379999999999995</v>
      </c>
      <c r="H55" s="90">
        <f t="shared" si="2"/>
        <v>125.38</v>
      </c>
      <c r="I55" s="90">
        <f t="shared" si="3"/>
        <v>125</v>
      </c>
      <c r="J55" s="92">
        <f t="shared" si="4"/>
        <v>0.379999999999995</v>
      </c>
    </row>
    <row r="56" ht="16.5" spans="1:10">
      <c r="A56" s="89">
        <v>1.54166666666684</v>
      </c>
      <c r="B56" s="89">
        <v>1.5520833333335</v>
      </c>
      <c r="C56" s="78">
        <v>53</v>
      </c>
      <c r="D56" s="90">
        <f>'DATA-CMD'!L55</f>
        <v>500.72</v>
      </c>
      <c r="E56" s="91">
        <f>TPCIL!O65</f>
        <v>0</v>
      </c>
      <c r="F56" s="90">
        <f t="shared" si="0"/>
        <v>500.72</v>
      </c>
      <c r="G56" s="90">
        <f t="shared" si="1"/>
        <v>-1.27999999999997</v>
      </c>
      <c r="H56" s="90">
        <f t="shared" si="2"/>
        <v>126.28</v>
      </c>
      <c r="I56" s="90">
        <f t="shared" si="3"/>
        <v>125</v>
      </c>
      <c r="J56" s="92">
        <f t="shared" si="4"/>
        <v>1.27999999999997</v>
      </c>
    </row>
    <row r="57" ht="16.5" spans="1:10">
      <c r="A57" s="89">
        <v>1.55208333333351</v>
      </c>
      <c r="B57" s="89">
        <v>1.56250000000017</v>
      </c>
      <c r="C57" s="78">
        <v>54</v>
      </c>
      <c r="D57" s="90">
        <f>'DATA-CMD'!L56</f>
        <v>503.82</v>
      </c>
      <c r="E57" s="91">
        <f>TPCIL!O66</f>
        <v>0</v>
      </c>
      <c r="F57" s="90">
        <f t="shared" si="0"/>
        <v>503.82</v>
      </c>
      <c r="G57" s="90">
        <f t="shared" si="1"/>
        <v>1.81999999999999</v>
      </c>
      <c r="H57" s="90">
        <f t="shared" si="2"/>
        <v>123.18</v>
      </c>
      <c r="I57" s="90">
        <f t="shared" si="3"/>
        <v>123.18</v>
      </c>
      <c r="J57" s="92">
        <f t="shared" si="4"/>
        <v>0</v>
      </c>
    </row>
    <row r="58" ht="16.5" spans="1:10">
      <c r="A58" s="89">
        <v>1.56250000000018</v>
      </c>
      <c r="B58" s="89">
        <v>1.57291666666684</v>
      </c>
      <c r="C58" s="78">
        <v>55</v>
      </c>
      <c r="D58" s="90">
        <f>'DATA-CMD'!L57</f>
        <v>504.89</v>
      </c>
      <c r="E58" s="91">
        <f>TPCIL!O67</f>
        <v>0</v>
      </c>
      <c r="F58" s="90">
        <f t="shared" si="0"/>
        <v>504.89</v>
      </c>
      <c r="G58" s="90">
        <f t="shared" si="1"/>
        <v>2.88999999999999</v>
      </c>
      <c r="H58" s="90">
        <f t="shared" si="2"/>
        <v>122.11</v>
      </c>
      <c r="I58" s="90">
        <f t="shared" si="3"/>
        <v>122.11</v>
      </c>
      <c r="J58" s="92">
        <f t="shared" si="4"/>
        <v>0</v>
      </c>
    </row>
    <row r="59" ht="16.5" spans="1:10">
      <c r="A59" s="89">
        <v>1.57291666666685</v>
      </c>
      <c r="B59" s="89">
        <v>1.58333333333351</v>
      </c>
      <c r="C59" s="78">
        <v>56</v>
      </c>
      <c r="D59" s="90">
        <f>'DATA-CMD'!L58</f>
        <v>501.54</v>
      </c>
      <c r="E59" s="91">
        <f>TPCIL!O68</f>
        <v>0</v>
      </c>
      <c r="F59" s="90">
        <f t="shared" si="0"/>
        <v>501.54</v>
      </c>
      <c r="G59" s="90">
        <f t="shared" si="1"/>
        <v>-0.45999999999998</v>
      </c>
      <c r="H59" s="90">
        <f t="shared" si="2"/>
        <v>125.46</v>
      </c>
      <c r="I59" s="90">
        <f t="shared" si="3"/>
        <v>125</v>
      </c>
      <c r="J59" s="92">
        <f t="shared" si="4"/>
        <v>0.45999999999998</v>
      </c>
    </row>
    <row r="60" ht="16.5" spans="1:10">
      <c r="A60" s="89">
        <v>1.58333333333352</v>
      </c>
      <c r="B60" s="89">
        <v>1.59375000000018</v>
      </c>
      <c r="C60" s="78">
        <v>57</v>
      </c>
      <c r="D60" s="90">
        <f>'DATA-CMD'!L59</f>
        <v>500.72</v>
      </c>
      <c r="E60" s="91">
        <f>TPCIL!O69</f>
        <v>0</v>
      </c>
      <c r="F60" s="90">
        <f t="shared" si="0"/>
        <v>500.72</v>
      </c>
      <c r="G60" s="90">
        <f t="shared" si="1"/>
        <v>-1.27999999999997</v>
      </c>
      <c r="H60" s="90">
        <f t="shared" si="2"/>
        <v>126.28</v>
      </c>
      <c r="I60" s="90">
        <f t="shared" si="3"/>
        <v>125</v>
      </c>
      <c r="J60" s="92">
        <f t="shared" si="4"/>
        <v>1.27999999999997</v>
      </c>
    </row>
    <row r="61" ht="16.5" spans="1:10">
      <c r="A61" s="89">
        <v>1.59375000000019</v>
      </c>
      <c r="B61" s="89">
        <v>1.60416666666685</v>
      </c>
      <c r="C61" s="78">
        <v>58</v>
      </c>
      <c r="D61" s="90">
        <f>'DATA-CMD'!L60</f>
        <v>502.64</v>
      </c>
      <c r="E61" s="91">
        <f>TPCIL!O70</f>
        <v>0</v>
      </c>
      <c r="F61" s="90">
        <f t="shared" si="0"/>
        <v>502.64</v>
      </c>
      <c r="G61" s="90">
        <f t="shared" si="1"/>
        <v>0.639999999999986</v>
      </c>
      <c r="H61" s="90">
        <f t="shared" si="2"/>
        <v>124.36</v>
      </c>
      <c r="I61" s="90">
        <f t="shared" si="3"/>
        <v>124.36</v>
      </c>
      <c r="J61" s="92">
        <f t="shared" si="4"/>
        <v>0</v>
      </c>
    </row>
    <row r="62" ht="16.5" spans="1:10">
      <c r="A62" s="89">
        <v>1.60416666666686</v>
      </c>
      <c r="B62" s="89">
        <v>1.61458333333352</v>
      </c>
      <c r="C62" s="78">
        <v>59</v>
      </c>
      <c r="D62" s="90">
        <f>'DATA-CMD'!L61</f>
        <v>503.86</v>
      </c>
      <c r="E62" s="91">
        <f>TPCIL!O71</f>
        <v>0</v>
      </c>
      <c r="F62" s="90">
        <f t="shared" si="0"/>
        <v>503.86</v>
      </c>
      <c r="G62" s="90">
        <f t="shared" si="1"/>
        <v>1.86000000000001</v>
      </c>
      <c r="H62" s="90">
        <f t="shared" si="2"/>
        <v>123.14</v>
      </c>
      <c r="I62" s="90">
        <f t="shared" si="3"/>
        <v>123.14</v>
      </c>
      <c r="J62" s="92">
        <f t="shared" si="4"/>
        <v>0</v>
      </c>
    </row>
    <row r="63" ht="16.5" spans="1:10">
      <c r="A63" s="89">
        <v>1.61458333333353</v>
      </c>
      <c r="B63" s="89">
        <v>1.62500000000019</v>
      </c>
      <c r="C63" s="78">
        <v>60</v>
      </c>
      <c r="D63" s="90">
        <f>'DATA-CMD'!L62</f>
        <v>501.33</v>
      </c>
      <c r="E63" s="91">
        <f>TPCIL!O72</f>
        <v>0</v>
      </c>
      <c r="F63" s="90">
        <f t="shared" si="0"/>
        <v>501.33</v>
      </c>
      <c r="G63" s="90">
        <f t="shared" si="1"/>
        <v>-0.670000000000016</v>
      </c>
      <c r="H63" s="90">
        <f t="shared" si="2"/>
        <v>125.67</v>
      </c>
      <c r="I63" s="90">
        <f t="shared" si="3"/>
        <v>125</v>
      </c>
      <c r="J63" s="92">
        <f t="shared" si="4"/>
        <v>0.670000000000016</v>
      </c>
    </row>
    <row r="64" ht="16.5" spans="1:10">
      <c r="A64" s="89">
        <v>1.6250000000002</v>
      </c>
      <c r="B64" s="89">
        <v>1.63541666666686</v>
      </c>
      <c r="C64" s="78">
        <v>61</v>
      </c>
      <c r="D64" s="90">
        <f>'DATA-CMD'!L63</f>
        <v>522</v>
      </c>
      <c r="E64" s="91">
        <f>TPCIL!O73</f>
        <v>22</v>
      </c>
      <c r="F64" s="90">
        <f t="shared" si="0"/>
        <v>500</v>
      </c>
      <c r="G64" s="90">
        <f t="shared" si="1"/>
        <v>-2</v>
      </c>
      <c r="H64" s="90">
        <f t="shared" si="2"/>
        <v>127</v>
      </c>
      <c r="I64" s="90">
        <f t="shared" si="3"/>
        <v>125</v>
      </c>
      <c r="J64" s="92">
        <f t="shared" si="4"/>
        <v>2</v>
      </c>
    </row>
    <row r="65" ht="16.5" spans="1:10">
      <c r="A65" s="89">
        <v>1.63541666666687</v>
      </c>
      <c r="B65" s="89">
        <v>1.64583333333353</v>
      </c>
      <c r="C65" s="78">
        <v>62</v>
      </c>
      <c r="D65" s="90">
        <f>'DATA-CMD'!L64</f>
        <v>572.03</v>
      </c>
      <c r="E65" s="91">
        <f>TPCIL!O74</f>
        <v>74</v>
      </c>
      <c r="F65" s="90">
        <f t="shared" si="0"/>
        <v>498.03</v>
      </c>
      <c r="G65" s="90">
        <f t="shared" si="1"/>
        <v>-3.97000000000003</v>
      </c>
      <c r="H65" s="90">
        <f t="shared" si="2"/>
        <v>128.97</v>
      </c>
      <c r="I65" s="90">
        <f t="shared" si="3"/>
        <v>125</v>
      </c>
      <c r="J65" s="92">
        <f t="shared" si="4"/>
        <v>3.97000000000003</v>
      </c>
    </row>
    <row r="66" ht="16.5" spans="1:10">
      <c r="A66" s="89">
        <v>1.64583333333354</v>
      </c>
      <c r="B66" s="89">
        <v>1.6562500000002</v>
      </c>
      <c r="C66" s="78">
        <v>63</v>
      </c>
      <c r="D66" s="90">
        <f>'DATA-CMD'!L65</f>
        <v>617.91</v>
      </c>
      <c r="E66" s="91">
        <f>TPCIL!O75</f>
        <v>125</v>
      </c>
      <c r="F66" s="90">
        <f t="shared" si="0"/>
        <v>492.91</v>
      </c>
      <c r="G66" s="90">
        <f t="shared" si="1"/>
        <v>-9.09000000000003</v>
      </c>
      <c r="H66" s="90">
        <f t="shared" si="2"/>
        <v>134.09</v>
      </c>
      <c r="I66" s="90">
        <f t="shared" si="3"/>
        <v>125</v>
      </c>
      <c r="J66" s="92">
        <f t="shared" si="4"/>
        <v>9.09000000000003</v>
      </c>
    </row>
    <row r="67" ht="16.5" spans="1:10">
      <c r="A67" s="89">
        <v>1.65625000000021</v>
      </c>
      <c r="B67" s="89">
        <v>1.66666666666687</v>
      </c>
      <c r="C67" s="78">
        <v>64</v>
      </c>
      <c r="D67" s="90">
        <f>'DATA-CMD'!L66</f>
        <v>626.93</v>
      </c>
      <c r="E67" s="91">
        <f>TPCIL!O76</f>
        <v>125</v>
      </c>
      <c r="F67" s="90">
        <f t="shared" si="0"/>
        <v>501.93</v>
      </c>
      <c r="G67" s="90">
        <f t="shared" si="1"/>
        <v>-0.07000000000005</v>
      </c>
      <c r="H67" s="90">
        <f t="shared" si="2"/>
        <v>125.07</v>
      </c>
      <c r="I67" s="90">
        <f t="shared" si="3"/>
        <v>125</v>
      </c>
      <c r="J67" s="92">
        <f t="shared" si="4"/>
        <v>0.07000000000005</v>
      </c>
    </row>
    <row r="68" ht="16.5" spans="1:10">
      <c r="A68" s="89">
        <v>1.66666666666689</v>
      </c>
      <c r="B68" s="89">
        <v>1.67708333333354</v>
      </c>
      <c r="C68" s="78">
        <v>65</v>
      </c>
      <c r="D68" s="90">
        <f>'DATA-CMD'!L67</f>
        <v>448.98</v>
      </c>
      <c r="E68" s="91">
        <f>TPCIL!O77</f>
        <v>125</v>
      </c>
      <c r="F68" s="90">
        <f t="shared" ref="F68:F99" si="5">D68-E68</f>
        <v>323.98</v>
      </c>
      <c r="G68" s="90">
        <f t="shared" ref="G68:G99" si="6">F68-502</f>
        <v>-178.02</v>
      </c>
      <c r="H68" s="90">
        <f t="shared" ref="H68:H99" si="7">627-F68</f>
        <v>303.02</v>
      </c>
      <c r="I68" s="90">
        <f t="shared" ref="I68:I99" si="8">IF(H68&lt;125,H68,125)</f>
        <v>125</v>
      </c>
      <c r="J68" s="92">
        <f t="shared" ref="J68:J99" si="9">IF(H68&gt;125,H68-125,0)</f>
        <v>178.02</v>
      </c>
    </row>
    <row r="69" ht="16.5" spans="1:10">
      <c r="A69" s="89">
        <v>1.67708333333356</v>
      </c>
      <c r="B69" s="89">
        <v>1.68750000000021</v>
      </c>
      <c r="C69" s="78">
        <v>66</v>
      </c>
      <c r="D69" s="90">
        <f>'DATA-CMD'!L68</f>
        <v>626.41</v>
      </c>
      <c r="E69" s="91">
        <f>TPCIL!O78</f>
        <v>125</v>
      </c>
      <c r="F69" s="90">
        <f t="shared" si="5"/>
        <v>501.41</v>
      </c>
      <c r="G69" s="90">
        <f t="shared" si="6"/>
        <v>-0.590000000000032</v>
      </c>
      <c r="H69" s="90">
        <f t="shared" si="7"/>
        <v>125.59</v>
      </c>
      <c r="I69" s="90">
        <f t="shared" si="8"/>
        <v>125</v>
      </c>
      <c r="J69" s="92">
        <f t="shared" si="9"/>
        <v>0.590000000000032</v>
      </c>
    </row>
    <row r="70" ht="16.5" spans="1:10">
      <c r="A70" s="89">
        <v>1.68750000000023</v>
      </c>
      <c r="B70" s="89">
        <v>1.69791666666688</v>
      </c>
      <c r="C70" s="78">
        <v>67</v>
      </c>
      <c r="D70" s="90">
        <f>'DATA-CMD'!L69</f>
        <v>628.03</v>
      </c>
      <c r="E70" s="91">
        <f>TPCIL!O79</f>
        <v>125</v>
      </c>
      <c r="F70" s="90">
        <f t="shared" si="5"/>
        <v>503.03</v>
      </c>
      <c r="G70" s="90">
        <f t="shared" si="6"/>
        <v>1.02999999999997</v>
      </c>
      <c r="H70" s="90">
        <f t="shared" si="7"/>
        <v>123.97</v>
      </c>
      <c r="I70" s="90">
        <f t="shared" si="8"/>
        <v>123.97</v>
      </c>
      <c r="J70" s="92">
        <f t="shared" si="9"/>
        <v>0</v>
      </c>
    </row>
    <row r="71" ht="16.5" spans="1:10">
      <c r="A71" s="89">
        <v>1.6979166666669</v>
      </c>
      <c r="B71" s="89">
        <v>1.70833333333355</v>
      </c>
      <c r="C71" s="78">
        <v>68</v>
      </c>
      <c r="D71" s="90">
        <f>'DATA-CMD'!L70</f>
        <v>629.92</v>
      </c>
      <c r="E71" s="91">
        <f>TPCIL!O80</f>
        <v>125</v>
      </c>
      <c r="F71" s="90">
        <f t="shared" si="5"/>
        <v>504.92</v>
      </c>
      <c r="G71" s="90">
        <f t="shared" si="6"/>
        <v>2.91999999999996</v>
      </c>
      <c r="H71" s="90">
        <f t="shared" si="7"/>
        <v>122.08</v>
      </c>
      <c r="I71" s="90">
        <f t="shared" si="8"/>
        <v>122.08</v>
      </c>
      <c r="J71" s="92">
        <f t="shared" si="9"/>
        <v>0</v>
      </c>
    </row>
    <row r="72" ht="16.5" spans="1:10">
      <c r="A72" s="89">
        <v>1.70833333333356</v>
      </c>
      <c r="B72" s="89">
        <v>1.71875000000022</v>
      </c>
      <c r="C72" s="78">
        <v>69</v>
      </c>
      <c r="D72" s="90">
        <f>'DATA-CMD'!L71</f>
        <v>626.7</v>
      </c>
      <c r="E72" s="91">
        <f>TPCIL!O81</f>
        <v>125</v>
      </c>
      <c r="F72" s="90">
        <f t="shared" si="5"/>
        <v>501.7</v>
      </c>
      <c r="G72" s="90">
        <f t="shared" si="6"/>
        <v>-0.299999999999955</v>
      </c>
      <c r="H72" s="90">
        <f t="shared" si="7"/>
        <v>125.3</v>
      </c>
      <c r="I72" s="90">
        <f t="shared" si="8"/>
        <v>125</v>
      </c>
      <c r="J72" s="92">
        <f t="shared" si="9"/>
        <v>0.299999999999955</v>
      </c>
    </row>
    <row r="73" ht="16.5" spans="1:10">
      <c r="A73" s="89">
        <v>1.71875000000023</v>
      </c>
      <c r="B73" s="89">
        <v>1.72916666666689</v>
      </c>
      <c r="C73" s="78">
        <v>70</v>
      </c>
      <c r="D73" s="90">
        <f>'DATA-CMD'!L72</f>
        <v>625.53</v>
      </c>
      <c r="E73" s="91">
        <f>TPCIL!O82</f>
        <v>125</v>
      </c>
      <c r="F73" s="90">
        <f t="shared" si="5"/>
        <v>500.53</v>
      </c>
      <c r="G73" s="90">
        <f t="shared" si="6"/>
        <v>-1.47000000000003</v>
      </c>
      <c r="H73" s="90">
        <f t="shared" si="7"/>
        <v>126.47</v>
      </c>
      <c r="I73" s="90">
        <f t="shared" si="8"/>
        <v>125</v>
      </c>
      <c r="J73" s="92">
        <f t="shared" si="9"/>
        <v>1.47000000000003</v>
      </c>
    </row>
    <row r="74" ht="16.5" spans="1:10">
      <c r="A74" s="89">
        <v>1.7291666666669</v>
      </c>
      <c r="B74" s="89">
        <v>1.73958333333356</v>
      </c>
      <c r="C74" s="78">
        <v>71</v>
      </c>
      <c r="D74" s="90">
        <f>'DATA-CMD'!L73</f>
        <v>627.71</v>
      </c>
      <c r="E74" s="91">
        <f>TPCIL!O83</f>
        <v>125</v>
      </c>
      <c r="F74" s="90">
        <f t="shared" si="5"/>
        <v>502.71</v>
      </c>
      <c r="G74" s="90">
        <f t="shared" si="6"/>
        <v>0.710000000000036</v>
      </c>
      <c r="H74" s="90">
        <f t="shared" si="7"/>
        <v>124.29</v>
      </c>
      <c r="I74" s="90">
        <f t="shared" si="8"/>
        <v>124.29</v>
      </c>
      <c r="J74" s="92">
        <f t="shared" si="9"/>
        <v>0</v>
      </c>
    </row>
    <row r="75" ht="16.5" spans="1:10">
      <c r="A75" s="89">
        <v>1.73958333333358</v>
      </c>
      <c r="B75" s="89">
        <v>1.75000000000023</v>
      </c>
      <c r="C75" s="78">
        <v>72</v>
      </c>
      <c r="D75" s="90">
        <f>'DATA-CMD'!L74</f>
        <v>615.41</v>
      </c>
      <c r="E75" s="91">
        <f>TPCIL!O84</f>
        <v>125</v>
      </c>
      <c r="F75" s="90">
        <f t="shared" si="5"/>
        <v>490.41</v>
      </c>
      <c r="G75" s="90">
        <f t="shared" si="6"/>
        <v>-11.59</v>
      </c>
      <c r="H75" s="90">
        <f t="shared" si="7"/>
        <v>136.59</v>
      </c>
      <c r="I75" s="90">
        <f t="shared" si="8"/>
        <v>125</v>
      </c>
      <c r="J75" s="92">
        <f t="shared" si="9"/>
        <v>11.59</v>
      </c>
    </row>
    <row r="76" ht="16.5" spans="1:10">
      <c r="A76" s="89">
        <v>1.75000000000025</v>
      </c>
      <c r="B76" s="89">
        <v>1.7604166666669</v>
      </c>
      <c r="C76" s="78">
        <v>73</v>
      </c>
      <c r="D76" s="90">
        <f>'DATA-CMD'!L75</f>
        <v>601.45</v>
      </c>
      <c r="E76" s="91">
        <f>TPCIL!O85</f>
        <v>125</v>
      </c>
      <c r="F76" s="90">
        <f t="shared" si="5"/>
        <v>476.45</v>
      </c>
      <c r="G76" s="90">
        <f t="shared" si="6"/>
        <v>-25.55</v>
      </c>
      <c r="H76" s="90">
        <f t="shared" si="7"/>
        <v>150.55</v>
      </c>
      <c r="I76" s="90">
        <f t="shared" si="8"/>
        <v>125</v>
      </c>
      <c r="J76" s="92">
        <f t="shared" si="9"/>
        <v>25.55</v>
      </c>
    </row>
    <row r="77" ht="16.5" spans="1:10">
      <c r="A77" s="89">
        <v>1.76041666666691</v>
      </c>
      <c r="B77" s="89">
        <v>1.77083333333357</v>
      </c>
      <c r="C77" s="78">
        <v>74</v>
      </c>
      <c r="D77" s="90">
        <f>'DATA-CMD'!L76</f>
        <v>608.77</v>
      </c>
      <c r="E77" s="91">
        <f>TPCIL!O86</f>
        <v>125</v>
      </c>
      <c r="F77" s="90">
        <f t="shared" si="5"/>
        <v>483.77</v>
      </c>
      <c r="G77" s="90">
        <f t="shared" si="6"/>
        <v>-18.23</v>
      </c>
      <c r="H77" s="90">
        <f t="shared" si="7"/>
        <v>143.23</v>
      </c>
      <c r="I77" s="90">
        <f t="shared" si="8"/>
        <v>125</v>
      </c>
      <c r="J77" s="92">
        <f t="shared" si="9"/>
        <v>18.23</v>
      </c>
    </row>
    <row r="78" ht="16.5" spans="1:10">
      <c r="A78" s="89">
        <v>1.77083333333358</v>
      </c>
      <c r="B78" s="89">
        <v>1.78125000000024</v>
      </c>
      <c r="C78" s="78">
        <v>75</v>
      </c>
      <c r="D78" s="90">
        <f>'DATA-CMD'!L77</f>
        <v>614.69</v>
      </c>
      <c r="E78" s="91">
        <f>TPCIL!O87</f>
        <v>125</v>
      </c>
      <c r="F78" s="90">
        <f t="shared" si="5"/>
        <v>489.69</v>
      </c>
      <c r="G78" s="90">
        <f t="shared" si="6"/>
        <v>-12.3099999999999</v>
      </c>
      <c r="H78" s="90">
        <f t="shared" si="7"/>
        <v>137.31</v>
      </c>
      <c r="I78" s="90">
        <f t="shared" si="8"/>
        <v>125</v>
      </c>
      <c r="J78" s="92">
        <f t="shared" si="9"/>
        <v>12.3099999999999</v>
      </c>
    </row>
    <row r="79" ht="16.5" spans="1:10">
      <c r="A79" s="89">
        <v>1.78125000000025</v>
      </c>
      <c r="B79" s="89">
        <v>1.79166666666691</v>
      </c>
      <c r="C79" s="78">
        <v>76</v>
      </c>
      <c r="D79" s="90">
        <f>'DATA-CMD'!L78</f>
        <v>598.46</v>
      </c>
      <c r="E79" s="91">
        <f>TPCIL!O88</f>
        <v>125</v>
      </c>
      <c r="F79" s="90">
        <f t="shared" si="5"/>
        <v>473.46</v>
      </c>
      <c r="G79" s="90">
        <f t="shared" si="6"/>
        <v>-28.54</v>
      </c>
      <c r="H79" s="90">
        <f t="shared" si="7"/>
        <v>153.54</v>
      </c>
      <c r="I79" s="90">
        <f t="shared" si="8"/>
        <v>125</v>
      </c>
      <c r="J79" s="92">
        <f t="shared" si="9"/>
        <v>28.54</v>
      </c>
    </row>
    <row r="80" ht="16.5" spans="1:10">
      <c r="A80" s="89">
        <v>1.79166666666692</v>
      </c>
      <c r="B80" s="89">
        <v>1.80208333333358</v>
      </c>
      <c r="C80" s="78">
        <v>77</v>
      </c>
      <c r="D80" s="90">
        <f>'DATA-CMD'!L79</f>
        <v>619.55</v>
      </c>
      <c r="E80" s="91">
        <f>TPCIL!O89</f>
        <v>125</v>
      </c>
      <c r="F80" s="90">
        <f t="shared" si="5"/>
        <v>494.55</v>
      </c>
      <c r="G80" s="90">
        <f t="shared" si="6"/>
        <v>-7.45000000000005</v>
      </c>
      <c r="H80" s="90">
        <f t="shared" si="7"/>
        <v>132.45</v>
      </c>
      <c r="I80" s="90">
        <f t="shared" si="8"/>
        <v>125</v>
      </c>
      <c r="J80" s="92">
        <f t="shared" si="9"/>
        <v>7.45000000000005</v>
      </c>
    </row>
    <row r="81" ht="16.5" spans="1:10">
      <c r="A81" s="89">
        <v>1.8020833333336</v>
      </c>
      <c r="B81" s="89">
        <v>1.81250000000025</v>
      </c>
      <c r="C81" s="78">
        <v>78</v>
      </c>
      <c r="D81" s="90">
        <f>'DATA-CMD'!L80</f>
        <v>620.51</v>
      </c>
      <c r="E81" s="91">
        <f>TPCIL!O90</f>
        <v>125</v>
      </c>
      <c r="F81" s="90">
        <f t="shared" si="5"/>
        <v>495.51</v>
      </c>
      <c r="G81" s="90">
        <f t="shared" si="6"/>
        <v>-6.49000000000001</v>
      </c>
      <c r="H81" s="90">
        <f t="shared" si="7"/>
        <v>131.49</v>
      </c>
      <c r="I81" s="90">
        <f t="shared" si="8"/>
        <v>125</v>
      </c>
      <c r="J81" s="92">
        <f t="shared" si="9"/>
        <v>6.49000000000001</v>
      </c>
    </row>
    <row r="82" ht="16.5" spans="1:10">
      <c r="A82" s="89">
        <v>1.81250000000027</v>
      </c>
      <c r="B82" s="89">
        <v>1.82291666666692</v>
      </c>
      <c r="C82" s="78">
        <v>79</v>
      </c>
      <c r="D82" s="90">
        <f>'DATA-CMD'!L81</f>
        <v>629.91</v>
      </c>
      <c r="E82" s="91">
        <f>TPCIL!O91</f>
        <v>125</v>
      </c>
      <c r="F82" s="90">
        <f t="shared" si="5"/>
        <v>504.91</v>
      </c>
      <c r="G82" s="90">
        <f t="shared" si="6"/>
        <v>2.90999999999997</v>
      </c>
      <c r="H82" s="90">
        <f t="shared" si="7"/>
        <v>122.09</v>
      </c>
      <c r="I82" s="90">
        <f t="shared" si="8"/>
        <v>122.09</v>
      </c>
      <c r="J82" s="92">
        <f t="shared" si="9"/>
        <v>0</v>
      </c>
    </row>
    <row r="83" ht="16.5" spans="1:10">
      <c r="A83" s="89">
        <v>1.82291666666694</v>
      </c>
      <c r="B83" s="89">
        <v>1.83333333333359</v>
      </c>
      <c r="C83" s="78">
        <v>80</v>
      </c>
      <c r="D83" s="90">
        <f>'DATA-CMD'!L82</f>
        <v>624.49</v>
      </c>
      <c r="E83" s="91">
        <f>TPCIL!O92</f>
        <v>125</v>
      </c>
      <c r="F83" s="90">
        <f t="shared" si="5"/>
        <v>499.49</v>
      </c>
      <c r="G83" s="90">
        <f t="shared" si="6"/>
        <v>-2.50999999999999</v>
      </c>
      <c r="H83" s="90">
        <f t="shared" si="7"/>
        <v>127.51</v>
      </c>
      <c r="I83" s="90">
        <f t="shared" si="8"/>
        <v>125</v>
      </c>
      <c r="J83" s="92">
        <f t="shared" si="9"/>
        <v>2.50999999999999</v>
      </c>
    </row>
    <row r="84" ht="16.5" spans="1:10">
      <c r="A84" s="89">
        <v>1.83333333333361</v>
      </c>
      <c r="B84" s="89">
        <v>1.84375000000026</v>
      </c>
      <c r="C84" s="78">
        <v>81</v>
      </c>
      <c r="D84" s="90">
        <f>'DATA-CMD'!L83</f>
        <v>625.16</v>
      </c>
      <c r="E84" s="91">
        <f>TPCIL!O93</f>
        <v>125</v>
      </c>
      <c r="F84" s="90">
        <f t="shared" si="5"/>
        <v>500.16</v>
      </c>
      <c r="G84" s="90">
        <f t="shared" si="6"/>
        <v>-1.84000000000003</v>
      </c>
      <c r="H84" s="90">
        <f t="shared" si="7"/>
        <v>126.84</v>
      </c>
      <c r="I84" s="90">
        <f t="shared" si="8"/>
        <v>125</v>
      </c>
      <c r="J84" s="92">
        <f t="shared" si="9"/>
        <v>1.84000000000003</v>
      </c>
    </row>
    <row r="85" ht="16.5" spans="1:10">
      <c r="A85" s="89">
        <v>1.84375000000028</v>
      </c>
      <c r="B85" s="89">
        <v>1.85416666666693</v>
      </c>
      <c r="C85" s="78">
        <v>82</v>
      </c>
      <c r="D85" s="90">
        <f>'DATA-CMD'!L84</f>
        <v>626.44</v>
      </c>
      <c r="E85" s="91">
        <f>TPCIL!O94</f>
        <v>125</v>
      </c>
      <c r="F85" s="90">
        <f t="shared" si="5"/>
        <v>501.44</v>
      </c>
      <c r="G85" s="90">
        <f t="shared" si="6"/>
        <v>-0.559999999999945</v>
      </c>
      <c r="H85" s="90">
        <f t="shared" si="7"/>
        <v>125.56</v>
      </c>
      <c r="I85" s="90">
        <f t="shared" si="8"/>
        <v>125</v>
      </c>
      <c r="J85" s="92">
        <f t="shared" si="9"/>
        <v>0.559999999999945</v>
      </c>
    </row>
    <row r="86" ht="16.5" spans="1:10">
      <c r="A86" s="89">
        <v>1.85416666666695</v>
      </c>
      <c r="B86" s="89">
        <v>1.8645833333336</v>
      </c>
      <c r="C86" s="78">
        <v>83</v>
      </c>
      <c r="D86" s="90">
        <f>'DATA-CMD'!L85</f>
        <v>615.62</v>
      </c>
      <c r="E86" s="91">
        <f>TPCIL!O95</f>
        <v>125</v>
      </c>
      <c r="F86" s="90">
        <f t="shared" si="5"/>
        <v>490.62</v>
      </c>
      <c r="G86" s="90">
        <f t="shared" si="6"/>
        <v>-11.38</v>
      </c>
      <c r="H86" s="90">
        <f t="shared" si="7"/>
        <v>136.38</v>
      </c>
      <c r="I86" s="90">
        <f t="shared" si="8"/>
        <v>125</v>
      </c>
      <c r="J86" s="92">
        <f t="shared" si="9"/>
        <v>11.38</v>
      </c>
    </row>
    <row r="87" ht="16.5" spans="1:10">
      <c r="A87" s="89">
        <v>1.86458333333362</v>
      </c>
      <c r="B87" s="89">
        <v>1.87500000000027</v>
      </c>
      <c r="C87" s="78">
        <v>84</v>
      </c>
      <c r="D87" s="90">
        <f>'DATA-CMD'!L86</f>
        <v>603.39</v>
      </c>
      <c r="E87" s="91">
        <f>TPCIL!O96</f>
        <v>125</v>
      </c>
      <c r="F87" s="90">
        <f t="shared" si="5"/>
        <v>478.39</v>
      </c>
      <c r="G87" s="90">
        <f t="shared" si="6"/>
        <v>-23.61</v>
      </c>
      <c r="H87" s="90">
        <f t="shared" si="7"/>
        <v>148.61</v>
      </c>
      <c r="I87" s="90">
        <f t="shared" si="8"/>
        <v>125</v>
      </c>
      <c r="J87" s="92">
        <f t="shared" si="9"/>
        <v>23.61</v>
      </c>
    </row>
    <row r="88" ht="16.5" spans="1:10">
      <c r="A88" s="89">
        <v>1.87500000000029</v>
      </c>
      <c r="B88" s="89">
        <v>1.88541666666694</v>
      </c>
      <c r="C88" s="78">
        <v>85</v>
      </c>
      <c r="D88" s="90">
        <f>'DATA-CMD'!L87</f>
        <v>611.38</v>
      </c>
      <c r="E88" s="91">
        <f>TPCIL!O97</f>
        <v>125</v>
      </c>
      <c r="F88" s="90">
        <f t="shared" si="5"/>
        <v>486.38</v>
      </c>
      <c r="G88" s="90">
        <f t="shared" si="6"/>
        <v>-15.62</v>
      </c>
      <c r="H88" s="90">
        <f t="shared" si="7"/>
        <v>140.62</v>
      </c>
      <c r="I88" s="90">
        <f t="shared" si="8"/>
        <v>125</v>
      </c>
      <c r="J88" s="92">
        <f t="shared" si="9"/>
        <v>15.62</v>
      </c>
    </row>
    <row r="89" ht="16.5" spans="1:10">
      <c r="A89" s="89">
        <v>1.88541666666696</v>
      </c>
      <c r="B89" s="89">
        <v>1.89583333333361</v>
      </c>
      <c r="C89" s="78">
        <v>86</v>
      </c>
      <c r="D89" s="90">
        <f>'DATA-CMD'!L88</f>
        <v>622.01</v>
      </c>
      <c r="E89" s="91">
        <f>TPCIL!O98</f>
        <v>125</v>
      </c>
      <c r="F89" s="90">
        <f t="shared" si="5"/>
        <v>497.01</v>
      </c>
      <c r="G89" s="90">
        <f t="shared" si="6"/>
        <v>-4.99000000000001</v>
      </c>
      <c r="H89" s="90">
        <f t="shared" si="7"/>
        <v>129.99</v>
      </c>
      <c r="I89" s="90">
        <f t="shared" si="8"/>
        <v>125</v>
      </c>
      <c r="J89" s="92">
        <f t="shared" si="9"/>
        <v>4.99000000000001</v>
      </c>
    </row>
    <row r="90" ht="16.5" spans="1:10">
      <c r="A90" s="89">
        <v>1.89583333333363</v>
      </c>
      <c r="B90" s="89">
        <v>1.90625000000028</v>
      </c>
      <c r="C90" s="78">
        <v>87</v>
      </c>
      <c r="D90" s="90">
        <f>'DATA-CMD'!L89</f>
        <v>628.62</v>
      </c>
      <c r="E90" s="91">
        <f>TPCIL!O99</f>
        <v>125</v>
      </c>
      <c r="F90" s="90">
        <f t="shared" si="5"/>
        <v>503.62</v>
      </c>
      <c r="G90" s="90">
        <f t="shared" si="6"/>
        <v>1.62</v>
      </c>
      <c r="H90" s="90">
        <f t="shared" si="7"/>
        <v>123.38</v>
      </c>
      <c r="I90" s="90">
        <f t="shared" si="8"/>
        <v>123.38</v>
      </c>
      <c r="J90" s="92">
        <f t="shared" si="9"/>
        <v>0</v>
      </c>
    </row>
    <row r="91" ht="16.5" spans="1:10">
      <c r="A91" s="89">
        <v>1.9062500000003</v>
      </c>
      <c r="B91" s="89">
        <v>1.91666666666695</v>
      </c>
      <c r="C91" s="78">
        <v>88</v>
      </c>
      <c r="D91" s="90">
        <f>'DATA-CMD'!L90</f>
        <v>624.76</v>
      </c>
      <c r="E91" s="91">
        <f>TPCIL!O100</f>
        <v>125</v>
      </c>
      <c r="F91" s="90">
        <f t="shared" si="5"/>
        <v>499.76</v>
      </c>
      <c r="G91" s="90">
        <f t="shared" si="6"/>
        <v>-2.24000000000001</v>
      </c>
      <c r="H91" s="90">
        <f t="shared" si="7"/>
        <v>127.24</v>
      </c>
      <c r="I91" s="90">
        <f t="shared" si="8"/>
        <v>125</v>
      </c>
      <c r="J91" s="92">
        <f t="shared" si="9"/>
        <v>2.24000000000001</v>
      </c>
    </row>
    <row r="92" ht="16.5" spans="1:10">
      <c r="A92" s="89">
        <v>1.91666666666697</v>
      </c>
      <c r="B92" s="89">
        <v>1.92708333333362</v>
      </c>
      <c r="C92" s="78">
        <v>89</v>
      </c>
      <c r="D92" s="90">
        <f>'DATA-CMD'!L91</f>
        <v>625.62</v>
      </c>
      <c r="E92" s="91">
        <f>TPCIL!O101</f>
        <v>125</v>
      </c>
      <c r="F92" s="90">
        <f t="shared" si="5"/>
        <v>500.62</v>
      </c>
      <c r="G92" s="90">
        <f t="shared" si="6"/>
        <v>-1.38</v>
      </c>
      <c r="H92" s="90">
        <f t="shared" si="7"/>
        <v>126.38</v>
      </c>
      <c r="I92" s="90">
        <f t="shared" si="8"/>
        <v>125</v>
      </c>
      <c r="J92" s="92">
        <f t="shared" si="9"/>
        <v>1.38</v>
      </c>
    </row>
    <row r="93" ht="16.5" spans="1:10">
      <c r="A93" s="89">
        <v>1.92708333333364</v>
      </c>
      <c r="B93" s="89">
        <v>1.93750000000029</v>
      </c>
      <c r="C93" s="78">
        <v>90</v>
      </c>
      <c r="D93" s="90">
        <f>'DATA-CMD'!L92</f>
        <v>609.2</v>
      </c>
      <c r="E93" s="91">
        <f>TPCIL!O102</f>
        <v>125</v>
      </c>
      <c r="F93" s="90">
        <f t="shared" si="5"/>
        <v>484.2</v>
      </c>
      <c r="G93" s="90">
        <f t="shared" si="6"/>
        <v>-17.8</v>
      </c>
      <c r="H93" s="90">
        <f t="shared" si="7"/>
        <v>142.8</v>
      </c>
      <c r="I93" s="90">
        <f t="shared" si="8"/>
        <v>125</v>
      </c>
      <c r="J93" s="92">
        <f t="shared" si="9"/>
        <v>17.8</v>
      </c>
    </row>
    <row r="94" ht="16.5" spans="1:10">
      <c r="A94" s="89">
        <v>1.93750000000031</v>
      </c>
      <c r="B94" s="89">
        <v>1.94791666666696</v>
      </c>
      <c r="C94" s="78">
        <v>91</v>
      </c>
      <c r="D94" s="90">
        <f>'DATA-CMD'!L93</f>
        <v>598.15</v>
      </c>
      <c r="E94" s="91">
        <f>TPCIL!O103</f>
        <v>125</v>
      </c>
      <c r="F94" s="90">
        <f t="shared" si="5"/>
        <v>473.15</v>
      </c>
      <c r="G94" s="90">
        <f t="shared" si="6"/>
        <v>-28.85</v>
      </c>
      <c r="H94" s="90">
        <f t="shared" si="7"/>
        <v>153.85</v>
      </c>
      <c r="I94" s="90">
        <f t="shared" si="8"/>
        <v>125</v>
      </c>
      <c r="J94" s="92">
        <f t="shared" si="9"/>
        <v>28.85</v>
      </c>
    </row>
    <row r="95" ht="16.5" spans="1:10">
      <c r="A95" s="89">
        <v>1.94791666666698</v>
      </c>
      <c r="B95" s="89">
        <v>1.95833333333363</v>
      </c>
      <c r="C95" s="78">
        <v>92</v>
      </c>
      <c r="D95" s="90">
        <f>'DATA-CMD'!L94</f>
        <v>607.01</v>
      </c>
      <c r="E95" s="91">
        <f>TPCIL!O104</f>
        <v>125</v>
      </c>
      <c r="F95" s="90">
        <f t="shared" si="5"/>
        <v>482.01</v>
      </c>
      <c r="G95" s="90">
        <f t="shared" si="6"/>
        <v>-19.99</v>
      </c>
      <c r="H95" s="90">
        <f t="shared" si="7"/>
        <v>144.99</v>
      </c>
      <c r="I95" s="90">
        <f t="shared" si="8"/>
        <v>125</v>
      </c>
      <c r="J95" s="92">
        <f t="shared" si="9"/>
        <v>19.99</v>
      </c>
    </row>
    <row r="96" ht="16.5" spans="1:10">
      <c r="A96" s="89">
        <v>1.95833333333365</v>
      </c>
      <c r="B96" s="89">
        <v>1.9687500000003</v>
      </c>
      <c r="C96" s="78">
        <v>93</v>
      </c>
      <c r="D96" s="90">
        <f>'DATA-CMD'!L95</f>
        <v>565.03</v>
      </c>
      <c r="E96" s="91">
        <f>TPCIL!O105</f>
        <v>77</v>
      </c>
      <c r="F96" s="90">
        <f t="shared" si="5"/>
        <v>488.03</v>
      </c>
      <c r="G96" s="90">
        <f t="shared" si="6"/>
        <v>-13.97</v>
      </c>
      <c r="H96" s="90">
        <f t="shared" si="7"/>
        <v>138.97</v>
      </c>
      <c r="I96" s="90">
        <f t="shared" si="8"/>
        <v>125</v>
      </c>
      <c r="J96" s="92">
        <f t="shared" si="9"/>
        <v>13.97</v>
      </c>
    </row>
    <row r="97" ht="16.5" spans="1:10">
      <c r="A97" s="89">
        <v>1.96875000000032</v>
      </c>
      <c r="B97" s="89">
        <v>1.97916666666697</v>
      </c>
      <c r="C97" s="78">
        <v>94</v>
      </c>
      <c r="D97" s="90">
        <f>'DATA-CMD'!L96</f>
        <v>548.19</v>
      </c>
      <c r="E97" s="91">
        <f>TPCIL!O106</f>
        <v>77</v>
      </c>
      <c r="F97" s="90">
        <f t="shared" si="5"/>
        <v>471.19</v>
      </c>
      <c r="G97" s="90">
        <f t="shared" si="6"/>
        <v>-30.8099999999999</v>
      </c>
      <c r="H97" s="90">
        <f t="shared" si="7"/>
        <v>155.81</v>
      </c>
      <c r="I97" s="90">
        <f t="shared" si="8"/>
        <v>125</v>
      </c>
      <c r="J97" s="92">
        <f t="shared" si="9"/>
        <v>30.8099999999999</v>
      </c>
    </row>
    <row r="98" ht="16.5" spans="1:10">
      <c r="A98" s="89">
        <v>1.97916666666699</v>
      </c>
      <c r="B98" s="89">
        <v>1.98958333333364</v>
      </c>
      <c r="C98" s="78">
        <v>95</v>
      </c>
      <c r="D98" s="90">
        <f>'DATA-CMD'!L97</f>
        <v>574.95</v>
      </c>
      <c r="E98" s="91">
        <f>TPCIL!O107</f>
        <v>77</v>
      </c>
      <c r="F98" s="90">
        <f t="shared" si="5"/>
        <v>497.95</v>
      </c>
      <c r="G98" s="90">
        <f t="shared" si="6"/>
        <v>-4.04999999999995</v>
      </c>
      <c r="H98" s="90">
        <f t="shared" si="7"/>
        <v>129.05</v>
      </c>
      <c r="I98" s="90">
        <f t="shared" si="8"/>
        <v>125</v>
      </c>
      <c r="J98" s="92">
        <f t="shared" si="9"/>
        <v>4.04999999999995</v>
      </c>
    </row>
    <row r="99" ht="16.5" spans="1:10">
      <c r="A99" s="89">
        <v>1.98958333333366</v>
      </c>
      <c r="B99" s="89">
        <v>2.00000000000031</v>
      </c>
      <c r="C99" s="78">
        <v>96</v>
      </c>
      <c r="D99" s="90">
        <f>'DATA-CMD'!L98</f>
        <v>575.38</v>
      </c>
      <c r="E99" s="91">
        <f>TPCIL!O108</f>
        <v>77</v>
      </c>
      <c r="F99" s="90">
        <f t="shared" si="5"/>
        <v>498.38</v>
      </c>
      <c r="G99" s="90">
        <f t="shared" si="6"/>
        <v>-3.62</v>
      </c>
      <c r="H99" s="90">
        <f t="shared" si="7"/>
        <v>128.62</v>
      </c>
      <c r="I99" s="90">
        <f t="shared" si="8"/>
        <v>125</v>
      </c>
      <c r="J99" s="92">
        <f t="shared" si="9"/>
        <v>3.62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0" t="s">
        <v>625</v>
      </c>
      <c r="B1" s="70"/>
      <c r="C1" s="70"/>
      <c r="D1" s="70"/>
      <c r="E1" s="71">
        <f>'IND-GEN'!V3</f>
        <v>856.7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ht="19.5" customHeight="1" spans="1:2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ht="19.5" customHeight="1" spans="1:22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customHeight="1" spans="1:2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2">
      <c r="A5" s="75" t="s">
        <v>568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>
      <c r="A6" s="75" t="s">
        <v>231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="69" customFormat="1" ht="16.5" spans="1:22">
      <c r="A7" s="75" t="s">
        <v>232</v>
      </c>
      <c r="B7" s="76"/>
      <c r="C7" s="76" t="s">
        <v>200</v>
      </c>
      <c r="D7" s="76" t="s">
        <v>201</v>
      </c>
      <c r="E7" s="76" t="s">
        <v>202</v>
      </c>
      <c r="F7" s="76" t="s">
        <v>203</v>
      </c>
      <c r="G7" s="76" t="s">
        <v>205</v>
      </c>
      <c r="H7" s="76" t="s">
        <v>204</v>
      </c>
      <c r="I7" s="76" t="s">
        <v>218</v>
      </c>
      <c r="J7" s="76" t="s">
        <v>211</v>
      </c>
      <c r="K7" s="76" t="s">
        <v>212</v>
      </c>
      <c r="L7" s="76" t="s">
        <v>213</v>
      </c>
      <c r="M7" s="76" t="s">
        <v>215</v>
      </c>
      <c r="N7" s="76" t="s">
        <v>214</v>
      </c>
      <c r="O7" s="78" t="s">
        <v>217</v>
      </c>
      <c r="P7" s="76" t="s">
        <v>208</v>
      </c>
      <c r="Q7" s="76" t="s">
        <v>207</v>
      </c>
      <c r="R7" s="76" t="s">
        <v>209</v>
      </c>
      <c r="S7" s="76" t="s">
        <v>206</v>
      </c>
      <c r="T7" s="76" t="s">
        <v>210</v>
      </c>
      <c r="U7" s="76" t="s">
        <v>216</v>
      </c>
      <c r="V7" s="76" t="s">
        <v>626</v>
      </c>
    </row>
    <row r="8" spans="1:22">
      <c r="A8" s="75" t="s">
        <v>233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>
      <c r="A9" s="75" t="s">
        <v>235</v>
      </c>
      <c r="B9" s="75"/>
      <c r="C9" s="75" t="s">
        <v>220</v>
      </c>
      <c r="D9" s="75" t="s">
        <v>220</v>
      </c>
      <c r="E9" s="75" t="s">
        <v>220</v>
      </c>
      <c r="F9" s="75" t="s">
        <v>220</v>
      </c>
      <c r="G9" s="75" t="s">
        <v>220</v>
      </c>
      <c r="H9" s="75" t="s">
        <v>220</v>
      </c>
      <c r="I9" s="75" t="s">
        <v>220</v>
      </c>
      <c r="J9" s="75" t="s">
        <v>220</v>
      </c>
      <c r="K9" s="75" t="s">
        <v>220</v>
      </c>
      <c r="L9" s="75" t="s">
        <v>220</v>
      </c>
      <c r="M9" s="75" t="s">
        <v>220</v>
      </c>
      <c r="N9" s="75" t="s">
        <v>220</v>
      </c>
      <c r="O9" s="75" t="s">
        <v>220</v>
      </c>
      <c r="P9" s="75" t="s">
        <v>220</v>
      </c>
      <c r="Q9" s="75" t="s">
        <v>220</v>
      </c>
      <c r="R9" s="75" t="s">
        <v>220</v>
      </c>
      <c r="S9" s="75" t="s">
        <v>220</v>
      </c>
      <c r="T9" s="75" t="s">
        <v>220</v>
      </c>
      <c r="U9" s="75" t="s">
        <v>220</v>
      </c>
      <c r="V9" s="75"/>
    </row>
    <row r="10" spans="1:22">
      <c r="A10" s="75" t="s">
        <v>236</v>
      </c>
      <c r="B10" s="75"/>
      <c r="C10" s="75" t="s">
        <v>237</v>
      </c>
      <c r="D10" s="75" t="s">
        <v>237</v>
      </c>
      <c r="E10" s="75" t="s">
        <v>237</v>
      </c>
      <c r="F10" s="75" t="s">
        <v>237</v>
      </c>
      <c r="G10" s="75" t="s">
        <v>237</v>
      </c>
      <c r="H10" s="75" t="s">
        <v>237</v>
      </c>
      <c r="I10" s="75" t="s">
        <v>237</v>
      </c>
      <c r="J10" s="75" t="s">
        <v>237</v>
      </c>
      <c r="K10" s="75" t="s">
        <v>237</v>
      </c>
      <c r="L10" s="75" t="s">
        <v>237</v>
      </c>
      <c r="M10" s="75" t="s">
        <v>237</v>
      </c>
      <c r="N10" s="75" t="s">
        <v>237</v>
      </c>
      <c r="O10" s="75" t="s">
        <v>237</v>
      </c>
      <c r="P10" s="75" t="s">
        <v>237</v>
      </c>
      <c r="Q10" s="75" t="s">
        <v>237</v>
      </c>
      <c r="R10" s="75" t="s">
        <v>237</v>
      </c>
      <c r="S10" s="75" t="s">
        <v>237</v>
      </c>
      <c r="T10" s="75" t="s">
        <v>237</v>
      </c>
      <c r="U10" s="75" t="s">
        <v>237</v>
      </c>
      <c r="V10" s="75"/>
    </row>
    <row r="11" spans="1:22">
      <c r="A11" s="75" t="s">
        <v>574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>
      <c r="A12" s="75" t="s">
        <v>145</v>
      </c>
      <c r="B12" s="75" t="s">
        <v>146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9"/>
    </row>
    <row r="13" spans="1:24">
      <c r="A13" s="75">
        <v>1</v>
      </c>
      <c r="B13" s="75" t="s">
        <v>14</v>
      </c>
      <c r="C13" s="77">
        <f>Entitlement!D7*(1-TPCIL!$L$11)-ISGS!C13</f>
        <v>0.0038589999999985</v>
      </c>
      <c r="D13" s="77">
        <f>Entitlement!F7*(1-TPCIL!$L$11)-ISGS!D13</f>
        <v>0.00215799999998723</v>
      </c>
      <c r="E13" s="77">
        <f>Entitlement!H7*(1-TPCIL!$L$11)-ISGS!E13</f>
        <v>0</v>
      </c>
      <c r="F13" s="77">
        <f>Entitlement!J7*(1-TPCIL!$L$11)-ISGS!F13</f>
        <v>0</v>
      </c>
      <c r="G13" s="77">
        <f>Entitlement!O7*(1-TPCIL!$L$11)-ISGS!H13</f>
        <v>0.0014529999999997</v>
      </c>
      <c r="H13" s="77">
        <f>Entitlement!M7*(1-TPCIL!$L$11)-ISGS!G13</f>
        <v>229.674432</v>
      </c>
      <c r="I13" s="77">
        <f>Entitlement!BB7*(1-TPCIL!$L$11)-ISGS!U13</f>
        <v>59.103471</v>
      </c>
      <c r="J13" s="77">
        <f>Entitlement!AG7*(1-TPCIL!$L$11)-ISGS!N13</f>
        <v>121.433883</v>
      </c>
      <c r="K13" s="77">
        <f>Entitlement!AJ7*(1-TPCIL!$L$11)-ISGS!O13</f>
        <v>280.896171</v>
      </c>
      <c r="L13" s="77">
        <f>Entitlement!AM7*(1-TPCIL!$L$11)-ISGS!P13</f>
        <v>71.021259</v>
      </c>
      <c r="M13" s="77">
        <f>Entitlement!AS7*(1-TPCIL!$L$11)-ISGS!R13</f>
        <v>198.994695</v>
      </c>
      <c r="N13" s="77">
        <f>Entitlement!AP7-ISGS!Q13</f>
        <v>0</v>
      </c>
      <c r="O13" s="77">
        <f>Entitlement!AY7*(1-TPCIL!$L$11)-ISGS!T13</f>
        <v>0.00110800000000211</v>
      </c>
      <c r="P13" s="77">
        <f>Entitlement!X7*(1-TPCIL!$L$11)-ISGS!K13</f>
        <v>35.325009</v>
      </c>
      <c r="Q13" s="77">
        <f>Entitlement!U7*(1-TPCIL!$L$11)-ISGS!J13</f>
        <v>34.17321</v>
      </c>
      <c r="R13" s="77">
        <f>Entitlement!AA7*(1-TPCIL!$L$11)-ISGS!L13</f>
        <v>6.234945</v>
      </c>
      <c r="S13" s="77">
        <f>Entitlement!R7*(1-TPCIL!$L$11)-ISGS!I13</f>
        <v>0.0425159999999991</v>
      </c>
      <c r="T13" s="77">
        <f>Entitlement!AD7*(1-TPCIL!$L$11)-ISGS!M13</f>
        <v>0.00215199999999527</v>
      </c>
      <c r="U13" s="77">
        <f>Entitlement!AV7*(1-TPCIL!$L$11)-ISGS!S13</f>
        <v>0.00303199999999038</v>
      </c>
      <c r="V13" s="77">
        <f t="shared" ref="V13:V76" si="0">SUM(C13:U13)</f>
        <v>1036.913353</v>
      </c>
      <c r="W13" s="80">
        <f t="shared" ref="W13:W76" si="1">IF(V13&gt;0,V13,0)</f>
        <v>1036.913353</v>
      </c>
      <c r="X13" s="81">
        <f t="shared" ref="X13:X76" si="2">IF((U13-18)&gt;0,0,U13)</f>
        <v>0.00303199999999038</v>
      </c>
    </row>
    <row r="14" spans="1:24">
      <c r="A14" s="75">
        <v>2</v>
      </c>
      <c r="B14" s="75" t="s">
        <v>15</v>
      </c>
      <c r="C14" s="77">
        <f>Entitlement!D8*(1-TPCIL!$L$11)-ISGS!C14</f>
        <v>0.0038589999999985</v>
      </c>
      <c r="D14" s="77">
        <f>Entitlement!F8*(1-TPCIL!$L$11)-ISGS!D14</f>
        <v>0.00215799999998723</v>
      </c>
      <c r="E14" s="77">
        <f>Entitlement!H8*(1-TPCIL!$L$11)-ISGS!E14</f>
        <v>0</v>
      </c>
      <c r="F14" s="77">
        <f>Entitlement!J8*(1-TPCIL!$L$11)-ISGS!F14</f>
        <v>0</v>
      </c>
      <c r="G14" s="77">
        <f>Entitlement!O8*(1-TPCIL!$L$11)-ISGS!H14</f>
        <v>0.0014529999999997</v>
      </c>
      <c r="H14" s="77">
        <f>Entitlement!M8*(1-TPCIL!$L$11)-ISGS!G14</f>
        <v>229.674432</v>
      </c>
      <c r="I14" s="77">
        <f>Entitlement!BB8*(1-TPCIL!$L$11)-ISGS!U14</f>
        <v>59.103471</v>
      </c>
      <c r="J14" s="77">
        <f>Entitlement!AG8*(1-TPCIL!$L$11)-ISGS!N14</f>
        <v>121.433883</v>
      </c>
      <c r="K14" s="77">
        <f>Entitlement!AJ8*(1-TPCIL!$L$11)-ISGS!O14</f>
        <v>280.896171</v>
      </c>
      <c r="L14" s="77">
        <f>Entitlement!AM8*(1-TPCIL!$L$11)-ISGS!P14</f>
        <v>71.021259</v>
      </c>
      <c r="M14" s="77">
        <f>Entitlement!AS8*(1-TPCIL!$L$11)-ISGS!R14</f>
        <v>198.994695</v>
      </c>
      <c r="N14" s="77">
        <f>Entitlement!AP8-ISGS!Q14</f>
        <v>0</v>
      </c>
      <c r="O14" s="77">
        <f>Entitlement!AY8*(1-TPCIL!$L$11)-ISGS!T14</f>
        <v>0.00110800000000211</v>
      </c>
      <c r="P14" s="77">
        <f>Entitlement!X8*(1-TPCIL!$L$11)-ISGS!K14</f>
        <v>35.325009</v>
      </c>
      <c r="Q14" s="77">
        <f>Entitlement!U8*(1-TPCIL!$L$11)-ISGS!J14</f>
        <v>34.17321</v>
      </c>
      <c r="R14" s="77">
        <f>Entitlement!AA8*(1-TPCIL!$L$11)-ISGS!L14</f>
        <v>6.234945</v>
      </c>
      <c r="S14" s="77">
        <f>Entitlement!R8*(1-TPCIL!$L$11)-ISGS!I14</f>
        <v>0.00251599999999996</v>
      </c>
      <c r="T14" s="77">
        <f>Entitlement!AD8*(1-TPCIL!$L$11)-ISGS!M14</f>
        <v>0.00215199999999527</v>
      </c>
      <c r="U14" s="77">
        <f>Entitlement!AV8*(1-TPCIL!$L$11)-ISGS!S14</f>
        <v>0.00303199999999038</v>
      </c>
      <c r="V14" s="77">
        <f t="shared" si="0"/>
        <v>1036.873353</v>
      </c>
      <c r="W14" s="80">
        <f t="shared" si="1"/>
        <v>1036.873353</v>
      </c>
      <c r="X14" s="81">
        <f t="shared" si="2"/>
        <v>0.00303199999999038</v>
      </c>
    </row>
    <row r="15" spans="1:24">
      <c r="A15" s="75">
        <v>3</v>
      </c>
      <c r="B15" s="75" t="s">
        <v>16</v>
      </c>
      <c r="C15" s="77">
        <f>Entitlement!D9*(1-TPCIL!$L$11)-ISGS!C15</f>
        <v>0.0038589999999985</v>
      </c>
      <c r="D15" s="77">
        <f>Entitlement!F9*(1-TPCIL!$L$11)-ISGS!D15</f>
        <v>0.00215799999998723</v>
      </c>
      <c r="E15" s="77">
        <f>Entitlement!H9*(1-TPCIL!$L$11)-ISGS!E15</f>
        <v>0</v>
      </c>
      <c r="F15" s="77">
        <f>Entitlement!J9*(1-TPCIL!$L$11)-ISGS!F15</f>
        <v>0</v>
      </c>
      <c r="G15" s="77">
        <f>Entitlement!O9*(1-TPCIL!$L$11)-ISGS!H15</f>
        <v>0.0014529999999997</v>
      </c>
      <c r="H15" s="77">
        <f>Entitlement!M9*(1-TPCIL!$L$11)-ISGS!G15</f>
        <v>229.674432</v>
      </c>
      <c r="I15" s="77">
        <f>Entitlement!BB9*(1-TPCIL!$L$11)-ISGS!U15</f>
        <v>59.103471</v>
      </c>
      <c r="J15" s="77">
        <f>Entitlement!AG9*(1-TPCIL!$L$11)-ISGS!N15</f>
        <v>121.433883</v>
      </c>
      <c r="K15" s="77">
        <f>Entitlement!AJ9*(1-TPCIL!$L$11)-ISGS!O15</f>
        <v>280.896171</v>
      </c>
      <c r="L15" s="77">
        <f>Entitlement!AM9*(1-TPCIL!$L$11)-ISGS!P15</f>
        <v>71.021259</v>
      </c>
      <c r="M15" s="77">
        <f>Entitlement!AS9*(1-TPCIL!$L$11)-ISGS!R15</f>
        <v>198.994695</v>
      </c>
      <c r="N15" s="77">
        <f>Entitlement!AP9-ISGS!Q15</f>
        <v>0</v>
      </c>
      <c r="O15" s="77">
        <f>Entitlement!AY9*(1-TPCIL!$L$11)-ISGS!T15</f>
        <v>0.00110800000000211</v>
      </c>
      <c r="P15" s="77">
        <f>Entitlement!X9*(1-TPCIL!$L$11)-ISGS!K15</f>
        <v>35.325009</v>
      </c>
      <c r="Q15" s="77">
        <f>Entitlement!U9*(1-TPCIL!$L$11)-ISGS!J15</f>
        <v>34.17321</v>
      </c>
      <c r="R15" s="77">
        <f>Entitlement!AA9*(1-TPCIL!$L$11)-ISGS!L15</f>
        <v>6.234945</v>
      </c>
      <c r="S15" s="77">
        <f>Entitlement!R9*(1-TPCIL!$L$11)-ISGS!I15</f>
        <v>0.00251599999999996</v>
      </c>
      <c r="T15" s="77">
        <f>Entitlement!AD9*(1-TPCIL!$L$11)-ISGS!M15</f>
        <v>0.00215199999999527</v>
      </c>
      <c r="U15" s="77">
        <f>Entitlement!AV9*(1-TPCIL!$L$11)-ISGS!S15</f>
        <v>0.00303199999999038</v>
      </c>
      <c r="V15" s="77">
        <f t="shared" si="0"/>
        <v>1036.873353</v>
      </c>
      <c r="W15" s="80">
        <f t="shared" si="1"/>
        <v>1036.873353</v>
      </c>
      <c r="X15" s="81">
        <f t="shared" si="2"/>
        <v>0.00303199999999038</v>
      </c>
    </row>
    <row r="16" spans="1:24">
      <c r="A16" s="75">
        <v>4</v>
      </c>
      <c r="B16" s="75" t="s">
        <v>17</v>
      </c>
      <c r="C16" s="77">
        <f>Entitlement!D10*(1-TPCIL!$L$11)-ISGS!C16</f>
        <v>0.0038589999999985</v>
      </c>
      <c r="D16" s="77">
        <f>Entitlement!F10*(1-TPCIL!$L$11)-ISGS!D16</f>
        <v>0.00215799999998723</v>
      </c>
      <c r="E16" s="77">
        <f>Entitlement!H10*(1-TPCIL!$L$11)-ISGS!E16</f>
        <v>0</v>
      </c>
      <c r="F16" s="77">
        <f>Entitlement!J10*(1-TPCIL!$L$11)-ISGS!F16</f>
        <v>0</v>
      </c>
      <c r="G16" s="77">
        <f>Entitlement!O10*(1-TPCIL!$L$11)-ISGS!H16</f>
        <v>0.0014529999999997</v>
      </c>
      <c r="H16" s="77">
        <f>Entitlement!M10*(1-TPCIL!$L$11)-ISGS!G16</f>
        <v>229.674432</v>
      </c>
      <c r="I16" s="77">
        <f>Entitlement!BB10*(1-TPCIL!$L$11)-ISGS!U16</f>
        <v>59.103471</v>
      </c>
      <c r="J16" s="77">
        <f>Entitlement!AG10*(1-TPCIL!$L$11)-ISGS!N16</f>
        <v>121.433883</v>
      </c>
      <c r="K16" s="77">
        <f>Entitlement!AJ10*(1-TPCIL!$L$11)-ISGS!O16</f>
        <v>280.896171</v>
      </c>
      <c r="L16" s="77">
        <f>Entitlement!AM10*(1-TPCIL!$L$11)-ISGS!P16</f>
        <v>71.021259</v>
      </c>
      <c r="M16" s="77">
        <f>Entitlement!AS10*(1-TPCIL!$L$11)-ISGS!R16</f>
        <v>198.994695</v>
      </c>
      <c r="N16" s="77">
        <f>Entitlement!AP10-ISGS!Q16</f>
        <v>0</v>
      </c>
      <c r="O16" s="77">
        <f>Entitlement!AY10*(1-TPCIL!$L$11)-ISGS!T16</f>
        <v>0.00110800000000211</v>
      </c>
      <c r="P16" s="77">
        <f>Entitlement!X10*(1-TPCIL!$L$11)-ISGS!K16</f>
        <v>35.325009</v>
      </c>
      <c r="Q16" s="77">
        <f>Entitlement!U10*(1-TPCIL!$L$11)-ISGS!J16</f>
        <v>34.17321</v>
      </c>
      <c r="R16" s="77">
        <f>Entitlement!AA10*(1-TPCIL!$L$11)-ISGS!L16</f>
        <v>6.234945</v>
      </c>
      <c r="S16" s="77">
        <f>Entitlement!R10*(1-TPCIL!$L$11)-ISGS!I16</f>
        <v>0.00251599999999996</v>
      </c>
      <c r="T16" s="77">
        <f>Entitlement!AD10*(1-TPCIL!$L$11)-ISGS!M16</f>
        <v>0.00215199999999527</v>
      </c>
      <c r="U16" s="77">
        <f>Entitlement!AV10*(1-TPCIL!$L$11)-ISGS!S16</f>
        <v>0.00303199999999038</v>
      </c>
      <c r="V16" s="77">
        <f t="shared" si="0"/>
        <v>1036.873353</v>
      </c>
      <c r="W16" s="80">
        <f t="shared" si="1"/>
        <v>1036.873353</v>
      </c>
      <c r="X16" s="81">
        <f t="shared" si="2"/>
        <v>0.00303199999999038</v>
      </c>
    </row>
    <row r="17" spans="1:24">
      <c r="A17" s="75">
        <v>5</v>
      </c>
      <c r="B17" s="75" t="s">
        <v>18</v>
      </c>
      <c r="C17" s="77">
        <f>Entitlement!D11*(1-TPCIL!$L$11)-ISGS!C17</f>
        <v>0.0038589999999985</v>
      </c>
      <c r="D17" s="77">
        <f>Entitlement!F11*(1-TPCIL!$L$11)-ISGS!D17</f>
        <v>0.00215799999998723</v>
      </c>
      <c r="E17" s="77">
        <f>Entitlement!H11*(1-TPCIL!$L$11)-ISGS!E17</f>
        <v>0</v>
      </c>
      <c r="F17" s="77">
        <f>Entitlement!J11*(1-TPCIL!$L$11)-ISGS!F17</f>
        <v>0</v>
      </c>
      <c r="G17" s="77">
        <f>Entitlement!O11*(1-TPCIL!$L$11)-ISGS!H17</f>
        <v>0.0014529999999997</v>
      </c>
      <c r="H17" s="77">
        <f>Entitlement!M11*(1-TPCIL!$L$11)-ISGS!G17</f>
        <v>229.674432</v>
      </c>
      <c r="I17" s="77">
        <f>Entitlement!BB11*(1-TPCIL!$L$11)-ISGS!U17</f>
        <v>59.103471</v>
      </c>
      <c r="J17" s="77">
        <f>Entitlement!AG11*(1-TPCIL!$L$11)-ISGS!N17</f>
        <v>121.433883</v>
      </c>
      <c r="K17" s="77">
        <f>Entitlement!AJ11*(1-TPCIL!$L$11)-ISGS!O17</f>
        <v>280.896171</v>
      </c>
      <c r="L17" s="77">
        <f>Entitlement!AM11*(1-TPCIL!$L$11)-ISGS!P17</f>
        <v>71.021259</v>
      </c>
      <c r="M17" s="77">
        <f>Entitlement!AS11*(1-TPCIL!$L$11)-ISGS!R17</f>
        <v>198.994695</v>
      </c>
      <c r="N17" s="77">
        <f>Entitlement!AP11-ISGS!Q17</f>
        <v>0</v>
      </c>
      <c r="O17" s="77">
        <f>Entitlement!AY11*(1-TPCIL!$L$11)-ISGS!T17</f>
        <v>0.00110800000000211</v>
      </c>
      <c r="P17" s="77">
        <f>Entitlement!X11*(1-TPCIL!$L$11)-ISGS!K17</f>
        <v>35.325009</v>
      </c>
      <c r="Q17" s="77">
        <f>Entitlement!U11*(1-TPCIL!$L$11)-ISGS!J17</f>
        <v>34.17321</v>
      </c>
      <c r="R17" s="77">
        <f>Entitlement!AA11*(1-TPCIL!$L$11)-ISGS!L17</f>
        <v>6.234945</v>
      </c>
      <c r="S17" s="77">
        <f>Entitlement!R11*(1-TPCIL!$L$11)-ISGS!I17</f>
        <v>0.00251599999999996</v>
      </c>
      <c r="T17" s="77">
        <f>Entitlement!AD11*(1-TPCIL!$L$11)-ISGS!M17</f>
        <v>0.00215199999999527</v>
      </c>
      <c r="U17" s="77">
        <f>Entitlement!AV11*(1-TPCIL!$L$11)-ISGS!S17</f>
        <v>0.00303199999999038</v>
      </c>
      <c r="V17" s="77">
        <f t="shared" si="0"/>
        <v>1036.873353</v>
      </c>
      <c r="W17" s="80">
        <f t="shared" si="1"/>
        <v>1036.873353</v>
      </c>
      <c r="X17" s="81">
        <f t="shared" si="2"/>
        <v>0.00303199999999038</v>
      </c>
    </row>
    <row r="18" spans="1:24">
      <c r="A18" s="75">
        <v>6</v>
      </c>
      <c r="B18" s="75" t="s">
        <v>19</v>
      </c>
      <c r="C18" s="77">
        <f>Entitlement!D12*(1-TPCIL!$L$11)-ISGS!C18</f>
        <v>0.0038589999999985</v>
      </c>
      <c r="D18" s="77">
        <f>Entitlement!F12*(1-TPCIL!$L$11)-ISGS!D18</f>
        <v>0.00215799999998723</v>
      </c>
      <c r="E18" s="77">
        <f>Entitlement!H12*(1-TPCIL!$L$11)-ISGS!E18</f>
        <v>0</v>
      </c>
      <c r="F18" s="77">
        <f>Entitlement!J12*(1-TPCIL!$L$11)-ISGS!F18</f>
        <v>0</v>
      </c>
      <c r="G18" s="77">
        <f>Entitlement!O12*(1-TPCIL!$L$11)-ISGS!H18</f>
        <v>0.0014529999999997</v>
      </c>
      <c r="H18" s="77">
        <f>Entitlement!M12*(1-TPCIL!$L$11)-ISGS!G18</f>
        <v>229.674432</v>
      </c>
      <c r="I18" s="77">
        <f>Entitlement!BB12*(1-TPCIL!$L$11)-ISGS!U18</f>
        <v>59.103471</v>
      </c>
      <c r="J18" s="77">
        <f>Entitlement!AG12*(1-TPCIL!$L$11)-ISGS!N18</f>
        <v>121.433883</v>
      </c>
      <c r="K18" s="77">
        <f>Entitlement!AJ12*(1-TPCIL!$L$11)-ISGS!O18</f>
        <v>280.896171</v>
      </c>
      <c r="L18" s="77">
        <f>Entitlement!AM12*(1-TPCIL!$L$11)-ISGS!P18</f>
        <v>71.021259</v>
      </c>
      <c r="M18" s="77">
        <f>Entitlement!AS12*(1-TPCIL!$L$11)-ISGS!R18</f>
        <v>198.994695</v>
      </c>
      <c r="N18" s="77">
        <f>Entitlement!AP12-ISGS!Q18</f>
        <v>0</v>
      </c>
      <c r="O18" s="77">
        <f>Entitlement!AY12*(1-TPCIL!$L$11)-ISGS!T18</f>
        <v>0.00110800000000211</v>
      </c>
      <c r="P18" s="77">
        <f>Entitlement!X12*(1-TPCIL!$L$11)-ISGS!K18</f>
        <v>35.325009</v>
      </c>
      <c r="Q18" s="77">
        <f>Entitlement!U12*(1-TPCIL!$L$11)-ISGS!J18</f>
        <v>34.17321</v>
      </c>
      <c r="R18" s="77">
        <f>Entitlement!AA12*(1-TPCIL!$L$11)-ISGS!L18</f>
        <v>6.234945</v>
      </c>
      <c r="S18" s="77">
        <f>Entitlement!R12*(1-TPCIL!$L$11)-ISGS!I18</f>
        <v>0.00251599999999996</v>
      </c>
      <c r="T18" s="77">
        <f>Entitlement!AD12*(1-TPCIL!$L$11)-ISGS!M18</f>
        <v>0.00215199999999527</v>
      </c>
      <c r="U18" s="77">
        <f>Entitlement!AV12*(1-TPCIL!$L$11)-ISGS!S18</f>
        <v>0.00303199999999038</v>
      </c>
      <c r="V18" s="77">
        <f t="shared" si="0"/>
        <v>1036.873353</v>
      </c>
      <c r="W18" s="80">
        <f t="shared" si="1"/>
        <v>1036.873353</v>
      </c>
      <c r="X18" s="81">
        <f t="shared" si="2"/>
        <v>0.00303199999999038</v>
      </c>
    </row>
    <row r="19" spans="1:24">
      <c r="A19" s="75">
        <v>7</v>
      </c>
      <c r="B19" s="75" t="s">
        <v>20</v>
      </c>
      <c r="C19" s="77">
        <f>Entitlement!D13*(1-TPCIL!$L$11)-ISGS!C19</f>
        <v>0.0038589999999985</v>
      </c>
      <c r="D19" s="77">
        <f>Entitlement!F13*(1-TPCIL!$L$11)-ISGS!D19</f>
        <v>0.00215799999998723</v>
      </c>
      <c r="E19" s="77">
        <f>Entitlement!H13*(1-TPCIL!$L$11)-ISGS!E19</f>
        <v>0</v>
      </c>
      <c r="F19" s="77">
        <f>Entitlement!J13*(1-TPCIL!$L$11)-ISGS!F19</f>
        <v>0</v>
      </c>
      <c r="G19" s="77">
        <f>Entitlement!O13*(1-TPCIL!$L$11)-ISGS!H19</f>
        <v>0.0014529999999997</v>
      </c>
      <c r="H19" s="77">
        <f>Entitlement!M13*(1-TPCIL!$L$11)-ISGS!G19</f>
        <v>229.674432</v>
      </c>
      <c r="I19" s="77">
        <f>Entitlement!BB13*(1-TPCIL!$L$11)-ISGS!U19</f>
        <v>59.103471</v>
      </c>
      <c r="J19" s="77">
        <f>Entitlement!AG13*(1-TPCIL!$L$11)-ISGS!N19</f>
        <v>121.433883</v>
      </c>
      <c r="K19" s="77">
        <f>Entitlement!AJ13*(1-TPCIL!$L$11)-ISGS!O19</f>
        <v>280.896171</v>
      </c>
      <c r="L19" s="77">
        <f>Entitlement!AM13*(1-TPCIL!$L$11)-ISGS!P19</f>
        <v>71.021259</v>
      </c>
      <c r="M19" s="77">
        <f>Entitlement!AS13*(1-TPCIL!$L$11)-ISGS!R19</f>
        <v>198.994695</v>
      </c>
      <c r="N19" s="77">
        <f>Entitlement!AP13-ISGS!Q19</f>
        <v>0</v>
      </c>
      <c r="O19" s="77">
        <f>Entitlement!AY13*(1-TPCIL!$L$11)-ISGS!T19</f>
        <v>3.111108</v>
      </c>
      <c r="P19" s="77">
        <f>Entitlement!X13*(1-TPCIL!$L$11)-ISGS!K19</f>
        <v>35.325009</v>
      </c>
      <c r="Q19" s="77">
        <f>Entitlement!U13*(1-TPCIL!$L$11)-ISGS!J19</f>
        <v>34.17321</v>
      </c>
      <c r="R19" s="77">
        <f>Entitlement!AA13*(1-TPCIL!$L$11)-ISGS!L19</f>
        <v>6.644262</v>
      </c>
      <c r="S19" s="77">
        <f>Entitlement!R13*(1-TPCIL!$L$11)-ISGS!I19</f>
        <v>2.072516</v>
      </c>
      <c r="T19" s="77">
        <f>Entitlement!AD13*(1-TPCIL!$L$11)-ISGS!M19</f>
        <v>5.08215199999999</v>
      </c>
      <c r="U19" s="77">
        <f>Entitlement!AV13*(1-TPCIL!$L$11)-ISGS!S19</f>
        <v>0.00303199999999038</v>
      </c>
      <c r="V19" s="77">
        <f t="shared" si="0"/>
        <v>1047.54267</v>
      </c>
      <c r="W19" s="80">
        <f t="shared" si="1"/>
        <v>1047.54267</v>
      </c>
      <c r="X19" s="81">
        <f t="shared" si="2"/>
        <v>0.00303199999999038</v>
      </c>
    </row>
    <row r="20" spans="1:24">
      <c r="A20" s="75">
        <v>8</v>
      </c>
      <c r="B20" s="75" t="s">
        <v>21</v>
      </c>
      <c r="C20" s="77">
        <f>Entitlement!D14*(1-TPCIL!$L$11)-ISGS!C20</f>
        <v>0.0038589999999985</v>
      </c>
      <c r="D20" s="77">
        <f>Entitlement!F14*(1-TPCIL!$L$11)-ISGS!D20</f>
        <v>0.00215799999998723</v>
      </c>
      <c r="E20" s="77">
        <f>Entitlement!H14*(1-TPCIL!$L$11)-ISGS!E20</f>
        <v>0</v>
      </c>
      <c r="F20" s="77">
        <f>Entitlement!J14*(1-TPCIL!$L$11)-ISGS!F20</f>
        <v>0</v>
      </c>
      <c r="G20" s="77">
        <f>Entitlement!O14*(1-TPCIL!$L$11)-ISGS!H20</f>
        <v>0.0014529999999997</v>
      </c>
      <c r="H20" s="77">
        <f>Entitlement!M14*(1-TPCIL!$L$11)-ISGS!G20</f>
        <v>229.674432</v>
      </c>
      <c r="I20" s="77">
        <f>Entitlement!BB14*(1-TPCIL!$L$11)-ISGS!U20</f>
        <v>59.103471</v>
      </c>
      <c r="J20" s="77">
        <f>Entitlement!AG14*(1-TPCIL!$L$11)-ISGS!N20</f>
        <v>121.433883</v>
      </c>
      <c r="K20" s="77">
        <f>Entitlement!AJ14*(1-TPCIL!$L$11)-ISGS!O20</f>
        <v>280.896171</v>
      </c>
      <c r="L20" s="77">
        <f>Entitlement!AM14*(1-TPCIL!$L$11)-ISGS!P20</f>
        <v>71.021259</v>
      </c>
      <c r="M20" s="77">
        <f>Entitlement!AS14*(1-TPCIL!$L$11)-ISGS!R20</f>
        <v>198.994695</v>
      </c>
      <c r="N20" s="77">
        <f>Entitlement!AP14-ISGS!Q20</f>
        <v>0</v>
      </c>
      <c r="O20" s="77">
        <f>Entitlement!AY14*(1-TPCIL!$L$11)-ISGS!T20</f>
        <v>14.711108</v>
      </c>
      <c r="P20" s="77">
        <f>Entitlement!X14*(1-TPCIL!$L$11)-ISGS!K20</f>
        <v>35.325009</v>
      </c>
      <c r="Q20" s="77">
        <f>Entitlement!U14*(1-TPCIL!$L$11)-ISGS!J20</f>
        <v>34.17321</v>
      </c>
      <c r="R20" s="77">
        <f>Entitlement!AA14*(1-TPCIL!$L$11)-ISGS!L20</f>
        <v>6.644262</v>
      </c>
      <c r="S20" s="77">
        <f>Entitlement!R14*(1-TPCIL!$L$11)-ISGS!I20</f>
        <v>2.072516</v>
      </c>
      <c r="T20" s="77">
        <f>Entitlement!AD14*(1-TPCIL!$L$11)-ISGS!M20</f>
        <v>7.90215199999999</v>
      </c>
      <c r="U20" s="77">
        <f>Entitlement!AV14*(1-TPCIL!$L$11)-ISGS!S20</f>
        <v>0.00303199999999038</v>
      </c>
      <c r="V20" s="77">
        <f t="shared" si="0"/>
        <v>1061.96267</v>
      </c>
      <c r="W20" s="80">
        <f t="shared" si="1"/>
        <v>1061.96267</v>
      </c>
      <c r="X20" s="81">
        <f t="shared" si="2"/>
        <v>0.00303199999999038</v>
      </c>
    </row>
    <row r="21" spans="1:24">
      <c r="A21" s="75">
        <v>9</v>
      </c>
      <c r="B21" s="75" t="s">
        <v>22</v>
      </c>
      <c r="C21" s="77">
        <f>Entitlement!D15*(1-TPCIL!$L$11)-ISGS!C21</f>
        <v>0.0038589999999985</v>
      </c>
      <c r="D21" s="77">
        <f>Entitlement!F15*(1-TPCIL!$L$11)-ISGS!D21</f>
        <v>0.00215799999998723</v>
      </c>
      <c r="E21" s="77">
        <f>Entitlement!H15*(1-TPCIL!$L$11)-ISGS!E21</f>
        <v>0</v>
      </c>
      <c r="F21" s="77">
        <f>Entitlement!J15*(1-TPCIL!$L$11)-ISGS!F21</f>
        <v>0</v>
      </c>
      <c r="G21" s="77">
        <f>Entitlement!O15*(1-TPCIL!$L$11)-ISGS!H21</f>
        <v>0.0014529999999997</v>
      </c>
      <c r="H21" s="77">
        <f>Entitlement!M15*(1-TPCIL!$L$11)-ISGS!G21</f>
        <v>229.674432</v>
      </c>
      <c r="I21" s="77">
        <f>Entitlement!BB15*(1-TPCIL!$L$11)-ISGS!U21</f>
        <v>59.103471</v>
      </c>
      <c r="J21" s="77">
        <f>Entitlement!AG15*(1-TPCIL!$L$11)-ISGS!N21</f>
        <v>121.433883</v>
      </c>
      <c r="K21" s="77">
        <f>Entitlement!AJ15*(1-TPCIL!$L$11)-ISGS!O21</f>
        <v>280.896171</v>
      </c>
      <c r="L21" s="77">
        <f>Entitlement!AM15*(1-TPCIL!$L$11)-ISGS!P21</f>
        <v>71.021259</v>
      </c>
      <c r="M21" s="77">
        <f>Entitlement!AS15*(1-TPCIL!$L$11)-ISGS!R21</f>
        <v>198.994695</v>
      </c>
      <c r="N21" s="77">
        <f>Entitlement!AP15-ISGS!Q21</f>
        <v>0</v>
      </c>
      <c r="O21" s="77">
        <f>Entitlement!AY15*(1-TPCIL!$L$11)-ISGS!T21</f>
        <v>14.711108</v>
      </c>
      <c r="P21" s="77">
        <f>Entitlement!X15*(1-TPCIL!$L$11)-ISGS!K21</f>
        <v>35.325009</v>
      </c>
      <c r="Q21" s="77">
        <f>Entitlement!U15*(1-TPCIL!$L$11)-ISGS!J21</f>
        <v>34.17321</v>
      </c>
      <c r="R21" s="77">
        <f>Entitlement!AA15*(1-TPCIL!$L$11)-ISGS!L21</f>
        <v>6.644262</v>
      </c>
      <c r="S21" s="77">
        <f>Entitlement!R15*(1-TPCIL!$L$11)-ISGS!I21</f>
        <v>2.072516</v>
      </c>
      <c r="T21" s="77">
        <f>Entitlement!AD15*(1-TPCIL!$L$11)-ISGS!M21</f>
        <v>7.90215199999999</v>
      </c>
      <c r="U21" s="77">
        <f>Entitlement!AV15*(1-TPCIL!$L$11)-ISGS!S21</f>
        <v>0.00303199999999038</v>
      </c>
      <c r="V21" s="77">
        <f t="shared" si="0"/>
        <v>1061.96267</v>
      </c>
      <c r="W21" s="80">
        <f t="shared" si="1"/>
        <v>1061.96267</v>
      </c>
      <c r="X21" s="81">
        <f t="shared" si="2"/>
        <v>0.00303199999999038</v>
      </c>
    </row>
    <row r="22" spans="1:24">
      <c r="A22" s="75">
        <v>10</v>
      </c>
      <c r="B22" s="75" t="s">
        <v>23</v>
      </c>
      <c r="C22" s="77">
        <f>Entitlement!D16*(1-TPCIL!$L$11)-ISGS!C22</f>
        <v>0.0038589999999985</v>
      </c>
      <c r="D22" s="77">
        <f>Entitlement!F16*(1-TPCIL!$L$11)-ISGS!D22</f>
        <v>0.00215799999998723</v>
      </c>
      <c r="E22" s="77">
        <f>Entitlement!H16*(1-TPCIL!$L$11)-ISGS!E22</f>
        <v>0</v>
      </c>
      <c r="F22" s="77">
        <f>Entitlement!J16*(1-TPCIL!$L$11)-ISGS!F22</f>
        <v>0</v>
      </c>
      <c r="G22" s="77">
        <f>Entitlement!O16*(1-TPCIL!$L$11)-ISGS!H22</f>
        <v>0.0014529999999997</v>
      </c>
      <c r="H22" s="77">
        <f>Entitlement!M16*(1-TPCIL!$L$11)-ISGS!G22</f>
        <v>229.674432</v>
      </c>
      <c r="I22" s="77">
        <f>Entitlement!BB16*(1-TPCIL!$L$11)-ISGS!U22</f>
        <v>59.103471</v>
      </c>
      <c r="J22" s="77">
        <f>Entitlement!AG16*(1-TPCIL!$L$11)-ISGS!N22</f>
        <v>121.433883</v>
      </c>
      <c r="K22" s="77">
        <f>Entitlement!AJ16*(1-TPCIL!$L$11)-ISGS!O22</f>
        <v>280.896171</v>
      </c>
      <c r="L22" s="77">
        <f>Entitlement!AM16*(1-TPCIL!$L$11)-ISGS!P22</f>
        <v>71.021259</v>
      </c>
      <c r="M22" s="77">
        <f>Entitlement!AS16*(1-TPCIL!$L$11)-ISGS!R22</f>
        <v>198.994695</v>
      </c>
      <c r="N22" s="77">
        <f>Entitlement!AP16-ISGS!Q22</f>
        <v>0</v>
      </c>
      <c r="O22" s="77">
        <f>Entitlement!AY16*(1-TPCIL!$L$11)-ISGS!T22</f>
        <v>14.711108</v>
      </c>
      <c r="P22" s="77">
        <f>Entitlement!X16*(1-TPCIL!$L$11)-ISGS!K22</f>
        <v>35.325009</v>
      </c>
      <c r="Q22" s="77">
        <f>Entitlement!U16*(1-TPCIL!$L$11)-ISGS!J22</f>
        <v>34.17321</v>
      </c>
      <c r="R22" s="77">
        <f>Entitlement!AA16*(1-TPCIL!$L$11)-ISGS!L22</f>
        <v>6.644262</v>
      </c>
      <c r="S22" s="77">
        <f>Entitlement!R16*(1-TPCIL!$L$11)-ISGS!I22</f>
        <v>2.072516</v>
      </c>
      <c r="T22" s="77">
        <f>Entitlement!AD16*(1-TPCIL!$L$11)-ISGS!M22</f>
        <v>7.90215199999999</v>
      </c>
      <c r="U22" s="77">
        <f>Entitlement!AV16*(1-TPCIL!$L$11)-ISGS!S22</f>
        <v>0.00303199999999038</v>
      </c>
      <c r="V22" s="77">
        <f t="shared" si="0"/>
        <v>1061.96267</v>
      </c>
      <c r="W22" s="80">
        <f t="shared" si="1"/>
        <v>1061.96267</v>
      </c>
      <c r="X22" s="81">
        <f t="shared" si="2"/>
        <v>0.00303199999999038</v>
      </c>
    </row>
    <row r="23" spans="1:24">
      <c r="A23" s="75">
        <v>11</v>
      </c>
      <c r="B23" s="75" t="s">
        <v>24</v>
      </c>
      <c r="C23" s="77">
        <f>Entitlement!D17*(1-TPCIL!$L$11)-ISGS!C23</f>
        <v>0.0038589999999985</v>
      </c>
      <c r="D23" s="77">
        <f>Entitlement!F17*(1-TPCIL!$L$11)-ISGS!D23</f>
        <v>0.00215799999998723</v>
      </c>
      <c r="E23" s="77">
        <f>Entitlement!H17*(1-TPCIL!$L$11)-ISGS!E23</f>
        <v>0</v>
      </c>
      <c r="F23" s="77">
        <f>Entitlement!J17*(1-TPCIL!$L$11)-ISGS!F23</f>
        <v>0</v>
      </c>
      <c r="G23" s="77">
        <f>Entitlement!O17*(1-TPCIL!$L$11)-ISGS!H23</f>
        <v>0.0014529999999997</v>
      </c>
      <c r="H23" s="77">
        <f>Entitlement!M17*(1-TPCIL!$L$11)-ISGS!G23</f>
        <v>229.674432</v>
      </c>
      <c r="I23" s="77">
        <f>Entitlement!BB17*(1-TPCIL!$L$11)-ISGS!U23</f>
        <v>59.103471</v>
      </c>
      <c r="J23" s="77">
        <f>Entitlement!AG17*(1-TPCIL!$L$11)-ISGS!N23</f>
        <v>121.433883</v>
      </c>
      <c r="K23" s="77">
        <f>Entitlement!AJ17*(1-TPCIL!$L$11)-ISGS!O23</f>
        <v>280.896171</v>
      </c>
      <c r="L23" s="77">
        <f>Entitlement!AM17*(1-TPCIL!$L$11)-ISGS!P23</f>
        <v>71.021259</v>
      </c>
      <c r="M23" s="77">
        <f>Entitlement!AS17*(1-TPCIL!$L$11)-ISGS!R23</f>
        <v>198.994695</v>
      </c>
      <c r="N23" s="77">
        <f>Entitlement!AP17-ISGS!Q23</f>
        <v>0</v>
      </c>
      <c r="O23" s="77">
        <f>Entitlement!AY17*(1-TPCIL!$L$11)-ISGS!T23</f>
        <v>14.711108</v>
      </c>
      <c r="P23" s="77">
        <f>Entitlement!X17*(1-TPCIL!$L$11)-ISGS!K23</f>
        <v>35.325009</v>
      </c>
      <c r="Q23" s="77">
        <f>Entitlement!U17*(1-TPCIL!$L$11)-ISGS!J23</f>
        <v>34.17321</v>
      </c>
      <c r="R23" s="77">
        <f>Entitlement!AA17*(1-TPCIL!$L$11)-ISGS!L23</f>
        <v>6.644262</v>
      </c>
      <c r="S23" s="77">
        <f>Entitlement!R17*(1-TPCIL!$L$11)-ISGS!I23</f>
        <v>2.072516</v>
      </c>
      <c r="T23" s="77">
        <f>Entitlement!AD17*(1-TPCIL!$L$11)-ISGS!M23</f>
        <v>7.90215199999999</v>
      </c>
      <c r="U23" s="77">
        <f>Entitlement!AV17*(1-TPCIL!$L$11)-ISGS!S23</f>
        <v>0.00303199999999038</v>
      </c>
      <c r="V23" s="77">
        <f t="shared" si="0"/>
        <v>1061.96267</v>
      </c>
      <c r="W23" s="80">
        <f t="shared" si="1"/>
        <v>1061.96267</v>
      </c>
      <c r="X23" s="81">
        <f t="shared" si="2"/>
        <v>0.00303199999999038</v>
      </c>
    </row>
    <row r="24" spans="1:24">
      <c r="A24" s="75">
        <v>12</v>
      </c>
      <c r="B24" s="75" t="s">
        <v>25</v>
      </c>
      <c r="C24" s="77">
        <f>Entitlement!D18*(1-TPCIL!$L$11)-ISGS!C24</f>
        <v>0.0038589999999985</v>
      </c>
      <c r="D24" s="77">
        <f>Entitlement!F18*(1-TPCIL!$L$11)-ISGS!D24</f>
        <v>0.00215799999998723</v>
      </c>
      <c r="E24" s="77">
        <f>Entitlement!H18*(1-TPCIL!$L$11)-ISGS!E24</f>
        <v>0</v>
      </c>
      <c r="F24" s="77">
        <f>Entitlement!J18*(1-TPCIL!$L$11)-ISGS!F24</f>
        <v>0</v>
      </c>
      <c r="G24" s="77">
        <f>Entitlement!O18*(1-TPCIL!$L$11)-ISGS!H24</f>
        <v>0.0014529999999997</v>
      </c>
      <c r="H24" s="77">
        <f>Entitlement!M18*(1-TPCIL!$L$11)-ISGS!G24</f>
        <v>229.674432</v>
      </c>
      <c r="I24" s="77">
        <f>Entitlement!BB18*(1-TPCIL!$L$11)-ISGS!U24</f>
        <v>59.103471</v>
      </c>
      <c r="J24" s="77">
        <f>Entitlement!AG18*(1-TPCIL!$L$11)-ISGS!N24</f>
        <v>121.433883</v>
      </c>
      <c r="K24" s="77">
        <f>Entitlement!AJ18*(1-TPCIL!$L$11)-ISGS!O24</f>
        <v>280.896171</v>
      </c>
      <c r="L24" s="77">
        <f>Entitlement!AM18*(1-TPCIL!$L$11)-ISGS!P24</f>
        <v>71.021259</v>
      </c>
      <c r="M24" s="77">
        <f>Entitlement!AS18*(1-TPCIL!$L$11)-ISGS!R24</f>
        <v>198.994695</v>
      </c>
      <c r="N24" s="77">
        <f>Entitlement!AP18-ISGS!Q24</f>
        <v>0</v>
      </c>
      <c r="O24" s="77">
        <f>Entitlement!AY18*(1-TPCIL!$L$11)-ISGS!T24</f>
        <v>14.711108</v>
      </c>
      <c r="P24" s="77">
        <f>Entitlement!X18*(1-TPCIL!$L$11)-ISGS!K24</f>
        <v>35.325009</v>
      </c>
      <c r="Q24" s="77">
        <f>Entitlement!U18*(1-TPCIL!$L$11)-ISGS!J24</f>
        <v>34.17321</v>
      </c>
      <c r="R24" s="77">
        <f>Entitlement!AA18*(1-TPCIL!$L$11)-ISGS!L24</f>
        <v>6.644262</v>
      </c>
      <c r="S24" s="77">
        <f>Entitlement!R18*(1-TPCIL!$L$11)-ISGS!I24</f>
        <v>2.072516</v>
      </c>
      <c r="T24" s="77">
        <f>Entitlement!AD18*(1-TPCIL!$L$11)-ISGS!M24</f>
        <v>7.90215199999999</v>
      </c>
      <c r="U24" s="77">
        <f>Entitlement!AV18*(1-TPCIL!$L$11)-ISGS!S24</f>
        <v>0.00303199999999038</v>
      </c>
      <c r="V24" s="77">
        <f t="shared" si="0"/>
        <v>1061.96267</v>
      </c>
      <c r="W24" s="80">
        <f t="shared" si="1"/>
        <v>1061.96267</v>
      </c>
      <c r="X24" s="81">
        <f t="shared" si="2"/>
        <v>0.00303199999999038</v>
      </c>
    </row>
    <row r="25" spans="1:24">
      <c r="A25" s="75">
        <v>13</v>
      </c>
      <c r="B25" s="75" t="s">
        <v>26</v>
      </c>
      <c r="C25" s="77">
        <f>Entitlement!D19*(1-TPCIL!$L$11)-ISGS!C25</f>
        <v>0.0038589999999985</v>
      </c>
      <c r="D25" s="77">
        <f>Entitlement!F19*(1-TPCIL!$L$11)-ISGS!D25</f>
        <v>0.00215799999998723</v>
      </c>
      <c r="E25" s="77">
        <f>Entitlement!H19*(1-TPCIL!$L$11)-ISGS!E25</f>
        <v>0</v>
      </c>
      <c r="F25" s="77">
        <f>Entitlement!J19*(1-TPCIL!$L$11)-ISGS!F25</f>
        <v>0</v>
      </c>
      <c r="G25" s="77">
        <f>Entitlement!O19*(1-TPCIL!$L$11)-ISGS!H25</f>
        <v>0.0014529999999997</v>
      </c>
      <c r="H25" s="77">
        <f>Entitlement!M19*(1-TPCIL!$L$11)-ISGS!G25</f>
        <v>229.674432</v>
      </c>
      <c r="I25" s="77">
        <f>Entitlement!BB19*(1-TPCIL!$L$11)-ISGS!U25</f>
        <v>59.103471</v>
      </c>
      <c r="J25" s="77">
        <f>Entitlement!AG19*(1-TPCIL!$L$11)-ISGS!N25</f>
        <v>121.433883</v>
      </c>
      <c r="K25" s="77">
        <f>Entitlement!AJ19*(1-TPCIL!$L$11)-ISGS!O25</f>
        <v>280.896171</v>
      </c>
      <c r="L25" s="77">
        <f>Entitlement!AM19*(1-TPCIL!$L$11)-ISGS!P25</f>
        <v>71.021259</v>
      </c>
      <c r="M25" s="77">
        <f>Entitlement!AS19*(1-TPCIL!$L$11)-ISGS!R25</f>
        <v>198.994695</v>
      </c>
      <c r="N25" s="77">
        <f>Entitlement!AP19-ISGS!Q25</f>
        <v>0</v>
      </c>
      <c r="O25" s="77">
        <f>Entitlement!AY19*(1-TPCIL!$L$11)-ISGS!T25</f>
        <v>15.121108</v>
      </c>
      <c r="P25" s="77">
        <f>Entitlement!X19*(1-TPCIL!$L$11)-ISGS!K25</f>
        <v>35.325009</v>
      </c>
      <c r="Q25" s="77">
        <f>Entitlement!U19*(1-TPCIL!$L$11)-ISGS!J25</f>
        <v>34.17321</v>
      </c>
      <c r="R25" s="77">
        <f>Entitlement!AA19*(1-TPCIL!$L$11)-ISGS!L25</f>
        <v>6.644262</v>
      </c>
      <c r="S25" s="77">
        <f>Entitlement!R19*(1-TPCIL!$L$11)-ISGS!I25</f>
        <v>2.112516</v>
      </c>
      <c r="T25" s="77">
        <f>Entitlement!AD19*(1-TPCIL!$L$11)-ISGS!M25</f>
        <v>9.39215199999999</v>
      </c>
      <c r="U25" s="77">
        <f>Entitlement!AV19*(1-TPCIL!$L$11)-ISGS!S25</f>
        <v>0.00303199999999038</v>
      </c>
      <c r="V25" s="77">
        <f t="shared" si="0"/>
        <v>1063.90267</v>
      </c>
      <c r="W25" s="80">
        <f t="shared" si="1"/>
        <v>1063.90267</v>
      </c>
      <c r="X25" s="81">
        <f t="shared" si="2"/>
        <v>0.00303199999999038</v>
      </c>
    </row>
    <row r="26" spans="1:24">
      <c r="A26" s="75">
        <v>14</v>
      </c>
      <c r="B26" s="75" t="s">
        <v>27</v>
      </c>
      <c r="C26" s="77">
        <f>Entitlement!D20*(1-TPCIL!$L$11)-ISGS!C26</f>
        <v>0.0038589999999985</v>
      </c>
      <c r="D26" s="77">
        <f>Entitlement!F20*(1-TPCIL!$L$11)-ISGS!D26</f>
        <v>0.00215799999998723</v>
      </c>
      <c r="E26" s="77">
        <f>Entitlement!H20*(1-TPCIL!$L$11)-ISGS!E26</f>
        <v>0</v>
      </c>
      <c r="F26" s="77">
        <f>Entitlement!J20*(1-TPCIL!$L$11)-ISGS!F26</f>
        <v>0</v>
      </c>
      <c r="G26" s="77">
        <f>Entitlement!O20*(1-TPCIL!$L$11)-ISGS!H26</f>
        <v>0.0014529999999997</v>
      </c>
      <c r="H26" s="77">
        <f>Entitlement!M20*(1-TPCIL!$L$11)-ISGS!G26</f>
        <v>229.674432</v>
      </c>
      <c r="I26" s="77">
        <f>Entitlement!BB20*(1-TPCIL!$L$11)-ISGS!U26</f>
        <v>59.103471</v>
      </c>
      <c r="J26" s="77">
        <f>Entitlement!AG20*(1-TPCIL!$L$11)-ISGS!N26</f>
        <v>121.433883</v>
      </c>
      <c r="K26" s="77">
        <f>Entitlement!AJ20*(1-TPCIL!$L$11)-ISGS!O26</f>
        <v>280.896171</v>
      </c>
      <c r="L26" s="77">
        <f>Entitlement!AM20*(1-TPCIL!$L$11)-ISGS!P26</f>
        <v>71.021259</v>
      </c>
      <c r="M26" s="77">
        <f>Entitlement!AS20*(1-TPCIL!$L$11)-ISGS!R26</f>
        <v>198.994695</v>
      </c>
      <c r="N26" s="77">
        <f>Entitlement!AP20-ISGS!Q26</f>
        <v>0</v>
      </c>
      <c r="O26" s="77">
        <f>Entitlement!AY20*(1-TPCIL!$L$11)-ISGS!T26</f>
        <v>15.121108</v>
      </c>
      <c r="P26" s="77">
        <f>Entitlement!X20*(1-TPCIL!$L$11)-ISGS!K26</f>
        <v>35.325009</v>
      </c>
      <c r="Q26" s="77">
        <f>Entitlement!U20*(1-TPCIL!$L$11)-ISGS!J26</f>
        <v>34.17321</v>
      </c>
      <c r="R26" s="77">
        <f>Entitlement!AA20*(1-TPCIL!$L$11)-ISGS!L26</f>
        <v>6.644262</v>
      </c>
      <c r="S26" s="77">
        <f>Entitlement!R20*(1-TPCIL!$L$11)-ISGS!I26</f>
        <v>2.112516</v>
      </c>
      <c r="T26" s="77">
        <f>Entitlement!AD20*(1-TPCIL!$L$11)-ISGS!M26</f>
        <v>9.39215199999999</v>
      </c>
      <c r="U26" s="77">
        <f>Entitlement!AV20*(1-TPCIL!$L$11)-ISGS!S26</f>
        <v>0.00303199999999038</v>
      </c>
      <c r="V26" s="77">
        <f t="shared" si="0"/>
        <v>1063.90267</v>
      </c>
      <c r="W26" s="80">
        <f t="shared" si="1"/>
        <v>1063.90267</v>
      </c>
      <c r="X26" s="81">
        <f t="shared" si="2"/>
        <v>0.00303199999999038</v>
      </c>
    </row>
    <row r="27" spans="1:24">
      <c r="A27" s="75">
        <v>15</v>
      </c>
      <c r="B27" s="75" t="s">
        <v>28</v>
      </c>
      <c r="C27" s="77">
        <f>Entitlement!D21*(1-TPCIL!$L$11)-ISGS!C27</f>
        <v>0.0038589999999985</v>
      </c>
      <c r="D27" s="77">
        <f>Entitlement!F21*(1-TPCIL!$L$11)-ISGS!D27</f>
        <v>0.00215799999998723</v>
      </c>
      <c r="E27" s="77">
        <f>Entitlement!H21*(1-TPCIL!$L$11)-ISGS!E27</f>
        <v>0</v>
      </c>
      <c r="F27" s="77">
        <f>Entitlement!J21*(1-TPCIL!$L$11)-ISGS!F27</f>
        <v>0</v>
      </c>
      <c r="G27" s="77">
        <f>Entitlement!O21*(1-TPCIL!$L$11)-ISGS!H27</f>
        <v>0.0014529999999997</v>
      </c>
      <c r="H27" s="77">
        <f>Entitlement!M21*(1-TPCIL!$L$11)-ISGS!G27</f>
        <v>229.674432</v>
      </c>
      <c r="I27" s="77">
        <f>Entitlement!BB21*(1-TPCIL!$L$11)-ISGS!U27</f>
        <v>59.103471</v>
      </c>
      <c r="J27" s="77">
        <f>Entitlement!AG21*(1-TPCIL!$L$11)-ISGS!N27</f>
        <v>121.433883</v>
      </c>
      <c r="K27" s="77">
        <f>Entitlement!AJ21*(1-TPCIL!$L$11)-ISGS!O27</f>
        <v>280.896171</v>
      </c>
      <c r="L27" s="77">
        <f>Entitlement!AM21*(1-TPCIL!$L$11)-ISGS!P27</f>
        <v>71.021259</v>
      </c>
      <c r="M27" s="77">
        <f>Entitlement!AS21*(1-TPCIL!$L$11)-ISGS!R27</f>
        <v>198.994695</v>
      </c>
      <c r="N27" s="77">
        <f>Entitlement!AP21-ISGS!Q27</f>
        <v>0</v>
      </c>
      <c r="O27" s="77">
        <f>Entitlement!AY21*(1-TPCIL!$L$11)-ISGS!T27</f>
        <v>0.961108000000003</v>
      </c>
      <c r="P27" s="77">
        <f>Entitlement!X21*(1-TPCIL!$L$11)-ISGS!K27</f>
        <v>35.325009</v>
      </c>
      <c r="Q27" s="77">
        <f>Entitlement!U21*(1-TPCIL!$L$11)-ISGS!J27</f>
        <v>34.17321</v>
      </c>
      <c r="R27" s="77">
        <f>Entitlement!AA21*(1-TPCIL!$L$11)-ISGS!L27</f>
        <v>6.85368</v>
      </c>
      <c r="S27" s="77">
        <f>Entitlement!R21*(1-TPCIL!$L$11)-ISGS!I27</f>
        <v>2.072516</v>
      </c>
      <c r="T27" s="77">
        <f>Entitlement!AD21*(1-TPCIL!$L$11)-ISGS!M27</f>
        <v>1.97215199999999</v>
      </c>
      <c r="U27" s="77">
        <f>Entitlement!AV21*(1-TPCIL!$L$11)-ISGS!S27</f>
        <v>0.00303199999999038</v>
      </c>
      <c r="V27" s="77">
        <f t="shared" si="0"/>
        <v>1042.492088</v>
      </c>
      <c r="W27" s="80">
        <f t="shared" si="1"/>
        <v>1042.492088</v>
      </c>
      <c r="X27" s="81">
        <f t="shared" si="2"/>
        <v>0.00303199999999038</v>
      </c>
    </row>
    <row r="28" spans="1:24">
      <c r="A28" s="75">
        <v>16</v>
      </c>
      <c r="B28" s="75" t="s">
        <v>29</v>
      </c>
      <c r="C28" s="77">
        <f>Entitlement!D22*(1-TPCIL!$L$11)-ISGS!C28</f>
        <v>0.0038589999999985</v>
      </c>
      <c r="D28" s="77">
        <f>Entitlement!F22*(1-TPCIL!$L$11)-ISGS!D28</f>
        <v>0.00215799999998723</v>
      </c>
      <c r="E28" s="77">
        <f>Entitlement!H22*(1-TPCIL!$L$11)-ISGS!E28</f>
        <v>0</v>
      </c>
      <c r="F28" s="77">
        <f>Entitlement!J22*(1-TPCIL!$L$11)-ISGS!F28</f>
        <v>0</v>
      </c>
      <c r="G28" s="77">
        <f>Entitlement!O22*(1-TPCIL!$L$11)-ISGS!H28</f>
        <v>0.0014529999999997</v>
      </c>
      <c r="H28" s="77">
        <f>Entitlement!M22*(1-TPCIL!$L$11)-ISGS!G28</f>
        <v>229.674432</v>
      </c>
      <c r="I28" s="77">
        <f>Entitlement!BB22*(1-TPCIL!$L$11)-ISGS!U28</f>
        <v>59.103471</v>
      </c>
      <c r="J28" s="77">
        <f>Entitlement!AG22*(1-TPCIL!$L$11)-ISGS!N28</f>
        <v>121.433883</v>
      </c>
      <c r="K28" s="77">
        <f>Entitlement!AJ22*(1-TPCIL!$L$11)-ISGS!O28</f>
        <v>280.896171</v>
      </c>
      <c r="L28" s="77">
        <f>Entitlement!AM22*(1-TPCIL!$L$11)-ISGS!P28</f>
        <v>71.021259</v>
      </c>
      <c r="M28" s="77">
        <f>Entitlement!AS22*(1-TPCIL!$L$11)-ISGS!R28</f>
        <v>198.994695</v>
      </c>
      <c r="N28" s="77">
        <f>Entitlement!AP22-ISGS!Q28</f>
        <v>0</v>
      </c>
      <c r="O28" s="77">
        <f>Entitlement!AY22*(1-TPCIL!$L$11)-ISGS!T28</f>
        <v>0.961108000000003</v>
      </c>
      <c r="P28" s="77">
        <f>Entitlement!X22*(1-TPCIL!$L$11)-ISGS!K28</f>
        <v>35.325009</v>
      </c>
      <c r="Q28" s="77">
        <f>Entitlement!U22*(1-TPCIL!$L$11)-ISGS!J28</f>
        <v>34.17321</v>
      </c>
      <c r="R28" s="77">
        <f>Entitlement!AA22*(1-TPCIL!$L$11)-ISGS!L28</f>
        <v>6.85368</v>
      </c>
      <c r="S28" s="77">
        <f>Entitlement!R22*(1-TPCIL!$L$11)-ISGS!I28</f>
        <v>2.072516</v>
      </c>
      <c r="T28" s="77">
        <f>Entitlement!AD22*(1-TPCIL!$L$11)-ISGS!M28</f>
        <v>1.97215199999999</v>
      </c>
      <c r="U28" s="77">
        <f>Entitlement!AV22*(1-TPCIL!$L$11)-ISGS!S28</f>
        <v>0.00303199999999038</v>
      </c>
      <c r="V28" s="77">
        <f t="shared" si="0"/>
        <v>1042.492088</v>
      </c>
      <c r="W28" s="80">
        <f t="shared" si="1"/>
        <v>1042.492088</v>
      </c>
      <c r="X28" s="81">
        <f t="shared" si="2"/>
        <v>0.00303199999999038</v>
      </c>
    </row>
    <row r="29" spans="1:24">
      <c r="A29" s="75">
        <v>17</v>
      </c>
      <c r="B29" s="75" t="s">
        <v>30</v>
      </c>
      <c r="C29" s="77">
        <f>Entitlement!D23*(1-TPCIL!$L$11)-ISGS!C29</f>
        <v>0.0038589999999985</v>
      </c>
      <c r="D29" s="77">
        <f>Entitlement!F23*(1-TPCIL!$L$11)-ISGS!D29</f>
        <v>0.00215799999998723</v>
      </c>
      <c r="E29" s="77">
        <f>Entitlement!H23*(1-TPCIL!$L$11)-ISGS!E29</f>
        <v>0</v>
      </c>
      <c r="F29" s="77">
        <f>Entitlement!J23*(1-TPCIL!$L$11)-ISGS!F29</f>
        <v>0</v>
      </c>
      <c r="G29" s="77">
        <f>Entitlement!O23*(1-TPCIL!$L$11)-ISGS!H29</f>
        <v>0.0014529999999997</v>
      </c>
      <c r="H29" s="77">
        <f>Entitlement!M23*(1-TPCIL!$L$11)-ISGS!G29</f>
        <v>229.674432</v>
      </c>
      <c r="I29" s="77">
        <f>Entitlement!BB23*(1-TPCIL!$L$11)-ISGS!U29</f>
        <v>59.103471</v>
      </c>
      <c r="J29" s="77">
        <f>Entitlement!AG23*(1-TPCIL!$L$11)-ISGS!N29</f>
        <v>121.433883</v>
      </c>
      <c r="K29" s="77">
        <f>Entitlement!AJ23*(1-TPCIL!$L$11)-ISGS!O29</f>
        <v>280.896171</v>
      </c>
      <c r="L29" s="77">
        <f>Entitlement!AM23*(1-TPCIL!$L$11)-ISGS!P29</f>
        <v>71.021259</v>
      </c>
      <c r="M29" s="77">
        <f>Entitlement!AS23*(1-TPCIL!$L$11)-ISGS!R29</f>
        <v>198.994695</v>
      </c>
      <c r="N29" s="77">
        <f>Entitlement!AP23-ISGS!Q29</f>
        <v>0</v>
      </c>
      <c r="O29" s="77">
        <f>Entitlement!AY23*(1-TPCIL!$L$11)-ISGS!T29</f>
        <v>0.00110800000000211</v>
      </c>
      <c r="P29" s="77">
        <f>Entitlement!X23*(1-TPCIL!$L$11)-ISGS!K29</f>
        <v>35.325009</v>
      </c>
      <c r="Q29" s="77">
        <f>Entitlement!U23*(1-TPCIL!$L$11)-ISGS!J29</f>
        <v>34.17321</v>
      </c>
      <c r="R29" s="77">
        <f>Entitlement!AA23*(1-TPCIL!$L$11)-ISGS!L29</f>
        <v>6.85368</v>
      </c>
      <c r="S29" s="77">
        <f>Entitlement!R23*(1-TPCIL!$L$11)-ISGS!I29</f>
        <v>0.00251599999999996</v>
      </c>
      <c r="T29" s="77">
        <f>Entitlement!AD23*(1-TPCIL!$L$11)-ISGS!M29</f>
        <v>0.00215199999999527</v>
      </c>
      <c r="U29" s="77">
        <f>Entitlement!AV23*(1-TPCIL!$L$11)-ISGS!S29</f>
        <v>0.00303199999999038</v>
      </c>
      <c r="V29" s="77">
        <f t="shared" si="0"/>
        <v>1037.492088</v>
      </c>
      <c r="W29" s="80">
        <f t="shared" si="1"/>
        <v>1037.492088</v>
      </c>
      <c r="X29" s="81">
        <f t="shared" si="2"/>
        <v>0.00303199999999038</v>
      </c>
    </row>
    <row r="30" spans="1:24">
      <c r="A30" s="75">
        <v>18</v>
      </c>
      <c r="B30" s="75" t="s">
        <v>31</v>
      </c>
      <c r="C30" s="77">
        <f>Entitlement!D24*(1-TPCIL!$L$11)-ISGS!C30</f>
        <v>0.0038589999999985</v>
      </c>
      <c r="D30" s="77">
        <f>Entitlement!F24*(1-TPCIL!$L$11)-ISGS!D30</f>
        <v>0.00215799999998723</v>
      </c>
      <c r="E30" s="77">
        <f>Entitlement!H24*(1-TPCIL!$L$11)-ISGS!E30</f>
        <v>0</v>
      </c>
      <c r="F30" s="77">
        <f>Entitlement!J24*(1-TPCIL!$L$11)-ISGS!F30</f>
        <v>0</v>
      </c>
      <c r="G30" s="77">
        <f>Entitlement!O24*(1-TPCIL!$L$11)-ISGS!H30</f>
        <v>0.0014529999999997</v>
      </c>
      <c r="H30" s="77">
        <f>Entitlement!M24*(1-TPCIL!$L$11)-ISGS!G30</f>
        <v>229.674432</v>
      </c>
      <c r="I30" s="77">
        <f>Entitlement!BB24*(1-TPCIL!$L$11)-ISGS!U30</f>
        <v>59.103471</v>
      </c>
      <c r="J30" s="77">
        <f>Entitlement!AG24*(1-TPCIL!$L$11)-ISGS!N30</f>
        <v>121.433883</v>
      </c>
      <c r="K30" s="77">
        <f>Entitlement!AJ24*(1-TPCIL!$L$11)-ISGS!O30</f>
        <v>280.896171</v>
      </c>
      <c r="L30" s="77">
        <f>Entitlement!AM24*(1-TPCIL!$L$11)-ISGS!P30</f>
        <v>71.021259</v>
      </c>
      <c r="M30" s="77">
        <f>Entitlement!AS24*(1-TPCIL!$L$11)-ISGS!R30</f>
        <v>198.994695</v>
      </c>
      <c r="N30" s="77">
        <f>Entitlement!AP24-ISGS!Q30</f>
        <v>0</v>
      </c>
      <c r="O30" s="77">
        <f>Entitlement!AY24*(1-TPCIL!$L$11)-ISGS!T30</f>
        <v>0.00110800000000211</v>
      </c>
      <c r="P30" s="77">
        <f>Entitlement!X24*(1-TPCIL!$L$11)-ISGS!K30</f>
        <v>35.325009</v>
      </c>
      <c r="Q30" s="77">
        <f>Entitlement!U24*(1-TPCIL!$L$11)-ISGS!J30</f>
        <v>34.17321</v>
      </c>
      <c r="R30" s="77">
        <f>Entitlement!AA24*(1-TPCIL!$L$11)-ISGS!L30</f>
        <v>6.85368</v>
      </c>
      <c r="S30" s="77">
        <f>Entitlement!R24*(1-TPCIL!$L$11)-ISGS!I30</f>
        <v>0.00251599999999996</v>
      </c>
      <c r="T30" s="77">
        <f>Entitlement!AD24*(1-TPCIL!$L$11)-ISGS!M30</f>
        <v>0.00215199999999527</v>
      </c>
      <c r="U30" s="77">
        <f>Entitlement!AV24*(1-TPCIL!$L$11)-ISGS!S30</f>
        <v>0.00303199999999038</v>
      </c>
      <c r="V30" s="77">
        <f t="shared" si="0"/>
        <v>1037.492088</v>
      </c>
      <c r="W30" s="80">
        <f t="shared" si="1"/>
        <v>1037.492088</v>
      </c>
      <c r="X30" s="81">
        <f t="shared" si="2"/>
        <v>0.00303199999999038</v>
      </c>
    </row>
    <row r="31" spans="1:24">
      <c r="A31" s="75">
        <v>19</v>
      </c>
      <c r="B31" s="75" t="s">
        <v>32</v>
      </c>
      <c r="C31" s="77">
        <f>Entitlement!D25*(1-TPCIL!$L$11)-ISGS!C31</f>
        <v>0.0038589999999985</v>
      </c>
      <c r="D31" s="77">
        <f>Entitlement!F25*(1-TPCIL!$L$11)-ISGS!D31</f>
        <v>0.00215799999998723</v>
      </c>
      <c r="E31" s="77">
        <f>Entitlement!H25*(1-TPCIL!$L$11)-ISGS!E31</f>
        <v>0</v>
      </c>
      <c r="F31" s="77">
        <f>Entitlement!J25*(1-TPCIL!$L$11)-ISGS!F31</f>
        <v>0</v>
      </c>
      <c r="G31" s="77">
        <f>Entitlement!O25*(1-TPCIL!$L$11)-ISGS!H31</f>
        <v>0.0014529999999997</v>
      </c>
      <c r="H31" s="77">
        <f>Entitlement!M25*(1-TPCIL!$L$11)-ISGS!G31</f>
        <v>229.674432</v>
      </c>
      <c r="I31" s="77">
        <f>Entitlement!BB25*(1-TPCIL!$L$11)-ISGS!U31</f>
        <v>59.103471</v>
      </c>
      <c r="J31" s="77">
        <f>Entitlement!AG25*(1-TPCIL!$L$11)-ISGS!N31</f>
        <v>121.433883</v>
      </c>
      <c r="K31" s="77">
        <f>Entitlement!AJ25*(1-TPCIL!$L$11)-ISGS!O31</f>
        <v>84.986171</v>
      </c>
      <c r="L31" s="77">
        <f>Entitlement!AM25*(1-TPCIL!$L$11)-ISGS!P31</f>
        <v>21.201259</v>
      </c>
      <c r="M31" s="77">
        <f>Entitlement!AS25*(1-TPCIL!$L$11)-ISGS!R31</f>
        <v>130.454695</v>
      </c>
      <c r="N31" s="77">
        <f>Entitlement!AP25-ISGS!Q31</f>
        <v>0</v>
      </c>
      <c r="O31" s="77">
        <f>Entitlement!AY25*(1-TPCIL!$L$11)-ISGS!T31</f>
        <v>0.00110800000000211</v>
      </c>
      <c r="P31" s="77">
        <f>Entitlement!X25*(1-TPCIL!$L$11)-ISGS!K31</f>
        <v>1.575009</v>
      </c>
      <c r="Q31" s="77">
        <f>Entitlement!U25*(1-TPCIL!$L$11)-ISGS!J31</f>
        <v>13.85321</v>
      </c>
      <c r="R31" s="77">
        <f>Entitlement!AA25*(1-TPCIL!$L$11)-ISGS!L31</f>
        <v>0.22368</v>
      </c>
      <c r="S31" s="77">
        <f>Entitlement!R25*(1-TPCIL!$L$11)-ISGS!I31</f>
        <v>0.00251599999999996</v>
      </c>
      <c r="T31" s="77">
        <f>Entitlement!AD25*(1-TPCIL!$L$11)-ISGS!M31</f>
        <v>0.00215199999999527</v>
      </c>
      <c r="U31" s="77">
        <f>Entitlement!AV25*(1-TPCIL!$L$11)-ISGS!S31</f>
        <v>0.00303199999999038</v>
      </c>
      <c r="V31" s="77">
        <f t="shared" si="0"/>
        <v>662.522088</v>
      </c>
      <c r="W31" s="80">
        <f t="shared" si="1"/>
        <v>662.522088</v>
      </c>
      <c r="X31" s="81">
        <f t="shared" si="2"/>
        <v>0.00303199999999038</v>
      </c>
    </row>
    <row r="32" spans="1:24">
      <c r="A32" s="75">
        <v>20</v>
      </c>
      <c r="B32" s="75" t="s">
        <v>33</v>
      </c>
      <c r="C32" s="77">
        <f>Entitlement!D26*(1-TPCIL!$L$11)-ISGS!C32</f>
        <v>0.0038589999999985</v>
      </c>
      <c r="D32" s="77">
        <f>Entitlement!F26*(1-TPCIL!$L$11)-ISGS!D32</f>
        <v>0.00215799999998723</v>
      </c>
      <c r="E32" s="77">
        <f>Entitlement!H26*(1-TPCIL!$L$11)-ISGS!E32</f>
        <v>0</v>
      </c>
      <c r="F32" s="77">
        <f>Entitlement!J26*(1-TPCIL!$L$11)-ISGS!F32</f>
        <v>0</v>
      </c>
      <c r="G32" s="77">
        <f>Entitlement!O26*(1-TPCIL!$L$11)-ISGS!H32</f>
        <v>0.0014529999999997</v>
      </c>
      <c r="H32" s="77">
        <f>Entitlement!M26*(1-TPCIL!$L$11)-ISGS!G32</f>
        <v>229.674432</v>
      </c>
      <c r="I32" s="77">
        <f>Entitlement!BB26*(1-TPCIL!$L$11)-ISGS!U32</f>
        <v>59.103471</v>
      </c>
      <c r="J32" s="77">
        <f>Entitlement!AG26*(1-TPCIL!$L$11)-ISGS!N32</f>
        <v>121.433883</v>
      </c>
      <c r="K32" s="77">
        <f>Entitlement!AJ26*(1-TPCIL!$L$11)-ISGS!O32</f>
        <v>84.986171</v>
      </c>
      <c r="L32" s="77">
        <f>Entitlement!AM26*(1-TPCIL!$L$11)-ISGS!P32</f>
        <v>21.201259</v>
      </c>
      <c r="M32" s="77">
        <f>Entitlement!AS26*(1-TPCIL!$L$11)-ISGS!R32</f>
        <v>87.194695</v>
      </c>
      <c r="N32" s="77">
        <f>Entitlement!AP26-ISGS!Q32</f>
        <v>0</v>
      </c>
      <c r="O32" s="77">
        <f>Entitlement!AY26*(1-TPCIL!$L$11)-ISGS!T32</f>
        <v>0.00110800000000211</v>
      </c>
      <c r="P32" s="77">
        <f>Entitlement!X26*(1-TPCIL!$L$11)-ISGS!K32</f>
        <v>-0.00499099999999686</v>
      </c>
      <c r="Q32" s="77">
        <f>Entitlement!U26*(1-TPCIL!$L$11)-ISGS!J32</f>
        <v>13.85321</v>
      </c>
      <c r="R32" s="77">
        <f>Entitlement!AA26*(1-TPCIL!$L$11)-ISGS!L32</f>
        <v>0.22368</v>
      </c>
      <c r="S32" s="77">
        <f>Entitlement!R26*(1-TPCIL!$L$11)-ISGS!I32</f>
        <v>0.00251599999999996</v>
      </c>
      <c r="T32" s="77">
        <f>Entitlement!AD26*(1-TPCIL!$L$11)-ISGS!M32</f>
        <v>0.00215199999999527</v>
      </c>
      <c r="U32" s="77">
        <f>Entitlement!AV26*(1-TPCIL!$L$11)-ISGS!S32</f>
        <v>0.00303199999999038</v>
      </c>
      <c r="V32" s="77">
        <f t="shared" si="0"/>
        <v>617.682088</v>
      </c>
      <c r="W32" s="80">
        <f t="shared" si="1"/>
        <v>617.682088</v>
      </c>
      <c r="X32" s="81">
        <f t="shared" si="2"/>
        <v>0.00303199999999038</v>
      </c>
    </row>
    <row r="33" spans="1:24">
      <c r="A33" s="75">
        <v>21</v>
      </c>
      <c r="B33" s="75" t="s">
        <v>34</v>
      </c>
      <c r="C33" s="77">
        <f>Entitlement!D27*(1-TPCIL!$L$11)-ISGS!C33</f>
        <v>0.0038589999999985</v>
      </c>
      <c r="D33" s="77">
        <f>Entitlement!F27*(1-TPCIL!$L$11)-ISGS!D33</f>
        <v>0.00215799999998723</v>
      </c>
      <c r="E33" s="77">
        <f>Entitlement!H27*(1-TPCIL!$L$11)-ISGS!E33</f>
        <v>0</v>
      </c>
      <c r="F33" s="77">
        <f>Entitlement!J27*(1-TPCIL!$L$11)-ISGS!F33</f>
        <v>0</v>
      </c>
      <c r="G33" s="77">
        <f>Entitlement!O27*(1-TPCIL!$L$11)-ISGS!H33</f>
        <v>0.0014529999999997</v>
      </c>
      <c r="H33" s="77">
        <f>Entitlement!M27*(1-TPCIL!$L$11)-ISGS!G33</f>
        <v>191.664432</v>
      </c>
      <c r="I33" s="77">
        <f>Entitlement!BB27*(1-TPCIL!$L$11)-ISGS!U33</f>
        <v>2.023471</v>
      </c>
      <c r="J33" s="77">
        <f>Entitlement!AG27*(1-TPCIL!$L$11)-ISGS!N33</f>
        <v>13.553883</v>
      </c>
      <c r="K33" s="77">
        <f>Entitlement!AJ27*(1-TPCIL!$L$11)-ISGS!O33</f>
        <v>84.986171</v>
      </c>
      <c r="L33" s="77">
        <f>Entitlement!AM27*(1-TPCIL!$L$11)-ISGS!P33</f>
        <v>21.201259</v>
      </c>
      <c r="M33" s="77">
        <f>Entitlement!AS27*(1-TPCIL!$L$11)-ISGS!R33</f>
        <v>87.194695</v>
      </c>
      <c r="N33" s="77">
        <f>Entitlement!AP27-ISGS!Q33</f>
        <v>0</v>
      </c>
      <c r="O33" s="77">
        <f>Entitlement!AY27*(1-TPCIL!$L$11)-ISGS!T33</f>
        <v>0.00110800000000211</v>
      </c>
      <c r="P33" s="77">
        <f>Entitlement!X27*(1-TPCIL!$L$11)-ISGS!K33</f>
        <v>-0.00499099999999686</v>
      </c>
      <c r="Q33" s="77">
        <f>Entitlement!U27*(1-TPCIL!$L$11)-ISGS!J33</f>
        <v>13.85321</v>
      </c>
      <c r="R33" s="77">
        <f>Entitlement!AA27*(1-TPCIL!$L$11)-ISGS!L33</f>
        <v>0.10368</v>
      </c>
      <c r="S33" s="77">
        <f>Entitlement!R27*(1-TPCIL!$L$11)-ISGS!I33</f>
        <v>0.00251599999999996</v>
      </c>
      <c r="T33" s="77">
        <f>Entitlement!AD27*(1-TPCIL!$L$11)-ISGS!M33</f>
        <v>0.00215199999999527</v>
      </c>
      <c r="U33" s="77">
        <f>Entitlement!AV27*(1-TPCIL!$L$11)-ISGS!S33</f>
        <v>0.00303199999999038</v>
      </c>
      <c r="V33" s="77">
        <f t="shared" si="0"/>
        <v>414.592088</v>
      </c>
      <c r="W33" s="80">
        <f t="shared" si="1"/>
        <v>414.592088</v>
      </c>
      <c r="X33" s="81">
        <f t="shared" si="2"/>
        <v>0.00303199999999038</v>
      </c>
    </row>
    <row r="34" spans="1:24">
      <c r="A34" s="75">
        <v>22</v>
      </c>
      <c r="B34" s="75" t="s">
        <v>35</v>
      </c>
      <c r="C34" s="77">
        <f>Entitlement!D28*(1-TPCIL!$L$11)-ISGS!C34</f>
        <v>0.0038589999999985</v>
      </c>
      <c r="D34" s="77">
        <f>Entitlement!F28*(1-TPCIL!$L$11)-ISGS!D34</f>
        <v>0.00215799999998723</v>
      </c>
      <c r="E34" s="77">
        <f>Entitlement!H28*(1-TPCIL!$L$11)-ISGS!E34</f>
        <v>0</v>
      </c>
      <c r="F34" s="77">
        <f>Entitlement!J28*(1-TPCIL!$L$11)-ISGS!F34</f>
        <v>0</v>
      </c>
      <c r="G34" s="77">
        <f>Entitlement!O28*(1-TPCIL!$L$11)-ISGS!H34</f>
        <v>0.0014529999999997</v>
      </c>
      <c r="H34" s="77">
        <f>Entitlement!M28*(1-TPCIL!$L$11)-ISGS!G34</f>
        <v>148.014432</v>
      </c>
      <c r="I34" s="77">
        <f>Entitlement!BB28*(1-TPCIL!$L$11)-ISGS!U34</f>
        <v>2.023471</v>
      </c>
      <c r="J34" s="77">
        <f>Entitlement!AG28*(1-TPCIL!$L$11)-ISGS!N34</f>
        <v>13.553883</v>
      </c>
      <c r="K34" s="77">
        <f>Entitlement!AJ28*(1-TPCIL!$L$11)-ISGS!O34</f>
        <v>84.986171</v>
      </c>
      <c r="L34" s="77">
        <f>Entitlement!AM28*(1-TPCIL!$L$11)-ISGS!P34</f>
        <v>21.201259</v>
      </c>
      <c r="M34" s="77">
        <f>Entitlement!AS28*(1-TPCIL!$L$11)-ISGS!R34</f>
        <v>87.194695</v>
      </c>
      <c r="N34" s="77">
        <f>Entitlement!AP28-ISGS!Q34</f>
        <v>0</v>
      </c>
      <c r="O34" s="77">
        <f>Entitlement!AY28*(1-TPCIL!$L$11)-ISGS!T34</f>
        <v>0.00110800000000211</v>
      </c>
      <c r="P34" s="77">
        <f>Entitlement!X28*(1-TPCIL!$L$11)-ISGS!K34</f>
        <v>-0.00499099999999686</v>
      </c>
      <c r="Q34" s="77">
        <f>Entitlement!U28*(1-TPCIL!$L$11)-ISGS!J34</f>
        <v>13.85321</v>
      </c>
      <c r="R34" s="77">
        <f>Entitlement!AA28*(1-TPCIL!$L$11)-ISGS!L34</f>
        <v>0.22368</v>
      </c>
      <c r="S34" s="77">
        <f>Entitlement!R28*(1-TPCIL!$L$11)-ISGS!I34</f>
        <v>0.00251599999999996</v>
      </c>
      <c r="T34" s="77">
        <f>Entitlement!AD28*(1-TPCIL!$L$11)-ISGS!M34</f>
        <v>0.00215199999999527</v>
      </c>
      <c r="U34" s="77">
        <f>Entitlement!AV28*(1-TPCIL!$L$11)-ISGS!S34</f>
        <v>0.00303199999999038</v>
      </c>
      <c r="V34" s="77">
        <f t="shared" si="0"/>
        <v>371.062088</v>
      </c>
      <c r="W34" s="80">
        <f t="shared" si="1"/>
        <v>371.062088</v>
      </c>
      <c r="X34" s="81">
        <f t="shared" si="2"/>
        <v>0.00303199999999038</v>
      </c>
    </row>
    <row r="35" spans="1:24">
      <c r="A35" s="75">
        <v>23</v>
      </c>
      <c r="B35" s="75" t="s">
        <v>36</v>
      </c>
      <c r="C35" s="77">
        <f>Entitlement!D29*(1-TPCIL!$L$11)-ISGS!C35</f>
        <v>0.0038589999999985</v>
      </c>
      <c r="D35" s="77">
        <f>Entitlement!F29*(1-TPCIL!$L$11)-ISGS!D35</f>
        <v>0.00215799999998723</v>
      </c>
      <c r="E35" s="77">
        <f>Entitlement!H29*(1-TPCIL!$L$11)-ISGS!E35</f>
        <v>0</v>
      </c>
      <c r="F35" s="77">
        <f>Entitlement!J29*(1-TPCIL!$L$11)-ISGS!F35</f>
        <v>0</v>
      </c>
      <c r="G35" s="77">
        <f>Entitlement!O29*(1-TPCIL!$L$11)-ISGS!H35</f>
        <v>0.0014529999999997</v>
      </c>
      <c r="H35" s="77">
        <f>Entitlement!M29*(1-TPCIL!$L$11)-ISGS!G35</f>
        <v>108.644432</v>
      </c>
      <c r="I35" s="77">
        <f>Entitlement!BB29*(1-TPCIL!$L$11)-ISGS!U35</f>
        <v>2.023471</v>
      </c>
      <c r="J35" s="77">
        <f>Entitlement!AG29*(1-TPCIL!$L$11)-ISGS!N35</f>
        <v>14.793883</v>
      </c>
      <c r="K35" s="77">
        <f>Entitlement!AJ29*(1-TPCIL!$L$11)-ISGS!O35</f>
        <v>-0.00382899999999609</v>
      </c>
      <c r="L35" s="77">
        <f>Entitlement!AM29*(1-TPCIL!$L$11)-ISGS!P35</f>
        <v>0.00125900000000456</v>
      </c>
      <c r="M35" s="77">
        <f>Entitlement!AS29*(1-TPCIL!$L$11)-ISGS!R35</f>
        <v>32.874695</v>
      </c>
      <c r="N35" s="77">
        <f>Entitlement!AP29-ISGS!Q35</f>
        <v>0</v>
      </c>
      <c r="O35" s="77">
        <f>Entitlement!AY29*(1-TPCIL!$L$11)-ISGS!T35</f>
        <v>0.00110800000000211</v>
      </c>
      <c r="P35" s="77">
        <f>Entitlement!X29*(1-TPCIL!$L$11)-ISGS!K35</f>
        <v>-0.00499099999999686</v>
      </c>
      <c r="Q35" s="77">
        <f>Entitlement!U29*(1-TPCIL!$L$11)-ISGS!J35</f>
        <v>13.85321</v>
      </c>
      <c r="R35" s="77">
        <f>Entitlement!AA29*(1-TPCIL!$L$11)-ISGS!L35</f>
        <v>0.00368000000000013</v>
      </c>
      <c r="S35" s="77">
        <f>Entitlement!R29*(1-TPCIL!$L$11)-ISGS!I35</f>
        <v>0.00251599999999996</v>
      </c>
      <c r="T35" s="77">
        <f>Entitlement!AD29*(1-TPCIL!$L$11)-ISGS!M35</f>
        <v>0.00215199999999527</v>
      </c>
      <c r="U35" s="77">
        <f>Entitlement!AV29*(1-TPCIL!$L$11)-ISGS!S35</f>
        <v>0.00303199999999038</v>
      </c>
      <c r="V35" s="77">
        <f t="shared" si="0"/>
        <v>172.202088</v>
      </c>
      <c r="W35" s="80">
        <f t="shared" si="1"/>
        <v>172.202088</v>
      </c>
      <c r="X35" s="81">
        <f t="shared" si="2"/>
        <v>0.00303199999999038</v>
      </c>
    </row>
    <row r="36" spans="1:24">
      <c r="A36" s="75">
        <v>24</v>
      </c>
      <c r="B36" s="75" t="s">
        <v>37</v>
      </c>
      <c r="C36" s="77">
        <f>Entitlement!D30*(1-TPCIL!$L$11)-ISGS!C36</f>
        <v>0.0038589999999985</v>
      </c>
      <c r="D36" s="77">
        <f>Entitlement!F30*(1-TPCIL!$L$11)-ISGS!D36</f>
        <v>0.00215799999998723</v>
      </c>
      <c r="E36" s="77">
        <f>Entitlement!H30*(1-TPCIL!$L$11)-ISGS!E36</f>
        <v>0</v>
      </c>
      <c r="F36" s="77">
        <f>Entitlement!J30*(1-TPCIL!$L$11)-ISGS!F36</f>
        <v>0</v>
      </c>
      <c r="G36" s="77">
        <f>Entitlement!O30*(1-TPCIL!$L$11)-ISGS!H36</f>
        <v>0.0014529999999997</v>
      </c>
      <c r="H36" s="77">
        <f>Entitlement!M30*(1-TPCIL!$L$11)-ISGS!G36</f>
        <v>72.594432</v>
      </c>
      <c r="I36" s="77">
        <f>Entitlement!BB30*(1-TPCIL!$L$11)-ISGS!U36</f>
        <v>10.343471</v>
      </c>
      <c r="J36" s="77">
        <f>Entitlement!AG30*(1-TPCIL!$L$11)-ISGS!N36</f>
        <v>33.243883</v>
      </c>
      <c r="K36" s="77">
        <f>Entitlement!AJ30*(1-TPCIL!$L$11)-ISGS!O36</f>
        <v>-0.00382899999999609</v>
      </c>
      <c r="L36" s="77">
        <f>Entitlement!AM30*(1-TPCIL!$L$11)-ISGS!P36</f>
        <v>0.00125900000000456</v>
      </c>
      <c r="M36" s="77">
        <f>Entitlement!AS30*(1-TPCIL!$L$11)-ISGS!R36</f>
        <v>0.00469499999999812</v>
      </c>
      <c r="N36" s="77">
        <f>Entitlement!AP30-ISGS!Q36</f>
        <v>0</v>
      </c>
      <c r="O36" s="77">
        <f>Entitlement!AY30*(1-TPCIL!$L$11)-ISGS!T36</f>
        <v>0.00110800000000211</v>
      </c>
      <c r="P36" s="77">
        <f>Entitlement!X30*(1-TPCIL!$L$11)-ISGS!K36</f>
        <v>0.00151699999999977</v>
      </c>
      <c r="Q36" s="77">
        <f>Entitlement!U30*(1-TPCIL!$L$11)-ISGS!J36</f>
        <v>13.878958</v>
      </c>
      <c r="R36" s="77">
        <f>Entitlement!AA30*(1-TPCIL!$L$11)-ISGS!L36</f>
        <v>0.00368000000000013</v>
      </c>
      <c r="S36" s="77">
        <f>Entitlement!R30*(1-TPCIL!$L$11)-ISGS!I36</f>
        <v>0.00251599999999996</v>
      </c>
      <c r="T36" s="77">
        <f>Entitlement!AD30*(1-TPCIL!$L$11)-ISGS!M36</f>
        <v>0.00215199999999527</v>
      </c>
      <c r="U36" s="77">
        <f>Entitlement!AV30*(1-TPCIL!$L$11)-ISGS!S36</f>
        <v>0.00303199999999038</v>
      </c>
      <c r="V36" s="77">
        <f t="shared" si="0"/>
        <v>130.084344</v>
      </c>
      <c r="W36" s="80">
        <f t="shared" si="1"/>
        <v>130.084344</v>
      </c>
      <c r="X36" s="81">
        <f t="shared" si="2"/>
        <v>0.00303199999999038</v>
      </c>
    </row>
    <row r="37" spans="1:24">
      <c r="A37" s="75">
        <v>25</v>
      </c>
      <c r="B37" s="75" t="s">
        <v>38</v>
      </c>
      <c r="C37" s="77">
        <f>Entitlement!D31*(1-TPCIL!$L$11)-ISGS!C37</f>
        <v>0.0038589999999985</v>
      </c>
      <c r="D37" s="77">
        <f>Entitlement!F31*(1-TPCIL!$L$11)-ISGS!D37</f>
        <v>0.00215799999998723</v>
      </c>
      <c r="E37" s="77">
        <f>Entitlement!H31*(1-TPCIL!$L$11)-ISGS!E37</f>
        <v>0</v>
      </c>
      <c r="F37" s="77">
        <f>Entitlement!J31*(1-TPCIL!$L$11)-ISGS!F37</f>
        <v>0</v>
      </c>
      <c r="G37" s="77">
        <f>Entitlement!O31*(1-TPCIL!$L$11)-ISGS!H37</f>
        <v>0.0014529999999997</v>
      </c>
      <c r="H37" s="77">
        <f>Entitlement!M31*(1-TPCIL!$L$11)-ISGS!G37</f>
        <v>25.574432</v>
      </c>
      <c r="I37" s="77">
        <f>Entitlement!BB31*(1-TPCIL!$L$11)-ISGS!U37</f>
        <v>0.00347099999999756</v>
      </c>
      <c r="J37" s="77">
        <f>Entitlement!AG31*(1-TPCIL!$L$11)-ISGS!N37</f>
        <v>0.00388299999998765</v>
      </c>
      <c r="K37" s="77">
        <f>Entitlement!AJ31*(1-TPCIL!$L$11)-ISGS!O37</f>
        <v>-0.00382899999999609</v>
      </c>
      <c r="L37" s="77">
        <f>Entitlement!AM31*(1-TPCIL!$L$11)-ISGS!P37</f>
        <v>0.00125900000000456</v>
      </c>
      <c r="M37" s="77">
        <f>Entitlement!AS31*(1-TPCIL!$L$11)-ISGS!R37</f>
        <v>0.00469499999999812</v>
      </c>
      <c r="N37" s="77">
        <f>Entitlement!AP31-ISGS!Q37</f>
        <v>0</v>
      </c>
      <c r="O37" s="77">
        <f>Entitlement!AY31*(1-TPCIL!$L$11)-ISGS!T37</f>
        <v>0.00110800000000211</v>
      </c>
      <c r="P37" s="77">
        <f>Entitlement!X31*(1-TPCIL!$L$11)-ISGS!K37</f>
        <v>0.00151699999999977</v>
      </c>
      <c r="Q37" s="77">
        <f>Entitlement!U31*(1-TPCIL!$L$11)-ISGS!J37</f>
        <v>16.598958</v>
      </c>
      <c r="R37" s="77">
        <f>Entitlement!AA31*(1-TPCIL!$L$11)-ISGS!L37</f>
        <v>0.00368000000000013</v>
      </c>
      <c r="S37" s="77">
        <f>Entitlement!R31*(1-TPCIL!$L$11)-ISGS!I37</f>
        <v>0.00251599999999996</v>
      </c>
      <c r="T37" s="77">
        <f>Entitlement!AD31*(1-TPCIL!$L$11)-ISGS!M37</f>
        <v>0.00215199999999527</v>
      </c>
      <c r="U37" s="77">
        <f>Entitlement!AV31*(1-TPCIL!$L$11)-ISGS!S37</f>
        <v>0.00303199999999038</v>
      </c>
      <c r="V37" s="77">
        <f t="shared" si="0"/>
        <v>42.204344</v>
      </c>
      <c r="W37" s="80">
        <f t="shared" si="1"/>
        <v>42.204344</v>
      </c>
      <c r="X37" s="81">
        <f t="shared" si="2"/>
        <v>0.00303199999999038</v>
      </c>
    </row>
    <row r="38" spans="1:24">
      <c r="A38" s="75">
        <v>26</v>
      </c>
      <c r="B38" s="75" t="s">
        <v>39</v>
      </c>
      <c r="C38" s="77">
        <f>Entitlement!D32*(1-TPCIL!$L$11)-ISGS!C38</f>
        <v>0.0038589999999985</v>
      </c>
      <c r="D38" s="77">
        <f>Entitlement!F32*(1-TPCIL!$L$11)-ISGS!D38</f>
        <v>0.00215799999998723</v>
      </c>
      <c r="E38" s="77">
        <f>Entitlement!H32*(1-TPCIL!$L$11)-ISGS!E38</f>
        <v>0</v>
      </c>
      <c r="F38" s="77">
        <f>Entitlement!J32*(1-TPCIL!$L$11)-ISGS!F38</f>
        <v>0</v>
      </c>
      <c r="G38" s="77">
        <f>Entitlement!O32*(1-TPCIL!$L$11)-ISGS!H38</f>
        <v>0.0014529999999997</v>
      </c>
      <c r="H38" s="77">
        <f>Entitlement!M32*(1-TPCIL!$L$11)-ISGS!G38</f>
        <v>0.00443200000000843</v>
      </c>
      <c r="I38" s="77">
        <f>Entitlement!BB32*(1-TPCIL!$L$11)-ISGS!U38</f>
        <v>0.00347099999999756</v>
      </c>
      <c r="J38" s="77">
        <f>Entitlement!AG32*(1-TPCIL!$L$11)-ISGS!N38</f>
        <v>0.00388299999998765</v>
      </c>
      <c r="K38" s="77">
        <f>Entitlement!AJ32*(1-TPCIL!$L$11)-ISGS!O38</f>
        <v>-0.00382899999999609</v>
      </c>
      <c r="L38" s="77">
        <f>Entitlement!AM32*(1-TPCIL!$L$11)-ISGS!P38</f>
        <v>0.00125900000000456</v>
      </c>
      <c r="M38" s="77">
        <f>Entitlement!AS32*(1-TPCIL!$L$11)-ISGS!R38</f>
        <v>0.00469499999999812</v>
      </c>
      <c r="N38" s="77">
        <f>Entitlement!AP32-ISGS!Q38</f>
        <v>0</v>
      </c>
      <c r="O38" s="77">
        <f>Entitlement!AY32*(1-TPCIL!$L$11)-ISGS!T38</f>
        <v>0.00110800000000211</v>
      </c>
      <c r="P38" s="77">
        <f>Entitlement!X32*(1-TPCIL!$L$11)-ISGS!K38</f>
        <v>0.00151699999999977</v>
      </c>
      <c r="Q38" s="77">
        <f>Entitlement!U32*(1-TPCIL!$L$11)-ISGS!J38</f>
        <v>16.598958</v>
      </c>
      <c r="R38" s="77">
        <f>Entitlement!AA32*(1-TPCIL!$L$11)-ISGS!L38</f>
        <v>0.00368000000000013</v>
      </c>
      <c r="S38" s="77">
        <f>Entitlement!R32*(1-TPCIL!$L$11)-ISGS!I38</f>
        <v>0.00251599999999996</v>
      </c>
      <c r="T38" s="77">
        <f>Entitlement!AD32*(1-TPCIL!$L$11)-ISGS!M38</f>
        <v>0.00215199999999527</v>
      </c>
      <c r="U38" s="77">
        <f>Entitlement!AV32*(1-TPCIL!$L$11)-ISGS!S38</f>
        <v>0.00303199999999038</v>
      </c>
      <c r="V38" s="77">
        <f t="shared" si="0"/>
        <v>16.634344</v>
      </c>
      <c r="W38" s="80">
        <f t="shared" si="1"/>
        <v>16.634344</v>
      </c>
      <c r="X38" s="81">
        <f t="shared" si="2"/>
        <v>0.00303199999999038</v>
      </c>
    </row>
    <row r="39" spans="1:24">
      <c r="A39" s="75">
        <v>27</v>
      </c>
      <c r="B39" s="75" t="s">
        <v>40</v>
      </c>
      <c r="C39" s="77">
        <f>Entitlement!D33*(1-TPCIL!$L$11)-ISGS!C39</f>
        <v>0.0038589999999985</v>
      </c>
      <c r="D39" s="77">
        <f>Entitlement!F33*(1-TPCIL!$L$11)-ISGS!D39</f>
        <v>0.00215799999998723</v>
      </c>
      <c r="E39" s="77">
        <f>Entitlement!H33*(1-TPCIL!$L$11)-ISGS!E39</f>
        <v>0</v>
      </c>
      <c r="F39" s="77">
        <f>Entitlement!J33*(1-TPCIL!$L$11)-ISGS!F39</f>
        <v>0</v>
      </c>
      <c r="G39" s="77">
        <f>Entitlement!O33*(1-TPCIL!$L$11)-ISGS!H39</f>
        <v>0.0014529999999997</v>
      </c>
      <c r="H39" s="77">
        <f>Entitlement!M33*(1-TPCIL!$L$11)-ISGS!G39</f>
        <v>0.00443200000000843</v>
      </c>
      <c r="I39" s="77">
        <f>Entitlement!BB33*(1-TPCIL!$L$11)-ISGS!U39</f>
        <v>0.00347099999999756</v>
      </c>
      <c r="J39" s="77">
        <f>Entitlement!AG33*(1-TPCIL!$L$11)-ISGS!N39</f>
        <v>0.00388299999998765</v>
      </c>
      <c r="K39" s="77">
        <f>Entitlement!AJ33*(1-TPCIL!$L$11)-ISGS!O39</f>
        <v>-0.00382899999999609</v>
      </c>
      <c r="L39" s="77">
        <f>Entitlement!AM33*(1-TPCIL!$L$11)-ISGS!P39</f>
        <v>0.00125900000000456</v>
      </c>
      <c r="M39" s="77">
        <f>Entitlement!AS33*(1-TPCIL!$L$11)-ISGS!R39</f>
        <v>0.00469499999999812</v>
      </c>
      <c r="N39" s="77">
        <f>Entitlement!AP33-ISGS!Q39</f>
        <v>0</v>
      </c>
      <c r="O39" s="77">
        <f>Entitlement!AY33*(1-TPCIL!$L$11)-ISGS!T39</f>
        <v>0.00110800000000211</v>
      </c>
      <c r="P39" s="77">
        <f>Entitlement!X33*(1-TPCIL!$L$11)-ISGS!K39</f>
        <v>0.00151699999999977</v>
      </c>
      <c r="Q39" s="77">
        <f>Entitlement!U33*(1-TPCIL!$L$11)-ISGS!J39</f>
        <v>-0.00217800000000068</v>
      </c>
      <c r="R39" s="77">
        <f>Entitlement!AA33*(1-TPCIL!$L$11)-ISGS!L39</f>
        <v>0.00368000000000013</v>
      </c>
      <c r="S39" s="77">
        <f>Entitlement!R33*(1-TPCIL!$L$11)-ISGS!I39</f>
        <v>0.00251599999999996</v>
      </c>
      <c r="T39" s="77">
        <f>Entitlement!AD33*(1-TPCIL!$L$11)-ISGS!M39</f>
        <v>0.00215199999999527</v>
      </c>
      <c r="U39" s="77">
        <f>Entitlement!AV33*(1-TPCIL!$L$11)-ISGS!S39</f>
        <v>0.00303199999999038</v>
      </c>
      <c r="V39" s="77">
        <f t="shared" si="0"/>
        <v>0.0332079999999726</v>
      </c>
      <c r="W39" s="80">
        <f t="shared" si="1"/>
        <v>0.0332079999999726</v>
      </c>
      <c r="X39" s="81">
        <f t="shared" si="2"/>
        <v>0.00303199999999038</v>
      </c>
    </row>
    <row r="40" spans="1:24">
      <c r="A40" s="75">
        <v>28</v>
      </c>
      <c r="B40" s="75" t="s">
        <v>41</v>
      </c>
      <c r="C40" s="77">
        <f>Entitlement!D34*(1-TPCIL!$L$11)-ISGS!C40</f>
        <v>0.0038589999999985</v>
      </c>
      <c r="D40" s="77">
        <f>Entitlement!F34*(1-TPCIL!$L$11)-ISGS!D40</f>
        <v>0.00215799999998723</v>
      </c>
      <c r="E40" s="77">
        <f>Entitlement!H34*(1-TPCIL!$L$11)-ISGS!E40</f>
        <v>0</v>
      </c>
      <c r="F40" s="77">
        <f>Entitlement!J34*(1-TPCIL!$L$11)-ISGS!F40</f>
        <v>0</v>
      </c>
      <c r="G40" s="77">
        <f>Entitlement!O34*(1-TPCIL!$L$11)-ISGS!H40</f>
        <v>0.0014529999999997</v>
      </c>
      <c r="H40" s="77">
        <f>Entitlement!M34*(1-TPCIL!$L$11)-ISGS!G40</f>
        <v>0.00443200000000843</v>
      </c>
      <c r="I40" s="77">
        <f>Entitlement!BB34*(1-TPCIL!$L$11)-ISGS!U40</f>
        <v>0.00347099999999756</v>
      </c>
      <c r="J40" s="77">
        <f>Entitlement!AG34*(1-TPCIL!$L$11)-ISGS!N40</f>
        <v>0.00388299999998765</v>
      </c>
      <c r="K40" s="77">
        <f>Entitlement!AJ34*(1-TPCIL!$L$11)-ISGS!O40</f>
        <v>-0.00382899999999609</v>
      </c>
      <c r="L40" s="77">
        <f>Entitlement!AM34*(1-TPCIL!$L$11)-ISGS!P40</f>
        <v>0.00125900000000456</v>
      </c>
      <c r="M40" s="77">
        <f>Entitlement!AS34*(1-TPCIL!$L$11)-ISGS!R40</f>
        <v>0.00469499999999812</v>
      </c>
      <c r="N40" s="77">
        <f>Entitlement!AP34-ISGS!Q40</f>
        <v>0</v>
      </c>
      <c r="O40" s="77">
        <f>Entitlement!AY34*(1-TPCIL!$L$11)-ISGS!T40</f>
        <v>0.00110800000000211</v>
      </c>
      <c r="P40" s="77">
        <f>Entitlement!X34*(1-TPCIL!$L$11)-ISGS!K40</f>
        <v>0.00151699999999977</v>
      </c>
      <c r="Q40" s="77">
        <f>Entitlement!U34*(1-TPCIL!$L$11)-ISGS!J40</f>
        <v>-0.00217800000000068</v>
      </c>
      <c r="R40" s="77">
        <f>Entitlement!AA34*(1-TPCIL!$L$11)-ISGS!L40</f>
        <v>0.00368000000000013</v>
      </c>
      <c r="S40" s="77">
        <f>Entitlement!R34*(1-TPCIL!$L$11)-ISGS!I40</f>
        <v>0.00251599999999996</v>
      </c>
      <c r="T40" s="77">
        <f>Entitlement!AD34*(1-TPCIL!$L$11)-ISGS!M40</f>
        <v>0.00215199999999527</v>
      </c>
      <c r="U40" s="77">
        <f>Entitlement!AV34*(1-TPCIL!$L$11)-ISGS!S40</f>
        <v>0.00303199999999038</v>
      </c>
      <c r="V40" s="77">
        <f t="shared" si="0"/>
        <v>0.0332079999999726</v>
      </c>
      <c r="W40" s="80">
        <f t="shared" si="1"/>
        <v>0.0332079999999726</v>
      </c>
      <c r="X40" s="81">
        <f t="shared" si="2"/>
        <v>0.00303199999999038</v>
      </c>
    </row>
    <row r="41" spans="1:24">
      <c r="A41" s="75">
        <v>29</v>
      </c>
      <c r="B41" s="75" t="s">
        <v>42</v>
      </c>
      <c r="C41" s="77">
        <f>Entitlement!D35*(1-TPCIL!$L$11)-ISGS!C41</f>
        <v>0.0038589999999985</v>
      </c>
      <c r="D41" s="77">
        <f>Entitlement!F35*(1-TPCIL!$L$11)-ISGS!D41</f>
        <v>0.00215799999998723</v>
      </c>
      <c r="E41" s="77">
        <f>Entitlement!H35*(1-TPCIL!$L$11)-ISGS!E41</f>
        <v>0</v>
      </c>
      <c r="F41" s="77">
        <f>Entitlement!J35*(1-TPCIL!$L$11)-ISGS!F41</f>
        <v>0</v>
      </c>
      <c r="G41" s="77">
        <f>Entitlement!O35*(1-TPCIL!$L$11)-ISGS!H41</f>
        <v>0.0014529999999997</v>
      </c>
      <c r="H41" s="77">
        <f>Entitlement!M35*(1-TPCIL!$L$11)-ISGS!G41</f>
        <v>0.00443200000000843</v>
      </c>
      <c r="I41" s="77">
        <f>Entitlement!BB35*(1-TPCIL!$L$11)-ISGS!U41</f>
        <v>0.00347099999999756</v>
      </c>
      <c r="J41" s="77">
        <f>Entitlement!AG35*(1-TPCIL!$L$11)-ISGS!N41</f>
        <v>0.00388299999998765</v>
      </c>
      <c r="K41" s="77">
        <f>Entitlement!AJ35*(1-TPCIL!$L$11)-ISGS!O41</f>
        <v>-0.00382899999999609</v>
      </c>
      <c r="L41" s="77">
        <f>Entitlement!AM35*(1-TPCIL!$L$11)-ISGS!P41</f>
        <v>0.00125900000000456</v>
      </c>
      <c r="M41" s="77">
        <f>Entitlement!AS35*(1-TPCIL!$L$11)-ISGS!R41</f>
        <v>0.00469499999999812</v>
      </c>
      <c r="N41" s="77">
        <f>Entitlement!AP35-ISGS!Q41</f>
        <v>0</v>
      </c>
      <c r="O41" s="77">
        <f>Entitlement!AY35*(1-TPCIL!$L$11)-ISGS!T41</f>
        <v>0.00110800000000211</v>
      </c>
      <c r="P41" s="77">
        <f>Entitlement!X35*(1-TPCIL!$L$11)-ISGS!K41</f>
        <v>-0.00230700000000184</v>
      </c>
      <c r="Q41" s="77">
        <f>Entitlement!U35*(1-TPCIL!$L$11)-ISGS!J41</f>
        <v>0.00427699999999476</v>
      </c>
      <c r="R41" s="77">
        <f>Entitlement!AA35*(1-TPCIL!$L$11)-ISGS!L41</f>
        <v>0.00368000000000013</v>
      </c>
      <c r="S41" s="77">
        <f>Entitlement!R35*(1-TPCIL!$L$11)-ISGS!I41</f>
        <v>0.00251599999999996</v>
      </c>
      <c r="T41" s="77">
        <f>Entitlement!AD35*(1-TPCIL!$L$11)-ISGS!M41</f>
        <v>0.00215199999999527</v>
      </c>
      <c r="U41" s="77">
        <f>Entitlement!AV35*(1-TPCIL!$L$11)-ISGS!S41</f>
        <v>0.00303199999999038</v>
      </c>
      <c r="V41" s="77">
        <f t="shared" si="0"/>
        <v>0.0358389999999664</v>
      </c>
      <c r="W41" s="80">
        <f t="shared" si="1"/>
        <v>0.0358389999999664</v>
      </c>
      <c r="X41" s="81">
        <f t="shared" si="2"/>
        <v>0.00303199999999038</v>
      </c>
    </row>
    <row r="42" spans="1:24">
      <c r="A42" s="75">
        <v>30</v>
      </c>
      <c r="B42" s="75" t="s">
        <v>43</v>
      </c>
      <c r="C42" s="77">
        <f>Entitlement!D36*(1-TPCIL!$L$11)-ISGS!C42</f>
        <v>0.0038589999999985</v>
      </c>
      <c r="D42" s="77">
        <f>Entitlement!F36*(1-TPCIL!$L$11)-ISGS!D42</f>
        <v>0.00215799999998723</v>
      </c>
      <c r="E42" s="77">
        <f>Entitlement!H36*(1-TPCIL!$L$11)-ISGS!E42</f>
        <v>0</v>
      </c>
      <c r="F42" s="77">
        <f>Entitlement!J36*(1-TPCIL!$L$11)-ISGS!F42</f>
        <v>0</v>
      </c>
      <c r="G42" s="77">
        <f>Entitlement!O36*(1-TPCIL!$L$11)-ISGS!H42</f>
        <v>0.0014529999999997</v>
      </c>
      <c r="H42" s="77">
        <f>Entitlement!M36*(1-TPCIL!$L$11)-ISGS!G42</f>
        <v>0.00443200000000843</v>
      </c>
      <c r="I42" s="77">
        <f>Entitlement!BB36*(1-TPCIL!$L$11)-ISGS!U42</f>
        <v>0.00347099999999756</v>
      </c>
      <c r="J42" s="77">
        <f>Entitlement!AG36*(1-TPCIL!$L$11)-ISGS!N42</f>
        <v>0.00388299999998765</v>
      </c>
      <c r="K42" s="77">
        <f>Entitlement!AJ36*(1-TPCIL!$L$11)-ISGS!O42</f>
        <v>-0.00382899999999609</v>
      </c>
      <c r="L42" s="77">
        <f>Entitlement!AM36*(1-TPCIL!$L$11)-ISGS!P42</f>
        <v>0.00125900000000456</v>
      </c>
      <c r="M42" s="77">
        <f>Entitlement!AS36*(1-TPCIL!$L$11)-ISGS!R42</f>
        <v>0.00469499999999812</v>
      </c>
      <c r="N42" s="77">
        <f>Entitlement!AP36-ISGS!Q42</f>
        <v>0</v>
      </c>
      <c r="O42" s="77">
        <f>Entitlement!AY36*(1-TPCIL!$L$11)-ISGS!T42</f>
        <v>0.00110800000000211</v>
      </c>
      <c r="P42" s="77">
        <f>Entitlement!X36*(1-TPCIL!$L$11)-ISGS!K42</f>
        <v>-0.00230700000000184</v>
      </c>
      <c r="Q42" s="77">
        <f>Entitlement!U36*(1-TPCIL!$L$11)-ISGS!J42</f>
        <v>0.00427699999999476</v>
      </c>
      <c r="R42" s="77">
        <f>Entitlement!AA36*(1-TPCIL!$L$11)-ISGS!L42</f>
        <v>0.00368000000000013</v>
      </c>
      <c r="S42" s="77">
        <f>Entitlement!R36*(1-TPCIL!$L$11)-ISGS!I42</f>
        <v>0.00251599999999996</v>
      </c>
      <c r="T42" s="77">
        <f>Entitlement!AD36*(1-TPCIL!$L$11)-ISGS!M42</f>
        <v>0.00215199999999527</v>
      </c>
      <c r="U42" s="77">
        <f>Entitlement!AV36*(1-TPCIL!$L$11)-ISGS!S42</f>
        <v>0.00303199999999038</v>
      </c>
      <c r="V42" s="77">
        <f t="shared" si="0"/>
        <v>0.0358389999999664</v>
      </c>
      <c r="W42" s="80">
        <f t="shared" si="1"/>
        <v>0.0358389999999664</v>
      </c>
      <c r="X42" s="81">
        <f t="shared" si="2"/>
        <v>0.00303199999999038</v>
      </c>
    </row>
    <row r="43" spans="1:24">
      <c r="A43" s="75">
        <v>31</v>
      </c>
      <c r="B43" s="75" t="s">
        <v>44</v>
      </c>
      <c r="C43" s="77">
        <f>Entitlement!D37*(1-TPCIL!$L$11)-ISGS!C43</f>
        <v>0.0038589999999985</v>
      </c>
      <c r="D43" s="77">
        <f>Entitlement!F37*(1-TPCIL!$L$11)-ISGS!D43</f>
        <v>0.00215799999998723</v>
      </c>
      <c r="E43" s="77">
        <f>Entitlement!H37*(1-TPCIL!$L$11)-ISGS!E43</f>
        <v>0</v>
      </c>
      <c r="F43" s="77">
        <f>Entitlement!J37*(1-TPCIL!$L$11)-ISGS!F43</f>
        <v>0</v>
      </c>
      <c r="G43" s="77">
        <f>Entitlement!O37*(1-TPCIL!$L$11)-ISGS!H43</f>
        <v>0.0014529999999997</v>
      </c>
      <c r="H43" s="77">
        <f>Entitlement!M37*(1-TPCIL!$L$11)-ISGS!G43</f>
        <v>0.00443200000000843</v>
      </c>
      <c r="I43" s="77">
        <f>Entitlement!BB37*(1-TPCIL!$L$11)-ISGS!U43</f>
        <v>0.00347099999999756</v>
      </c>
      <c r="J43" s="77">
        <f>Entitlement!AG37*(1-TPCIL!$L$11)-ISGS!N43</f>
        <v>0.00388299999998765</v>
      </c>
      <c r="K43" s="77">
        <f>Entitlement!AJ37*(1-TPCIL!$L$11)-ISGS!O43</f>
        <v>-0.00382899999999609</v>
      </c>
      <c r="L43" s="77">
        <f>Entitlement!AM37*(1-TPCIL!$L$11)-ISGS!P43</f>
        <v>0.00125900000000456</v>
      </c>
      <c r="M43" s="77">
        <f>Entitlement!AS37*(1-TPCIL!$L$11)-ISGS!R43</f>
        <v>0.00469499999999812</v>
      </c>
      <c r="N43" s="77">
        <f>Entitlement!AP37-ISGS!Q43</f>
        <v>0</v>
      </c>
      <c r="O43" s="77">
        <f>Entitlement!AY37*(1-TPCIL!$L$11)-ISGS!T43</f>
        <v>0.00110800000000211</v>
      </c>
      <c r="P43" s="77">
        <f>Entitlement!X37*(1-TPCIL!$L$11)-ISGS!K43</f>
        <v>-0.00230700000000184</v>
      </c>
      <c r="Q43" s="77">
        <f>Entitlement!U37*(1-TPCIL!$L$11)-ISGS!J43</f>
        <v>1.630333</v>
      </c>
      <c r="R43" s="77">
        <f>Entitlement!AA37*(1-TPCIL!$L$11)-ISGS!L43</f>
        <v>0.0378069999999999</v>
      </c>
      <c r="S43" s="77">
        <f>Entitlement!R37*(1-TPCIL!$L$11)-ISGS!I43</f>
        <v>0.00251599999999996</v>
      </c>
      <c r="T43" s="77">
        <f>Entitlement!AD37*(1-TPCIL!$L$11)-ISGS!M43</f>
        <v>0.00215199999999527</v>
      </c>
      <c r="U43" s="77">
        <f>Entitlement!AV37*(1-TPCIL!$L$11)-ISGS!S43</f>
        <v>0.00303199999999038</v>
      </c>
      <c r="V43" s="77">
        <f t="shared" si="0"/>
        <v>1.69602199999997</v>
      </c>
      <c r="W43" s="80">
        <f t="shared" si="1"/>
        <v>1.69602199999997</v>
      </c>
      <c r="X43" s="81">
        <f t="shared" si="2"/>
        <v>0.00303199999999038</v>
      </c>
    </row>
    <row r="44" spans="1:24">
      <c r="A44" s="75">
        <v>32</v>
      </c>
      <c r="B44" s="75" t="s">
        <v>45</v>
      </c>
      <c r="C44" s="77">
        <f>Entitlement!D38*(1-TPCIL!$L$11)-ISGS!C44</f>
        <v>0.0038589999999985</v>
      </c>
      <c r="D44" s="77">
        <f>Entitlement!F38*(1-TPCIL!$L$11)-ISGS!D44</f>
        <v>0.00215799999998723</v>
      </c>
      <c r="E44" s="77">
        <f>Entitlement!H38*(1-TPCIL!$L$11)-ISGS!E44</f>
        <v>0</v>
      </c>
      <c r="F44" s="77">
        <f>Entitlement!J38*(1-TPCIL!$L$11)-ISGS!F44</f>
        <v>0</v>
      </c>
      <c r="G44" s="77">
        <f>Entitlement!O38*(1-TPCIL!$L$11)-ISGS!H44</f>
        <v>0.0014529999999997</v>
      </c>
      <c r="H44" s="77">
        <f>Entitlement!M38*(1-TPCIL!$L$11)-ISGS!G44</f>
        <v>0.00443200000000843</v>
      </c>
      <c r="I44" s="77">
        <f>Entitlement!BB38*(1-TPCIL!$L$11)-ISGS!U44</f>
        <v>0.00347099999999756</v>
      </c>
      <c r="J44" s="77">
        <f>Entitlement!AG38*(1-TPCIL!$L$11)-ISGS!N44</f>
        <v>0.00388299999998765</v>
      </c>
      <c r="K44" s="77">
        <f>Entitlement!AJ38*(1-TPCIL!$L$11)-ISGS!O44</f>
        <v>-0.00382899999999609</v>
      </c>
      <c r="L44" s="77">
        <f>Entitlement!AM38*(1-TPCIL!$L$11)-ISGS!P44</f>
        <v>0.00125900000000456</v>
      </c>
      <c r="M44" s="77">
        <f>Entitlement!AS38*(1-TPCIL!$L$11)-ISGS!R44</f>
        <v>0.00469499999999812</v>
      </c>
      <c r="N44" s="77">
        <f>Entitlement!AP38-ISGS!Q44</f>
        <v>0</v>
      </c>
      <c r="O44" s="77">
        <f>Entitlement!AY38*(1-TPCIL!$L$11)-ISGS!T44</f>
        <v>0.00110800000000211</v>
      </c>
      <c r="P44" s="77">
        <f>Entitlement!X38*(1-TPCIL!$L$11)-ISGS!K44</f>
        <v>-0.00230700000000184</v>
      </c>
      <c r="Q44" s="77">
        <f>Entitlement!U38*(1-TPCIL!$L$11)-ISGS!J44</f>
        <v>1.542844</v>
      </c>
      <c r="R44" s="77">
        <f>Entitlement!AA38*(1-TPCIL!$L$11)-ISGS!L44</f>
        <v>-0.00219300000000011</v>
      </c>
      <c r="S44" s="77">
        <f>Entitlement!R38*(1-TPCIL!$L$11)-ISGS!I44</f>
        <v>0.00251599999999996</v>
      </c>
      <c r="T44" s="77">
        <f>Entitlement!AD38*(1-TPCIL!$L$11)-ISGS!M44</f>
        <v>0.00215199999999527</v>
      </c>
      <c r="U44" s="77">
        <f>Entitlement!AV38*(1-TPCIL!$L$11)-ISGS!S44</f>
        <v>0.00303199999999038</v>
      </c>
      <c r="V44" s="77">
        <f t="shared" si="0"/>
        <v>1.56853299999997</v>
      </c>
      <c r="W44" s="80">
        <f t="shared" si="1"/>
        <v>1.56853299999997</v>
      </c>
      <c r="X44" s="81">
        <f t="shared" si="2"/>
        <v>0.00303199999999038</v>
      </c>
    </row>
    <row r="45" spans="1:24">
      <c r="A45" s="75">
        <v>33</v>
      </c>
      <c r="B45" s="75" t="s">
        <v>46</v>
      </c>
      <c r="C45" s="77">
        <f>Entitlement!D39*(1-TPCIL!$L$11)-ISGS!C45</f>
        <v>0.0038589999999985</v>
      </c>
      <c r="D45" s="77">
        <f>Entitlement!F39*(1-TPCIL!$L$11)-ISGS!D45</f>
        <v>0.00215799999998723</v>
      </c>
      <c r="E45" s="77">
        <f>Entitlement!H39*(1-TPCIL!$L$11)-ISGS!E45</f>
        <v>0</v>
      </c>
      <c r="F45" s="77">
        <f>Entitlement!J39*(1-TPCIL!$L$11)-ISGS!F45</f>
        <v>0</v>
      </c>
      <c r="G45" s="77">
        <f>Entitlement!O39*(1-TPCIL!$L$11)-ISGS!H45</f>
        <v>0.0014529999999997</v>
      </c>
      <c r="H45" s="77">
        <f>Entitlement!M39*(1-TPCIL!$L$11)-ISGS!G45</f>
        <v>0.00443200000000843</v>
      </c>
      <c r="I45" s="77">
        <f>Entitlement!BB39*(1-TPCIL!$L$11)-ISGS!U45</f>
        <v>0.00347099999999756</v>
      </c>
      <c r="J45" s="77">
        <f>Entitlement!AG39*(1-TPCIL!$L$11)-ISGS!N45</f>
        <v>0.00388299999998765</v>
      </c>
      <c r="K45" s="77">
        <f>Entitlement!AJ39*(1-TPCIL!$L$11)-ISGS!O45</f>
        <v>-0.00382899999999609</v>
      </c>
      <c r="L45" s="77">
        <f>Entitlement!AM39*(1-TPCIL!$L$11)-ISGS!P45</f>
        <v>0.00125900000000456</v>
      </c>
      <c r="M45" s="77">
        <f>Entitlement!AS39*(1-TPCIL!$L$11)-ISGS!R45</f>
        <v>0.00469499999999812</v>
      </c>
      <c r="N45" s="77">
        <f>Entitlement!AP39-ISGS!Q45</f>
        <v>0</v>
      </c>
      <c r="O45" s="77">
        <f>Entitlement!AY39*(1-TPCIL!$L$11)-ISGS!T45</f>
        <v>0.00110800000000211</v>
      </c>
      <c r="P45" s="77">
        <f>Entitlement!X39*(1-TPCIL!$L$11)-ISGS!K45</f>
        <v>-0.00230700000000184</v>
      </c>
      <c r="Q45" s="77">
        <f>Entitlement!U39*(1-TPCIL!$L$11)-ISGS!J45</f>
        <v>0.689606999999999</v>
      </c>
      <c r="R45" s="77">
        <f>Entitlement!AA39*(1-TPCIL!$L$11)-ISGS!L45</f>
        <v>-0.00219300000000011</v>
      </c>
      <c r="S45" s="77">
        <f>Entitlement!R39*(1-TPCIL!$L$11)-ISGS!I45</f>
        <v>0.00251599999999996</v>
      </c>
      <c r="T45" s="77">
        <f>Entitlement!AD39*(1-TPCIL!$L$11)-ISGS!M45</f>
        <v>0.00215199999999527</v>
      </c>
      <c r="U45" s="77">
        <f>Entitlement!AV39*(1-TPCIL!$L$11)-ISGS!S45</f>
        <v>0.00303199999999038</v>
      </c>
      <c r="V45" s="77">
        <f t="shared" si="0"/>
        <v>0.71529599999997</v>
      </c>
      <c r="W45" s="80">
        <f t="shared" si="1"/>
        <v>0.71529599999997</v>
      </c>
      <c r="X45" s="81">
        <f t="shared" si="2"/>
        <v>0.00303199999999038</v>
      </c>
    </row>
    <row r="46" spans="1:24">
      <c r="A46" s="75">
        <v>34</v>
      </c>
      <c r="B46" s="75" t="s">
        <v>47</v>
      </c>
      <c r="C46" s="77">
        <f>Entitlement!D40*(1-TPCIL!$L$11)-ISGS!C46</f>
        <v>0.0038589999999985</v>
      </c>
      <c r="D46" s="77">
        <f>Entitlement!F40*(1-TPCIL!$L$11)-ISGS!D46</f>
        <v>0.00215799999998723</v>
      </c>
      <c r="E46" s="77">
        <f>Entitlement!H40*(1-TPCIL!$L$11)-ISGS!E46</f>
        <v>0</v>
      </c>
      <c r="F46" s="77">
        <f>Entitlement!J40*(1-TPCIL!$L$11)-ISGS!F46</f>
        <v>0</v>
      </c>
      <c r="G46" s="77">
        <f>Entitlement!O40*(1-TPCIL!$L$11)-ISGS!H46</f>
        <v>0.0014529999999997</v>
      </c>
      <c r="H46" s="77">
        <f>Entitlement!M40*(1-TPCIL!$L$11)-ISGS!G46</f>
        <v>0.00443200000000843</v>
      </c>
      <c r="I46" s="77">
        <f>Entitlement!BB40*(1-TPCIL!$L$11)-ISGS!U46</f>
        <v>0.00347099999999756</v>
      </c>
      <c r="J46" s="77">
        <f>Entitlement!AG40*(1-TPCIL!$L$11)-ISGS!N46</f>
        <v>0.00388299999998765</v>
      </c>
      <c r="K46" s="77">
        <f>Entitlement!AJ40*(1-TPCIL!$L$11)-ISGS!O46</f>
        <v>-0.00382899999999609</v>
      </c>
      <c r="L46" s="77">
        <f>Entitlement!AM40*(1-TPCIL!$L$11)-ISGS!P46</f>
        <v>0.00125900000000456</v>
      </c>
      <c r="M46" s="77">
        <f>Entitlement!AS40*(1-TPCIL!$L$11)-ISGS!R46</f>
        <v>0.00469499999999812</v>
      </c>
      <c r="N46" s="77">
        <f>Entitlement!AP40-ISGS!Q46</f>
        <v>0</v>
      </c>
      <c r="O46" s="77">
        <f>Entitlement!AY40*(1-TPCIL!$L$11)-ISGS!T46</f>
        <v>0.00110800000000211</v>
      </c>
      <c r="P46" s="77">
        <f>Entitlement!X40*(1-TPCIL!$L$11)-ISGS!K46</f>
        <v>-0.00230700000000184</v>
      </c>
      <c r="Q46" s="77">
        <f>Entitlement!U40*(1-TPCIL!$L$11)-ISGS!J46</f>
        <v>-0.000392999999998978</v>
      </c>
      <c r="R46" s="77">
        <f>Entitlement!AA40*(1-TPCIL!$L$11)-ISGS!L46</f>
        <v>-0.00219300000000011</v>
      </c>
      <c r="S46" s="77">
        <f>Entitlement!R40*(1-TPCIL!$L$11)-ISGS!I46</f>
        <v>0.00251599999999996</v>
      </c>
      <c r="T46" s="77">
        <f>Entitlement!AD40*(1-TPCIL!$L$11)-ISGS!M46</f>
        <v>0.00215199999999527</v>
      </c>
      <c r="U46" s="77">
        <f>Entitlement!AV40*(1-TPCIL!$L$11)-ISGS!S46</f>
        <v>0.00303199999999038</v>
      </c>
      <c r="V46" s="77">
        <f t="shared" si="0"/>
        <v>0.0252959999999725</v>
      </c>
      <c r="W46" s="80">
        <f t="shared" si="1"/>
        <v>0.0252959999999725</v>
      </c>
      <c r="X46" s="81">
        <f t="shared" si="2"/>
        <v>0.00303199999999038</v>
      </c>
    </row>
    <row r="47" spans="1:24">
      <c r="A47" s="75">
        <v>35</v>
      </c>
      <c r="B47" s="75" t="s">
        <v>48</v>
      </c>
      <c r="C47" s="77">
        <f>Entitlement!D41*(1-TPCIL!$L$11)-ISGS!C47</f>
        <v>0.0038589999999985</v>
      </c>
      <c r="D47" s="77">
        <f>Entitlement!F41*(1-TPCIL!$L$11)-ISGS!D47</f>
        <v>0.00215799999998723</v>
      </c>
      <c r="E47" s="77">
        <f>Entitlement!H41*(1-TPCIL!$L$11)-ISGS!E47</f>
        <v>0</v>
      </c>
      <c r="F47" s="77">
        <f>Entitlement!J41*(1-TPCIL!$L$11)-ISGS!F47</f>
        <v>0</v>
      </c>
      <c r="G47" s="77">
        <f>Entitlement!O41*(1-TPCIL!$L$11)-ISGS!H47</f>
        <v>0.0014529999999997</v>
      </c>
      <c r="H47" s="77">
        <f>Entitlement!M41*(1-TPCIL!$L$11)-ISGS!G47</f>
        <v>0.00443200000000843</v>
      </c>
      <c r="I47" s="77">
        <f>Entitlement!BB41*(1-TPCIL!$L$11)-ISGS!U47</f>
        <v>0.00347099999999756</v>
      </c>
      <c r="J47" s="77">
        <f>Entitlement!AG41*(1-TPCIL!$L$11)-ISGS!N47</f>
        <v>0.00388299999998765</v>
      </c>
      <c r="K47" s="77">
        <f>Entitlement!AJ41*(1-TPCIL!$L$11)-ISGS!O47</f>
        <v>-0.00382899999999609</v>
      </c>
      <c r="L47" s="77">
        <f>Entitlement!AM41*(1-TPCIL!$L$11)-ISGS!P47</f>
        <v>0.00125900000000456</v>
      </c>
      <c r="M47" s="77">
        <f>Entitlement!AS41*(1-TPCIL!$L$11)-ISGS!R47</f>
        <v>0.00469499999999812</v>
      </c>
      <c r="N47" s="77">
        <f>Entitlement!AP41-ISGS!Q47</f>
        <v>0</v>
      </c>
      <c r="O47" s="77">
        <f>Entitlement!AY41*(1-TPCIL!$L$11)-ISGS!T47</f>
        <v>0.00110800000000211</v>
      </c>
      <c r="P47" s="77">
        <f>Entitlement!X41*(1-TPCIL!$L$11)-ISGS!K47</f>
        <v>-0.00230700000000184</v>
      </c>
      <c r="Q47" s="77">
        <f>Entitlement!U41*(1-TPCIL!$L$11)-ISGS!J47</f>
        <v>0.00748099999999852</v>
      </c>
      <c r="R47" s="77">
        <f>Entitlement!AA41*(1-TPCIL!$L$11)-ISGS!L47</f>
        <v>-0.00219300000000011</v>
      </c>
      <c r="S47" s="77">
        <f>Entitlement!R41*(1-TPCIL!$L$11)-ISGS!I47</f>
        <v>0.00251599999999996</v>
      </c>
      <c r="T47" s="77">
        <f>Entitlement!AD41*(1-TPCIL!$L$11)-ISGS!M47</f>
        <v>0.00215199999999527</v>
      </c>
      <c r="U47" s="77">
        <f>Entitlement!AV41*(1-TPCIL!$L$11)-ISGS!S47</f>
        <v>0.00303199999999038</v>
      </c>
      <c r="V47" s="77">
        <f t="shared" si="0"/>
        <v>0.0331699999999699</v>
      </c>
      <c r="W47" s="80">
        <f t="shared" si="1"/>
        <v>0.0331699999999699</v>
      </c>
      <c r="X47" s="81">
        <f t="shared" si="2"/>
        <v>0.00303199999999038</v>
      </c>
    </row>
    <row r="48" spans="1:24">
      <c r="A48" s="75">
        <v>36</v>
      </c>
      <c r="B48" s="75" t="s">
        <v>49</v>
      </c>
      <c r="C48" s="77">
        <f>Entitlement!D42*(1-TPCIL!$L$11)-ISGS!C48</f>
        <v>0.0038589999999985</v>
      </c>
      <c r="D48" s="77">
        <f>Entitlement!F42*(1-TPCIL!$L$11)-ISGS!D48</f>
        <v>0.00215799999998723</v>
      </c>
      <c r="E48" s="77">
        <f>Entitlement!H42*(1-TPCIL!$L$11)-ISGS!E48</f>
        <v>0</v>
      </c>
      <c r="F48" s="77">
        <f>Entitlement!J42*(1-TPCIL!$L$11)-ISGS!F48</f>
        <v>0</v>
      </c>
      <c r="G48" s="77">
        <f>Entitlement!O42*(1-TPCIL!$L$11)-ISGS!H48</f>
        <v>0.0014529999999997</v>
      </c>
      <c r="H48" s="77">
        <f>Entitlement!M42*(1-TPCIL!$L$11)-ISGS!G48</f>
        <v>0.00443200000000843</v>
      </c>
      <c r="I48" s="77">
        <f>Entitlement!BB42*(1-TPCIL!$L$11)-ISGS!U48</f>
        <v>0.00347099999999756</v>
      </c>
      <c r="J48" s="77">
        <f>Entitlement!AG42*(1-TPCIL!$L$11)-ISGS!N48</f>
        <v>0.00388299999998765</v>
      </c>
      <c r="K48" s="77">
        <f>Entitlement!AJ42*(1-TPCIL!$L$11)-ISGS!O48</f>
        <v>-0.00382899999999609</v>
      </c>
      <c r="L48" s="77">
        <f>Entitlement!AM42*(1-TPCIL!$L$11)-ISGS!P48</f>
        <v>0.00125900000000456</v>
      </c>
      <c r="M48" s="77">
        <f>Entitlement!AS42*(1-TPCIL!$L$11)-ISGS!R48</f>
        <v>0.00469499999999812</v>
      </c>
      <c r="N48" s="77">
        <f>Entitlement!AP42-ISGS!Q48</f>
        <v>0</v>
      </c>
      <c r="O48" s="77">
        <f>Entitlement!AY42*(1-TPCIL!$L$11)-ISGS!T48</f>
        <v>0.00110800000000211</v>
      </c>
      <c r="P48" s="77">
        <f>Entitlement!X42*(1-TPCIL!$L$11)-ISGS!K48</f>
        <v>-0.00230700000000184</v>
      </c>
      <c r="Q48" s="77">
        <f>Entitlement!U42*(1-TPCIL!$L$11)-ISGS!J48</f>
        <v>-0.00251900000000305</v>
      </c>
      <c r="R48" s="77">
        <f>Entitlement!AA42*(1-TPCIL!$L$11)-ISGS!L48</f>
        <v>-0.00219300000000011</v>
      </c>
      <c r="S48" s="77">
        <f>Entitlement!R42*(1-TPCIL!$L$11)-ISGS!I48</f>
        <v>0.00251599999999996</v>
      </c>
      <c r="T48" s="77">
        <f>Entitlement!AD42*(1-TPCIL!$L$11)-ISGS!M48</f>
        <v>0.00215199999999527</v>
      </c>
      <c r="U48" s="77">
        <f>Entitlement!AV42*(1-TPCIL!$L$11)-ISGS!S48</f>
        <v>0.00303199999999038</v>
      </c>
      <c r="V48" s="77">
        <f t="shared" si="0"/>
        <v>0.0231699999999684</v>
      </c>
      <c r="W48" s="80">
        <f t="shared" si="1"/>
        <v>0.0231699999999684</v>
      </c>
      <c r="X48" s="81">
        <f t="shared" si="2"/>
        <v>0.00303199999999038</v>
      </c>
    </row>
    <row r="49" spans="1:24">
      <c r="A49" s="75">
        <v>37</v>
      </c>
      <c r="B49" s="75" t="s">
        <v>50</v>
      </c>
      <c r="C49" s="77">
        <f>Entitlement!D43*(1-TPCIL!$L$11)-ISGS!C49</f>
        <v>0.0038589999999985</v>
      </c>
      <c r="D49" s="77">
        <f>Entitlement!F43*(1-TPCIL!$L$11)-ISGS!D49</f>
        <v>0.00215799999998723</v>
      </c>
      <c r="E49" s="77">
        <f>Entitlement!H43*(1-TPCIL!$L$11)-ISGS!E49</f>
        <v>0</v>
      </c>
      <c r="F49" s="77">
        <f>Entitlement!J43*(1-TPCIL!$L$11)-ISGS!F49</f>
        <v>0</v>
      </c>
      <c r="G49" s="77">
        <f>Entitlement!O43*(1-TPCIL!$L$11)-ISGS!H49</f>
        <v>0.0014529999999997</v>
      </c>
      <c r="H49" s="77">
        <f>Entitlement!M43*(1-TPCIL!$L$11)-ISGS!G49</f>
        <v>0.00443200000000843</v>
      </c>
      <c r="I49" s="77">
        <f>Entitlement!BB43*(1-TPCIL!$L$11)-ISGS!U49</f>
        <v>0.00347099999999756</v>
      </c>
      <c r="J49" s="77">
        <f>Entitlement!AG43*(1-TPCIL!$L$11)-ISGS!N49</f>
        <v>0.00388299999998765</v>
      </c>
      <c r="K49" s="77">
        <f>Entitlement!AJ43*(1-TPCIL!$L$11)-ISGS!O49</f>
        <v>-0.00382899999999609</v>
      </c>
      <c r="L49" s="77">
        <f>Entitlement!AM43*(1-TPCIL!$L$11)-ISGS!P49</f>
        <v>0.00125900000000456</v>
      </c>
      <c r="M49" s="77">
        <f>Entitlement!AS43*(1-TPCIL!$L$11)-ISGS!R49</f>
        <v>0.00469499999999812</v>
      </c>
      <c r="N49" s="77">
        <f>Entitlement!AP43-ISGS!Q49</f>
        <v>0</v>
      </c>
      <c r="O49" s="77">
        <f>Entitlement!AY43*(1-TPCIL!$L$11)-ISGS!T49</f>
        <v>0.00110800000000211</v>
      </c>
      <c r="P49" s="77">
        <f>Entitlement!X43*(1-TPCIL!$L$11)-ISGS!K49</f>
        <v>-0.00230700000000184</v>
      </c>
      <c r="Q49" s="77">
        <f>Entitlement!U43*(1-TPCIL!$L$11)-ISGS!J49</f>
        <v>-0.00251900000000305</v>
      </c>
      <c r="R49" s="77">
        <f>Entitlement!AA43*(1-TPCIL!$L$11)-ISGS!L49</f>
        <v>0.0419339999999995</v>
      </c>
      <c r="S49" s="77">
        <f>Entitlement!R43*(1-TPCIL!$L$11)-ISGS!I49</f>
        <v>0.00251599999999996</v>
      </c>
      <c r="T49" s="77">
        <f>Entitlement!AD43*(1-TPCIL!$L$11)-ISGS!M49</f>
        <v>0.00215199999999527</v>
      </c>
      <c r="U49" s="77">
        <f>Entitlement!AV43*(1-TPCIL!$L$11)-ISGS!S49</f>
        <v>0.00303199999999038</v>
      </c>
      <c r="V49" s="77">
        <f t="shared" si="0"/>
        <v>0.067296999999968</v>
      </c>
      <c r="W49" s="80">
        <f t="shared" si="1"/>
        <v>0.067296999999968</v>
      </c>
      <c r="X49" s="81">
        <f t="shared" si="2"/>
        <v>0.00303199999999038</v>
      </c>
    </row>
    <row r="50" spans="1:24">
      <c r="A50" s="75">
        <v>38</v>
      </c>
      <c r="B50" s="75" t="s">
        <v>51</v>
      </c>
      <c r="C50" s="77">
        <f>Entitlement!D44*(1-TPCIL!$L$11)-ISGS!C50</f>
        <v>0.0038589999999985</v>
      </c>
      <c r="D50" s="77">
        <f>Entitlement!F44*(1-TPCIL!$L$11)-ISGS!D50</f>
        <v>0.00215799999998723</v>
      </c>
      <c r="E50" s="77">
        <f>Entitlement!H44*(1-TPCIL!$L$11)-ISGS!E50</f>
        <v>0</v>
      </c>
      <c r="F50" s="77">
        <f>Entitlement!J44*(1-TPCIL!$L$11)-ISGS!F50</f>
        <v>0</v>
      </c>
      <c r="G50" s="77">
        <f>Entitlement!O44*(1-TPCIL!$L$11)-ISGS!H50</f>
        <v>0.0014529999999997</v>
      </c>
      <c r="H50" s="77">
        <f>Entitlement!M44*(1-TPCIL!$L$11)-ISGS!G50</f>
        <v>0.00443200000000843</v>
      </c>
      <c r="I50" s="77">
        <f>Entitlement!BB44*(1-TPCIL!$L$11)-ISGS!U50</f>
        <v>0.00347099999999756</v>
      </c>
      <c r="J50" s="77">
        <f>Entitlement!AG44*(1-TPCIL!$L$11)-ISGS!N50</f>
        <v>0.00388299999998765</v>
      </c>
      <c r="K50" s="77">
        <f>Entitlement!AJ44*(1-TPCIL!$L$11)-ISGS!O50</f>
        <v>-0.00382899999999609</v>
      </c>
      <c r="L50" s="77">
        <f>Entitlement!AM44*(1-TPCIL!$L$11)-ISGS!P50</f>
        <v>0.00125900000000456</v>
      </c>
      <c r="M50" s="77">
        <f>Entitlement!AS44*(1-TPCIL!$L$11)-ISGS!R50</f>
        <v>0.00469499999999812</v>
      </c>
      <c r="N50" s="77">
        <f>Entitlement!AP44-ISGS!Q50</f>
        <v>0</v>
      </c>
      <c r="O50" s="77">
        <f>Entitlement!AY44*(1-TPCIL!$L$11)-ISGS!T50</f>
        <v>0.00110800000000211</v>
      </c>
      <c r="P50" s="77">
        <f>Entitlement!X44*(1-TPCIL!$L$11)-ISGS!K50</f>
        <v>-0.00230700000000184</v>
      </c>
      <c r="Q50" s="77">
        <f>Entitlement!U44*(1-TPCIL!$L$11)-ISGS!J50</f>
        <v>-0.00251900000000305</v>
      </c>
      <c r="R50" s="77">
        <f>Entitlement!AA44*(1-TPCIL!$L$11)-ISGS!L50</f>
        <v>0.00193399999999944</v>
      </c>
      <c r="S50" s="77">
        <f>Entitlement!R44*(1-TPCIL!$L$11)-ISGS!I50</f>
        <v>0.00251599999999996</v>
      </c>
      <c r="T50" s="77">
        <f>Entitlement!AD44*(1-TPCIL!$L$11)-ISGS!M50</f>
        <v>0.00215199999999527</v>
      </c>
      <c r="U50" s="77">
        <f>Entitlement!AV44*(1-TPCIL!$L$11)-ISGS!S50</f>
        <v>0.00303199999999038</v>
      </c>
      <c r="V50" s="77">
        <f t="shared" si="0"/>
        <v>0.0272969999999679</v>
      </c>
      <c r="W50" s="80">
        <f t="shared" si="1"/>
        <v>0.0272969999999679</v>
      </c>
      <c r="X50" s="81">
        <f t="shared" si="2"/>
        <v>0.00303199999999038</v>
      </c>
    </row>
    <row r="51" spans="1:24">
      <c r="A51" s="75">
        <v>39</v>
      </c>
      <c r="B51" s="75" t="s">
        <v>52</v>
      </c>
      <c r="C51" s="77">
        <f>Entitlement!D45*(1-TPCIL!$L$11)-ISGS!C51</f>
        <v>0.0038589999999985</v>
      </c>
      <c r="D51" s="77">
        <f>Entitlement!F45*(1-TPCIL!$L$11)-ISGS!D51</f>
        <v>0.00215799999998723</v>
      </c>
      <c r="E51" s="77">
        <f>Entitlement!H45*(1-TPCIL!$L$11)-ISGS!E51</f>
        <v>0</v>
      </c>
      <c r="F51" s="77">
        <f>Entitlement!J45*(1-TPCIL!$L$11)-ISGS!F51</f>
        <v>0</v>
      </c>
      <c r="G51" s="77">
        <f>Entitlement!O45*(1-TPCIL!$L$11)-ISGS!H51</f>
        <v>0.0014529999999997</v>
      </c>
      <c r="H51" s="77">
        <f>Entitlement!M45*(1-TPCIL!$L$11)-ISGS!G51</f>
        <v>0.00443200000000843</v>
      </c>
      <c r="I51" s="77">
        <f>Entitlement!BB45*(1-TPCIL!$L$11)-ISGS!U51</f>
        <v>0.00347099999999756</v>
      </c>
      <c r="J51" s="77">
        <f>Entitlement!AG45*(1-TPCIL!$L$11)-ISGS!N51</f>
        <v>0.00388299999998765</v>
      </c>
      <c r="K51" s="77">
        <f>Entitlement!AJ45*(1-TPCIL!$L$11)-ISGS!O51</f>
        <v>-0.00382899999999609</v>
      </c>
      <c r="L51" s="77">
        <f>Entitlement!AM45*(1-TPCIL!$L$11)-ISGS!P51</f>
        <v>0.00125900000000456</v>
      </c>
      <c r="M51" s="77">
        <f>Entitlement!AS45*(1-TPCIL!$L$11)-ISGS!R51</f>
        <v>0.00469499999999812</v>
      </c>
      <c r="N51" s="77">
        <f>Entitlement!AP45-ISGS!Q51</f>
        <v>0</v>
      </c>
      <c r="O51" s="77">
        <f>Entitlement!AY45*(1-TPCIL!$L$11)-ISGS!T51</f>
        <v>0.00110800000000211</v>
      </c>
      <c r="P51" s="77">
        <f>Entitlement!X45*(1-TPCIL!$L$11)-ISGS!K51</f>
        <v>-0.00230700000000184</v>
      </c>
      <c r="Q51" s="77">
        <f>Entitlement!U45*(1-TPCIL!$L$11)-ISGS!J51</f>
        <v>-0.00251900000000305</v>
      </c>
      <c r="R51" s="77">
        <f>Entitlement!AA45*(1-TPCIL!$L$11)-ISGS!L51</f>
        <v>0.00193399999999944</v>
      </c>
      <c r="S51" s="77">
        <f>Entitlement!R45*(1-TPCIL!$L$11)-ISGS!I51</f>
        <v>0.00251599999999996</v>
      </c>
      <c r="T51" s="77">
        <f>Entitlement!AD45*(1-TPCIL!$L$11)-ISGS!M51</f>
        <v>0.00215199999999527</v>
      </c>
      <c r="U51" s="77">
        <f>Entitlement!AV45*(1-TPCIL!$L$11)-ISGS!S51</f>
        <v>0.00303199999999038</v>
      </c>
      <c r="V51" s="77">
        <f t="shared" si="0"/>
        <v>0.0272969999999679</v>
      </c>
      <c r="W51" s="80">
        <f t="shared" si="1"/>
        <v>0.0272969999999679</v>
      </c>
      <c r="X51" s="81">
        <f t="shared" si="2"/>
        <v>0.00303199999999038</v>
      </c>
    </row>
    <row r="52" spans="1:24">
      <c r="A52" s="75">
        <v>40</v>
      </c>
      <c r="B52" s="75" t="s">
        <v>53</v>
      </c>
      <c r="C52" s="77">
        <f>Entitlement!D46*(1-TPCIL!$L$11)-ISGS!C52</f>
        <v>0.0038589999999985</v>
      </c>
      <c r="D52" s="77">
        <f>Entitlement!F46*(1-TPCIL!$L$11)-ISGS!D52</f>
        <v>0.00215799999998723</v>
      </c>
      <c r="E52" s="77">
        <f>Entitlement!H46*(1-TPCIL!$L$11)-ISGS!E52</f>
        <v>0</v>
      </c>
      <c r="F52" s="77">
        <f>Entitlement!J46*(1-TPCIL!$L$11)-ISGS!F52</f>
        <v>0</v>
      </c>
      <c r="G52" s="77">
        <f>Entitlement!O46*(1-TPCIL!$L$11)-ISGS!H52</f>
        <v>0.0014529999999997</v>
      </c>
      <c r="H52" s="77">
        <f>Entitlement!M46*(1-TPCIL!$L$11)-ISGS!G52</f>
        <v>0.00443200000000843</v>
      </c>
      <c r="I52" s="77">
        <f>Entitlement!BB46*(1-TPCIL!$L$11)-ISGS!U52</f>
        <v>0.00347099999999756</v>
      </c>
      <c r="J52" s="77">
        <f>Entitlement!AG46*(1-TPCIL!$L$11)-ISGS!N52</f>
        <v>0.00388299999998765</v>
      </c>
      <c r="K52" s="77">
        <f>Entitlement!AJ46*(1-TPCIL!$L$11)-ISGS!O52</f>
        <v>-0.00382899999999609</v>
      </c>
      <c r="L52" s="77">
        <f>Entitlement!AM46*(1-TPCIL!$L$11)-ISGS!P52</f>
        <v>0.00125900000000456</v>
      </c>
      <c r="M52" s="77">
        <f>Entitlement!AS46*(1-TPCIL!$L$11)-ISGS!R52</f>
        <v>0.00469499999999812</v>
      </c>
      <c r="N52" s="77">
        <f>Entitlement!AP46-ISGS!Q52</f>
        <v>0</v>
      </c>
      <c r="O52" s="77">
        <f>Entitlement!AY46*(1-TPCIL!$L$11)-ISGS!T52</f>
        <v>0.00110800000000211</v>
      </c>
      <c r="P52" s="77">
        <f>Entitlement!X46*(1-TPCIL!$L$11)-ISGS!K52</f>
        <v>0.0515169999999969</v>
      </c>
      <c r="Q52" s="77">
        <f>Entitlement!U46*(1-TPCIL!$L$11)-ISGS!J52</f>
        <v>0.0418869999999991</v>
      </c>
      <c r="R52" s="77">
        <f>Entitlement!AA46*(1-TPCIL!$L$11)-ISGS!L52</f>
        <v>0.00193399999999944</v>
      </c>
      <c r="S52" s="77">
        <f>Entitlement!R46*(1-TPCIL!$L$11)-ISGS!I52</f>
        <v>0.00251599999999996</v>
      </c>
      <c r="T52" s="77">
        <f>Entitlement!AD46*(1-TPCIL!$L$11)-ISGS!M52</f>
        <v>0.00215199999999527</v>
      </c>
      <c r="U52" s="77">
        <f>Entitlement!AV46*(1-TPCIL!$L$11)-ISGS!S52</f>
        <v>0.00303199999999038</v>
      </c>
      <c r="V52" s="77">
        <f t="shared" si="0"/>
        <v>0.125526999999969</v>
      </c>
      <c r="W52" s="80">
        <f t="shared" si="1"/>
        <v>0.125526999999969</v>
      </c>
      <c r="X52" s="81">
        <f t="shared" si="2"/>
        <v>0.00303199999999038</v>
      </c>
    </row>
    <row r="53" spans="1:24">
      <c r="A53" s="75">
        <v>41</v>
      </c>
      <c r="B53" s="75" t="s">
        <v>54</v>
      </c>
      <c r="C53" s="77">
        <f>Entitlement!D47*(1-TPCIL!$L$11)-ISGS!C53</f>
        <v>0.0038589999999985</v>
      </c>
      <c r="D53" s="77">
        <f>Entitlement!F47*(1-TPCIL!$L$11)-ISGS!D53</f>
        <v>0.00215799999998723</v>
      </c>
      <c r="E53" s="77">
        <f>Entitlement!H47*(1-TPCIL!$L$11)-ISGS!E53</f>
        <v>0</v>
      </c>
      <c r="F53" s="77">
        <f>Entitlement!J47*(1-TPCIL!$L$11)-ISGS!F53</f>
        <v>0</v>
      </c>
      <c r="G53" s="77">
        <f>Entitlement!O47*(1-TPCIL!$L$11)-ISGS!H53</f>
        <v>0.0014529999999997</v>
      </c>
      <c r="H53" s="77">
        <f>Entitlement!M47*(1-TPCIL!$L$11)-ISGS!G53</f>
        <v>0.00443200000000843</v>
      </c>
      <c r="I53" s="77">
        <f>Entitlement!BB47*(1-TPCIL!$L$11)-ISGS!U53</f>
        <v>0.00347099999999756</v>
      </c>
      <c r="J53" s="77">
        <f>Entitlement!AG47*(1-TPCIL!$L$11)-ISGS!N53</f>
        <v>0.00388299999998765</v>
      </c>
      <c r="K53" s="77">
        <f>Entitlement!AJ47*(1-TPCIL!$L$11)-ISGS!O53</f>
        <v>-0.00382899999999609</v>
      </c>
      <c r="L53" s="77">
        <f>Entitlement!AM47*(1-TPCIL!$L$11)-ISGS!P53</f>
        <v>0.00125900000000456</v>
      </c>
      <c r="M53" s="77">
        <f>Entitlement!AS47*(1-TPCIL!$L$11)-ISGS!R53</f>
        <v>0.00469499999999812</v>
      </c>
      <c r="N53" s="77">
        <f>Entitlement!AP47-ISGS!Q53</f>
        <v>0</v>
      </c>
      <c r="O53" s="77">
        <f>Entitlement!AY47*(1-TPCIL!$L$11)-ISGS!T53</f>
        <v>0.00110800000000211</v>
      </c>
      <c r="P53" s="77">
        <f>Entitlement!X47*(1-TPCIL!$L$11)-ISGS!K53</f>
        <v>0.00151699999999977</v>
      </c>
      <c r="Q53" s="77">
        <f>Entitlement!U47*(1-TPCIL!$L$11)-ISGS!J53</f>
        <v>0.00188699999999997</v>
      </c>
      <c r="R53" s="77">
        <f>Entitlement!AA47*(1-TPCIL!$L$11)-ISGS!L53</f>
        <v>0.00193399999999944</v>
      </c>
      <c r="S53" s="77">
        <f>Entitlement!R47*(1-TPCIL!$L$11)-ISGS!I53</f>
        <v>0.00251599999999996</v>
      </c>
      <c r="T53" s="77">
        <f>Entitlement!AD47*(1-TPCIL!$L$11)-ISGS!M53</f>
        <v>0.00215199999999527</v>
      </c>
      <c r="U53" s="77">
        <f>Entitlement!AV47*(1-TPCIL!$L$11)-ISGS!S53</f>
        <v>0.00303199999999038</v>
      </c>
      <c r="V53" s="77">
        <f t="shared" si="0"/>
        <v>0.0355269999999726</v>
      </c>
      <c r="W53" s="80">
        <f t="shared" si="1"/>
        <v>0.0355269999999726</v>
      </c>
      <c r="X53" s="81">
        <f t="shared" si="2"/>
        <v>0.00303199999999038</v>
      </c>
    </row>
    <row r="54" spans="1:24">
      <c r="A54" s="75">
        <v>42</v>
      </c>
      <c r="B54" s="75" t="s">
        <v>55</v>
      </c>
      <c r="C54" s="77">
        <f>Entitlement!D48*(1-TPCIL!$L$11)-ISGS!C54</f>
        <v>0.0038589999999985</v>
      </c>
      <c r="D54" s="77">
        <f>Entitlement!F48*(1-TPCIL!$L$11)-ISGS!D54</f>
        <v>0.00215799999998723</v>
      </c>
      <c r="E54" s="77">
        <f>Entitlement!H48*(1-TPCIL!$L$11)-ISGS!E54</f>
        <v>0</v>
      </c>
      <c r="F54" s="77">
        <f>Entitlement!J48*(1-TPCIL!$L$11)-ISGS!F54</f>
        <v>0</v>
      </c>
      <c r="G54" s="77">
        <f>Entitlement!O48*(1-TPCIL!$L$11)-ISGS!H54</f>
        <v>0.0014529999999997</v>
      </c>
      <c r="H54" s="77">
        <f>Entitlement!M48*(1-TPCIL!$L$11)-ISGS!G54</f>
        <v>0.00443200000000843</v>
      </c>
      <c r="I54" s="77">
        <f>Entitlement!BB48*(1-TPCIL!$L$11)-ISGS!U54</f>
        <v>0.00347099999999756</v>
      </c>
      <c r="J54" s="77">
        <f>Entitlement!AG48*(1-TPCIL!$L$11)-ISGS!N54</f>
        <v>0.00388299999998765</v>
      </c>
      <c r="K54" s="77">
        <f>Entitlement!AJ48*(1-TPCIL!$L$11)-ISGS!O54</f>
        <v>-0.00382899999999609</v>
      </c>
      <c r="L54" s="77">
        <f>Entitlement!AM48*(1-TPCIL!$L$11)-ISGS!P54</f>
        <v>0.00125900000000456</v>
      </c>
      <c r="M54" s="77">
        <f>Entitlement!AS48*(1-TPCIL!$L$11)-ISGS!R54</f>
        <v>0.00469499999999812</v>
      </c>
      <c r="N54" s="77">
        <f>Entitlement!AP48-ISGS!Q54</f>
        <v>0</v>
      </c>
      <c r="O54" s="77">
        <f>Entitlement!AY48*(1-TPCIL!$L$11)-ISGS!T54</f>
        <v>0.00110800000000211</v>
      </c>
      <c r="P54" s="77">
        <f>Entitlement!X48*(1-TPCIL!$L$11)-ISGS!K54</f>
        <v>0.0922529999999995</v>
      </c>
      <c r="Q54" s="77">
        <f>Entitlement!U48*(1-TPCIL!$L$11)-ISGS!J54</f>
        <v>0.125027999999997</v>
      </c>
      <c r="R54" s="77">
        <f>Entitlement!AA48*(1-TPCIL!$L$11)-ISGS!L54</f>
        <v>0.00193399999999944</v>
      </c>
      <c r="S54" s="77">
        <f>Entitlement!R48*(1-TPCIL!$L$11)-ISGS!I54</f>
        <v>0.00251599999999996</v>
      </c>
      <c r="T54" s="77">
        <f>Entitlement!AD48*(1-TPCIL!$L$11)-ISGS!M54</f>
        <v>0.00215199999999527</v>
      </c>
      <c r="U54" s="77">
        <f>Entitlement!AV48*(1-TPCIL!$L$11)-ISGS!S54</f>
        <v>0.00303199999999038</v>
      </c>
      <c r="V54" s="77">
        <f t="shared" si="0"/>
        <v>0.249403999999969</v>
      </c>
      <c r="W54" s="80">
        <f t="shared" si="1"/>
        <v>0.249403999999969</v>
      </c>
      <c r="X54" s="81">
        <f t="shared" si="2"/>
        <v>0.00303199999999038</v>
      </c>
    </row>
    <row r="55" spans="1:24">
      <c r="A55" s="75">
        <v>43</v>
      </c>
      <c r="B55" s="75" t="s">
        <v>56</v>
      </c>
      <c r="C55" s="77">
        <f>Entitlement!D49*(1-TPCIL!$L$11)-ISGS!C55</f>
        <v>0.0038589999999985</v>
      </c>
      <c r="D55" s="77">
        <f>Entitlement!F49*(1-TPCIL!$L$11)-ISGS!D55</f>
        <v>0.00215799999998723</v>
      </c>
      <c r="E55" s="77">
        <f>Entitlement!H49*(1-TPCIL!$L$11)-ISGS!E55</f>
        <v>0</v>
      </c>
      <c r="F55" s="77">
        <f>Entitlement!J49*(1-TPCIL!$L$11)-ISGS!F55</f>
        <v>0</v>
      </c>
      <c r="G55" s="77">
        <f>Entitlement!O49*(1-TPCIL!$L$11)-ISGS!H55</f>
        <v>0.0014529999999997</v>
      </c>
      <c r="H55" s="77">
        <f>Entitlement!M49*(1-TPCIL!$L$11)-ISGS!G55</f>
        <v>0.00443200000000843</v>
      </c>
      <c r="I55" s="77">
        <f>Entitlement!BB49*(1-TPCIL!$L$11)-ISGS!U55</f>
        <v>0.00347099999999756</v>
      </c>
      <c r="J55" s="77">
        <f>Entitlement!AG49*(1-TPCIL!$L$11)-ISGS!N55</f>
        <v>0.00388299999998765</v>
      </c>
      <c r="K55" s="77">
        <f>Entitlement!AJ49*(1-TPCIL!$L$11)-ISGS!O55</f>
        <v>-0.00382899999999609</v>
      </c>
      <c r="L55" s="77">
        <f>Entitlement!AM49*(1-TPCIL!$L$11)-ISGS!P55</f>
        <v>0.00125900000000456</v>
      </c>
      <c r="M55" s="77">
        <f>Entitlement!AS49*(1-TPCIL!$L$11)-ISGS!R55</f>
        <v>0.00469499999999812</v>
      </c>
      <c r="N55" s="77">
        <f>Entitlement!AP49-ISGS!Q55</f>
        <v>0</v>
      </c>
      <c r="O55" s="77">
        <f>Entitlement!AY49*(1-TPCIL!$L$11)-ISGS!T55</f>
        <v>0.00110800000000211</v>
      </c>
      <c r="P55" s="77">
        <f>Entitlement!X49*(1-TPCIL!$L$11)-ISGS!K55</f>
        <v>0.00225299999999606</v>
      </c>
      <c r="Q55" s="77">
        <f>Entitlement!U49*(1-TPCIL!$L$11)-ISGS!J55</f>
        <v>-0.0049720000000022</v>
      </c>
      <c r="R55" s="77">
        <f>Entitlement!AA49*(1-TPCIL!$L$11)-ISGS!L55</f>
        <v>0.00193399999999944</v>
      </c>
      <c r="S55" s="77">
        <f>Entitlement!R49*(1-TPCIL!$L$11)-ISGS!I55</f>
        <v>0.00251599999999996</v>
      </c>
      <c r="T55" s="77">
        <f>Entitlement!AD49*(1-TPCIL!$L$11)-ISGS!M55</f>
        <v>0.00215199999999527</v>
      </c>
      <c r="U55" s="77">
        <f>Entitlement!AV49*(1-TPCIL!$L$11)-ISGS!S55</f>
        <v>0.00303199999999038</v>
      </c>
      <c r="V55" s="77">
        <f t="shared" si="0"/>
        <v>0.0294039999999667</v>
      </c>
      <c r="W55" s="80">
        <f t="shared" si="1"/>
        <v>0.0294039999999667</v>
      </c>
      <c r="X55" s="81">
        <f t="shared" si="2"/>
        <v>0.00303199999999038</v>
      </c>
    </row>
    <row r="56" spans="1:24">
      <c r="A56" s="75">
        <v>44</v>
      </c>
      <c r="B56" s="75" t="s">
        <v>57</v>
      </c>
      <c r="C56" s="77">
        <f>Entitlement!D50*(1-TPCIL!$L$11)-ISGS!C56</f>
        <v>0.0038589999999985</v>
      </c>
      <c r="D56" s="77">
        <f>Entitlement!F50*(1-TPCIL!$L$11)-ISGS!D56</f>
        <v>0.00215799999998723</v>
      </c>
      <c r="E56" s="77">
        <f>Entitlement!H50*(1-TPCIL!$L$11)-ISGS!E56</f>
        <v>0</v>
      </c>
      <c r="F56" s="77">
        <f>Entitlement!J50*(1-TPCIL!$L$11)-ISGS!F56</f>
        <v>0</v>
      </c>
      <c r="G56" s="77">
        <f>Entitlement!O50*(1-TPCIL!$L$11)-ISGS!H56</f>
        <v>0.0014529999999997</v>
      </c>
      <c r="H56" s="77">
        <f>Entitlement!M50*(1-TPCIL!$L$11)-ISGS!G56</f>
        <v>0.00443200000000843</v>
      </c>
      <c r="I56" s="77">
        <f>Entitlement!BB50*(1-TPCIL!$L$11)-ISGS!U56</f>
        <v>0.00347099999999756</v>
      </c>
      <c r="J56" s="77">
        <f>Entitlement!AG50*(1-TPCIL!$L$11)-ISGS!N56</f>
        <v>0.00388299999998765</v>
      </c>
      <c r="K56" s="77">
        <f>Entitlement!AJ50*(1-TPCIL!$L$11)-ISGS!O56</f>
        <v>-0.00382899999999609</v>
      </c>
      <c r="L56" s="77">
        <f>Entitlement!AM50*(1-TPCIL!$L$11)-ISGS!P56</f>
        <v>0.00125900000000456</v>
      </c>
      <c r="M56" s="77">
        <f>Entitlement!AS50*(1-TPCIL!$L$11)-ISGS!R56</f>
        <v>0.00469499999999812</v>
      </c>
      <c r="N56" s="77">
        <f>Entitlement!AP50-ISGS!Q56</f>
        <v>0</v>
      </c>
      <c r="O56" s="77">
        <f>Entitlement!AY50*(1-TPCIL!$L$11)-ISGS!T56</f>
        <v>0.00110800000000211</v>
      </c>
      <c r="P56" s="77">
        <f>Entitlement!X50*(1-TPCIL!$L$11)-ISGS!K56</f>
        <v>0.00225299999999606</v>
      </c>
      <c r="Q56" s="77">
        <f>Entitlement!U50*(1-TPCIL!$L$11)-ISGS!J56</f>
        <v>-0.0049720000000022</v>
      </c>
      <c r="R56" s="77">
        <f>Entitlement!AA50*(1-TPCIL!$L$11)-ISGS!L56</f>
        <v>0.00193399999999944</v>
      </c>
      <c r="S56" s="77">
        <f>Entitlement!R50*(1-TPCIL!$L$11)-ISGS!I56</f>
        <v>0.00251599999999996</v>
      </c>
      <c r="T56" s="77">
        <f>Entitlement!AD50*(1-TPCIL!$L$11)-ISGS!M56</f>
        <v>0.00215199999999527</v>
      </c>
      <c r="U56" s="77">
        <f>Entitlement!AV50*(1-TPCIL!$L$11)-ISGS!S56</f>
        <v>0.00303199999999038</v>
      </c>
      <c r="V56" s="77">
        <f t="shared" si="0"/>
        <v>0.0294039999999667</v>
      </c>
      <c r="W56" s="80">
        <f t="shared" si="1"/>
        <v>0.0294039999999667</v>
      </c>
      <c r="X56" s="81">
        <f t="shared" si="2"/>
        <v>0.00303199999999038</v>
      </c>
    </row>
    <row r="57" spans="1:24">
      <c r="A57" s="75">
        <v>45</v>
      </c>
      <c r="B57" s="75" t="s">
        <v>58</v>
      </c>
      <c r="C57" s="77">
        <f>Entitlement!D51*(1-TPCIL!$L$11)-ISGS!C57</f>
        <v>0.0038589999999985</v>
      </c>
      <c r="D57" s="77">
        <f>Entitlement!F51*(1-TPCIL!$L$11)-ISGS!D57</f>
        <v>0.00215799999998723</v>
      </c>
      <c r="E57" s="77">
        <f>Entitlement!H51*(1-TPCIL!$L$11)-ISGS!E57</f>
        <v>0</v>
      </c>
      <c r="F57" s="77">
        <f>Entitlement!J51*(1-TPCIL!$L$11)-ISGS!F57</f>
        <v>0</v>
      </c>
      <c r="G57" s="77">
        <f>Entitlement!O51*(1-TPCIL!$L$11)-ISGS!H57</f>
        <v>0.0014529999999997</v>
      </c>
      <c r="H57" s="77">
        <f>Entitlement!M51*(1-TPCIL!$L$11)-ISGS!G57</f>
        <v>121.704432</v>
      </c>
      <c r="I57" s="77">
        <f>Entitlement!BB51*(1-TPCIL!$L$11)-ISGS!U57</f>
        <v>0.00347099999999756</v>
      </c>
      <c r="J57" s="77">
        <f>Entitlement!AG51*(1-TPCIL!$L$11)-ISGS!N57</f>
        <v>29.493883</v>
      </c>
      <c r="K57" s="77">
        <f>Entitlement!AJ51*(1-TPCIL!$L$11)-ISGS!O57</f>
        <v>-0.00382899999999609</v>
      </c>
      <c r="L57" s="77">
        <f>Entitlement!AM51*(1-TPCIL!$L$11)-ISGS!P57</f>
        <v>0.00125900000000456</v>
      </c>
      <c r="M57" s="77">
        <f>Entitlement!AS51*(1-TPCIL!$L$11)-ISGS!R57</f>
        <v>0.00469499999999812</v>
      </c>
      <c r="N57" s="77">
        <f>Entitlement!AP51-ISGS!Q57</f>
        <v>0</v>
      </c>
      <c r="O57" s="77">
        <f>Entitlement!AY51*(1-TPCIL!$L$11)-ISGS!T57</f>
        <v>0.00110800000000211</v>
      </c>
      <c r="P57" s="77">
        <f>Entitlement!X51*(1-TPCIL!$L$11)-ISGS!K57</f>
        <v>0.00225299999999606</v>
      </c>
      <c r="Q57" s="77">
        <f>Entitlement!U51*(1-TPCIL!$L$11)-ISGS!J57</f>
        <v>-0.0049720000000022</v>
      </c>
      <c r="R57" s="77">
        <f>Entitlement!AA51*(1-TPCIL!$L$11)-ISGS!L57</f>
        <v>0.00193399999999944</v>
      </c>
      <c r="S57" s="77">
        <f>Entitlement!R51*(1-TPCIL!$L$11)-ISGS!I57</f>
        <v>0.00251599999999996</v>
      </c>
      <c r="T57" s="77">
        <f>Entitlement!AD51*(1-TPCIL!$L$11)-ISGS!M57</f>
        <v>0.00215199999999527</v>
      </c>
      <c r="U57" s="77">
        <f>Entitlement!AV51*(1-TPCIL!$L$11)-ISGS!S57</f>
        <v>0.00303199999999038</v>
      </c>
      <c r="V57" s="77">
        <f t="shared" si="0"/>
        <v>151.219404</v>
      </c>
      <c r="W57" s="80">
        <f t="shared" si="1"/>
        <v>151.219404</v>
      </c>
      <c r="X57" s="81">
        <f t="shared" si="2"/>
        <v>0.00303199999999038</v>
      </c>
    </row>
    <row r="58" spans="1:24">
      <c r="A58" s="75">
        <v>46</v>
      </c>
      <c r="B58" s="75" t="s">
        <v>59</v>
      </c>
      <c r="C58" s="77">
        <f>Entitlement!D52*(1-TPCIL!$L$11)-ISGS!C58</f>
        <v>0.0038589999999985</v>
      </c>
      <c r="D58" s="77">
        <f>Entitlement!F52*(1-TPCIL!$L$11)-ISGS!D58</f>
        <v>0.00215799999998723</v>
      </c>
      <c r="E58" s="77">
        <f>Entitlement!H52*(1-TPCIL!$L$11)-ISGS!E58</f>
        <v>0</v>
      </c>
      <c r="F58" s="77">
        <f>Entitlement!J52*(1-TPCIL!$L$11)-ISGS!F58</f>
        <v>0</v>
      </c>
      <c r="G58" s="77">
        <f>Entitlement!O52*(1-TPCIL!$L$11)-ISGS!H58</f>
        <v>0.0014529999999997</v>
      </c>
      <c r="H58" s="77">
        <f>Entitlement!M52*(1-TPCIL!$L$11)-ISGS!G58</f>
        <v>208.594432</v>
      </c>
      <c r="I58" s="77">
        <f>Entitlement!BB52*(1-TPCIL!$L$11)-ISGS!U58</f>
        <v>0.00347099999999756</v>
      </c>
      <c r="J58" s="77">
        <f>Entitlement!AG52*(1-TPCIL!$L$11)-ISGS!N58</f>
        <v>18.783883</v>
      </c>
      <c r="K58" s="77">
        <f>Entitlement!AJ52*(1-TPCIL!$L$11)-ISGS!O58</f>
        <v>-0.00382899999999609</v>
      </c>
      <c r="L58" s="77">
        <f>Entitlement!AM52*(1-TPCIL!$L$11)-ISGS!P58</f>
        <v>0.00125900000000456</v>
      </c>
      <c r="M58" s="77">
        <f>Entitlement!AS52*(1-TPCIL!$L$11)-ISGS!R58</f>
        <v>0.00469499999999812</v>
      </c>
      <c r="N58" s="77">
        <f>Entitlement!AP52-ISGS!Q58</f>
        <v>0</v>
      </c>
      <c r="O58" s="77">
        <f>Entitlement!AY52*(1-TPCIL!$L$11)-ISGS!T58</f>
        <v>0.00110800000000211</v>
      </c>
      <c r="P58" s="77">
        <f>Entitlement!X52*(1-TPCIL!$L$11)-ISGS!K58</f>
        <v>0.00225299999999606</v>
      </c>
      <c r="Q58" s="77">
        <f>Entitlement!U52*(1-TPCIL!$L$11)-ISGS!J58</f>
        <v>-0.0049720000000022</v>
      </c>
      <c r="R58" s="77">
        <f>Entitlement!AA52*(1-TPCIL!$L$11)-ISGS!L58</f>
        <v>0.00193399999999944</v>
      </c>
      <c r="S58" s="77">
        <f>Entitlement!R52*(1-TPCIL!$L$11)-ISGS!I58</f>
        <v>0.00251599999999996</v>
      </c>
      <c r="T58" s="77">
        <f>Entitlement!AD52*(1-TPCIL!$L$11)-ISGS!M58</f>
        <v>0.00215199999999527</v>
      </c>
      <c r="U58" s="77">
        <f>Entitlement!AV52*(1-TPCIL!$L$11)-ISGS!S58</f>
        <v>0.00303199999999038</v>
      </c>
      <c r="V58" s="77">
        <f t="shared" si="0"/>
        <v>227.399404</v>
      </c>
      <c r="W58" s="80">
        <f t="shared" si="1"/>
        <v>227.399404</v>
      </c>
      <c r="X58" s="81">
        <f t="shared" si="2"/>
        <v>0.00303199999999038</v>
      </c>
    </row>
    <row r="59" spans="1:24">
      <c r="A59" s="75">
        <v>47</v>
      </c>
      <c r="B59" s="75" t="s">
        <v>60</v>
      </c>
      <c r="C59" s="77">
        <f>Entitlement!D53*(1-TPCIL!$L$11)-ISGS!C59</f>
        <v>0.0038589999999985</v>
      </c>
      <c r="D59" s="77">
        <f>Entitlement!F53*(1-TPCIL!$L$11)-ISGS!D59</f>
        <v>0.00215799999998723</v>
      </c>
      <c r="E59" s="77">
        <f>Entitlement!H53*(1-TPCIL!$L$11)-ISGS!E59</f>
        <v>0</v>
      </c>
      <c r="F59" s="77">
        <f>Entitlement!J53*(1-TPCIL!$L$11)-ISGS!F59</f>
        <v>0</v>
      </c>
      <c r="G59" s="77">
        <f>Entitlement!O53*(1-TPCIL!$L$11)-ISGS!H59</f>
        <v>0.0014529999999997</v>
      </c>
      <c r="H59" s="77">
        <f>Entitlement!M53*(1-TPCIL!$L$11)-ISGS!G59</f>
        <v>229.674432</v>
      </c>
      <c r="I59" s="77">
        <f>Entitlement!BB53*(1-TPCIL!$L$11)-ISGS!U59</f>
        <v>0.00347099999999756</v>
      </c>
      <c r="J59" s="77">
        <f>Entitlement!AG53*(1-TPCIL!$L$11)-ISGS!N59</f>
        <v>121.433883</v>
      </c>
      <c r="K59" s="77">
        <f>Entitlement!AJ53*(1-TPCIL!$L$11)-ISGS!O59</f>
        <v>-0.00382899999999609</v>
      </c>
      <c r="L59" s="77">
        <f>Entitlement!AM53*(1-TPCIL!$L$11)-ISGS!P59</f>
        <v>0.00125900000000456</v>
      </c>
      <c r="M59" s="77">
        <f>Entitlement!AS53*(1-TPCIL!$L$11)-ISGS!R59</f>
        <v>0.00469499999999812</v>
      </c>
      <c r="N59" s="77">
        <f>Entitlement!AP53-ISGS!Q59</f>
        <v>0</v>
      </c>
      <c r="O59" s="77">
        <f>Entitlement!AY53*(1-TPCIL!$L$11)-ISGS!T59</f>
        <v>0.00110800000000211</v>
      </c>
      <c r="P59" s="77">
        <f>Entitlement!X53*(1-TPCIL!$L$11)-ISGS!K59</f>
        <v>0.00225299999999606</v>
      </c>
      <c r="Q59" s="77">
        <f>Entitlement!U53*(1-TPCIL!$L$11)-ISGS!J59</f>
        <v>-0.0049720000000022</v>
      </c>
      <c r="R59" s="77">
        <f>Entitlement!AA53*(1-TPCIL!$L$11)-ISGS!L59</f>
        <v>0.00193399999999944</v>
      </c>
      <c r="S59" s="77">
        <f>Entitlement!R53*(1-TPCIL!$L$11)-ISGS!I59</f>
        <v>0.00251599999999996</v>
      </c>
      <c r="T59" s="77">
        <f>Entitlement!AD53*(1-TPCIL!$L$11)-ISGS!M59</f>
        <v>0.00215199999999527</v>
      </c>
      <c r="U59" s="77">
        <f>Entitlement!AV53*(1-TPCIL!$L$11)-ISGS!S59</f>
        <v>0.00303199999999038</v>
      </c>
      <c r="V59" s="77">
        <f t="shared" si="0"/>
        <v>351.129404</v>
      </c>
      <c r="W59" s="80">
        <f t="shared" si="1"/>
        <v>351.129404</v>
      </c>
      <c r="X59" s="81">
        <f t="shared" si="2"/>
        <v>0.00303199999999038</v>
      </c>
    </row>
    <row r="60" spans="1:24">
      <c r="A60" s="75">
        <v>48</v>
      </c>
      <c r="B60" s="75" t="s">
        <v>61</v>
      </c>
      <c r="C60" s="77">
        <f>Entitlement!D54*(1-TPCIL!$L$11)-ISGS!C60</f>
        <v>0.0038589999999985</v>
      </c>
      <c r="D60" s="77">
        <f>Entitlement!F54*(1-TPCIL!$L$11)-ISGS!D60</f>
        <v>0.00215799999998723</v>
      </c>
      <c r="E60" s="77">
        <f>Entitlement!H54*(1-TPCIL!$L$11)-ISGS!E60</f>
        <v>0</v>
      </c>
      <c r="F60" s="77">
        <f>Entitlement!J54*(1-TPCIL!$L$11)-ISGS!F60</f>
        <v>0</v>
      </c>
      <c r="G60" s="77">
        <f>Entitlement!O54*(1-TPCIL!$L$11)-ISGS!H60</f>
        <v>0.0014529999999997</v>
      </c>
      <c r="H60" s="77">
        <f>Entitlement!M54*(1-TPCIL!$L$11)-ISGS!G60</f>
        <v>229.674432</v>
      </c>
      <c r="I60" s="77">
        <f>Entitlement!BB54*(1-TPCIL!$L$11)-ISGS!U60</f>
        <v>0.00347099999999756</v>
      </c>
      <c r="J60" s="77">
        <f>Entitlement!AG54*(1-TPCIL!$L$11)-ISGS!N60</f>
        <v>121.433883</v>
      </c>
      <c r="K60" s="77">
        <f>Entitlement!AJ54*(1-TPCIL!$L$11)-ISGS!O60</f>
        <v>-0.00382899999999609</v>
      </c>
      <c r="L60" s="77">
        <f>Entitlement!AM54*(1-TPCIL!$L$11)-ISGS!P60</f>
        <v>0.00125900000000456</v>
      </c>
      <c r="M60" s="77">
        <f>Entitlement!AS54*(1-TPCIL!$L$11)-ISGS!R60</f>
        <v>0.00469499999999812</v>
      </c>
      <c r="N60" s="77">
        <f>Entitlement!AP54-ISGS!Q60</f>
        <v>0</v>
      </c>
      <c r="O60" s="77">
        <f>Entitlement!AY54*(1-TPCIL!$L$11)-ISGS!T60</f>
        <v>0.00110800000000211</v>
      </c>
      <c r="P60" s="77">
        <f>Entitlement!X54*(1-TPCIL!$L$11)-ISGS!K60</f>
        <v>0.00225299999999606</v>
      </c>
      <c r="Q60" s="77">
        <f>Entitlement!U54*(1-TPCIL!$L$11)-ISGS!J60</f>
        <v>-0.0049720000000022</v>
      </c>
      <c r="R60" s="77">
        <f>Entitlement!AA54*(1-TPCIL!$L$11)-ISGS!L60</f>
        <v>0.00193399999999944</v>
      </c>
      <c r="S60" s="77">
        <f>Entitlement!R54*(1-TPCIL!$L$11)-ISGS!I60</f>
        <v>0.00251599999999996</v>
      </c>
      <c r="T60" s="77">
        <f>Entitlement!AD54*(1-TPCIL!$L$11)-ISGS!M60</f>
        <v>0.00215199999999527</v>
      </c>
      <c r="U60" s="77">
        <f>Entitlement!AV54*(1-TPCIL!$L$11)-ISGS!S60</f>
        <v>0.00303199999999038</v>
      </c>
      <c r="V60" s="77">
        <f t="shared" si="0"/>
        <v>351.129404</v>
      </c>
      <c r="W60" s="80">
        <f t="shared" si="1"/>
        <v>351.129404</v>
      </c>
      <c r="X60" s="81">
        <f t="shared" si="2"/>
        <v>0.00303199999999038</v>
      </c>
    </row>
    <row r="61" spans="1:24">
      <c r="A61" s="75">
        <v>49</v>
      </c>
      <c r="B61" s="75" t="s">
        <v>62</v>
      </c>
      <c r="C61" s="77">
        <f>Entitlement!D55*(1-TPCIL!$L$11)-ISGS!C61</f>
        <v>0.0038589999999985</v>
      </c>
      <c r="D61" s="77">
        <f>Entitlement!F55*(1-TPCIL!$L$11)-ISGS!D61</f>
        <v>0.00215799999998723</v>
      </c>
      <c r="E61" s="77">
        <f>Entitlement!H55*(1-TPCIL!$L$11)-ISGS!E61</f>
        <v>0</v>
      </c>
      <c r="F61" s="77">
        <f>Entitlement!J55*(1-TPCIL!$L$11)-ISGS!F61</f>
        <v>0</v>
      </c>
      <c r="G61" s="77">
        <f>Entitlement!O55*(1-TPCIL!$L$11)-ISGS!H61</f>
        <v>0.0014529999999997</v>
      </c>
      <c r="H61" s="77">
        <f>Entitlement!M55*(1-TPCIL!$L$11)-ISGS!G61</f>
        <v>229.674432</v>
      </c>
      <c r="I61" s="77">
        <f>Entitlement!BB55*(1-TPCIL!$L$11)-ISGS!U61</f>
        <v>0.00347099999999756</v>
      </c>
      <c r="J61" s="77">
        <f>Entitlement!AG55*(1-TPCIL!$L$11)-ISGS!N61</f>
        <v>121.433883</v>
      </c>
      <c r="K61" s="77">
        <f>Entitlement!AJ55*(1-TPCIL!$L$11)-ISGS!O61</f>
        <v>-0.00382899999999609</v>
      </c>
      <c r="L61" s="77">
        <f>Entitlement!AM55*(1-TPCIL!$L$11)-ISGS!P61</f>
        <v>0.00125900000000456</v>
      </c>
      <c r="M61" s="77">
        <f>Entitlement!AS55*(1-TPCIL!$L$11)-ISGS!R61</f>
        <v>0.00469499999999812</v>
      </c>
      <c r="N61" s="77">
        <f>Entitlement!AP55-ISGS!Q61</f>
        <v>0</v>
      </c>
      <c r="O61" s="77">
        <f>Entitlement!AY55*(1-TPCIL!$L$11)-ISGS!T61</f>
        <v>0.00110800000000211</v>
      </c>
      <c r="P61" s="77">
        <f>Entitlement!X55*(1-TPCIL!$L$11)-ISGS!K61</f>
        <v>0.00225299999999606</v>
      </c>
      <c r="Q61" s="77">
        <f>Entitlement!U55*(1-TPCIL!$L$11)-ISGS!J61</f>
        <v>-0.0049720000000022</v>
      </c>
      <c r="R61" s="77">
        <f>Entitlement!AA55*(1-TPCIL!$L$11)-ISGS!L61</f>
        <v>0.00193399999999944</v>
      </c>
      <c r="S61" s="77">
        <f>Entitlement!R55*(1-TPCIL!$L$11)-ISGS!I61</f>
        <v>0.00251599999999996</v>
      </c>
      <c r="T61" s="77">
        <f>Entitlement!AD55*(1-TPCIL!$L$11)-ISGS!M61</f>
        <v>0.00215199999999527</v>
      </c>
      <c r="U61" s="77">
        <f>Entitlement!AV55*(1-TPCIL!$L$11)-ISGS!S61</f>
        <v>0.00303199999999038</v>
      </c>
      <c r="V61" s="77">
        <f t="shared" si="0"/>
        <v>351.129404</v>
      </c>
      <c r="W61" s="80">
        <f t="shared" si="1"/>
        <v>351.129404</v>
      </c>
      <c r="X61" s="81">
        <f t="shared" si="2"/>
        <v>0.00303199999999038</v>
      </c>
    </row>
    <row r="62" spans="1:24">
      <c r="A62" s="75">
        <v>50</v>
      </c>
      <c r="B62" s="75" t="s">
        <v>63</v>
      </c>
      <c r="C62" s="77">
        <f>Entitlement!D56*(1-TPCIL!$L$11)-ISGS!C62</f>
        <v>0.0038589999999985</v>
      </c>
      <c r="D62" s="77">
        <f>Entitlement!F56*(1-TPCIL!$L$11)-ISGS!D62</f>
        <v>0.00215799999998723</v>
      </c>
      <c r="E62" s="77">
        <f>Entitlement!H56*(1-TPCIL!$L$11)-ISGS!E62</f>
        <v>0</v>
      </c>
      <c r="F62" s="77">
        <f>Entitlement!J56*(1-TPCIL!$L$11)-ISGS!F62</f>
        <v>0</v>
      </c>
      <c r="G62" s="77">
        <f>Entitlement!O56*(1-TPCIL!$L$11)-ISGS!H62</f>
        <v>0.0014529999999997</v>
      </c>
      <c r="H62" s="77">
        <f>Entitlement!M56*(1-TPCIL!$L$11)-ISGS!G62</f>
        <v>229.674432</v>
      </c>
      <c r="I62" s="77">
        <f>Entitlement!BB56*(1-TPCIL!$L$11)-ISGS!U62</f>
        <v>0.00347099999999756</v>
      </c>
      <c r="J62" s="77">
        <f>Entitlement!AG56*(1-TPCIL!$L$11)-ISGS!N62</f>
        <v>121.433883</v>
      </c>
      <c r="K62" s="77">
        <f>Entitlement!AJ56*(1-TPCIL!$L$11)-ISGS!O62</f>
        <v>-0.00382899999999609</v>
      </c>
      <c r="L62" s="77">
        <f>Entitlement!AM56*(1-TPCIL!$L$11)-ISGS!P62</f>
        <v>0.00125900000000456</v>
      </c>
      <c r="M62" s="77">
        <f>Entitlement!AS56*(1-TPCIL!$L$11)-ISGS!R62</f>
        <v>0.00469499999999812</v>
      </c>
      <c r="N62" s="77">
        <f>Entitlement!AP56-ISGS!Q62</f>
        <v>0</v>
      </c>
      <c r="O62" s="77">
        <f>Entitlement!AY56*(1-TPCIL!$L$11)-ISGS!T62</f>
        <v>0.00110800000000211</v>
      </c>
      <c r="P62" s="77">
        <f>Entitlement!X56*(1-TPCIL!$L$11)-ISGS!K62</f>
        <v>0.00225299999999606</v>
      </c>
      <c r="Q62" s="77">
        <f>Entitlement!U56*(1-TPCIL!$L$11)-ISGS!J62</f>
        <v>-0.0049720000000022</v>
      </c>
      <c r="R62" s="77">
        <f>Entitlement!AA56*(1-TPCIL!$L$11)-ISGS!L62</f>
        <v>0.00193399999999944</v>
      </c>
      <c r="S62" s="77">
        <f>Entitlement!R56*(1-TPCIL!$L$11)-ISGS!I62</f>
        <v>0.00251599999999996</v>
      </c>
      <c r="T62" s="77">
        <f>Entitlement!AD56*(1-TPCIL!$L$11)-ISGS!M62</f>
        <v>0.00215199999999527</v>
      </c>
      <c r="U62" s="77">
        <f>Entitlement!AV56*(1-TPCIL!$L$11)-ISGS!S62</f>
        <v>0.00303199999999038</v>
      </c>
      <c r="V62" s="77">
        <f t="shared" si="0"/>
        <v>351.129404</v>
      </c>
      <c r="W62" s="80">
        <f t="shared" si="1"/>
        <v>351.129404</v>
      </c>
      <c r="X62" s="81">
        <f t="shared" si="2"/>
        <v>0.00303199999999038</v>
      </c>
    </row>
    <row r="63" spans="1:24">
      <c r="A63" s="75">
        <v>51</v>
      </c>
      <c r="B63" s="75" t="s">
        <v>64</v>
      </c>
      <c r="C63" s="77">
        <f>Entitlement!D57*(1-TPCIL!$L$11)-ISGS!C63</f>
        <v>0.0038589999999985</v>
      </c>
      <c r="D63" s="77">
        <f>Entitlement!F57*(1-TPCIL!$L$11)-ISGS!D63</f>
        <v>0.00215799999998723</v>
      </c>
      <c r="E63" s="77">
        <f>Entitlement!H57*(1-TPCIL!$L$11)-ISGS!E63</f>
        <v>0</v>
      </c>
      <c r="F63" s="77">
        <f>Entitlement!J57*(1-TPCIL!$L$11)-ISGS!F63</f>
        <v>0</v>
      </c>
      <c r="G63" s="77">
        <f>Entitlement!O57*(1-TPCIL!$L$11)-ISGS!H63</f>
        <v>0.0014529999999997</v>
      </c>
      <c r="H63" s="77">
        <f>Entitlement!M57*(1-TPCIL!$L$11)-ISGS!G63</f>
        <v>229.674432</v>
      </c>
      <c r="I63" s="77">
        <f>Entitlement!BB57*(1-TPCIL!$L$11)-ISGS!U63</f>
        <v>0.00347099999999756</v>
      </c>
      <c r="J63" s="77">
        <f>Entitlement!AG57*(1-TPCIL!$L$11)-ISGS!N63</f>
        <v>121.433883</v>
      </c>
      <c r="K63" s="77">
        <f>Entitlement!AJ57*(1-TPCIL!$L$11)-ISGS!O63</f>
        <v>-0.00382899999999609</v>
      </c>
      <c r="L63" s="77">
        <f>Entitlement!AM57*(1-TPCIL!$L$11)-ISGS!P63</f>
        <v>0.00125900000000456</v>
      </c>
      <c r="M63" s="77">
        <f>Entitlement!AS57*(1-TPCIL!$L$11)-ISGS!R63</f>
        <v>0.00469499999999812</v>
      </c>
      <c r="N63" s="77">
        <f>Entitlement!AP57-ISGS!Q63</f>
        <v>0</v>
      </c>
      <c r="O63" s="77">
        <f>Entitlement!AY57*(1-TPCIL!$L$11)-ISGS!T63</f>
        <v>0.00110800000000211</v>
      </c>
      <c r="P63" s="77">
        <f>Entitlement!X57*(1-TPCIL!$L$11)-ISGS!K63</f>
        <v>0.00225299999999606</v>
      </c>
      <c r="Q63" s="77">
        <f>Entitlement!U57*(1-TPCIL!$L$11)-ISGS!J63</f>
        <v>-0.0049720000000022</v>
      </c>
      <c r="R63" s="77">
        <f>Entitlement!AA57*(1-TPCIL!$L$11)-ISGS!L63</f>
        <v>0.00193399999999944</v>
      </c>
      <c r="S63" s="77">
        <f>Entitlement!R57*(1-TPCIL!$L$11)-ISGS!I63</f>
        <v>0.00436299999999878</v>
      </c>
      <c r="T63" s="77">
        <f>Entitlement!AD57*(1-TPCIL!$L$11)-ISGS!M63</f>
        <v>0.00215199999999527</v>
      </c>
      <c r="U63" s="77">
        <f>Entitlement!AV57*(1-TPCIL!$L$11)-ISGS!S63</f>
        <v>0.00303199999999038</v>
      </c>
      <c r="V63" s="77">
        <f t="shared" si="0"/>
        <v>351.131251</v>
      </c>
      <c r="W63" s="80">
        <f t="shared" si="1"/>
        <v>351.131251</v>
      </c>
      <c r="X63" s="1">
        <f t="shared" si="2"/>
        <v>0.00303199999999038</v>
      </c>
    </row>
    <row r="64" spans="1:24">
      <c r="A64" s="75">
        <v>52</v>
      </c>
      <c r="B64" s="75" t="s">
        <v>65</v>
      </c>
      <c r="C64" s="77">
        <f>Entitlement!D58*(1-TPCIL!$L$11)-ISGS!C64</f>
        <v>0.0038589999999985</v>
      </c>
      <c r="D64" s="77">
        <f>Entitlement!F58*(1-TPCIL!$L$11)-ISGS!D64</f>
        <v>0.00215799999998723</v>
      </c>
      <c r="E64" s="77">
        <f>Entitlement!H58*(1-TPCIL!$L$11)-ISGS!E64</f>
        <v>0</v>
      </c>
      <c r="F64" s="77">
        <f>Entitlement!J58*(1-TPCIL!$L$11)-ISGS!F64</f>
        <v>0</v>
      </c>
      <c r="G64" s="77">
        <f>Entitlement!O58*(1-TPCIL!$L$11)-ISGS!H64</f>
        <v>0.0014529999999997</v>
      </c>
      <c r="H64" s="77">
        <f>Entitlement!M58*(1-TPCIL!$L$11)-ISGS!G64</f>
        <v>229.674432</v>
      </c>
      <c r="I64" s="77">
        <f>Entitlement!BB58*(1-TPCIL!$L$11)-ISGS!U64</f>
        <v>59.103471</v>
      </c>
      <c r="J64" s="77">
        <f>Entitlement!AG58*(1-TPCIL!$L$11)-ISGS!N64</f>
        <v>121.433883</v>
      </c>
      <c r="K64" s="77">
        <f>Entitlement!AJ58*(1-TPCIL!$L$11)-ISGS!O64</f>
        <v>140.126171</v>
      </c>
      <c r="L64" s="77">
        <f>Entitlement!AM58*(1-TPCIL!$L$11)-ISGS!P64</f>
        <v>34.271259</v>
      </c>
      <c r="M64" s="77">
        <f>Entitlement!AS58*(1-TPCIL!$L$11)-ISGS!R64</f>
        <v>62.014695</v>
      </c>
      <c r="N64" s="77">
        <f>Entitlement!AP58-ISGS!Q64</f>
        <v>0</v>
      </c>
      <c r="O64" s="77">
        <f>Entitlement!AY58*(1-TPCIL!$L$11)-ISGS!T64</f>
        <v>0.00110800000000211</v>
      </c>
      <c r="P64" s="77">
        <f>Entitlement!X58*(1-TPCIL!$L$11)-ISGS!K64</f>
        <v>26.933061</v>
      </c>
      <c r="Q64" s="77">
        <f>Entitlement!U58*(1-TPCIL!$L$11)-ISGS!J64</f>
        <v>25.980545</v>
      </c>
      <c r="R64" s="77">
        <f>Entitlement!AA58*(1-TPCIL!$L$11)-ISGS!L64</f>
        <v>7.481934</v>
      </c>
      <c r="S64" s="77">
        <f>Entitlement!R58*(1-TPCIL!$L$11)-ISGS!I64</f>
        <v>0.00436299999999878</v>
      </c>
      <c r="T64" s="77">
        <f>Entitlement!AD58*(1-TPCIL!$L$11)-ISGS!M64</f>
        <v>0.00215199999999527</v>
      </c>
      <c r="U64" s="77">
        <f>Entitlement!AV58*(1-TPCIL!$L$11)-ISGS!S64</f>
        <v>0.00303199999999038</v>
      </c>
      <c r="V64" s="77">
        <f t="shared" si="0"/>
        <v>707.037576</v>
      </c>
      <c r="W64" s="80">
        <f t="shared" si="1"/>
        <v>707.037576</v>
      </c>
      <c r="X64" s="1">
        <f t="shared" si="2"/>
        <v>0.00303199999999038</v>
      </c>
    </row>
    <row r="65" spans="1:24">
      <c r="A65" s="75">
        <v>53</v>
      </c>
      <c r="B65" s="75" t="s">
        <v>66</v>
      </c>
      <c r="C65" s="77">
        <f>Entitlement!D59*(1-TPCIL!$L$11)-ISGS!C65</f>
        <v>0.0038589999999985</v>
      </c>
      <c r="D65" s="77">
        <f>Entitlement!F59*(1-TPCIL!$L$11)-ISGS!D65</f>
        <v>0.00215799999998723</v>
      </c>
      <c r="E65" s="77">
        <f>Entitlement!H59*(1-TPCIL!$L$11)-ISGS!E65</f>
        <v>0</v>
      </c>
      <c r="F65" s="77">
        <f>Entitlement!J59*(1-TPCIL!$L$11)-ISGS!F65</f>
        <v>0</v>
      </c>
      <c r="G65" s="77">
        <f>Entitlement!O59*(1-TPCIL!$L$11)-ISGS!H65</f>
        <v>0.0014529999999997</v>
      </c>
      <c r="H65" s="77">
        <f>Entitlement!M59*(1-TPCIL!$L$11)-ISGS!G65</f>
        <v>229.674432</v>
      </c>
      <c r="I65" s="77">
        <f>Entitlement!BB59*(1-TPCIL!$L$11)-ISGS!U65</f>
        <v>59.103471</v>
      </c>
      <c r="J65" s="77">
        <f>Entitlement!AG59*(1-TPCIL!$L$11)-ISGS!N65</f>
        <v>121.433883</v>
      </c>
      <c r="K65" s="77">
        <f>Entitlement!AJ59*(1-TPCIL!$L$11)-ISGS!O65</f>
        <v>253.176171</v>
      </c>
      <c r="L65" s="77">
        <f>Entitlement!AM59*(1-TPCIL!$L$11)-ISGS!P65</f>
        <v>62.121259</v>
      </c>
      <c r="M65" s="77">
        <f>Entitlement!AS59*(1-TPCIL!$L$11)-ISGS!R65</f>
        <v>139.234695</v>
      </c>
      <c r="N65" s="77">
        <f>Entitlement!AP59-ISGS!Q65</f>
        <v>0</v>
      </c>
      <c r="O65" s="77">
        <f>Entitlement!AY59*(1-TPCIL!$L$11)-ISGS!T65</f>
        <v>0.00110800000000211</v>
      </c>
      <c r="P65" s="77">
        <f>Entitlement!X59*(1-TPCIL!$L$11)-ISGS!K65</f>
        <v>36.353061</v>
      </c>
      <c r="Q65" s="77">
        <f>Entitlement!U59*(1-TPCIL!$L$11)-ISGS!J65</f>
        <v>29.080545</v>
      </c>
      <c r="R65" s="77">
        <f>Entitlement!AA59*(1-TPCIL!$L$11)-ISGS!L65</f>
        <v>7.481934</v>
      </c>
      <c r="S65" s="77">
        <f>Entitlement!R59*(1-TPCIL!$L$11)-ISGS!I65</f>
        <v>0.00436299999999878</v>
      </c>
      <c r="T65" s="77">
        <f>Entitlement!AD59*(1-TPCIL!$L$11)-ISGS!M65</f>
        <v>0.00215199999999527</v>
      </c>
      <c r="U65" s="77">
        <f>Entitlement!AV59*(1-TPCIL!$L$11)-ISGS!S65</f>
        <v>0.00303199999999038</v>
      </c>
      <c r="V65" s="77">
        <f t="shared" si="0"/>
        <v>937.677576</v>
      </c>
      <c r="W65" s="80">
        <f t="shared" si="1"/>
        <v>937.677576</v>
      </c>
      <c r="X65" s="1">
        <f t="shared" si="2"/>
        <v>0.00303199999999038</v>
      </c>
    </row>
    <row r="66" spans="1:24">
      <c r="A66" s="75">
        <v>54</v>
      </c>
      <c r="B66" s="75" t="s">
        <v>67</v>
      </c>
      <c r="C66" s="77">
        <f>Entitlement!D60*(1-TPCIL!$L$11)-ISGS!C66</f>
        <v>0.0038589999999985</v>
      </c>
      <c r="D66" s="77">
        <f>Entitlement!F60*(1-TPCIL!$L$11)-ISGS!D66</f>
        <v>0.00215799999998723</v>
      </c>
      <c r="E66" s="77">
        <f>Entitlement!H60*(1-TPCIL!$L$11)-ISGS!E66</f>
        <v>0</v>
      </c>
      <c r="F66" s="77">
        <f>Entitlement!J60*(1-TPCIL!$L$11)-ISGS!F66</f>
        <v>0</v>
      </c>
      <c r="G66" s="77">
        <f>Entitlement!O60*(1-TPCIL!$L$11)-ISGS!H66</f>
        <v>0.0014529999999997</v>
      </c>
      <c r="H66" s="77">
        <f>Entitlement!M60*(1-TPCIL!$L$11)-ISGS!G66</f>
        <v>229.674432</v>
      </c>
      <c r="I66" s="77">
        <f>Entitlement!BB60*(1-TPCIL!$L$11)-ISGS!U66</f>
        <v>59.103471</v>
      </c>
      <c r="J66" s="77">
        <f>Entitlement!AG60*(1-TPCIL!$L$11)-ISGS!N66</f>
        <v>121.433883</v>
      </c>
      <c r="K66" s="77">
        <f>Entitlement!AJ60*(1-TPCIL!$L$11)-ISGS!O66</f>
        <v>280.896171</v>
      </c>
      <c r="L66" s="77">
        <f>Entitlement!AM60*(1-TPCIL!$L$11)-ISGS!P66</f>
        <v>71.021259</v>
      </c>
      <c r="M66" s="77">
        <f>Entitlement!AS60*(1-TPCIL!$L$11)-ISGS!R66</f>
        <v>198.994695</v>
      </c>
      <c r="N66" s="77">
        <f>Entitlement!AP60-ISGS!Q66</f>
        <v>0</v>
      </c>
      <c r="O66" s="77">
        <f>Entitlement!AY60*(1-TPCIL!$L$11)-ISGS!T66</f>
        <v>0.00110800000000211</v>
      </c>
      <c r="P66" s="77">
        <f>Entitlement!X60*(1-TPCIL!$L$11)-ISGS!K66</f>
        <v>36.353061</v>
      </c>
      <c r="Q66" s="77">
        <f>Entitlement!U60*(1-TPCIL!$L$11)-ISGS!J66</f>
        <v>29.080545</v>
      </c>
      <c r="R66" s="77">
        <f>Entitlement!AA60*(1-TPCIL!$L$11)-ISGS!L66</f>
        <v>7.481934</v>
      </c>
      <c r="S66" s="77">
        <f>Entitlement!R60*(1-TPCIL!$L$11)-ISGS!I66</f>
        <v>0.00436299999999878</v>
      </c>
      <c r="T66" s="77">
        <f>Entitlement!AD60*(1-TPCIL!$L$11)-ISGS!M66</f>
        <v>0.00215199999999527</v>
      </c>
      <c r="U66" s="77">
        <f>Entitlement!AV60*(1-TPCIL!$L$11)-ISGS!S66</f>
        <v>0.00303199999999038</v>
      </c>
      <c r="V66" s="77">
        <f t="shared" si="0"/>
        <v>1034.057576</v>
      </c>
      <c r="W66" s="80">
        <f t="shared" si="1"/>
        <v>1034.057576</v>
      </c>
      <c r="X66" s="1">
        <f t="shared" si="2"/>
        <v>0.00303199999999038</v>
      </c>
    </row>
    <row r="67" spans="1:24">
      <c r="A67" s="75">
        <v>55</v>
      </c>
      <c r="B67" s="75" t="s">
        <v>68</v>
      </c>
      <c r="C67" s="77">
        <f>Entitlement!D61*(1-TPCIL!$L$11)-ISGS!C67</f>
        <v>0.0038589999999985</v>
      </c>
      <c r="D67" s="77">
        <f>Entitlement!F61*(1-TPCIL!$L$11)-ISGS!D67</f>
        <v>0.00215799999998723</v>
      </c>
      <c r="E67" s="77">
        <f>Entitlement!H61*(1-TPCIL!$L$11)-ISGS!E67</f>
        <v>0</v>
      </c>
      <c r="F67" s="77">
        <f>Entitlement!J61*(1-TPCIL!$L$11)-ISGS!F67</f>
        <v>0</v>
      </c>
      <c r="G67" s="77">
        <f>Entitlement!O61*(1-TPCIL!$L$11)-ISGS!H67</f>
        <v>0.0014529999999997</v>
      </c>
      <c r="H67" s="77">
        <f>Entitlement!M61*(1-TPCIL!$L$11)-ISGS!G67</f>
        <v>229.674432</v>
      </c>
      <c r="I67" s="77">
        <f>Entitlement!BB61*(1-TPCIL!$L$11)-ISGS!U67</f>
        <v>59.103471</v>
      </c>
      <c r="J67" s="77">
        <f>Entitlement!AG61*(1-TPCIL!$L$11)-ISGS!N67</f>
        <v>121.433883</v>
      </c>
      <c r="K67" s="77">
        <f>Entitlement!AJ61*(1-TPCIL!$L$11)-ISGS!O67</f>
        <v>243.416171</v>
      </c>
      <c r="L67" s="77">
        <f>Entitlement!AM61*(1-TPCIL!$L$11)-ISGS!P67</f>
        <v>64.321259</v>
      </c>
      <c r="M67" s="77">
        <f>Entitlement!AS61*(1-TPCIL!$L$11)-ISGS!R67</f>
        <v>194.814695</v>
      </c>
      <c r="N67" s="77">
        <f>Entitlement!AP61-ISGS!Q67</f>
        <v>0</v>
      </c>
      <c r="O67" s="77">
        <f>Entitlement!AY61*(1-TPCIL!$L$11)-ISGS!T67</f>
        <v>0.00110800000000211</v>
      </c>
      <c r="P67" s="77">
        <f>Entitlement!X61*(1-TPCIL!$L$11)-ISGS!K67</f>
        <v>2.023061</v>
      </c>
      <c r="Q67" s="77">
        <f>Entitlement!U61*(1-TPCIL!$L$11)-ISGS!J67</f>
        <v>0.00054500000000246</v>
      </c>
      <c r="R67" s="77">
        <f>Entitlement!AA61*(1-TPCIL!$L$11)-ISGS!L67</f>
        <v>7.481934</v>
      </c>
      <c r="S67" s="77">
        <f>Entitlement!R61*(1-TPCIL!$L$11)-ISGS!I67</f>
        <v>0.00436299999999878</v>
      </c>
      <c r="T67" s="77">
        <f>Entitlement!AD61*(1-TPCIL!$L$11)-ISGS!M67</f>
        <v>0.00215199999999527</v>
      </c>
      <c r="U67" s="77">
        <f>Entitlement!AV61*(1-TPCIL!$L$11)-ISGS!S67</f>
        <v>0.00303199999999038</v>
      </c>
      <c r="V67" s="77">
        <f t="shared" si="0"/>
        <v>922.287576</v>
      </c>
      <c r="W67" s="80">
        <f t="shared" si="1"/>
        <v>922.287576</v>
      </c>
      <c r="X67" s="1">
        <f t="shared" si="2"/>
        <v>0.00303199999999038</v>
      </c>
    </row>
    <row r="68" spans="1:24">
      <c r="A68" s="75">
        <v>56</v>
      </c>
      <c r="B68" s="75" t="s">
        <v>69</v>
      </c>
      <c r="C68" s="77">
        <f>Entitlement!D62*(1-TPCIL!$L$11)-ISGS!C68</f>
        <v>0.0038589999999985</v>
      </c>
      <c r="D68" s="77">
        <f>Entitlement!F62*(1-TPCIL!$L$11)-ISGS!D68</f>
        <v>0.00215799999998723</v>
      </c>
      <c r="E68" s="77">
        <f>Entitlement!H62*(1-TPCIL!$L$11)-ISGS!E68</f>
        <v>0</v>
      </c>
      <c r="F68" s="77">
        <f>Entitlement!J62*(1-TPCIL!$L$11)-ISGS!F68</f>
        <v>0</v>
      </c>
      <c r="G68" s="77">
        <f>Entitlement!O62*(1-TPCIL!$L$11)-ISGS!H68</f>
        <v>0.0014529999999997</v>
      </c>
      <c r="H68" s="77">
        <f>Entitlement!M62*(1-TPCIL!$L$11)-ISGS!G68</f>
        <v>229.674432</v>
      </c>
      <c r="I68" s="77">
        <f>Entitlement!BB62*(1-TPCIL!$L$11)-ISGS!U68</f>
        <v>50.243471</v>
      </c>
      <c r="J68" s="77">
        <f>Entitlement!AG62*(1-TPCIL!$L$11)-ISGS!N68</f>
        <v>121.433883</v>
      </c>
      <c r="K68" s="77">
        <f>Entitlement!AJ62*(1-TPCIL!$L$11)-ISGS!O68</f>
        <v>127.936171</v>
      </c>
      <c r="L68" s="77">
        <f>Entitlement!AM62*(1-TPCIL!$L$11)-ISGS!P68</f>
        <v>39.311259</v>
      </c>
      <c r="M68" s="77">
        <f>Entitlement!AS62*(1-TPCIL!$L$11)-ISGS!R68</f>
        <v>142.324695</v>
      </c>
      <c r="N68" s="77">
        <f>Entitlement!AP62-ISGS!Q68</f>
        <v>0</v>
      </c>
      <c r="O68" s="77">
        <f>Entitlement!AY62*(1-TPCIL!$L$11)-ISGS!T68</f>
        <v>0.00110800000000211</v>
      </c>
      <c r="P68" s="77">
        <f>Entitlement!X62*(1-TPCIL!$L$11)-ISGS!K68</f>
        <v>0.00306099999999532</v>
      </c>
      <c r="Q68" s="77">
        <f>Entitlement!U62*(1-TPCIL!$L$11)-ISGS!J68</f>
        <v>0.00054500000000246</v>
      </c>
      <c r="R68" s="77">
        <f>Entitlement!AA62*(1-TPCIL!$L$11)-ISGS!L68</f>
        <v>5.501934</v>
      </c>
      <c r="S68" s="77">
        <f>Entitlement!R62*(1-TPCIL!$L$11)-ISGS!I68</f>
        <v>0.00436299999999878</v>
      </c>
      <c r="T68" s="77">
        <f>Entitlement!AD62*(1-TPCIL!$L$11)-ISGS!M68</f>
        <v>0.00215199999999527</v>
      </c>
      <c r="U68" s="77">
        <f>Entitlement!AV62*(1-TPCIL!$L$11)-ISGS!S68</f>
        <v>0.00303199999999038</v>
      </c>
      <c r="V68" s="77">
        <f t="shared" si="0"/>
        <v>716.447576</v>
      </c>
      <c r="W68" s="80">
        <f t="shared" si="1"/>
        <v>716.447576</v>
      </c>
      <c r="X68" s="81">
        <f t="shared" si="2"/>
        <v>0.00303199999999038</v>
      </c>
    </row>
    <row r="69" spans="1:24">
      <c r="A69" s="75">
        <v>57</v>
      </c>
      <c r="B69" s="75" t="s">
        <v>70</v>
      </c>
      <c r="C69" s="77">
        <f>Entitlement!D63*(1-TPCIL!$L$11)-ISGS!C69</f>
        <v>0.0038589999999985</v>
      </c>
      <c r="D69" s="77">
        <f>Entitlement!F63*(1-TPCIL!$L$11)-ISGS!D69</f>
        <v>0.00215799999998723</v>
      </c>
      <c r="E69" s="77">
        <f>Entitlement!H63*(1-TPCIL!$L$11)-ISGS!E69</f>
        <v>0</v>
      </c>
      <c r="F69" s="77">
        <f>Entitlement!J63*(1-TPCIL!$L$11)-ISGS!F69</f>
        <v>0</v>
      </c>
      <c r="G69" s="77">
        <f>Entitlement!O63*(1-TPCIL!$L$11)-ISGS!H69</f>
        <v>0.0014529999999997</v>
      </c>
      <c r="H69" s="77">
        <f>Entitlement!M63*(1-TPCIL!$L$11)-ISGS!G69</f>
        <v>229.674432</v>
      </c>
      <c r="I69" s="77">
        <f>Entitlement!BB63*(1-TPCIL!$L$11)-ISGS!U69</f>
        <v>25.203471</v>
      </c>
      <c r="J69" s="77">
        <f>Entitlement!AG63*(1-TPCIL!$L$11)-ISGS!N69</f>
        <v>121.433883</v>
      </c>
      <c r="K69" s="77">
        <f>Entitlement!AJ63*(1-TPCIL!$L$11)-ISGS!O69</f>
        <v>-0.00382899999999609</v>
      </c>
      <c r="L69" s="77">
        <f>Entitlement!AM63*(1-TPCIL!$L$11)-ISGS!P69</f>
        <v>3.78125900000001</v>
      </c>
      <c r="M69" s="77">
        <f>Entitlement!AS63*(1-TPCIL!$L$11)-ISGS!R69</f>
        <v>31.274695</v>
      </c>
      <c r="N69" s="77">
        <f>Entitlement!AP63-ISGS!Q69</f>
        <v>0</v>
      </c>
      <c r="O69" s="77">
        <f>Entitlement!AY63*(1-TPCIL!$L$11)-ISGS!T69</f>
        <v>0.00110800000000211</v>
      </c>
      <c r="P69" s="77">
        <f>Entitlement!X63*(1-TPCIL!$L$11)-ISGS!K69</f>
        <v>0.00306099999999532</v>
      </c>
      <c r="Q69" s="77">
        <f>Entitlement!U63*(1-TPCIL!$L$11)-ISGS!J69</f>
        <v>0.00054500000000246</v>
      </c>
      <c r="R69" s="77">
        <f>Entitlement!AA63*(1-TPCIL!$L$11)-ISGS!L69</f>
        <v>0.461934</v>
      </c>
      <c r="S69" s="77">
        <f>Entitlement!R63*(1-TPCIL!$L$11)-ISGS!I69</f>
        <v>0.00436299999999878</v>
      </c>
      <c r="T69" s="77">
        <f>Entitlement!AD63*(1-TPCIL!$L$11)-ISGS!M69</f>
        <v>0.00215199999999527</v>
      </c>
      <c r="U69" s="77">
        <f>Entitlement!AV63*(1-TPCIL!$L$11)-ISGS!S69</f>
        <v>0.00303199999999038</v>
      </c>
      <c r="V69" s="77">
        <f t="shared" si="0"/>
        <v>411.847576</v>
      </c>
      <c r="W69" s="80">
        <f t="shared" si="1"/>
        <v>411.847576</v>
      </c>
      <c r="X69" s="81">
        <f t="shared" si="2"/>
        <v>0.00303199999999038</v>
      </c>
    </row>
    <row r="70" spans="1:24">
      <c r="A70" s="75">
        <v>58</v>
      </c>
      <c r="B70" s="75" t="s">
        <v>71</v>
      </c>
      <c r="C70" s="77">
        <f>Entitlement!D64*(1-TPCIL!$L$11)-ISGS!C70</f>
        <v>0.0038589999999985</v>
      </c>
      <c r="D70" s="77">
        <f>Entitlement!F64*(1-TPCIL!$L$11)-ISGS!D70</f>
        <v>0.00215799999998723</v>
      </c>
      <c r="E70" s="77">
        <f>Entitlement!H64*(1-TPCIL!$L$11)-ISGS!E70</f>
        <v>0</v>
      </c>
      <c r="F70" s="77">
        <f>Entitlement!J64*(1-TPCIL!$L$11)-ISGS!F70</f>
        <v>0</v>
      </c>
      <c r="G70" s="77">
        <f>Entitlement!O64*(1-TPCIL!$L$11)-ISGS!H70</f>
        <v>0.0014529999999997</v>
      </c>
      <c r="H70" s="77">
        <f>Entitlement!M64*(1-TPCIL!$L$11)-ISGS!G70</f>
        <v>229.674432</v>
      </c>
      <c r="I70" s="77">
        <f>Entitlement!BB64*(1-TPCIL!$L$11)-ISGS!U70</f>
        <v>0.00347099999999756</v>
      </c>
      <c r="J70" s="77">
        <f>Entitlement!AG64*(1-TPCIL!$L$11)-ISGS!N70</f>
        <v>121.433883</v>
      </c>
      <c r="K70" s="77">
        <f>Entitlement!AJ64*(1-TPCIL!$L$11)-ISGS!O70</f>
        <v>-0.00382899999999609</v>
      </c>
      <c r="L70" s="77">
        <f>Entitlement!AM64*(1-TPCIL!$L$11)-ISGS!P70</f>
        <v>0.00125900000000456</v>
      </c>
      <c r="M70" s="77">
        <f>Entitlement!AS64*(1-TPCIL!$L$11)-ISGS!R70</f>
        <v>0.00469499999999812</v>
      </c>
      <c r="N70" s="77">
        <f>Entitlement!AP64-ISGS!Q70</f>
        <v>0</v>
      </c>
      <c r="O70" s="77">
        <f>Entitlement!AY64*(1-TPCIL!$L$11)-ISGS!T70</f>
        <v>0.00110800000000211</v>
      </c>
      <c r="P70" s="77">
        <f>Entitlement!X64*(1-TPCIL!$L$11)-ISGS!K70</f>
        <v>0.00306099999999532</v>
      </c>
      <c r="Q70" s="77">
        <f>Entitlement!U64*(1-TPCIL!$L$11)-ISGS!J70</f>
        <v>0.00054500000000246</v>
      </c>
      <c r="R70" s="77">
        <f>Entitlement!AA64*(1-TPCIL!$L$11)-ISGS!L70</f>
        <v>0.00193399999999944</v>
      </c>
      <c r="S70" s="77">
        <f>Entitlement!R64*(1-TPCIL!$L$11)-ISGS!I70</f>
        <v>0.00436299999999878</v>
      </c>
      <c r="T70" s="77">
        <f>Entitlement!AD64*(1-TPCIL!$L$11)-ISGS!M70</f>
        <v>0.00215199999999527</v>
      </c>
      <c r="U70" s="77">
        <f>Entitlement!AV64*(1-TPCIL!$L$11)-ISGS!S70</f>
        <v>0.00303199999999038</v>
      </c>
      <c r="V70" s="77">
        <f t="shared" si="0"/>
        <v>351.137576</v>
      </c>
      <c r="W70" s="80">
        <f t="shared" si="1"/>
        <v>351.137576</v>
      </c>
      <c r="X70" s="81">
        <f t="shared" si="2"/>
        <v>0.00303199999999038</v>
      </c>
    </row>
    <row r="71" spans="1:24">
      <c r="A71" s="75">
        <v>59</v>
      </c>
      <c r="B71" s="75" t="s">
        <v>72</v>
      </c>
      <c r="C71" s="77">
        <f>Entitlement!D65*(1-TPCIL!$L$11)-ISGS!C71</f>
        <v>0.0038589999999985</v>
      </c>
      <c r="D71" s="77">
        <f>Entitlement!F65*(1-TPCIL!$L$11)-ISGS!D71</f>
        <v>0.00215799999998723</v>
      </c>
      <c r="E71" s="77">
        <f>Entitlement!H65*(1-TPCIL!$L$11)-ISGS!E71</f>
        <v>0</v>
      </c>
      <c r="F71" s="77">
        <f>Entitlement!J65*(1-TPCIL!$L$11)-ISGS!F71</f>
        <v>0</v>
      </c>
      <c r="G71" s="77">
        <f>Entitlement!O65*(1-TPCIL!$L$11)-ISGS!H71</f>
        <v>0.0014529999999997</v>
      </c>
      <c r="H71" s="77">
        <f>Entitlement!M65*(1-TPCIL!$L$11)-ISGS!G71</f>
        <v>229.674432</v>
      </c>
      <c r="I71" s="77">
        <f>Entitlement!BB65*(1-TPCIL!$L$11)-ISGS!U71</f>
        <v>0.00347099999999756</v>
      </c>
      <c r="J71" s="77">
        <f>Entitlement!AG65*(1-TPCIL!$L$11)-ISGS!N71</f>
        <v>50.043883</v>
      </c>
      <c r="K71" s="77">
        <f>Entitlement!AJ65*(1-TPCIL!$L$11)-ISGS!O71</f>
        <v>-0.00382899999999609</v>
      </c>
      <c r="L71" s="77">
        <f>Entitlement!AM65*(1-TPCIL!$L$11)-ISGS!P71</f>
        <v>0.00125900000000456</v>
      </c>
      <c r="M71" s="77">
        <f>Entitlement!AS65*(1-TPCIL!$L$11)-ISGS!R71</f>
        <v>0.00469499999999812</v>
      </c>
      <c r="N71" s="77">
        <f>Entitlement!AP65-ISGS!Q71</f>
        <v>0</v>
      </c>
      <c r="O71" s="77">
        <f>Entitlement!AY65*(1-TPCIL!$L$11)-ISGS!T71</f>
        <v>0.00110800000000211</v>
      </c>
      <c r="P71" s="77">
        <f>Entitlement!X65*(1-TPCIL!$L$11)-ISGS!K71</f>
        <v>0.00306099999999532</v>
      </c>
      <c r="Q71" s="77">
        <f>Entitlement!U65*(1-TPCIL!$L$11)-ISGS!J71</f>
        <v>0.00054500000000246</v>
      </c>
      <c r="R71" s="77">
        <f>Entitlement!AA65*(1-TPCIL!$L$11)-ISGS!L71</f>
        <v>0.00193399999999944</v>
      </c>
      <c r="S71" s="77">
        <f>Entitlement!R65*(1-TPCIL!$L$11)-ISGS!I71</f>
        <v>0.00436299999999878</v>
      </c>
      <c r="T71" s="77">
        <f>Entitlement!AD65*(1-TPCIL!$L$11)-ISGS!M71</f>
        <v>0.00215199999999527</v>
      </c>
      <c r="U71" s="77">
        <f>Entitlement!AV65*(1-TPCIL!$L$11)-ISGS!S71</f>
        <v>0.00303199999999038</v>
      </c>
      <c r="V71" s="77">
        <f t="shared" si="0"/>
        <v>279.747576</v>
      </c>
      <c r="W71" s="80">
        <f t="shared" si="1"/>
        <v>279.747576</v>
      </c>
      <c r="X71" s="81">
        <f t="shared" si="2"/>
        <v>0.00303199999999038</v>
      </c>
    </row>
    <row r="72" spans="1:24">
      <c r="A72" s="75">
        <v>60</v>
      </c>
      <c r="B72" s="75" t="s">
        <v>73</v>
      </c>
      <c r="C72" s="77">
        <f>Entitlement!D66*(1-TPCIL!$L$11)-ISGS!C72</f>
        <v>0.0038589999999985</v>
      </c>
      <c r="D72" s="77">
        <f>Entitlement!F66*(1-TPCIL!$L$11)-ISGS!D72</f>
        <v>0.00215799999998723</v>
      </c>
      <c r="E72" s="77">
        <f>Entitlement!H66*(1-TPCIL!$L$11)-ISGS!E72</f>
        <v>0</v>
      </c>
      <c r="F72" s="77">
        <f>Entitlement!J66*(1-TPCIL!$L$11)-ISGS!F72</f>
        <v>0</v>
      </c>
      <c r="G72" s="77">
        <f>Entitlement!O66*(1-TPCIL!$L$11)-ISGS!H72</f>
        <v>0.0014529999999997</v>
      </c>
      <c r="H72" s="77">
        <f>Entitlement!M66*(1-TPCIL!$L$11)-ISGS!G72</f>
        <v>0.00443200000000843</v>
      </c>
      <c r="I72" s="77">
        <f>Entitlement!BB66*(1-TPCIL!$L$11)-ISGS!U72</f>
        <v>0.00347099999999756</v>
      </c>
      <c r="J72" s="77">
        <f>Entitlement!AG66*(1-TPCIL!$L$11)-ISGS!N72</f>
        <v>0.00388299999998765</v>
      </c>
      <c r="K72" s="77">
        <f>Entitlement!AJ66*(1-TPCIL!$L$11)-ISGS!O72</f>
        <v>-0.00382899999999609</v>
      </c>
      <c r="L72" s="77">
        <f>Entitlement!AM66*(1-TPCIL!$L$11)-ISGS!P72</f>
        <v>0.00125900000000456</v>
      </c>
      <c r="M72" s="77">
        <f>Entitlement!AS66*(1-TPCIL!$L$11)-ISGS!R72</f>
        <v>0.00469499999999812</v>
      </c>
      <c r="N72" s="77">
        <f>Entitlement!AP66-ISGS!Q72</f>
        <v>0</v>
      </c>
      <c r="O72" s="77">
        <f>Entitlement!AY66*(1-TPCIL!$L$11)-ISGS!T72</f>
        <v>0.00110800000000211</v>
      </c>
      <c r="P72" s="77">
        <f>Entitlement!X66*(1-TPCIL!$L$11)-ISGS!K72</f>
        <v>-0.00499099999999686</v>
      </c>
      <c r="Q72" s="77">
        <f>Entitlement!U66*(1-TPCIL!$L$11)-ISGS!J72</f>
        <v>-0.004722000000001</v>
      </c>
      <c r="R72" s="77">
        <f>Entitlement!AA66*(1-TPCIL!$L$11)-ISGS!L72</f>
        <v>0.00193399999999944</v>
      </c>
      <c r="S72" s="77">
        <f>Entitlement!R66*(1-TPCIL!$L$11)-ISGS!I72</f>
        <v>0.00436299999999878</v>
      </c>
      <c r="T72" s="77">
        <f>Entitlement!AD66*(1-TPCIL!$L$11)-ISGS!M72</f>
        <v>0.00215199999999527</v>
      </c>
      <c r="U72" s="77">
        <f>Entitlement!AV66*(1-TPCIL!$L$11)-ISGS!S72</f>
        <v>0.00303199999999038</v>
      </c>
      <c r="V72" s="77">
        <f t="shared" si="0"/>
        <v>0.0242569999999738</v>
      </c>
      <c r="W72" s="80">
        <f t="shared" si="1"/>
        <v>0.0242569999999738</v>
      </c>
      <c r="X72" s="81">
        <f t="shared" si="2"/>
        <v>0.00303199999999038</v>
      </c>
    </row>
    <row r="73" spans="1:24">
      <c r="A73" s="75">
        <v>61</v>
      </c>
      <c r="B73" s="75" t="s">
        <v>74</v>
      </c>
      <c r="C73" s="77">
        <f>Entitlement!D67*(1-TPCIL!$L$11)-ISGS!C73</f>
        <v>0.0038589999999985</v>
      </c>
      <c r="D73" s="77">
        <f>Entitlement!F67*(1-TPCIL!$L$11)-ISGS!D73</f>
        <v>0.00215799999998723</v>
      </c>
      <c r="E73" s="77">
        <f>Entitlement!H67*(1-TPCIL!$L$11)-ISGS!E73</f>
        <v>0</v>
      </c>
      <c r="F73" s="77">
        <f>Entitlement!J67*(1-TPCIL!$L$11)-ISGS!F73</f>
        <v>0</v>
      </c>
      <c r="G73" s="77">
        <f>Entitlement!O67*(1-TPCIL!$L$11)-ISGS!H73</f>
        <v>0.0014529999999997</v>
      </c>
      <c r="H73" s="77">
        <f>Entitlement!M67*(1-TPCIL!$L$11)-ISGS!G73</f>
        <v>0.00443200000000843</v>
      </c>
      <c r="I73" s="77">
        <f>Entitlement!BB67*(1-TPCIL!$L$11)-ISGS!U73</f>
        <v>0.00347099999999756</v>
      </c>
      <c r="J73" s="77">
        <f>Entitlement!AG67*(1-TPCIL!$L$11)-ISGS!N73</f>
        <v>21.353883</v>
      </c>
      <c r="K73" s="77">
        <f>Entitlement!AJ67*(1-TPCIL!$L$11)-ISGS!O73</f>
        <v>-0.00382899999999609</v>
      </c>
      <c r="L73" s="77">
        <f>Entitlement!AM67*(1-TPCIL!$L$11)-ISGS!P73</f>
        <v>0.00125900000000456</v>
      </c>
      <c r="M73" s="77">
        <f>Entitlement!AS67*(1-TPCIL!$L$11)-ISGS!R73</f>
        <v>0.00469499999999812</v>
      </c>
      <c r="N73" s="77">
        <f>Entitlement!AP67-ISGS!Q73</f>
        <v>0</v>
      </c>
      <c r="O73" s="77">
        <f>Entitlement!AY67*(1-TPCIL!$L$11)-ISGS!T73</f>
        <v>0.00110800000000211</v>
      </c>
      <c r="P73" s="77">
        <f>Entitlement!X67*(1-TPCIL!$L$11)-ISGS!K73</f>
        <v>-0.00499099999999686</v>
      </c>
      <c r="Q73" s="77">
        <f>Entitlement!U67*(1-TPCIL!$L$11)-ISGS!J73</f>
        <v>-0.004722000000001</v>
      </c>
      <c r="R73" s="77">
        <f>Entitlement!AA67*(1-TPCIL!$L$11)-ISGS!L73</f>
        <v>0.00193399999999944</v>
      </c>
      <c r="S73" s="77">
        <f>Entitlement!R67*(1-TPCIL!$L$11)-ISGS!I73</f>
        <v>0.00436299999999878</v>
      </c>
      <c r="T73" s="77">
        <f>Entitlement!AD67*(1-TPCIL!$L$11)-ISGS!M73</f>
        <v>0.00215199999999527</v>
      </c>
      <c r="U73" s="77">
        <f>Entitlement!AV67*(1-TPCIL!$L$11)-ISGS!S73</f>
        <v>0.00303199999999038</v>
      </c>
      <c r="V73" s="77">
        <f t="shared" si="0"/>
        <v>21.374257</v>
      </c>
      <c r="W73" s="80">
        <f t="shared" si="1"/>
        <v>21.374257</v>
      </c>
      <c r="X73" s="81">
        <f t="shared" si="2"/>
        <v>0.00303199999999038</v>
      </c>
    </row>
    <row r="74" spans="1:24">
      <c r="A74" s="75">
        <v>62</v>
      </c>
      <c r="B74" s="75" t="s">
        <v>75</v>
      </c>
      <c r="C74" s="77">
        <f>Entitlement!D68*(1-TPCIL!$L$11)-ISGS!C74</f>
        <v>0.0038589999999985</v>
      </c>
      <c r="D74" s="77">
        <f>Entitlement!F68*(1-TPCIL!$L$11)-ISGS!D74</f>
        <v>0.00215799999998723</v>
      </c>
      <c r="E74" s="77">
        <f>Entitlement!H68*(1-TPCIL!$L$11)-ISGS!E74</f>
        <v>0</v>
      </c>
      <c r="F74" s="77">
        <f>Entitlement!J68*(1-TPCIL!$L$11)-ISGS!F74</f>
        <v>0</v>
      </c>
      <c r="G74" s="77">
        <f>Entitlement!O68*(1-TPCIL!$L$11)-ISGS!H74</f>
        <v>0.0014529999999997</v>
      </c>
      <c r="H74" s="77">
        <f>Entitlement!M68*(1-TPCIL!$L$11)-ISGS!G74</f>
        <v>70.134432</v>
      </c>
      <c r="I74" s="77">
        <f>Entitlement!BB68*(1-TPCIL!$L$11)-ISGS!U74</f>
        <v>0.00347099999999756</v>
      </c>
      <c r="J74" s="77">
        <f>Entitlement!AG68*(1-TPCIL!$L$11)-ISGS!N74</f>
        <v>29.373883</v>
      </c>
      <c r="K74" s="77">
        <f>Entitlement!AJ68*(1-TPCIL!$L$11)-ISGS!O74</f>
        <v>-0.00382899999999609</v>
      </c>
      <c r="L74" s="77">
        <f>Entitlement!AM68*(1-TPCIL!$L$11)-ISGS!P74</f>
        <v>0.00125900000000456</v>
      </c>
      <c r="M74" s="77">
        <f>Entitlement!AS68*(1-TPCIL!$L$11)-ISGS!R74</f>
        <v>0.00469499999999812</v>
      </c>
      <c r="N74" s="77">
        <f>Entitlement!AP68-ISGS!Q74</f>
        <v>0</v>
      </c>
      <c r="O74" s="77">
        <f>Entitlement!AY68*(1-TPCIL!$L$11)-ISGS!T74</f>
        <v>0.00110800000000211</v>
      </c>
      <c r="P74" s="77">
        <f>Entitlement!X68*(1-TPCIL!$L$11)-ISGS!K74</f>
        <v>-0.00499099999999686</v>
      </c>
      <c r="Q74" s="77">
        <f>Entitlement!U68*(1-TPCIL!$L$11)-ISGS!J74</f>
        <v>-0.004722000000001</v>
      </c>
      <c r="R74" s="77">
        <f>Entitlement!AA68*(1-TPCIL!$L$11)-ISGS!L74</f>
        <v>0.00193399999999944</v>
      </c>
      <c r="S74" s="77">
        <f>Entitlement!R68*(1-TPCIL!$L$11)-ISGS!I74</f>
        <v>0.00436299999999878</v>
      </c>
      <c r="T74" s="77">
        <f>Entitlement!AD68*(1-TPCIL!$L$11)-ISGS!M74</f>
        <v>0.00215199999999527</v>
      </c>
      <c r="U74" s="77">
        <f>Entitlement!AV68*(1-TPCIL!$L$11)-ISGS!S74</f>
        <v>0.00303199999999038</v>
      </c>
      <c r="V74" s="77">
        <f t="shared" si="0"/>
        <v>99.524257</v>
      </c>
      <c r="W74" s="80">
        <f t="shared" si="1"/>
        <v>99.524257</v>
      </c>
      <c r="X74" s="81">
        <f t="shared" si="2"/>
        <v>0.00303199999999038</v>
      </c>
    </row>
    <row r="75" spans="1:24">
      <c r="A75" s="75">
        <v>63</v>
      </c>
      <c r="B75" s="75" t="s">
        <v>76</v>
      </c>
      <c r="C75" s="77">
        <f>Entitlement!D69*(1-TPCIL!$L$11)-ISGS!C75</f>
        <v>0.0038589999999985</v>
      </c>
      <c r="D75" s="77">
        <f>Entitlement!F69*(1-TPCIL!$L$11)-ISGS!D75</f>
        <v>0.00215799999998723</v>
      </c>
      <c r="E75" s="77">
        <f>Entitlement!H69*(1-TPCIL!$L$11)-ISGS!E75</f>
        <v>0</v>
      </c>
      <c r="F75" s="77">
        <f>Entitlement!J69*(1-TPCIL!$L$11)-ISGS!F75</f>
        <v>0</v>
      </c>
      <c r="G75" s="77">
        <f>Entitlement!O69*(1-TPCIL!$L$11)-ISGS!H75</f>
        <v>0.0014529999999997</v>
      </c>
      <c r="H75" s="77">
        <f>Entitlement!M69*(1-TPCIL!$L$11)-ISGS!G75</f>
        <v>70.134432</v>
      </c>
      <c r="I75" s="77">
        <f>Entitlement!BB69*(1-TPCIL!$L$11)-ISGS!U75</f>
        <v>0.00347099999999756</v>
      </c>
      <c r="J75" s="77">
        <f>Entitlement!AG69*(1-TPCIL!$L$11)-ISGS!N75</f>
        <v>17.223883</v>
      </c>
      <c r="K75" s="77">
        <f>Entitlement!AJ69*(1-TPCIL!$L$11)-ISGS!O75</f>
        <v>-0.00382899999999609</v>
      </c>
      <c r="L75" s="77">
        <f>Entitlement!AM69*(1-TPCIL!$L$11)-ISGS!P75</f>
        <v>0.00125900000000456</v>
      </c>
      <c r="M75" s="77">
        <f>Entitlement!AS69*(1-TPCIL!$L$11)-ISGS!R75</f>
        <v>0.00469499999999812</v>
      </c>
      <c r="N75" s="77">
        <f>Entitlement!AP69-ISGS!Q75</f>
        <v>0</v>
      </c>
      <c r="O75" s="77">
        <f>Entitlement!AY69*(1-TPCIL!$L$11)-ISGS!T75</f>
        <v>0.00110800000000211</v>
      </c>
      <c r="P75" s="77">
        <f>Entitlement!X69*(1-TPCIL!$L$11)-ISGS!K75</f>
        <v>-0.00499099999999686</v>
      </c>
      <c r="Q75" s="77">
        <f>Entitlement!U69*(1-TPCIL!$L$11)-ISGS!J75</f>
        <v>-0.004722000000001</v>
      </c>
      <c r="R75" s="77">
        <f>Entitlement!AA69*(1-TPCIL!$L$11)-ISGS!L75</f>
        <v>0.00193399999999944</v>
      </c>
      <c r="S75" s="77">
        <f>Entitlement!R69*(1-TPCIL!$L$11)-ISGS!I75</f>
        <v>0.00436299999999878</v>
      </c>
      <c r="T75" s="77">
        <f>Entitlement!AD69*(1-TPCIL!$L$11)-ISGS!M75</f>
        <v>0.00215199999999527</v>
      </c>
      <c r="U75" s="77">
        <f>Entitlement!AV69*(1-TPCIL!$L$11)-ISGS!S75</f>
        <v>0.00303199999999038</v>
      </c>
      <c r="V75" s="77">
        <f t="shared" si="0"/>
        <v>87.374257</v>
      </c>
      <c r="W75" s="80">
        <f t="shared" si="1"/>
        <v>87.374257</v>
      </c>
      <c r="X75" s="81">
        <f t="shared" si="2"/>
        <v>0.00303199999999038</v>
      </c>
    </row>
    <row r="76" spans="1:24">
      <c r="A76" s="75">
        <v>64</v>
      </c>
      <c r="B76" s="75" t="s">
        <v>77</v>
      </c>
      <c r="C76" s="77">
        <f>Entitlement!D70*(1-TPCIL!$L$11)-ISGS!C76</f>
        <v>0.0038589999999985</v>
      </c>
      <c r="D76" s="77">
        <f>Entitlement!F70*(1-TPCIL!$L$11)-ISGS!D76</f>
        <v>0.00215799999998723</v>
      </c>
      <c r="E76" s="77">
        <f>Entitlement!H70*(1-TPCIL!$L$11)-ISGS!E76</f>
        <v>0</v>
      </c>
      <c r="F76" s="77">
        <f>Entitlement!J70*(1-TPCIL!$L$11)-ISGS!F76</f>
        <v>0</v>
      </c>
      <c r="G76" s="77">
        <f>Entitlement!O70*(1-TPCIL!$L$11)-ISGS!H76</f>
        <v>0.0014529999999997</v>
      </c>
      <c r="H76" s="77">
        <f>Entitlement!M70*(1-TPCIL!$L$11)-ISGS!G76</f>
        <v>103.354432</v>
      </c>
      <c r="I76" s="77">
        <f>Entitlement!BB70*(1-TPCIL!$L$11)-ISGS!U76</f>
        <v>0.00347099999999756</v>
      </c>
      <c r="J76" s="77">
        <f>Entitlement!AG70*(1-TPCIL!$L$11)-ISGS!N76</f>
        <v>0.00388299999998765</v>
      </c>
      <c r="K76" s="77">
        <f>Entitlement!AJ70*(1-TPCIL!$L$11)-ISGS!O76</f>
        <v>-0.00382899999999609</v>
      </c>
      <c r="L76" s="77">
        <f>Entitlement!AM70*(1-TPCIL!$L$11)-ISGS!P76</f>
        <v>0.00125900000000456</v>
      </c>
      <c r="M76" s="77">
        <f>Entitlement!AS70*(1-TPCIL!$L$11)-ISGS!R76</f>
        <v>0.00469499999999812</v>
      </c>
      <c r="N76" s="77">
        <f>Entitlement!AP70-ISGS!Q76</f>
        <v>0</v>
      </c>
      <c r="O76" s="77">
        <f>Entitlement!AY70*(1-TPCIL!$L$11)-ISGS!T76</f>
        <v>0.00110800000000211</v>
      </c>
      <c r="P76" s="77">
        <f>Entitlement!X70*(1-TPCIL!$L$11)-ISGS!K76</f>
        <v>-0.00499099999999686</v>
      </c>
      <c r="Q76" s="77">
        <f>Entitlement!U70*(1-TPCIL!$L$11)-ISGS!J76</f>
        <v>-0.004722000000001</v>
      </c>
      <c r="R76" s="77">
        <f>Entitlement!AA70*(1-TPCIL!$L$11)-ISGS!L76</f>
        <v>0.00193399999999944</v>
      </c>
      <c r="S76" s="77">
        <f>Entitlement!R70*(1-TPCIL!$L$11)-ISGS!I76</f>
        <v>0.00436299999999878</v>
      </c>
      <c r="T76" s="77">
        <f>Entitlement!AD70*(1-TPCIL!$L$11)-ISGS!M76</f>
        <v>0.00215199999999527</v>
      </c>
      <c r="U76" s="77">
        <f>Entitlement!AV70*(1-TPCIL!$L$11)-ISGS!S76</f>
        <v>0.00303199999999038</v>
      </c>
      <c r="V76" s="77">
        <f t="shared" si="0"/>
        <v>103.374257</v>
      </c>
      <c r="W76" s="80">
        <f t="shared" si="1"/>
        <v>103.374257</v>
      </c>
      <c r="X76" s="81">
        <f t="shared" si="2"/>
        <v>0.00303199999999038</v>
      </c>
    </row>
    <row r="77" spans="1:24">
      <c r="A77" s="75">
        <v>65</v>
      </c>
      <c r="B77" s="75" t="s">
        <v>78</v>
      </c>
      <c r="C77" s="77">
        <f>Entitlement!D71*(1-TPCIL!$L$11)-ISGS!C77</f>
        <v>0.0038589999999985</v>
      </c>
      <c r="D77" s="77">
        <f>Entitlement!F71*(1-TPCIL!$L$11)-ISGS!D77</f>
        <v>0.00215799999998723</v>
      </c>
      <c r="E77" s="77">
        <f>Entitlement!H71*(1-TPCIL!$L$11)-ISGS!E77</f>
        <v>0</v>
      </c>
      <c r="F77" s="77">
        <f>Entitlement!J71*(1-TPCIL!$L$11)-ISGS!F77</f>
        <v>0</v>
      </c>
      <c r="G77" s="77">
        <f>Entitlement!O71*(1-TPCIL!$L$11)-ISGS!H77</f>
        <v>0.0014529999999997</v>
      </c>
      <c r="H77" s="77">
        <f>Entitlement!M71*(1-TPCIL!$L$11)-ISGS!G77</f>
        <v>85.784432</v>
      </c>
      <c r="I77" s="77">
        <f>Entitlement!BB71*(1-TPCIL!$L$11)-ISGS!U77</f>
        <v>0.00347099999999756</v>
      </c>
      <c r="J77" s="77">
        <f>Entitlement!AG71*(1-TPCIL!$L$11)-ISGS!N77</f>
        <v>0.00388299999998765</v>
      </c>
      <c r="K77" s="77">
        <f>Entitlement!AJ71*(1-TPCIL!$L$11)-ISGS!O77</f>
        <v>-0.00382899999999609</v>
      </c>
      <c r="L77" s="77">
        <f>Entitlement!AM71*(1-TPCIL!$L$11)-ISGS!P77</f>
        <v>0.00125900000000456</v>
      </c>
      <c r="M77" s="77">
        <f>Entitlement!AS71*(1-TPCIL!$L$11)-ISGS!R77</f>
        <v>0.00469499999999812</v>
      </c>
      <c r="N77" s="77">
        <f>Entitlement!AP71-ISGS!Q77</f>
        <v>0</v>
      </c>
      <c r="O77" s="77">
        <f>Entitlement!AY71*(1-TPCIL!$L$11)-ISGS!T77</f>
        <v>0.00110800000000211</v>
      </c>
      <c r="P77" s="77">
        <f>Entitlement!X71*(1-TPCIL!$L$11)-ISGS!K77</f>
        <v>-0.00499099999999686</v>
      </c>
      <c r="Q77" s="77">
        <f>Entitlement!U71*(1-TPCIL!$L$11)-ISGS!J77</f>
        <v>-0.004722000000001</v>
      </c>
      <c r="R77" s="77">
        <f>Entitlement!AA71*(1-TPCIL!$L$11)-ISGS!L77</f>
        <v>0.00193399999999944</v>
      </c>
      <c r="S77" s="77">
        <f>Entitlement!R71*(1-TPCIL!$L$11)-ISGS!I77</f>
        <v>0.00436299999999878</v>
      </c>
      <c r="T77" s="77">
        <f>Entitlement!AD71*(1-TPCIL!$L$11)-ISGS!M77</f>
        <v>0.00215199999999527</v>
      </c>
      <c r="U77" s="77">
        <f>Entitlement!AV71*(1-TPCIL!$L$11)-ISGS!S77</f>
        <v>0.00303199999999038</v>
      </c>
      <c r="V77" s="77">
        <f t="shared" ref="V77:V108" si="3">SUM(C77:U77)</f>
        <v>85.804257</v>
      </c>
      <c r="W77" s="80">
        <f t="shared" ref="W77:W108" si="4">IF(V77&gt;0,V77,0)</f>
        <v>85.804257</v>
      </c>
      <c r="X77" s="81">
        <f t="shared" ref="X77:X108" si="5">IF((U77-18)&gt;0,0,U77)</f>
        <v>0.00303199999999038</v>
      </c>
    </row>
    <row r="78" spans="1:24">
      <c r="A78" s="75">
        <v>66</v>
      </c>
      <c r="B78" s="75" t="s">
        <v>79</v>
      </c>
      <c r="C78" s="77">
        <f>Entitlement!D72*(1-TPCIL!$L$11)-ISGS!C78</f>
        <v>0.0038589999999985</v>
      </c>
      <c r="D78" s="77">
        <f>Entitlement!F72*(1-TPCIL!$L$11)-ISGS!D78</f>
        <v>0.00215799999998723</v>
      </c>
      <c r="E78" s="77">
        <f>Entitlement!H72*(1-TPCIL!$L$11)-ISGS!E78</f>
        <v>0</v>
      </c>
      <c r="F78" s="77">
        <f>Entitlement!J72*(1-TPCIL!$L$11)-ISGS!F78</f>
        <v>0</v>
      </c>
      <c r="G78" s="77">
        <f>Entitlement!O72*(1-TPCIL!$L$11)-ISGS!H78</f>
        <v>0.0014529999999997</v>
      </c>
      <c r="H78" s="77">
        <f>Entitlement!M72*(1-TPCIL!$L$11)-ISGS!G78</f>
        <v>100.504432</v>
      </c>
      <c r="I78" s="77">
        <f>Entitlement!BB72*(1-TPCIL!$L$11)-ISGS!U78</f>
        <v>0.00347099999999756</v>
      </c>
      <c r="J78" s="77">
        <f>Entitlement!AG72*(1-TPCIL!$L$11)-ISGS!N78</f>
        <v>0.00388299999998765</v>
      </c>
      <c r="K78" s="77">
        <f>Entitlement!AJ72*(1-TPCIL!$L$11)-ISGS!O78</f>
        <v>-0.00382899999999609</v>
      </c>
      <c r="L78" s="77">
        <f>Entitlement!AM72*(1-TPCIL!$L$11)-ISGS!P78</f>
        <v>0.00125900000000456</v>
      </c>
      <c r="M78" s="77">
        <f>Entitlement!AS72*(1-TPCIL!$L$11)-ISGS!R78</f>
        <v>0.00469499999999812</v>
      </c>
      <c r="N78" s="77">
        <f>Entitlement!AP72-ISGS!Q78</f>
        <v>0</v>
      </c>
      <c r="O78" s="77">
        <f>Entitlement!AY72*(1-TPCIL!$L$11)-ISGS!T78</f>
        <v>0.00110800000000211</v>
      </c>
      <c r="P78" s="77">
        <f>Entitlement!X72*(1-TPCIL!$L$11)-ISGS!K78</f>
        <v>-0.00499099999999686</v>
      </c>
      <c r="Q78" s="77">
        <f>Entitlement!U72*(1-TPCIL!$L$11)-ISGS!J78</f>
        <v>-0.004722000000001</v>
      </c>
      <c r="R78" s="77">
        <f>Entitlement!AA72*(1-TPCIL!$L$11)-ISGS!L78</f>
        <v>0.00193399999999944</v>
      </c>
      <c r="S78" s="77">
        <f>Entitlement!R72*(1-TPCIL!$L$11)-ISGS!I78</f>
        <v>0.00436299999999878</v>
      </c>
      <c r="T78" s="77">
        <f>Entitlement!AD72*(1-TPCIL!$L$11)-ISGS!M78</f>
        <v>0.00215199999999527</v>
      </c>
      <c r="U78" s="77">
        <f>Entitlement!AV72*(1-TPCIL!$L$11)-ISGS!S78</f>
        <v>0.00303199999999038</v>
      </c>
      <c r="V78" s="77">
        <f t="shared" si="3"/>
        <v>100.524257</v>
      </c>
      <c r="W78" s="80">
        <f t="shared" si="4"/>
        <v>100.524257</v>
      </c>
      <c r="X78" s="81">
        <f t="shared" si="5"/>
        <v>0.00303199999999038</v>
      </c>
    </row>
    <row r="79" spans="1:24">
      <c r="A79" s="75">
        <v>67</v>
      </c>
      <c r="B79" s="75" t="s">
        <v>80</v>
      </c>
      <c r="C79" s="77">
        <f>Entitlement!D73*(1-TPCIL!$L$11)-ISGS!C79</f>
        <v>0.0038589999999985</v>
      </c>
      <c r="D79" s="77">
        <f>Entitlement!F73*(1-TPCIL!$L$11)-ISGS!D79</f>
        <v>0.00215799999998723</v>
      </c>
      <c r="E79" s="77">
        <f>Entitlement!H73*(1-TPCIL!$L$11)-ISGS!E79</f>
        <v>0</v>
      </c>
      <c r="F79" s="77">
        <f>Entitlement!J73*(1-TPCIL!$L$11)-ISGS!F79</f>
        <v>0</v>
      </c>
      <c r="G79" s="77">
        <f>Entitlement!O73*(1-TPCIL!$L$11)-ISGS!H79</f>
        <v>0.0014529999999997</v>
      </c>
      <c r="H79" s="77">
        <f>Entitlement!M73*(1-TPCIL!$L$11)-ISGS!G79</f>
        <v>100.504432</v>
      </c>
      <c r="I79" s="77">
        <f>Entitlement!BB73*(1-TPCIL!$L$11)-ISGS!U79</f>
        <v>0.00347099999999756</v>
      </c>
      <c r="J79" s="77">
        <f>Entitlement!AG73*(1-TPCIL!$L$11)-ISGS!N79</f>
        <v>0.00388299999998765</v>
      </c>
      <c r="K79" s="77">
        <f>Entitlement!AJ73*(1-TPCIL!$L$11)-ISGS!O79</f>
        <v>-0.00382899999999609</v>
      </c>
      <c r="L79" s="77">
        <f>Entitlement!AM73*(1-TPCIL!$L$11)-ISGS!P79</f>
        <v>0.00125900000000456</v>
      </c>
      <c r="M79" s="77">
        <f>Entitlement!AS73*(1-TPCIL!$L$11)-ISGS!R79</f>
        <v>0.00469499999999812</v>
      </c>
      <c r="N79" s="77">
        <f>Entitlement!AP73-ISGS!Q79</f>
        <v>0</v>
      </c>
      <c r="O79" s="77">
        <f>Entitlement!AY73*(1-TPCIL!$L$11)-ISGS!T79</f>
        <v>0.00110800000000211</v>
      </c>
      <c r="P79" s="77">
        <f>Entitlement!X73*(1-TPCIL!$L$11)-ISGS!K79</f>
        <v>-0.00499099999999686</v>
      </c>
      <c r="Q79" s="77">
        <f>Entitlement!U73*(1-TPCIL!$L$11)-ISGS!J79</f>
        <v>-0.004722000000001</v>
      </c>
      <c r="R79" s="77">
        <f>Entitlement!AA73*(1-TPCIL!$L$11)-ISGS!L79</f>
        <v>0.00193399999999944</v>
      </c>
      <c r="S79" s="77">
        <f>Entitlement!R73*(1-TPCIL!$L$11)-ISGS!I79</f>
        <v>0.00436299999999878</v>
      </c>
      <c r="T79" s="77">
        <f>Entitlement!AD73*(1-TPCIL!$L$11)-ISGS!M79</f>
        <v>0.00215199999999527</v>
      </c>
      <c r="U79" s="77">
        <f>Entitlement!AV73*(1-TPCIL!$L$11)-ISGS!S79</f>
        <v>0.00303199999999038</v>
      </c>
      <c r="V79" s="77">
        <f t="shared" si="3"/>
        <v>100.524257</v>
      </c>
      <c r="W79" s="80">
        <f t="shared" si="4"/>
        <v>100.524257</v>
      </c>
      <c r="X79" s="81">
        <f t="shared" si="5"/>
        <v>0.00303199999999038</v>
      </c>
    </row>
    <row r="80" spans="1:24">
      <c r="A80" s="75">
        <v>68</v>
      </c>
      <c r="B80" s="75" t="s">
        <v>81</v>
      </c>
      <c r="C80" s="77">
        <f>Entitlement!D74*(1-TPCIL!$L$11)-ISGS!C80</f>
        <v>0.0038589999999985</v>
      </c>
      <c r="D80" s="77">
        <f>Entitlement!F74*(1-TPCIL!$L$11)-ISGS!D80</f>
        <v>0.00215799999998723</v>
      </c>
      <c r="E80" s="77">
        <f>Entitlement!H74*(1-TPCIL!$L$11)-ISGS!E80</f>
        <v>0</v>
      </c>
      <c r="F80" s="77">
        <f>Entitlement!J74*(1-TPCIL!$L$11)-ISGS!F80</f>
        <v>0</v>
      </c>
      <c r="G80" s="77">
        <f>Entitlement!O74*(1-TPCIL!$L$11)-ISGS!H80</f>
        <v>0.0014529999999997</v>
      </c>
      <c r="H80" s="77">
        <f>Entitlement!M74*(1-TPCIL!$L$11)-ISGS!G80</f>
        <v>100.504432</v>
      </c>
      <c r="I80" s="77">
        <f>Entitlement!BB74*(1-TPCIL!$L$11)-ISGS!U80</f>
        <v>0.00347099999999756</v>
      </c>
      <c r="J80" s="77">
        <f>Entitlement!AG74*(1-TPCIL!$L$11)-ISGS!N80</f>
        <v>0.00388299999998765</v>
      </c>
      <c r="K80" s="77">
        <f>Entitlement!AJ74*(1-TPCIL!$L$11)-ISGS!O80</f>
        <v>-0.00382899999999609</v>
      </c>
      <c r="L80" s="77">
        <f>Entitlement!AM74*(1-TPCIL!$L$11)-ISGS!P80</f>
        <v>0.00125900000000456</v>
      </c>
      <c r="M80" s="77">
        <f>Entitlement!AS74*(1-TPCIL!$L$11)-ISGS!R80</f>
        <v>0.00469499999999812</v>
      </c>
      <c r="N80" s="77">
        <f>Entitlement!AP74-ISGS!Q80</f>
        <v>0</v>
      </c>
      <c r="O80" s="77">
        <f>Entitlement!AY74*(1-TPCIL!$L$11)-ISGS!T80</f>
        <v>0.00110800000000211</v>
      </c>
      <c r="P80" s="77">
        <f>Entitlement!X74*(1-TPCIL!$L$11)-ISGS!K80</f>
        <v>-0.00499099999999686</v>
      </c>
      <c r="Q80" s="77">
        <f>Entitlement!U74*(1-TPCIL!$L$11)-ISGS!J80</f>
        <v>-0.004722000000001</v>
      </c>
      <c r="R80" s="77">
        <f>Entitlement!AA74*(1-TPCIL!$L$11)-ISGS!L80</f>
        <v>0.00193399999999944</v>
      </c>
      <c r="S80" s="77">
        <f>Entitlement!R74*(1-TPCIL!$L$11)-ISGS!I80</f>
        <v>0.00436299999999878</v>
      </c>
      <c r="T80" s="77">
        <f>Entitlement!AD74*(1-TPCIL!$L$11)-ISGS!M80</f>
        <v>0.00215199999999527</v>
      </c>
      <c r="U80" s="77">
        <f>Entitlement!AV74*(1-TPCIL!$L$11)-ISGS!S80</f>
        <v>0.00303199999999038</v>
      </c>
      <c r="V80" s="77">
        <f t="shared" si="3"/>
        <v>100.524257</v>
      </c>
      <c r="W80" s="80">
        <f t="shared" si="4"/>
        <v>100.524257</v>
      </c>
      <c r="X80" s="81">
        <f t="shared" si="5"/>
        <v>0.00303199999999038</v>
      </c>
    </row>
    <row r="81" spans="1:24">
      <c r="A81" s="75">
        <v>69</v>
      </c>
      <c r="B81" s="75" t="s">
        <v>82</v>
      </c>
      <c r="C81" s="77">
        <f>Entitlement!D75*(1-TPCIL!$L$11)-ISGS!C81</f>
        <v>0.0038589999999985</v>
      </c>
      <c r="D81" s="77">
        <f>Entitlement!F75*(1-TPCIL!$L$11)-ISGS!D81</f>
        <v>0.00215799999998723</v>
      </c>
      <c r="E81" s="77">
        <f>Entitlement!H75*(1-TPCIL!$L$11)-ISGS!E81</f>
        <v>0</v>
      </c>
      <c r="F81" s="77">
        <f>Entitlement!J75*(1-TPCIL!$L$11)-ISGS!F81</f>
        <v>0</v>
      </c>
      <c r="G81" s="77">
        <f>Entitlement!O75*(1-TPCIL!$L$11)-ISGS!H81</f>
        <v>0.0014529999999997</v>
      </c>
      <c r="H81" s="77">
        <f>Entitlement!M75*(1-TPCIL!$L$11)-ISGS!G81</f>
        <v>0.00443200000000843</v>
      </c>
      <c r="I81" s="77">
        <f>Entitlement!BB75*(1-TPCIL!$L$11)-ISGS!U81</f>
        <v>0.00347099999999756</v>
      </c>
      <c r="J81" s="77">
        <f>Entitlement!AG75*(1-TPCIL!$L$11)-ISGS!N81</f>
        <v>0.00388299999998765</v>
      </c>
      <c r="K81" s="77">
        <f>Entitlement!AJ75*(1-TPCIL!$L$11)-ISGS!O81</f>
        <v>-0.00382899999999609</v>
      </c>
      <c r="L81" s="77">
        <f>Entitlement!AM75*(1-TPCIL!$L$11)-ISGS!P81</f>
        <v>0.00125900000000456</v>
      </c>
      <c r="M81" s="77">
        <f>Entitlement!AS75*(1-TPCIL!$L$11)-ISGS!R81</f>
        <v>0.00469499999999812</v>
      </c>
      <c r="N81" s="77">
        <f>Entitlement!AP75-ISGS!Q81</f>
        <v>0</v>
      </c>
      <c r="O81" s="77">
        <f>Entitlement!AY75*(1-TPCIL!$L$11)-ISGS!T81</f>
        <v>0.00110800000000211</v>
      </c>
      <c r="P81" s="77">
        <f>Entitlement!X75*(1-TPCIL!$L$11)-ISGS!K81</f>
        <v>-0.00499099999999686</v>
      </c>
      <c r="Q81" s="77">
        <f>Entitlement!U75*(1-TPCIL!$L$11)-ISGS!J81</f>
        <v>-0.004722000000001</v>
      </c>
      <c r="R81" s="77">
        <f>Entitlement!AA75*(1-TPCIL!$L$11)-ISGS!L81</f>
        <v>0.00193399999999944</v>
      </c>
      <c r="S81" s="77">
        <f>Entitlement!R75*(1-TPCIL!$L$11)-ISGS!I81</f>
        <v>0.00436299999999878</v>
      </c>
      <c r="T81" s="77">
        <f>Entitlement!AD75*(1-TPCIL!$L$11)-ISGS!M81</f>
        <v>0.00215199999999527</v>
      </c>
      <c r="U81" s="77">
        <f>Entitlement!AV75*(1-TPCIL!$L$11)-ISGS!S81</f>
        <v>0.00303199999999038</v>
      </c>
      <c r="V81" s="77">
        <f t="shared" si="3"/>
        <v>0.0242569999999738</v>
      </c>
      <c r="W81" s="80">
        <f t="shared" si="4"/>
        <v>0.0242569999999738</v>
      </c>
      <c r="X81" s="81">
        <f t="shared" si="5"/>
        <v>0.00303199999999038</v>
      </c>
    </row>
    <row r="82" spans="1:24">
      <c r="A82" s="75">
        <v>70</v>
      </c>
      <c r="B82" s="75" t="s">
        <v>83</v>
      </c>
      <c r="C82" s="77">
        <f>Entitlement!D76*(1-TPCIL!$L$11)-ISGS!C82</f>
        <v>0.0038589999999985</v>
      </c>
      <c r="D82" s="77">
        <f>Entitlement!F76*(1-TPCIL!$L$11)-ISGS!D82</f>
        <v>0.00215799999998723</v>
      </c>
      <c r="E82" s="77">
        <f>Entitlement!H76*(1-TPCIL!$L$11)-ISGS!E82</f>
        <v>0</v>
      </c>
      <c r="F82" s="77">
        <f>Entitlement!J76*(1-TPCIL!$L$11)-ISGS!F82</f>
        <v>0</v>
      </c>
      <c r="G82" s="77">
        <f>Entitlement!O76*(1-TPCIL!$L$11)-ISGS!H82</f>
        <v>0.0014529999999997</v>
      </c>
      <c r="H82" s="77">
        <f>Entitlement!M76*(1-TPCIL!$L$11)-ISGS!G82</f>
        <v>0.00443200000000843</v>
      </c>
      <c r="I82" s="77">
        <f>Entitlement!BB76*(1-TPCIL!$L$11)-ISGS!U82</f>
        <v>0.00347099999999756</v>
      </c>
      <c r="J82" s="77">
        <f>Entitlement!AG76*(1-TPCIL!$L$11)-ISGS!N82</f>
        <v>0.00388299999998765</v>
      </c>
      <c r="K82" s="77">
        <f>Entitlement!AJ76*(1-TPCIL!$L$11)-ISGS!O82</f>
        <v>-0.00382899999999609</v>
      </c>
      <c r="L82" s="77">
        <f>Entitlement!AM76*(1-TPCIL!$L$11)-ISGS!P82</f>
        <v>0.00125900000000456</v>
      </c>
      <c r="M82" s="77">
        <f>Entitlement!AS76*(1-TPCIL!$L$11)-ISGS!R82</f>
        <v>0.00469499999999812</v>
      </c>
      <c r="N82" s="77">
        <f>Entitlement!AP76-ISGS!Q82</f>
        <v>0</v>
      </c>
      <c r="O82" s="77">
        <f>Entitlement!AY76*(1-TPCIL!$L$11)-ISGS!T82</f>
        <v>0.00110800000000211</v>
      </c>
      <c r="P82" s="77">
        <f>Entitlement!X76*(1-TPCIL!$L$11)-ISGS!K82</f>
        <v>-0.00499099999999686</v>
      </c>
      <c r="Q82" s="77">
        <f>Entitlement!U76*(1-TPCIL!$L$11)-ISGS!J82</f>
        <v>-0.004722000000001</v>
      </c>
      <c r="R82" s="77">
        <f>Entitlement!AA76*(1-TPCIL!$L$11)-ISGS!L82</f>
        <v>0.00193399999999944</v>
      </c>
      <c r="S82" s="77">
        <f>Entitlement!R76*(1-TPCIL!$L$11)-ISGS!I82</f>
        <v>0.00436299999999878</v>
      </c>
      <c r="T82" s="77">
        <f>Entitlement!AD76*(1-TPCIL!$L$11)-ISGS!M82</f>
        <v>0.00215199999999527</v>
      </c>
      <c r="U82" s="77">
        <f>Entitlement!AV76*(1-TPCIL!$L$11)-ISGS!S82</f>
        <v>0.00303199999999038</v>
      </c>
      <c r="V82" s="77">
        <f t="shared" si="3"/>
        <v>0.0242569999999738</v>
      </c>
      <c r="W82" s="80">
        <f t="shared" si="4"/>
        <v>0.0242569999999738</v>
      </c>
      <c r="X82" s="81">
        <f t="shared" si="5"/>
        <v>0.00303199999999038</v>
      </c>
    </row>
    <row r="83" spans="1:24">
      <c r="A83" s="75">
        <v>71</v>
      </c>
      <c r="B83" s="75" t="s">
        <v>84</v>
      </c>
      <c r="C83" s="77">
        <f>Entitlement!D77*(1-TPCIL!$L$11)-ISGS!C83</f>
        <v>0.0038589999999985</v>
      </c>
      <c r="D83" s="77">
        <f>Entitlement!F77*(1-TPCIL!$L$11)-ISGS!D83</f>
        <v>0.00215799999998723</v>
      </c>
      <c r="E83" s="77">
        <f>Entitlement!H77*(1-TPCIL!$L$11)-ISGS!E83</f>
        <v>0</v>
      </c>
      <c r="F83" s="77">
        <f>Entitlement!J77*(1-TPCIL!$L$11)-ISGS!F83</f>
        <v>0</v>
      </c>
      <c r="G83" s="77">
        <f>Entitlement!O77*(1-TPCIL!$L$11)-ISGS!H83</f>
        <v>0.0014529999999997</v>
      </c>
      <c r="H83" s="77">
        <f>Entitlement!M77*(1-TPCIL!$L$11)-ISGS!G83</f>
        <v>0.00443200000000843</v>
      </c>
      <c r="I83" s="77">
        <f>Entitlement!BB77*(1-TPCIL!$L$11)-ISGS!U83</f>
        <v>0.00347099999999756</v>
      </c>
      <c r="J83" s="77">
        <f>Entitlement!AG77*(1-TPCIL!$L$11)-ISGS!N83</f>
        <v>0.00388299999998765</v>
      </c>
      <c r="K83" s="77">
        <f>Entitlement!AJ77*(1-TPCIL!$L$11)-ISGS!O83</f>
        <v>-0.00382899999999609</v>
      </c>
      <c r="L83" s="77">
        <f>Entitlement!AM77*(1-TPCIL!$L$11)-ISGS!P83</f>
        <v>0.00125900000000456</v>
      </c>
      <c r="M83" s="77">
        <f>Entitlement!AS77*(1-TPCIL!$L$11)-ISGS!R83</f>
        <v>0.00469499999999812</v>
      </c>
      <c r="N83" s="77">
        <f>Entitlement!AP77-ISGS!Q83</f>
        <v>0</v>
      </c>
      <c r="O83" s="77">
        <f>Entitlement!AY77*(1-TPCIL!$L$11)-ISGS!T83</f>
        <v>0.00110800000000211</v>
      </c>
      <c r="P83" s="77">
        <f>Entitlement!X77*(1-TPCIL!$L$11)-ISGS!K83</f>
        <v>-0.00499099999999686</v>
      </c>
      <c r="Q83" s="77">
        <f>Entitlement!U77*(1-TPCIL!$L$11)-ISGS!J83</f>
        <v>-0.004722000000001</v>
      </c>
      <c r="R83" s="77">
        <f>Entitlement!AA77*(1-TPCIL!$L$11)-ISGS!L83</f>
        <v>0.00193399999999944</v>
      </c>
      <c r="S83" s="77">
        <f>Entitlement!R77*(1-TPCIL!$L$11)-ISGS!I83</f>
        <v>0.00436299999999878</v>
      </c>
      <c r="T83" s="77">
        <f>Entitlement!AD77*(1-TPCIL!$L$11)-ISGS!M83</f>
        <v>0.00215199999999527</v>
      </c>
      <c r="U83" s="77">
        <f>Entitlement!AV77*(1-TPCIL!$L$11)-ISGS!S83</f>
        <v>0.00303199999999038</v>
      </c>
      <c r="V83" s="77">
        <f t="shared" si="3"/>
        <v>0.0242569999999738</v>
      </c>
      <c r="W83" s="80">
        <f t="shared" si="4"/>
        <v>0.0242569999999738</v>
      </c>
      <c r="X83" s="81">
        <f t="shared" si="5"/>
        <v>0.00303199999999038</v>
      </c>
    </row>
    <row r="84" spans="1:24">
      <c r="A84" s="75">
        <v>72</v>
      </c>
      <c r="B84" s="75" t="s">
        <v>85</v>
      </c>
      <c r="C84" s="77">
        <f>Entitlement!D78*(1-TPCIL!$L$11)-ISGS!C84</f>
        <v>0.0038589999999985</v>
      </c>
      <c r="D84" s="77">
        <f>Entitlement!F78*(1-TPCIL!$L$11)-ISGS!D84</f>
        <v>0.00215799999998723</v>
      </c>
      <c r="E84" s="77">
        <f>Entitlement!H78*(1-TPCIL!$L$11)-ISGS!E84</f>
        <v>0</v>
      </c>
      <c r="F84" s="77">
        <f>Entitlement!J78*(1-TPCIL!$L$11)-ISGS!F84</f>
        <v>0</v>
      </c>
      <c r="G84" s="77">
        <f>Entitlement!O78*(1-TPCIL!$L$11)-ISGS!H84</f>
        <v>0.0014529999999997</v>
      </c>
      <c r="H84" s="82">
        <v>45.97</v>
      </c>
      <c r="I84" s="77">
        <f>Entitlement!BB78*(1-TPCIL!$L$11)-ISGS!U84</f>
        <v>0.00347099999999756</v>
      </c>
      <c r="J84" s="77">
        <f>Entitlement!AG78*(1-TPCIL!$L$11)-ISGS!N84</f>
        <v>0.00388299999998765</v>
      </c>
      <c r="K84" s="77">
        <f>Entitlement!AJ78*(1-TPCIL!$L$11)-ISGS!O84</f>
        <v>-0.00382899999999609</v>
      </c>
      <c r="L84" s="77">
        <f>Entitlement!AM78*(1-TPCIL!$L$11)-ISGS!P84</f>
        <v>0.00125900000000456</v>
      </c>
      <c r="M84" s="77">
        <f>Entitlement!AS78*(1-TPCIL!$L$11)-ISGS!R84</f>
        <v>0.00469499999999812</v>
      </c>
      <c r="N84" s="77">
        <f>Entitlement!AP78-ISGS!Q84</f>
        <v>0</v>
      </c>
      <c r="O84" s="77">
        <f>Entitlement!AY78*(1-TPCIL!$L$11)-ISGS!T84</f>
        <v>0.00110800000000211</v>
      </c>
      <c r="P84" s="77">
        <f>Entitlement!X78*(1-TPCIL!$L$11)-ISGS!K84</f>
        <v>-0.00499099999999686</v>
      </c>
      <c r="Q84" s="77">
        <f>Entitlement!U78*(1-TPCIL!$L$11)-ISGS!J84</f>
        <v>-0.004722000000001</v>
      </c>
      <c r="R84" s="77">
        <f>Entitlement!AA78*(1-TPCIL!$L$11)-ISGS!L84</f>
        <v>0.00193399999999944</v>
      </c>
      <c r="S84" s="77">
        <f>Entitlement!R78*(1-TPCIL!$L$11)-ISGS!I84</f>
        <v>0.00436299999999878</v>
      </c>
      <c r="T84" s="77">
        <f>Entitlement!AD78*(1-TPCIL!$L$11)-ISGS!M84</f>
        <v>0.00215199999999527</v>
      </c>
      <c r="U84" s="77">
        <f>Entitlement!AV78*(1-TPCIL!$L$11)-ISGS!S84</f>
        <v>0.00303199999999038</v>
      </c>
      <c r="V84" s="77">
        <f t="shared" si="3"/>
        <v>45.989825</v>
      </c>
      <c r="W84" s="80">
        <f t="shared" si="4"/>
        <v>45.989825</v>
      </c>
      <c r="X84" s="81">
        <f t="shared" si="5"/>
        <v>0.00303199999999038</v>
      </c>
    </row>
    <row r="85" spans="1:24">
      <c r="A85" s="75">
        <v>73</v>
      </c>
      <c r="B85" s="75" t="s">
        <v>86</v>
      </c>
      <c r="C85" s="77">
        <f>Entitlement!D79*(1-TPCIL!$L$11)-ISGS!C85</f>
        <v>0.0038589999999985</v>
      </c>
      <c r="D85" s="77">
        <f>Entitlement!F79*(1-TPCIL!$L$11)-ISGS!D85</f>
        <v>0.00215799999998723</v>
      </c>
      <c r="E85" s="77">
        <f>Entitlement!H79*(1-TPCIL!$L$11)-ISGS!E85</f>
        <v>0</v>
      </c>
      <c r="F85" s="77">
        <f>Entitlement!J79*(1-TPCIL!$L$11)-ISGS!F85</f>
        <v>0</v>
      </c>
      <c r="G85" s="77">
        <f>Entitlement!O79*(1-TPCIL!$L$11)-ISGS!H85</f>
        <v>0.0014529999999997</v>
      </c>
      <c r="H85" s="82">
        <v>61.8</v>
      </c>
      <c r="I85" s="77">
        <f>Entitlement!BB79*(1-TPCIL!$L$11)-ISGS!U85</f>
        <v>0.00347099999999756</v>
      </c>
      <c r="J85" s="77">
        <f>Entitlement!AG79*(1-TPCIL!$L$11)-ISGS!N85</f>
        <v>0.00388299999998765</v>
      </c>
      <c r="K85" s="77">
        <f>Entitlement!AJ79*(1-TPCIL!$L$11)-ISGS!O85</f>
        <v>-0.00382899999999609</v>
      </c>
      <c r="L85" s="77">
        <f>Entitlement!AM79*(1-TPCIL!$L$11)-ISGS!P85</f>
        <v>0.00125900000000456</v>
      </c>
      <c r="M85" s="77">
        <f>Entitlement!AS79*(1-TPCIL!$L$11)-ISGS!R85</f>
        <v>0.00469499999999812</v>
      </c>
      <c r="N85" s="77">
        <f>Entitlement!AP79-ISGS!Q85</f>
        <v>0</v>
      </c>
      <c r="O85" s="77">
        <f>Entitlement!AY79*(1-TPCIL!$L$11)-ISGS!T85</f>
        <v>0.00110800000000211</v>
      </c>
      <c r="P85" s="77">
        <f>Entitlement!X79*(1-TPCIL!$L$11)-ISGS!K85</f>
        <v>-0.00499099999999686</v>
      </c>
      <c r="Q85" s="77">
        <f>Entitlement!U79*(1-TPCIL!$L$11)-ISGS!J85</f>
        <v>-0.004722000000001</v>
      </c>
      <c r="R85" s="77">
        <f>Entitlement!AA79*(1-TPCIL!$L$11)-ISGS!L85</f>
        <v>0.00193399999999944</v>
      </c>
      <c r="S85" s="77">
        <f>Entitlement!R79*(1-TPCIL!$L$11)-ISGS!I85</f>
        <v>0.00436299999999878</v>
      </c>
      <c r="T85" s="77">
        <f>Entitlement!AD79*(1-TPCIL!$L$11)-ISGS!M85</f>
        <v>0.00215199999999527</v>
      </c>
      <c r="U85" s="77">
        <f>Entitlement!AV79*(1-TPCIL!$L$11)-ISGS!S85</f>
        <v>0.00303199999999038</v>
      </c>
      <c r="V85" s="77">
        <f t="shared" si="3"/>
        <v>61.819825</v>
      </c>
      <c r="W85" s="80">
        <f t="shared" si="4"/>
        <v>61.819825</v>
      </c>
      <c r="X85" s="81">
        <f t="shared" si="5"/>
        <v>0.00303199999999038</v>
      </c>
    </row>
    <row r="86" spans="1:24">
      <c r="A86" s="75">
        <v>74</v>
      </c>
      <c r="B86" s="75" t="s">
        <v>87</v>
      </c>
      <c r="C86" s="77">
        <f>Entitlement!D80*(1-TPCIL!$L$11)-ISGS!C86</f>
        <v>0.0038589999999985</v>
      </c>
      <c r="D86" s="77">
        <f>Entitlement!F80*(1-TPCIL!$L$11)-ISGS!D86</f>
        <v>0.00215799999998723</v>
      </c>
      <c r="E86" s="77">
        <f>Entitlement!H80*(1-TPCIL!$L$11)-ISGS!E86</f>
        <v>0</v>
      </c>
      <c r="F86" s="77">
        <f>Entitlement!J80*(1-TPCIL!$L$11)-ISGS!F86</f>
        <v>0</v>
      </c>
      <c r="G86" s="77">
        <f>Entitlement!O80*(1-TPCIL!$L$11)-ISGS!H86</f>
        <v>0.0014529999999997</v>
      </c>
      <c r="H86" s="82">
        <v>77.29</v>
      </c>
      <c r="I86" s="77">
        <f>Entitlement!BB80*(1-TPCIL!$L$11)-ISGS!U86</f>
        <v>0.00347099999999756</v>
      </c>
      <c r="J86" s="77">
        <f>Entitlement!AG80*(1-TPCIL!$L$11)-ISGS!N86</f>
        <v>0.00388299999998765</v>
      </c>
      <c r="K86" s="77">
        <f>Entitlement!AJ80*(1-TPCIL!$L$11)-ISGS!O86</f>
        <v>-0.00382899999999609</v>
      </c>
      <c r="L86" s="77">
        <f>Entitlement!AM80*(1-TPCIL!$L$11)-ISGS!P86</f>
        <v>0.00125900000000456</v>
      </c>
      <c r="M86" s="77">
        <f>Entitlement!AS80*(1-TPCIL!$L$11)-ISGS!R86</f>
        <v>0.00469499999999812</v>
      </c>
      <c r="N86" s="77">
        <f>Entitlement!AP80-ISGS!Q86</f>
        <v>0</v>
      </c>
      <c r="O86" s="77">
        <f>Entitlement!AY80*(1-TPCIL!$L$11)-ISGS!T86</f>
        <v>0.00110800000000211</v>
      </c>
      <c r="P86" s="77">
        <f>Entitlement!X80*(1-TPCIL!$L$11)-ISGS!K86</f>
        <v>-0.00499099999999686</v>
      </c>
      <c r="Q86" s="77">
        <f>Entitlement!U80*(1-TPCIL!$L$11)-ISGS!J86</f>
        <v>-0.004722000000001</v>
      </c>
      <c r="R86" s="77">
        <f>Entitlement!AA80*(1-TPCIL!$L$11)-ISGS!L86</f>
        <v>0.00193399999999944</v>
      </c>
      <c r="S86" s="77">
        <f>Entitlement!R80*(1-TPCIL!$L$11)-ISGS!I86</f>
        <v>0.00436299999999878</v>
      </c>
      <c r="T86" s="77">
        <f>Entitlement!AD80*(1-TPCIL!$L$11)-ISGS!M86</f>
        <v>0.00215199999999527</v>
      </c>
      <c r="U86" s="77">
        <f>Entitlement!AV80*(1-TPCIL!$L$11)-ISGS!S86</f>
        <v>0.00303199999999038</v>
      </c>
      <c r="V86" s="77">
        <f t="shared" si="3"/>
        <v>77.309825</v>
      </c>
      <c r="W86" s="80">
        <f t="shared" si="4"/>
        <v>77.309825</v>
      </c>
      <c r="X86" s="81">
        <f t="shared" si="5"/>
        <v>0.00303199999999038</v>
      </c>
    </row>
    <row r="87" spans="1:24">
      <c r="A87" s="75">
        <v>75</v>
      </c>
      <c r="B87" s="75" t="s">
        <v>88</v>
      </c>
      <c r="C87" s="77">
        <f>Entitlement!D81*(1-TPCIL!$L$11)-ISGS!C87</f>
        <v>0.0038589999999985</v>
      </c>
      <c r="D87" s="77">
        <f>Entitlement!F81*(1-TPCIL!$L$11)-ISGS!D87</f>
        <v>0.00215799999998723</v>
      </c>
      <c r="E87" s="77">
        <f>Entitlement!H81*(1-TPCIL!$L$11)-ISGS!E87</f>
        <v>0</v>
      </c>
      <c r="F87" s="77">
        <f>Entitlement!J81*(1-TPCIL!$L$11)-ISGS!F87</f>
        <v>0</v>
      </c>
      <c r="G87" s="77">
        <f>Entitlement!O81*(1-TPCIL!$L$11)-ISGS!H87</f>
        <v>0.0014529999999997</v>
      </c>
      <c r="H87" s="82">
        <v>93.04</v>
      </c>
      <c r="I87" s="77">
        <f>Entitlement!BB81*(1-TPCIL!$L$11)-ISGS!U87</f>
        <v>0.00347099999999756</v>
      </c>
      <c r="J87" s="77">
        <f>Entitlement!AG81*(1-TPCIL!$L$11)-ISGS!N87</f>
        <v>0.00388299999998765</v>
      </c>
      <c r="K87" s="77">
        <f>Entitlement!AJ81*(1-TPCIL!$L$11)-ISGS!O87</f>
        <v>-0.00382899999999609</v>
      </c>
      <c r="L87" s="77">
        <f>Entitlement!AM81*(1-TPCIL!$L$11)-ISGS!P87</f>
        <v>0.00125900000000456</v>
      </c>
      <c r="M87" s="77">
        <f>Entitlement!AS81*(1-TPCIL!$L$11)-ISGS!R87</f>
        <v>0.00469499999999812</v>
      </c>
      <c r="N87" s="77">
        <f>Entitlement!AP81-ISGS!Q87</f>
        <v>0</v>
      </c>
      <c r="O87" s="77">
        <f>Entitlement!AY81*(1-TPCIL!$L$11)-ISGS!T87</f>
        <v>0.00110800000000211</v>
      </c>
      <c r="P87" s="77">
        <f>Entitlement!X81*(1-TPCIL!$L$11)-ISGS!K87</f>
        <v>-0.00499099999999686</v>
      </c>
      <c r="Q87" s="77">
        <f>Entitlement!U81*(1-TPCIL!$L$11)-ISGS!J87</f>
        <v>-0.004722000000001</v>
      </c>
      <c r="R87" s="77">
        <f>Entitlement!AA81*(1-TPCIL!$L$11)-ISGS!L87</f>
        <v>0.00193399999999944</v>
      </c>
      <c r="S87" s="77">
        <f>Entitlement!R81*(1-TPCIL!$L$11)-ISGS!I87</f>
        <v>0.00436299999999878</v>
      </c>
      <c r="T87" s="77">
        <f>Entitlement!AD81*(1-TPCIL!$L$11)-ISGS!M87</f>
        <v>0.00215199999999527</v>
      </c>
      <c r="U87" s="77">
        <f>Entitlement!AV81*(1-TPCIL!$L$11)-ISGS!S87</f>
        <v>0.00303199999999038</v>
      </c>
      <c r="V87" s="77">
        <f t="shared" si="3"/>
        <v>93.059825</v>
      </c>
      <c r="W87" s="80">
        <f t="shared" si="4"/>
        <v>93.059825</v>
      </c>
      <c r="X87" s="81">
        <f t="shared" si="5"/>
        <v>0.00303199999999038</v>
      </c>
    </row>
    <row r="88" spans="1:24">
      <c r="A88" s="75">
        <v>76</v>
      </c>
      <c r="B88" s="75" t="s">
        <v>89</v>
      </c>
      <c r="C88" s="77">
        <f>Entitlement!D82*(1-TPCIL!$L$11)-ISGS!C88</f>
        <v>0.0038589999999985</v>
      </c>
      <c r="D88" s="77">
        <f>Entitlement!F82*(1-TPCIL!$L$11)-ISGS!D88</f>
        <v>0.00215799999998723</v>
      </c>
      <c r="E88" s="77">
        <f>Entitlement!H82*(1-TPCIL!$L$11)-ISGS!E88</f>
        <v>0</v>
      </c>
      <c r="F88" s="77">
        <f>Entitlement!J82*(1-TPCIL!$L$11)-ISGS!F88</f>
        <v>0</v>
      </c>
      <c r="G88" s="77">
        <f>Entitlement!O82*(1-TPCIL!$L$11)-ISGS!H88</f>
        <v>0.0014529999999997</v>
      </c>
      <c r="H88" s="82">
        <v>109.11</v>
      </c>
      <c r="I88" s="77">
        <f>Entitlement!BB82*(1-TPCIL!$L$11)-ISGS!U88</f>
        <v>0.00347099999999756</v>
      </c>
      <c r="J88" s="77">
        <f>Entitlement!AG82*(1-TPCIL!$L$11)-ISGS!N88</f>
        <v>0.00388299999998765</v>
      </c>
      <c r="K88" s="77">
        <f>Entitlement!AJ82*(1-TPCIL!$L$11)-ISGS!O88</f>
        <v>-0.00382899999999609</v>
      </c>
      <c r="L88" s="77">
        <f>Entitlement!AM82*(1-TPCIL!$L$11)-ISGS!P88</f>
        <v>0.00125900000000456</v>
      </c>
      <c r="M88" s="77">
        <f>Entitlement!AS82*(1-TPCIL!$L$11)-ISGS!R88</f>
        <v>0.00469499999999812</v>
      </c>
      <c r="N88" s="77">
        <f>Entitlement!AP82-ISGS!Q88</f>
        <v>0</v>
      </c>
      <c r="O88" s="77">
        <f>Entitlement!AY82*(1-TPCIL!$L$11)-ISGS!T88</f>
        <v>0.00110800000000211</v>
      </c>
      <c r="P88" s="77">
        <f>Entitlement!X82*(1-TPCIL!$L$11)-ISGS!K88</f>
        <v>-0.00499099999999686</v>
      </c>
      <c r="Q88" s="77">
        <f>Entitlement!U82*(1-TPCIL!$L$11)-ISGS!J88</f>
        <v>-0.004722000000001</v>
      </c>
      <c r="R88" s="77">
        <f>Entitlement!AA82*(1-TPCIL!$L$11)-ISGS!L88</f>
        <v>0.00193399999999944</v>
      </c>
      <c r="S88" s="77">
        <f>Entitlement!R82*(1-TPCIL!$L$11)-ISGS!I88</f>
        <v>0.00436299999999878</v>
      </c>
      <c r="T88" s="77">
        <f>Entitlement!AD82*(1-TPCIL!$L$11)-ISGS!M88</f>
        <v>0.00215199999999527</v>
      </c>
      <c r="U88" s="77">
        <f>Entitlement!AV82*(1-TPCIL!$L$11)-ISGS!S88</f>
        <v>0.00303199999999038</v>
      </c>
      <c r="V88" s="77">
        <f t="shared" si="3"/>
        <v>109.129825</v>
      </c>
      <c r="W88" s="80">
        <f t="shared" si="4"/>
        <v>109.129825</v>
      </c>
      <c r="X88" s="81">
        <f t="shared" si="5"/>
        <v>0.00303199999999038</v>
      </c>
    </row>
    <row r="89" spans="1:24">
      <c r="A89" s="75">
        <v>77</v>
      </c>
      <c r="B89" s="75" t="s">
        <v>90</v>
      </c>
      <c r="C89" s="77">
        <f>Entitlement!D83*(1-TPCIL!$L$11)-ISGS!C89</f>
        <v>0.0038589999999985</v>
      </c>
      <c r="D89" s="77">
        <f>Entitlement!F83*(1-TPCIL!$L$11)-ISGS!D89</f>
        <v>0.00215799999998723</v>
      </c>
      <c r="E89" s="77">
        <f>Entitlement!H83*(1-TPCIL!$L$11)-ISGS!E89</f>
        <v>0</v>
      </c>
      <c r="F89" s="77">
        <f>Entitlement!J83*(1-TPCIL!$L$11)-ISGS!F89</f>
        <v>0</v>
      </c>
      <c r="G89" s="77">
        <f>Entitlement!O83*(1-TPCIL!$L$11)-ISGS!H89</f>
        <v>0.0014529999999997</v>
      </c>
      <c r="H89" s="82">
        <v>127.04</v>
      </c>
      <c r="I89" s="77">
        <f>Entitlement!BB83*(1-TPCIL!$L$11)-ISGS!U89</f>
        <v>0.00347099999999756</v>
      </c>
      <c r="J89" s="77">
        <f>Entitlement!AG83*(1-TPCIL!$L$11)-ISGS!N89</f>
        <v>0.00388299999998765</v>
      </c>
      <c r="K89" s="77">
        <f>Entitlement!AJ83*(1-TPCIL!$L$11)-ISGS!O89</f>
        <v>-0.00382899999999609</v>
      </c>
      <c r="L89" s="77">
        <f>Entitlement!AM83*(1-TPCIL!$L$11)-ISGS!P89</f>
        <v>0.00125900000000456</v>
      </c>
      <c r="M89" s="77">
        <f>Entitlement!AS83*(1-TPCIL!$L$11)-ISGS!R89</f>
        <v>0.00469499999999812</v>
      </c>
      <c r="N89" s="77">
        <f>Entitlement!AP83-ISGS!Q89</f>
        <v>0</v>
      </c>
      <c r="O89" s="77">
        <f>Entitlement!AY83*(1-TPCIL!$L$11)-ISGS!T89</f>
        <v>0.00110800000000211</v>
      </c>
      <c r="P89" s="77">
        <f>Entitlement!X83*(1-TPCIL!$L$11)-ISGS!K89</f>
        <v>-0.00499099999999686</v>
      </c>
      <c r="Q89" s="77">
        <f>Entitlement!U83*(1-TPCIL!$L$11)-ISGS!J89</f>
        <v>-0.004722000000001</v>
      </c>
      <c r="R89" s="77">
        <f>Entitlement!AA83*(1-TPCIL!$L$11)-ISGS!L89</f>
        <v>0.00193399999999944</v>
      </c>
      <c r="S89" s="77">
        <f>Entitlement!R83*(1-TPCIL!$L$11)-ISGS!I89</f>
        <v>0.00436299999999878</v>
      </c>
      <c r="T89" s="77">
        <f>Entitlement!AD83*(1-TPCIL!$L$11)-ISGS!M89</f>
        <v>0.169419999999995</v>
      </c>
      <c r="U89" s="77">
        <f>Entitlement!AV83*(1-TPCIL!$L$11)-ISGS!S89</f>
        <v>0.00303199999999038</v>
      </c>
      <c r="V89" s="77">
        <f t="shared" si="3"/>
        <v>127.227093</v>
      </c>
      <c r="W89" s="80">
        <f t="shared" si="4"/>
        <v>127.227093</v>
      </c>
      <c r="X89" s="81">
        <f t="shared" si="5"/>
        <v>0.00303199999999038</v>
      </c>
    </row>
    <row r="90" spans="1:24">
      <c r="A90" s="75">
        <v>78</v>
      </c>
      <c r="B90" s="75" t="s">
        <v>91</v>
      </c>
      <c r="C90" s="77">
        <f>Entitlement!D84*(1-TPCIL!$L$11)-ISGS!C90</f>
        <v>0.0038589999999985</v>
      </c>
      <c r="D90" s="77">
        <f>Entitlement!F84*(1-TPCIL!$L$11)-ISGS!D90</f>
        <v>0.00215799999998723</v>
      </c>
      <c r="E90" s="77">
        <f>Entitlement!H84*(1-TPCIL!$L$11)-ISGS!E90</f>
        <v>0</v>
      </c>
      <c r="F90" s="77">
        <f>Entitlement!J84*(1-TPCIL!$L$11)-ISGS!F90</f>
        <v>0</v>
      </c>
      <c r="G90" s="77">
        <f>Entitlement!O84*(1-TPCIL!$L$11)-ISGS!H90</f>
        <v>0.0014529999999997</v>
      </c>
      <c r="H90" s="82">
        <v>159.82</v>
      </c>
      <c r="I90" s="77">
        <f>Entitlement!BB84*(1-TPCIL!$L$11)-ISGS!U90</f>
        <v>0.00347099999999756</v>
      </c>
      <c r="J90" s="77">
        <f>Entitlement!AG84*(1-TPCIL!$L$11)-ISGS!N90</f>
        <v>0.00388299999998765</v>
      </c>
      <c r="K90" s="77">
        <f>Entitlement!AJ84*(1-TPCIL!$L$11)-ISGS!O90</f>
        <v>-0.00382899999999609</v>
      </c>
      <c r="L90" s="77">
        <f>Entitlement!AM84*(1-TPCIL!$L$11)-ISGS!P90</f>
        <v>0.00125900000000456</v>
      </c>
      <c r="M90" s="77">
        <f>Entitlement!AS84*(1-TPCIL!$L$11)-ISGS!R90</f>
        <v>0.00469499999999812</v>
      </c>
      <c r="N90" s="77">
        <f>Entitlement!AP84-ISGS!Q90</f>
        <v>0</v>
      </c>
      <c r="O90" s="77">
        <f>Entitlement!AY84*(1-TPCIL!$L$11)-ISGS!T90</f>
        <v>0.00110800000000211</v>
      </c>
      <c r="P90" s="77">
        <f>Entitlement!X84*(1-TPCIL!$L$11)-ISGS!K90</f>
        <v>-0.00499099999999686</v>
      </c>
      <c r="Q90" s="77">
        <f>Entitlement!U84*(1-TPCIL!$L$11)-ISGS!J90</f>
        <v>-0.004722000000001</v>
      </c>
      <c r="R90" s="77">
        <f>Entitlement!AA84*(1-TPCIL!$L$11)-ISGS!L90</f>
        <v>0.00193399999999944</v>
      </c>
      <c r="S90" s="77">
        <f>Entitlement!R84*(1-TPCIL!$L$11)-ISGS!I90</f>
        <v>0.00436299999999878</v>
      </c>
      <c r="T90" s="77">
        <f>Entitlement!AD84*(1-TPCIL!$L$11)-ISGS!M90</f>
        <v>-0.000580000000006464</v>
      </c>
      <c r="U90" s="77">
        <f>Entitlement!AV84*(1-TPCIL!$L$11)-ISGS!S90</f>
        <v>0.00303199999999038</v>
      </c>
      <c r="V90" s="77">
        <f t="shared" si="3"/>
        <v>159.837093</v>
      </c>
      <c r="W90" s="80">
        <f t="shared" si="4"/>
        <v>159.837093</v>
      </c>
      <c r="X90" s="81">
        <f t="shared" si="5"/>
        <v>0.00303199999999038</v>
      </c>
    </row>
    <row r="91" spans="1:24">
      <c r="A91" s="75">
        <v>79</v>
      </c>
      <c r="B91" s="75" t="s">
        <v>92</v>
      </c>
      <c r="C91" s="77">
        <f>Entitlement!D85*(1-TPCIL!$L$11)-ISGS!C91</f>
        <v>0.0038589999999985</v>
      </c>
      <c r="D91" s="77">
        <f>Entitlement!F85*(1-TPCIL!$L$11)-ISGS!D91</f>
        <v>0.00215799999998723</v>
      </c>
      <c r="E91" s="77">
        <f>Entitlement!H85*(1-TPCIL!$L$11)-ISGS!E91</f>
        <v>0</v>
      </c>
      <c r="F91" s="77">
        <f>Entitlement!J85*(1-TPCIL!$L$11)-ISGS!F91</f>
        <v>0</v>
      </c>
      <c r="G91" s="77">
        <f>Entitlement!O85*(1-TPCIL!$L$11)-ISGS!H91</f>
        <v>0.0014529999999997</v>
      </c>
      <c r="H91" s="82">
        <v>191.9</v>
      </c>
      <c r="I91" s="77">
        <f>Entitlement!BB85*(1-TPCIL!$L$11)-ISGS!U91</f>
        <v>0.00347099999999756</v>
      </c>
      <c r="J91" s="77">
        <f>Entitlement!AG85*(1-TPCIL!$L$11)-ISGS!N91</f>
        <v>0.00388299999998765</v>
      </c>
      <c r="K91" s="77">
        <f>Entitlement!AJ85*(1-TPCIL!$L$11)-ISGS!O91</f>
        <v>-0.00382899999999609</v>
      </c>
      <c r="L91" s="77">
        <f>Entitlement!AM85*(1-TPCIL!$L$11)-ISGS!P91</f>
        <v>0.00125900000000456</v>
      </c>
      <c r="M91" s="77">
        <f>Entitlement!AS85*(1-TPCIL!$L$11)-ISGS!R91</f>
        <v>0.00469499999999812</v>
      </c>
      <c r="N91" s="77">
        <f>Entitlement!AP85-ISGS!Q91</f>
        <v>0</v>
      </c>
      <c r="O91" s="77">
        <f>Entitlement!AY85*(1-TPCIL!$L$11)-ISGS!T91</f>
        <v>0.00110800000000211</v>
      </c>
      <c r="P91" s="77">
        <f>Entitlement!X85*(1-TPCIL!$L$11)-ISGS!K91</f>
        <v>-0.00499099999999686</v>
      </c>
      <c r="Q91" s="77">
        <f>Entitlement!U85*(1-TPCIL!$L$11)-ISGS!J91</f>
        <v>-0.004722000000001</v>
      </c>
      <c r="R91" s="77">
        <f>Entitlement!AA85*(1-TPCIL!$L$11)-ISGS!L91</f>
        <v>0.00193399999999944</v>
      </c>
      <c r="S91" s="77">
        <f>Entitlement!R85*(1-TPCIL!$L$11)-ISGS!I91</f>
        <v>0.00436299999999878</v>
      </c>
      <c r="T91" s="77">
        <f>Entitlement!AD85*(1-TPCIL!$L$11)-ISGS!M91</f>
        <v>-0.000580000000006464</v>
      </c>
      <c r="U91" s="77">
        <f>Entitlement!AV85*(1-TPCIL!$L$11)-ISGS!S91</f>
        <v>0.00303199999999038</v>
      </c>
      <c r="V91" s="77">
        <f t="shared" si="3"/>
        <v>191.917093</v>
      </c>
      <c r="W91" s="80">
        <f t="shared" si="4"/>
        <v>191.917093</v>
      </c>
      <c r="X91" s="81">
        <f t="shared" si="5"/>
        <v>0.00303199999999038</v>
      </c>
    </row>
    <row r="92" spans="1:24">
      <c r="A92" s="75">
        <v>80</v>
      </c>
      <c r="B92" s="75" t="s">
        <v>93</v>
      </c>
      <c r="C92" s="77">
        <f>Entitlement!D86*(1-TPCIL!$L$11)-ISGS!C92</f>
        <v>0.0038589999999985</v>
      </c>
      <c r="D92" s="77">
        <f>Entitlement!F86*(1-TPCIL!$L$11)-ISGS!D92</f>
        <v>0.00215799999998723</v>
      </c>
      <c r="E92" s="77">
        <f>Entitlement!H86*(1-TPCIL!$L$11)-ISGS!E92</f>
        <v>0</v>
      </c>
      <c r="F92" s="77">
        <f>Entitlement!J86*(1-TPCIL!$L$11)-ISGS!F92</f>
        <v>0</v>
      </c>
      <c r="G92" s="77">
        <f>Entitlement!O86*(1-TPCIL!$L$11)-ISGS!H92</f>
        <v>0.0014529999999997</v>
      </c>
      <c r="H92" s="82">
        <v>222.34</v>
      </c>
      <c r="I92" s="77">
        <f>Entitlement!BB86*(1-TPCIL!$L$11)-ISGS!U92</f>
        <v>0.00347099999999756</v>
      </c>
      <c r="J92" s="77">
        <f>Entitlement!AG86*(1-TPCIL!$L$11)-ISGS!N92</f>
        <v>0.00388299999998765</v>
      </c>
      <c r="K92" s="77">
        <f>Entitlement!AJ86*(1-TPCIL!$L$11)-ISGS!O92</f>
        <v>-0.00382899999999609</v>
      </c>
      <c r="L92" s="77">
        <f>Entitlement!AM86*(1-TPCIL!$L$11)-ISGS!P92</f>
        <v>0.00125900000000456</v>
      </c>
      <c r="M92" s="77">
        <f>Entitlement!AS86*(1-TPCIL!$L$11)-ISGS!R92</f>
        <v>0.00469499999999812</v>
      </c>
      <c r="N92" s="77">
        <f>Entitlement!AP86-ISGS!Q92</f>
        <v>0</v>
      </c>
      <c r="O92" s="77">
        <f>Entitlement!AY86*(1-TPCIL!$L$11)-ISGS!T92</f>
        <v>0.00110800000000211</v>
      </c>
      <c r="P92" s="77">
        <f>Entitlement!X86*(1-TPCIL!$L$11)-ISGS!K92</f>
        <v>-0.00499099999999686</v>
      </c>
      <c r="Q92" s="77">
        <f>Entitlement!U86*(1-TPCIL!$L$11)-ISGS!J92</f>
        <v>-0.004722000000001</v>
      </c>
      <c r="R92" s="77">
        <f>Entitlement!AA86*(1-TPCIL!$L$11)-ISGS!L92</f>
        <v>0.00193399999999944</v>
      </c>
      <c r="S92" s="77">
        <f>Entitlement!R86*(1-TPCIL!$L$11)-ISGS!I92</f>
        <v>0.00436299999999878</v>
      </c>
      <c r="T92" s="77">
        <f>Entitlement!AD86*(1-TPCIL!$L$11)-ISGS!M92</f>
        <v>-0.000580000000006464</v>
      </c>
      <c r="U92" s="77">
        <f>Entitlement!AV86*(1-TPCIL!$L$11)-ISGS!S92</f>
        <v>0.00303199999999038</v>
      </c>
      <c r="V92" s="77">
        <f t="shared" si="3"/>
        <v>222.357093</v>
      </c>
      <c r="W92" s="80">
        <f t="shared" si="4"/>
        <v>222.357093</v>
      </c>
      <c r="X92" s="81">
        <f t="shared" si="5"/>
        <v>0.00303199999999038</v>
      </c>
    </row>
    <row r="93" spans="1:24">
      <c r="A93" s="75">
        <v>81</v>
      </c>
      <c r="B93" s="75" t="s">
        <v>94</v>
      </c>
      <c r="C93" s="77">
        <f>Entitlement!D87*(1-TPCIL!$L$11)-ISGS!C93</f>
        <v>0.0038589999999985</v>
      </c>
      <c r="D93" s="77">
        <f>Entitlement!F87*(1-TPCIL!$L$11)-ISGS!D93</f>
        <v>0.00215799999998723</v>
      </c>
      <c r="E93" s="77">
        <f>Entitlement!H87*(1-TPCIL!$L$11)-ISGS!E93</f>
        <v>0</v>
      </c>
      <c r="F93" s="77">
        <f>Entitlement!J87*(1-TPCIL!$L$11)-ISGS!F93</f>
        <v>0</v>
      </c>
      <c r="G93" s="77">
        <f>Entitlement!O87*(1-TPCIL!$L$11)-ISGS!H93</f>
        <v>0.0014529999999997</v>
      </c>
      <c r="H93" s="82">
        <v>233.87</v>
      </c>
      <c r="I93" s="77">
        <f>Entitlement!BB87*(1-TPCIL!$L$11)-ISGS!U93</f>
        <v>0.00347099999999756</v>
      </c>
      <c r="J93" s="77">
        <f>Entitlement!AG87*(1-TPCIL!$L$11)-ISGS!N93</f>
        <v>0.00388299999998765</v>
      </c>
      <c r="K93" s="77">
        <f>Entitlement!AJ87*(1-TPCIL!$L$11)-ISGS!O93</f>
        <v>-0.00382899999999609</v>
      </c>
      <c r="L93" s="77">
        <f>Entitlement!AM87*(1-TPCIL!$L$11)-ISGS!P93</f>
        <v>0.00125900000000456</v>
      </c>
      <c r="M93" s="77">
        <f>Entitlement!AS87*(1-TPCIL!$L$11)-ISGS!R93</f>
        <v>0.00469499999999812</v>
      </c>
      <c r="N93" s="77">
        <f>Entitlement!AP87-ISGS!Q93</f>
        <v>0</v>
      </c>
      <c r="O93" s="77">
        <f>Entitlement!AY87*(1-TPCIL!$L$11)-ISGS!T93</f>
        <v>0.00110800000000211</v>
      </c>
      <c r="P93" s="77">
        <f>Entitlement!X87*(1-TPCIL!$L$11)-ISGS!K93</f>
        <v>-0.00499099999999686</v>
      </c>
      <c r="Q93" s="77">
        <f>Entitlement!U87*(1-TPCIL!$L$11)-ISGS!J93</f>
        <v>-0.004722000000001</v>
      </c>
      <c r="R93" s="77">
        <f>Entitlement!AA87*(1-TPCIL!$L$11)-ISGS!L93</f>
        <v>0.00193399999999944</v>
      </c>
      <c r="S93" s="77">
        <f>Entitlement!R87*(1-TPCIL!$L$11)-ISGS!I93</f>
        <v>0.00436299999999878</v>
      </c>
      <c r="T93" s="77">
        <f>Entitlement!AD87*(1-TPCIL!$L$11)-ISGS!M93</f>
        <v>-0.000580000000006464</v>
      </c>
      <c r="U93" s="77">
        <f>Entitlement!AV87*(1-TPCIL!$L$11)-ISGS!S93</f>
        <v>0.00303199999999038</v>
      </c>
      <c r="V93" s="77">
        <f t="shared" si="3"/>
        <v>233.887093</v>
      </c>
      <c r="W93" s="80">
        <f t="shared" si="4"/>
        <v>233.887093</v>
      </c>
      <c r="X93" s="81">
        <f t="shared" si="5"/>
        <v>0.00303199999999038</v>
      </c>
    </row>
    <row r="94" spans="1:24">
      <c r="A94" s="75">
        <v>82</v>
      </c>
      <c r="B94" s="75" t="s">
        <v>95</v>
      </c>
      <c r="C94" s="77">
        <f>Entitlement!D88*(1-TPCIL!$L$11)-ISGS!C94</f>
        <v>0.0038589999999985</v>
      </c>
      <c r="D94" s="77">
        <f>Entitlement!F88*(1-TPCIL!$L$11)-ISGS!D94</f>
        <v>0.00215799999998723</v>
      </c>
      <c r="E94" s="77">
        <f>Entitlement!H88*(1-TPCIL!$L$11)-ISGS!E94</f>
        <v>0</v>
      </c>
      <c r="F94" s="77">
        <f>Entitlement!J88*(1-TPCIL!$L$11)-ISGS!F94</f>
        <v>0</v>
      </c>
      <c r="G94" s="77">
        <f>Entitlement!O88*(1-TPCIL!$L$11)-ISGS!H94</f>
        <v>0.0014529999999997</v>
      </c>
      <c r="H94" s="82">
        <v>233.87</v>
      </c>
      <c r="I94" s="77">
        <f>Entitlement!BB88*(1-TPCIL!$L$11)-ISGS!U94</f>
        <v>0.00347099999999756</v>
      </c>
      <c r="J94" s="77">
        <f>Entitlement!AG88*(1-TPCIL!$L$11)-ISGS!N94</f>
        <v>0.00388299999998765</v>
      </c>
      <c r="K94" s="77">
        <f>Entitlement!AJ88*(1-TPCIL!$L$11)-ISGS!O94</f>
        <v>-0.00382899999999609</v>
      </c>
      <c r="L94" s="77">
        <f>Entitlement!AM88*(1-TPCIL!$L$11)-ISGS!P94</f>
        <v>0.00125900000000456</v>
      </c>
      <c r="M94" s="77">
        <f>Entitlement!AS88*(1-TPCIL!$L$11)-ISGS!R94</f>
        <v>0.00469499999999812</v>
      </c>
      <c r="N94" s="77">
        <f>Entitlement!AP88-ISGS!Q94</f>
        <v>0</v>
      </c>
      <c r="O94" s="77">
        <f>Entitlement!AY88*(1-TPCIL!$L$11)-ISGS!T94</f>
        <v>0.00110800000000211</v>
      </c>
      <c r="P94" s="77">
        <f>Entitlement!X88*(1-TPCIL!$L$11)-ISGS!K94</f>
        <v>-0.00499099999999686</v>
      </c>
      <c r="Q94" s="77">
        <f>Entitlement!U88*(1-TPCIL!$L$11)-ISGS!J94</f>
        <v>-0.004722000000001</v>
      </c>
      <c r="R94" s="77">
        <f>Entitlement!AA88*(1-TPCIL!$L$11)-ISGS!L94</f>
        <v>0.00193399999999944</v>
      </c>
      <c r="S94" s="77">
        <f>Entitlement!R88*(1-TPCIL!$L$11)-ISGS!I94</f>
        <v>0.00436299999999878</v>
      </c>
      <c r="T94" s="77">
        <f>Entitlement!AD88*(1-TPCIL!$L$11)-ISGS!M94</f>
        <v>-0.000580000000006464</v>
      </c>
      <c r="U94" s="77">
        <f>Entitlement!AV88*(1-TPCIL!$L$11)-ISGS!S94</f>
        <v>0.00303199999999038</v>
      </c>
      <c r="V94" s="77">
        <f t="shared" si="3"/>
        <v>233.887093</v>
      </c>
      <c r="W94" s="80">
        <f t="shared" si="4"/>
        <v>233.887093</v>
      </c>
      <c r="X94" s="81">
        <f t="shared" si="5"/>
        <v>0.00303199999999038</v>
      </c>
    </row>
    <row r="95" spans="1:24">
      <c r="A95" s="75">
        <v>83</v>
      </c>
      <c r="B95" s="75" t="s">
        <v>96</v>
      </c>
      <c r="C95" s="77">
        <f>Entitlement!D89*(1-TPCIL!$L$11)-ISGS!C95</f>
        <v>0.0038589999999985</v>
      </c>
      <c r="D95" s="77">
        <f>Entitlement!F89*(1-TPCIL!$L$11)-ISGS!D95</f>
        <v>0.00215799999998723</v>
      </c>
      <c r="E95" s="77">
        <f>Entitlement!H89*(1-TPCIL!$L$11)-ISGS!E95</f>
        <v>0</v>
      </c>
      <c r="F95" s="77">
        <f>Entitlement!J89*(1-TPCIL!$L$11)-ISGS!F95</f>
        <v>0</v>
      </c>
      <c r="G95" s="77">
        <f>Entitlement!O89*(1-TPCIL!$L$11)-ISGS!H95</f>
        <v>0.0014529999999997</v>
      </c>
      <c r="H95" s="82">
        <v>233.87</v>
      </c>
      <c r="I95" s="77">
        <f>Entitlement!BB89*(1-TPCIL!$L$11)-ISGS!U95</f>
        <v>0.00347099999999756</v>
      </c>
      <c r="J95" s="77">
        <f>Entitlement!AG89*(1-TPCIL!$L$11)-ISGS!N95</f>
        <v>33.243883</v>
      </c>
      <c r="K95" s="77">
        <f>Entitlement!AJ89*(1-TPCIL!$L$11)-ISGS!O95</f>
        <v>-0.00382899999999609</v>
      </c>
      <c r="L95" s="77">
        <f>Entitlement!AM89*(1-TPCIL!$L$11)-ISGS!P95</f>
        <v>0.00125900000000456</v>
      </c>
      <c r="M95" s="77">
        <f>Entitlement!AS89*(1-TPCIL!$L$11)-ISGS!R95</f>
        <v>0.00469499999999812</v>
      </c>
      <c r="N95" s="77">
        <f>Entitlement!AP89-ISGS!Q95</f>
        <v>0</v>
      </c>
      <c r="O95" s="77">
        <f>Entitlement!AY89*(1-TPCIL!$L$11)-ISGS!T95</f>
        <v>0.00110800000000211</v>
      </c>
      <c r="P95" s="77">
        <f>Entitlement!X89*(1-TPCIL!$L$11)-ISGS!K95</f>
        <v>-0.00499099999999686</v>
      </c>
      <c r="Q95" s="77">
        <f>Entitlement!U89*(1-TPCIL!$L$11)-ISGS!J95</f>
        <v>-0.004722000000001</v>
      </c>
      <c r="R95" s="77">
        <f>Entitlement!AA89*(1-TPCIL!$L$11)-ISGS!L95</f>
        <v>0.00193399999999944</v>
      </c>
      <c r="S95" s="77">
        <f>Entitlement!R89*(1-TPCIL!$L$11)-ISGS!I95</f>
        <v>0.0636799999999997</v>
      </c>
      <c r="T95" s="77">
        <f>Entitlement!AD89*(1-TPCIL!$L$11)-ISGS!M95</f>
        <v>-0.000580000000006464</v>
      </c>
      <c r="U95" s="77">
        <f>Entitlement!AV89*(1-TPCIL!$L$11)-ISGS!S95</f>
        <v>0.00303199999999038</v>
      </c>
      <c r="V95" s="77">
        <f t="shared" si="3"/>
        <v>267.18641</v>
      </c>
      <c r="W95" s="80">
        <f t="shared" si="4"/>
        <v>267.18641</v>
      </c>
      <c r="X95" s="81">
        <f t="shared" si="5"/>
        <v>0.00303199999999038</v>
      </c>
    </row>
    <row r="96" spans="1:24">
      <c r="A96" s="75">
        <v>84</v>
      </c>
      <c r="B96" s="75" t="s">
        <v>97</v>
      </c>
      <c r="C96" s="77">
        <f>Entitlement!D90*(1-TPCIL!$L$11)-ISGS!C96</f>
        <v>0.0038589999999985</v>
      </c>
      <c r="D96" s="77">
        <f>Entitlement!F90*(1-TPCIL!$L$11)-ISGS!D96</f>
        <v>0.00215799999998723</v>
      </c>
      <c r="E96" s="77">
        <f>Entitlement!H90*(1-TPCIL!$L$11)-ISGS!E96</f>
        <v>0</v>
      </c>
      <c r="F96" s="77">
        <f>Entitlement!J90*(1-TPCIL!$L$11)-ISGS!F96</f>
        <v>0</v>
      </c>
      <c r="G96" s="77">
        <f>Entitlement!O90*(1-TPCIL!$L$11)-ISGS!H96</f>
        <v>0.0014529999999997</v>
      </c>
      <c r="H96" s="82">
        <v>233.87</v>
      </c>
      <c r="I96" s="77">
        <f>Entitlement!BB90*(1-TPCIL!$L$11)-ISGS!U96</f>
        <v>0.00347099999999756</v>
      </c>
      <c r="J96" s="77">
        <f>Entitlement!AG90*(1-TPCIL!$L$11)-ISGS!N96</f>
        <v>33.243883</v>
      </c>
      <c r="K96" s="77">
        <f>Entitlement!AJ90*(1-TPCIL!$L$11)-ISGS!O96</f>
        <v>-0.00382899999999609</v>
      </c>
      <c r="L96" s="77">
        <f>Entitlement!AM90*(1-TPCIL!$L$11)-ISGS!P96</f>
        <v>0.00125900000000456</v>
      </c>
      <c r="M96" s="77">
        <f>Entitlement!AS90*(1-TPCIL!$L$11)-ISGS!R96</f>
        <v>0.00469499999999812</v>
      </c>
      <c r="N96" s="77">
        <f>Entitlement!AP90-ISGS!Q96</f>
        <v>0</v>
      </c>
      <c r="O96" s="77">
        <f>Entitlement!AY90*(1-TPCIL!$L$11)-ISGS!T96</f>
        <v>0.00110800000000211</v>
      </c>
      <c r="P96" s="77">
        <f>Entitlement!X90*(1-TPCIL!$L$11)-ISGS!K96</f>
        <v>-0.00499099999999686</v>
      </c>
      <c r="Q96" s="77">
        <f>Entitlement!U90*(1-TPCIL!$L$11)-ISGS!J96</f>
        <v>-0.004722000000001</v>
      </c>
      <c r="R96" s="77">
        <f>Entitlement!AA90*(1-TPCIL!$L$11)-ISGS!L96</f>
        <v>0.00193399999999944</v>
      </c>
      <c r="S96" s="77">
        <f>Entitlement!R90*(1-TPCIL!$L$11)-ISGS!I96</f>
        <v>0.00368000000000013</v>
      </c>
      <c r="T96" s="77">
        <f>Entitlement!AD90*(1-TPCIL!$L$11)-ISGS!M96</f>
        <v>-0.000580000000006464</v>
      </c>
      <c r="U96" s="77">
        <f>Entitlement!AV90*(1-TPCIL!$L$11)-ISGS!S96</f>
        <v>0.00303199999999038</v>
      </c>
      <c r="V96" s="77">
        <f t="shared" si="3"/>
        <v>267.12641</v>
      </c>
      <c r="W96" s="80">
        <f t="shared" si="4"/>
        <v>267.12641</v>
      </c>
      <c r="X96" s="81">
        <f t="shared" si="5"/>
        <v>0.00303199999999038</v>
      </c>
    </row>
    <row r="97" spans="1:24">
      <c r="A97" s="75">
        <v>85</v>
      </c>
      <c r="B97" s="75" t="s">
        <v>98</v>
      </c>
      <c r="C97" s="77">
        <f>Entitlement!D91*(1-TPCIL!$L$11)-ISGS!C97</f>
        <v>0.0038589999999985</v>
      </c>
      <c r="D97" s="77">
        <f>Entitlement!F91*(1-TPCIL!$L$11)-ISGS!D97</f>
        <v>0.00215799999998723</v>
      </c>
      <c r="E97" s="77">
        <f>Entitlement!H91*(1-TPCIL!$L$11)-ISGS!E97</f>
        <v>0</v>
      </c>
      <c r="F97" s="77">
        <f>Entitlement!J91*(1-TPCIL!$L$11)-ISGS!F97</f>
        <v>0</v>
      </c>
      <c r="G97" s="77">
        <f>Entitlement!O91*(1-TPCIL!$L$11)-ISGS!H97</f>
        <v>0.0014529999999997</v>
      </c>
      <c r="H97" s="82">
        <v>233.87</v>
      </c>
      <c r="I97" s="77">
        <f>Entitlement!BB91*(1-TPCIL!$L$11)-ISGS!U97</f>
        <v>0.00347099999999756</v>
      </c>
      <c r="J97" s="77">
        <f>Entitlement!AG91*(1-TPCIL!$L$11)-ISGS!N97</f>
        <v>33.243883</v>
      </c>
      <c r="K97" s="77">
        <f>Entitlement!AJ91*(1-TPCIL!$L$11)-ISGS!O97</f>
        <v>-0.00382899999999609</v>
      </c>
      <c r="L97" s="77">
        <f>Entitlement!AM91*(1-TPCIL!$L$11)-ISGS!P97</f>
        <v>0.00125900000000456</v>
      </c>
      <c r="M97" s="77">
        <f>Entitlement!AS91*(1-TPCIL!$L$11)-ISGS!R97</f>
        <v>0.00469499999999812</v>
      </c>
      <c r="N97" s="77">
        <f>Entitlement!AP91-ISGS!Q97</f>
        <v>0</v>
      </c>
      <c r="O97" s="77">
        <f>Entitlement!AY91*(1-TPCIL!$L$11)-ISGS!T97</f>
        <v>0.00110800000000211</v>
      </c>
      <c r="P97" s="77">
        <f>Entitlement!X91*(1-TPCIL!$L$11)-ISGS!K97</f>
        <v>-0.00499099999999686</v>
      </c>
      <c r="Q97" s="77">
        <f>Entitlement!U91*(1-TPCIL!$L$11)-ISGS!J97</f>
        <v>-0.004722000000001</v>
      </c>
      <c r="R97" s="77">
        <f>Entitlement!AA91*(1-TPCIL!$L$11)-ISGS!L97</f>
        <v>0.00193399999999944</v>
      </c>
      <c r="S97" s="77">
        <f>Entitlement!R91*(1-TPCIL!$L$11)-ISGS!I97</f>
        <v>0.00368000000000013</v>
      </c>
      <c r="T97" s="77">
        <f>Entitlement!AD91*(1-TPCIL!$L$11)-ISGS!M97</f>
        <v>-0.000580000000006464</v>
      </c>
      <c r="U97" s="77">
        <f>Entitlement!AV91*(1-TPCIL!$L$11)-ISGS!S97</f>
        <v>0.00303199999999038</v>
      </c>
      <c r="V97" s="77">
        <f t="shared" si="3"/>
        <v>267.12641</v>
      </c>
      <c r="W97" s="80">
        <f t="shared" si="4"/>
        <v>267.12641</v>
      </c>
      <c r="X97" s="81">
        <f t="shared" si="5"/>
        <v>0.00303199999999038</v>
      </c>
    </row>
    <row r="98" spans="1:24">
      <c r="A98" s="75">
        <v>86</v>
      </c>
      <c r="B98" s="75" t="s">
        <v>99</v>
      </c>
      <c r="C98" s="77">
        <f>Entitlement!D92*(1-TPCIL!$L$11)-ISGS!C98</f>
        <v>0.0038589999999985</v>
      </c>
      <c r="D98" s="77">
        <f>Entitlement!F92*(1-TPCIL!$L$11)-ISGS!D98</f>
        <v>0.00215799999998723</v>
      </c>
      <c r="E98" s="77">
        <f>Entitlement!H92*(1-TPCIL!$L$11)-ISGS!E98</f>
        <v>0</v>
      </c>
      <c r="F98" s="77">
        <f>Entitlement!J92*(1-TPCIL!$L$11)-ISGS!F98</f>
        <v>0</v>
      </c>
      <c r="G98" s="77">
        <f>Entitlement!O92*(1-TPCIL!$L$11)-ISGS!H98</f>
        <v>0.0014529999999997</v>
      </c>
      <c r="H98" s="82">
        <v>233.87</v>
      </c>
      <c r="I98" s="77">
        <f>Entitlement!BB92*(1-TPCIL!$L$11)-ISGS!U98</f>
        <v>0.00347099999999756</v>
      </c>
      <c r="J98" s="77">
        <f>Entitlement!AG92*(1-TPCIL!$L$11)-ISGS!N98</f>
        <v>33.243883</v>
      </c>
      <c r="K98" s="77">
        <f>Entitlement!AJ92*(1-TPCIL!$L$11)-ISGS!O98</f>
        <v>-0.00382899999999609</v>
      </c>
      <c r="L98" s="77">
        <f>Entitlement!AM92*(1-TPCIL!$L$11)-ISGS!P98</f>
        <v>0.00125900000000456</v>
      </c>
      <c r="M98" s="77">
        <f>Entitlement!AS92*(1-TPCIL!$L$11)-ISGS!R98</f>
        <v>0.00469499999999812</v>
      </c>
      <c r="N98" s="77">
        <f>Entitlement!AP92-ISGS!Q98</f>
        <v>0</v>
      </c>
      <c r="O98" s="77">
        <f>Entitlement!AY92*(1-TPCIL!$L$11)-ISGS!T98</f>
        <v>0.00110800000000211</v>
      </c>
      <c r="P98" s="77">
        <f>Entitlement!X92*(1-TPCIL!$L$11)-ISGS!K98</f>
        <v>-0.00499099999999686</v>
      </c>
      <c r="Q98" s="77">
        <f>Entitlement!U92*(1-TPCIL!$L$11)-ISGS!J98</f>
        <v>-0.004722000000001</v>
      </c>
      <c r="R98" s="77">
        <f>Entitlement!AA92*(1-TPCIL!$L$11)-ISGS!L98</f>
        <v>0.00193399999999944</v>
      </c>
      <c r="S98" s="77">
        <f>Entitlement!R92*(1-TPCIL!$L$11)-ISGS!I98</f>
        <v>0.00368000000000013</v>
      </c>
      <c r="T98" s="77">
        <f>Entitlement!AD92*(1-TPCIL!$L$11)-ISGS!M98</f>
        <v>-0.000580000000006464</v>
      </c>
      <c r="U98" s="77">
        <f>Entitlement!AV92*(1-TPCIL!$L$11)-ISGS!S98</f>
        <v>0.00303199999999038</v>
      </c>
      <c r="V98" s="77">
        <f t="shared" si="3"/>
        <v>267.12641</v>
      </c>
      <c r="W98" s="80">
        <f t="shared" si="4"/>
        <v>267.12641</v>
      </c>
      <c r="X98" s="81">
        <f t="shared" si="5"/>
        <v>0.00303199999999038</v>
      </c>
    </row>
    <row r="99" spans="1:24">
      <c r="A99" s="75">
        <v>87</v>
      </c>
      <c r="B99" s="75" t="s">
        <v>100</v>
      </c>
      <c r="C99" s="77">
        <f>Entitlement!D93*(1-TPCIL!$L$11)-ISGS!C99</f>
        <v>0.0038589999999985</v>
      </c>
      <c r="D99" s="77">
        <f>Entitlement!F93*(1-TPCIL!$L$11)-ISGS!D99</f>
        <v>0.00215799999998723</v>
      </c>
      <c r="E99" s="77">
        <f>Entitlement!H93*(1-TPCIL!$L$11)-ISGS!E99</f>
        <v>0</v>
      </c>
      <c r="F99" s="77">
        <f>Entitlement!J93*(1-TPCIL!$L$11)-ISGS!F99</f>
        <v>0</v>
      </c>
      <c r="G99" s="77">
        <f>Entitlement!O93*(1-TPCIL!$L$11)-ISGS!H99</f>
        <v>0.0014529999999997</v>
      </c>
      <c r="H99" s="82">
        <v>233.87</v>
      </c>
      <c r="I99" s="77">
        <f>Entitlement!BB93*(1-TPCIL!$L$11)-ISGS!U99</f>
        <v>0.00165299999999746</v>
      </c>
      <c r="J99" s="77">
        <f>Entitlement!AG93*(1-TPCIL!$L$11)-ISGS!N99</f>
        <v>33.243883</v>
      </c>
      <c r="K99" s="77">
        <f>Entitlement!AJ93*(1-TPCIL!$L$11)-ISGS!O99</f>
        <v>-0.00382899999999609</v>
      </c>
      <c r="L99" s="77">
        <f>Entitlement!AM93*(1-TPCIL!$L$11)-ISGS!P99</f>
        <v>0.00125900000000456</v>
      </c>
      <c r="M99" s="77">
        <f>Entitlement!AS93*(1-TPCIL!$L$11)-ISGS!R99</f>
        <v>0.00469499999999812</v>
      </c>
      <c r="N99" s="77">
        <f>Entitlement!AP93-ISGS!Q99</f>
        <v>0</v>
      </c>
      <c r="O99" s="77">
        <f>Entitlement!AY93*(1-TPCIL!$L$11)-ISGS!T99</f>
        <v>0.00110800000000211</v>
      </c>
      <c r="P99" s="77">
        <f>Entitlement!X93*(1-TPCIL!$L$11)-ISGS!K99</f>
        <v>-0.00499099999999686</v>
      </c>
      <c r="Q99" s="77">
        <f>Entitlement!U93*(1-TPCIL!$L$11)-ISGS!J99</f>
        <v>-0.004722000000001</v>
      </c>
      <c r="R99" s="77">
        <f>Entitlement!AA93*(1-TPCIL!$L$11)-ISGS!L99</f>
        <v>0.00193399999999944</v>
      </c>
      <c r="S99" s="77">
        <f>Entitlement!R93*(1-TPCIL!$L$11)-ISGS!I99</f>
        <v>0.00368000000000013</v>
      </c>
      <c r="T99" s="77">
        <f>Entitlement!AD93*(1-TPCIL!$L$11)-ISGS!M99</f>
        <v>-0.000580000000006464</v>
      </c>
      <c r="U99" s="77">
        <f>Entitlement!AV93*(1-TPCIL!$L$11)-ISGS!S99</f>
        <v>0.00303199999999038</v>
      </c>
      <c r="V99" s="77">
        <f t="shared" si="3"/>
        <v>267.124592</v>
      </c>
      <c r="W99" s="80">
        <f t="shared" si="4"/>
        <v>267.124592</v>
      </c>
      <c r="X99" s="81">
        <f t="shared" si="5"/>
        <v>0.00303199999999038</v>
      </c>
    </row>
    <row r="100" spans="1:24">
      <c r="A100" s="75">
        <v>88</v>
      </c>
      <c r="B100" s="75" t="s">
        <v>101</v>
      </c>
      <c r="C100" s="77">
        <f>Entitlement!D94*(1-TPCIL!$L$11)-ISGS!C100</f>
        <v>0.0038589999999985</v>
      </c>
      <c r="D100" s="77">
        <f>Entitlement!F94*(1-TPCIL!$L$11)-ISGS!D100</f>
        <v>0.00215799999998723</v>
      </c>
      <c r="E100" s="77">
        <f>Entitlement!H94*(1-TPCIL!$L$11)-ISGS!E100</f>
        <v>0</v>
      </c>
      <c r="F100" s="77">
        <f>Entitlement!J94*(1-TPCIL!$L$11)-ISGS!F100</f>
        <v>0</v>
      </c>
      <c r="G100" s="77">
        <f>Entitlement!O94*(1-TPCIL!$L$11)-ISGS!H100</f>
        <v>0.0014529999999997</v>
      </c>
      <c r="H100" s="82">
        <v>233.87</v>
      </c>
      <c r="I100" s="77">
        <f>Entitlement!BB94*(1-TPCIL!$L$11)-ISGS!U100</f>
        <v>0.00165299999999746</v>
      </c>
      <c r="J100" s="77">
        <f>Entitlement!AG94*(1-TPCIL!$L$11)-ISGS!N100</f>
        <v>33.243883</v>
      </c>
      <c r="K100" s="77">
        <f>Entitlement!AJ94*(1-TPCIL!$L$11)-ISGS!O100</f>
        <v>-0.00382899999999609</v>
      </c>
      <c r="L100" s="77">
        <f>Entitlement!AM94*(1-TPCIL!$L$11)-ISGS!P100</f>
        <v>0.00125900000000456</v>
      </c>
      <c r="M100" s="77">
        <f>Entitlement!AS94*(1-TPCIL!$L$11)-ISGS!R100</f>
        <v>0.00469499999999812</v>
      </c>
      <c r="N100" s="77">
        <f>Entitlement!AP94-ISGS!Q100</f>
        <v>0</v>
      </c>
      <c r="O100" s="77">
        <f>Entitlement!AY94*(1-TPCIL!$L$11)-ISGS!T100</f>
        <v>0.00110800000000211</v>
      </c>
      <c r="P100" s="77">
        <f>Entitlement!X94*(1-TPCIL!$L$11)-ISGS!K100</f>
        <v>-0.00499099999999686</v>
      </c>
      <c r="Q100" s="77">
        <f>Entitlement!U94*(1-TPCIL!$L$11)-ISGS!J100</f>
        <v>-0.004722000000001</v>
      </c>
      <c r="R100" s="77">
        <f>Entitlement!AA94*(1-TPCIL!$L$11)-ISGS!L100</f>
        <v>0.00193399999999944</v>
      </c>
      <c r="S100" s="77">
        <f>Entitlement!R94*(1-TPCIL!$L$11)-ISGS!I100</f>
        <v>0.00368000000000013</v>
      </c>
      <c r="T100" s="77">
        <f>Entitlement!AD94*(1-TPCIL!$L$11)-ISGS!M100</f>
        <v>-0.000580000000006464</v>
      </c>
      <c r="U100" s="77">
        <f>Entitlement!AV94*(1-TPCIL!$L$11)-ISGS!S100</f>
        <v>0.00303199999999038</v>
      </c>
      <c r="V100" s="77">
        <f t="shared" si="3"/>
        <v>267.124592</v>
      </c>
      <c r="W100" s="80">
        <f t="shared" si="4"/>
        <v>267.124592</v>
      </c>
      <c r="X100" s="81">
        <f t="shared" si="5"/>
        <v>0.00303199999999038</v>
      </c>
    </row>
    <row r="101" spans="1:24">
      <c r="A101" s="75">
        <v>89</v>
      </c>
      <c r="B101" s="75" t="s">
        <v>102</v>
      </c>
      <c r="C101" s="77">
        <f>Entitlement!D95*(1-TPCIL!$L$11)-ISGS!C101</f>
        <v>0.0038589999999985</v>
      </c>
      <c r="D101" s="77">
        <f>Entitlement!F95*(1-TPCIL!$L$11)-ISGS!D101</f>
        <v>0.00215799999998723</v>
      </c>
      <c r="E101" s="77">
        <f>Entitlement!H95*(1-TPCIL!$L$11)-ISGS!E101</f>
        <v>0</v>
      </c>
      <c r="F101" s="77">
        <f>Entitlement!J95*(1-TPCIL!$L$11)-ISGS!F101</f>
        <v>0</v>
      </c>
      <c r="G101" s="77">
        <f>Entitlement!O95*(1-TPCIL!$L$11)-ISGS!H101</f>
        <v>0.0014529999999997</v>
      </c>
      <c r="H101" s="82">
        <v>233.87</v>
      </c>
      <c r="I101" s="77">
        <f>Entitlement!BB95*(1-TPCIL!$L$11)-ISGS!U101</f>
        <v>65.842923</v>
      </c>
      <c r="J101" s="77">
        <f>Entitlement!AG95*(1-TPCIL!$L$11)-ISGS!N101</f>
        <v>63.773883</v>
      </c>
      <c r="K101" s="77">
        <f>Entitlement!AJ95*(1-TPCIL!$L$11)-ISGS!O101</f>
        <v>-0.00382899999999609</v>
      </c>
      <c r="L101" s="77">
        <f>Entitlement!AM95*(1-TPCIL!$L$11)-ISGS!P101</f>
        <v>0.00125900000000456</v>
      </c>
      <c r="M101" s="77">
        <f>Entitlement!AS95*(1-TPCIL!$L$11)-ISGS!R101</f>
        <v>0.00469499999999812</v>
      </c>
      <c r="N101" s="77">
        <f>Entitlement!AP95-ISGS!Q101</f>
        <v>0</v>
      </c>
      <c r="O101" s="77">
        <f>Entitlement!AY95*(1-TPCIL!$L$11)-ISGS!T101</f>
        <v>0.00110800000000211</v>
      </c>
      <c r="P101" s="77">
        <f>Entitlement!X95*(1-TPCIL!$L$11)-ISGS!K101</f>
        <v>0.0815169999999981</v>
      </c>
      <c r="Q101" s="77">
        <f>Entitlement!U95*(1-TPCIL!$L$11)-ISGS!J101</f>
        <v>0.0318870000000011</v>
      </c>
      <c r="R101" s="77">
        <f>Entitlement!AA95*(1-TPCIL!$L$11)-ISGS!L101</f>
        <v>0.00193399999999944</v>
      </c>
      <c r="S101" s="77">
        <f>Entitlement!R95*(1-TPCIL!$L$11)-ISGS!I101</f>
        <v>0.00368000000000013</v>
      </c>
      <c r="T101" s="77">
        <f>Entitlement!AD95*(1-TPCIL!$L$11)-ISGS!M101</f>
        <v>-0.000580000000006464</v>
      </c>
      <c r="U101" s="77">
        <f>Entitlement!AV95*(1-TPCIL!$L$11)-ISGS!S101</f>
        <v>0.00303199999999038</v>
      </c>
      <c r="V101" s="77">
        <f t="shared" si="3"/>
        <v>363.618979</v>
      </c>
      <c r="W101" s="80">
        <f t="shared" si="4"/>
        <v>363.618979</v>
      </c>
      <c r="X101" s="81">
        <f t="shared" si="5"/>
        <v>0.00303199999999038</v>
      </c>
    </row>
    <row r="102" spans="1:24">
      <c r="A102" s="75">
        <v>90</v>
      </c>
      <c r="B102" s="75" t="s">
        <v>103</v>
      </c>
      <c r="C102" s="77">
        <f>Entitlement!D96*(1-TPCIL!$L$11)-ISGS!C102</f>
        <v>0.0038589999999985</v>
      </c>
      <c r="D102" s="77">
        <f>Entitlement!F96*(1-TPCIL!$L$11)-ISGS!D102</f>
        <v>0.00215799999998723</v>
      </c>
      <c r="E102" s="77">
        <f>Entitlement!H96*(1-TPCIL!$L$11)-ISGS!E102</f>
        <v>0</v>
      </c>
      <c r="F102" s="77">
        <f>Entitlement!J96*(1-TPCIL!$L$11)-ISGS!F102</f>
        <v>0</v>
      </c>
      <c r="G102" s="77">
        <f>Entitlement!O96*(1-TPCIL!$L$11)-ISGS!H102</f>
        <v>0.0014529999999997</v>
      </c>
      <c r="H102" s="82">
        <v>233.87</v>
      </c>
      <c r="I102" s="77">
        <f>Entitlement!BB96*(1-TPCIL!$L$11)-ISGS!U102</f>
        <v>65.842923</v>
      </c>
      <c r="J102" s="77">
        <f>Entitlement!AG96*(1-TPCIL!$L$11)-ISGS!N102</f>
        <v>121.433883</v>
      </c>
      <c r="K102" s="77">
        <f>Entitlement!AJ96*(1-TPCIL!$L$11)-ISGS!O102</f>
        <v>-0.00382899999999609</v>
      </c>
      <c r="L102" s="77">
        <f>Entitlement!AM96*(1-TPCIL!$L$11)-ISGS!P102</f>
        <v>0.00125900000000456</v>
      </c>
      <c r="M102" s="77">
        <f>Entitlement!AS96*(1-TPCIL!$L$11)-ISGS!R102</f>
        <v>0.00469499999999812</v>
      </c>
      <c r="N102" s="77">
        <f>Entitlement!AP96-ISGS!Q102</f>
        <v>0</v>
      </c>
      <c r="O102" s="77">
        <f>Entitlement!AY96*(1-TPCIL!$L$11)-ISGS!T102</f>
        <v>0.00110800000000211</v>
      </c>
      <c r="P102" s="77">
        <f>Entitlement!X96*(1-TPCIL!$L$11)-ISGS!K102</f>
        <v>0.00151699999999977</v>
      </c>
      <c r="Q102" s="77">
        <f>Entitlement!U96*(1-TPCIL!$L$11)-ISGS!J102</f>
        <v>0.00188699999999997</v>
      </c>
      <c r="R102" s="77">
        <f>Entitlement!AA96*(1-TPCIL!$L$11)-ISGS!L102</f>
        <v>0.00193399999999944</v>
      </c>
      <c r="S102" s="77">
        <f>Entitlement!R96*(1-TPCIL!$L$11)-ISGS!I102</f>
        <v>0.00368000000000013</v>
      </c>
      <c r="T102" s="77">
        <f>Entitlement!AD96*(1-TPCIL!$L$11)-ISGS!M102</f>
        <v>-0.000580000000006464</v>
      </c>
      <c r="U102" s="77">
        <f>Entitlement!AV96*(1-TPCIL!$L$11)-ISGS!S102</f>
        <v>0.00303199999999038</v>
      </c>
      <c r="V102" s="77">
        <f t="shared" si="3"/>
        <v>421.168979</v>
      </c>
      <c r="W102" s="80">
        <f t="shared" si="4"/>
        <v>421.168979</v>
      </c>
      <c r="X102" s="81">
        <f t="shared" si="5"/>
        <v>0.00303199999999038</v>
      </c>
    </row>
    <row r="103" spans="1:24">
      <c r="A103" s="75">
        <v>91</v>
      </c>
      <c r="B103" s="75" t="s">
        <v>104</v>
      </c>
      <c r="C103" s="77">
        <f>Entitlement!D97*(1-TPCIL!$L$11)-ISGS!C103</f>
        <v>0.0038589999999985</v>
      </c>
      <c r="D103" s="77">
        <f>Entitlement!F97*(1-TPCIL!$L$11)-ISGS!D103</f>
        <v>0.00215799999998723</v>
      </c>
      <c r="E103" s="77">
        <f>Entitlement!H97*(1-TPCIL!$L$11)-ISGS!E103</f>
        <v>0</v>
      </c>
      <c r="F103" s="77">
        <f>Entitlement!J97*(1-TPCIL!$L$11)-ISGS!F103</f>
        <v>0</v>
      </c>
      <c r="G103" s="77">
        <f>Entitlement!O97*(1-TPCIL!$L$11)-ISGS!H103</f>
        <v>0.0014529999999997</v>
      </c>
      <c r="H103" s="82">
        <v>233.87</v>
      </c>
      <c r="I103" s="77">
        <f>Entitlement!BB97*(1-TPCIL!$L$11)-ISGS!U103</f>
        <v>65.842923</v>
      </c>
      <c r="J103" s="77">
        <f>Entitlement!AG97*(1-TPCIL!$L$11)-ISGS!N103</f>
        <v>121.433883</v>
      </c>
      <c r="K103" s="77">
        <f>Entitlement!AJ97*(1-TPCIL!$L$11)-ISGS!O103</f>
        <v>-0.00382899999999609</v>
      </c>
      <c r="L103" s="77">
        <f>Entitlement!AM97*(1-TPCIL!$L$11)-ISGS!P103</f>
        <v>0.00125900000000456</v>
      </c>
      <c r="M103" s="77">
        <f>Entitlement!AS97*(1-TPCIL!$L$11)-ISGS!R103</f>
        <v>0.00469499999999812</v>
      </c>
      <c r="N103" s="77">
        <f>Entitlement!AP97-ISGS!Q103</f>
        <v>0</v>
      </c>
      <c r="O103" s="77">
        <f>Entitlement!AY97*(1-TPCIL!$L$11)-ISGS!T103</f>
        <v>0.00110800000000211</v>
      </c>
      <c r="P103" s="77">
        <f>Entitlement!X97*(1-TPCIL!$L$11)-ISGS!K103</f>
        <v>0.00151699999999977</v>
      </c>
      <c r="Q103" s="77">
        <f>Entitlement!U97*(1-TPCIL!$L$11)-ISGS!J103</f>
        <v>0.00188699999999997</v>
      </c>
      <c r="R103" s="77">
        <f>Entitlement!AA97*(1-TPCIL!$L$11)-ISGS!L103</f>
        <v>0.00193399999999944</v>
      </c>
      <c r="S103" s="77">
        <f>Entitlement!R97*(1-TPCIL!$L$11)-ISGS!I103</f>
        <v>0.00368000000000013</v>
      </c>
      <c r="T103" s="77">
        <f>Entitlement!AD97*(1-TPCIL!$L$11)-ISGS!M103</f>
        <v>-0.000580000000006464</v>
      </c>
      <c r="U103" s="77">
        <f>Entitlement!AV97*(1-TPCIL!$L$11)-ISGS!S103</f>
        <v>0.00303199999999038</v>
      </c>
      <c r="V103" s="77">
        <f t="shared" si="3"/>
        <v>421.168979</v>
      </c>
      <c r="W103" s="80">
        <f t="shared" si="4"/>
        <v>421.168979</v>
      </c>
      <c r="X103" s="81">
        <f t="shared" si="5"/>
        <v>0.00303199999999038</v>
      </c>
    </row>
    <row r="104" spans="1:24">
      <c r="A104" s="75">
        <v>92</v>
      </c>
      <c r="B104" s="75" t="s">
        <v>105</v>
      </c>
      <c r="C104" s="77">
        <f>Entitlement!D98*(1-TPCIL!$L$11)-ISGS!C104</f>
        <v>0.0038589999999985</v>
      </c>
      <c r="D104" s="77">
        <f>Entitlement!F98*(1-TPCIL!$L$11)-ISGS!D104</f>
        <v>0.00215799999998723</v>
      </c>
      <c r="E104" s="77">
        <f>Entitlement!H98*(1-TPCIL!$L$11)-ISGS!E104</f>
        <v>0</v>
      </c>
      <c r="F104" s="77">
        <f>Entitlement!J98*(1-TPCIL!$L$11)-ISGS!F104</f>
        <v>0</v>
      </c>
      <c r="G104" s="77">
        <f>Entitlement!O98*(1-TPCIL!$L$11)-ISGS!H104</f>
        <v>0.0014529999999997</v>
      </c>
      <c r="H104" s="82">
        <v>233.87</v>
      </c>
      <c r="I104" s="77">
        <f>Entitlement!BB98*(1-TPCIL!$L$11)-ISGS!U104</f>
        <v>65.842923</v>
      </c>
      <c r="J104" s="77">
        <f>Entitlement!AG98*(1-TPCIL!$L$11)-ISGS!N104</f>
        <v>121.433883</v>
      </c>
      <c r="K104" s="77">
        <f>Entitlement!AJ98*(1-TPCIL!$L$11)-ISGS!O104</f>
        <v>-0.00382899999999609</v>
      </c>
      <c r="L104" s="77">
        <f>Entitlement!AM98*(1-TPCIL!$L$11)-ISGS!P104</f>
        <v>0.00125900000000456</v>
      </c>
      <c r="M104" s="77">
        <f>Entitlement!AS98*(1-TPCIL!$L$11)-ISGS!R104</f>
        <v>0.00469499999999812</v>
      </c>
      <c r="N104" s="77">
        <f>Entitlement!AP98-ISGS!Q104</f>
        <v>0</v>
      </c>
      <c r="O104" s="77">
        <f>Entitlement!AY98*(1-TPCIL!$L$11)-ISGS!T104</f>
        <v>0.00110800000000211</v>
      </c>
      <c r="P104" s="77">
        <f>Entitlement!X98*(1-TPCIL!$L$11)-ISGS!K104</f>
        <v>-0.000762999999999181</v>
      </c>
      <c r="Q104" s="77">
        <f>Entitlement!U98*(1-TPCIL!$L$11)-ISGS!J104</f>
        <v>-0.00386100000000056</v>
      </c>
      <c r="R104" s="77">
        <f>Entitlement!AA98*(1-TPCIL!$L$11)-ISGS!L104</f>
        <v>0.00193399999999944</v>
      </c>
      <c r="S104" s="77">
        <f>Entitlement!R98*(1-TPCIL!$L$11)-ISGS!I104</f>
        <v>0.00368000000000013</v>
      </c>
      <c r="T104" s="77">
        <f>Entitlement!AD98*(1-TPCIL!$L$11)-ISGS!M104</f>
        <v>-0.000580000000006464</v>
      </c>
      <c r="U104" s="77">
        <f>Entitlement!AV98*(1-TPCIL!$L$11)-ISGS!S104</f>
        <v>0.00303199999999038</v>
      </c>
      <c r="V104" s="77">
        <f t="shared" si="3"/>
        <v>421.160951</v>
      </c>
      <c r="W104" s="80">
        <f t="shared" si="4"/>
        <v>421.160951</v>
      </c>
      <c r="X104" s="81">
        <f t="shared" si="5"/>
        <v>0.00303199999999038</v>
      </c>
    </row>
    <row r="105" spans="1:24">
      <c r="A105" s="75">
        <v>93</v>
      </c>
      <c r="B105" s="75" t="s">
        <v>106</v>
      </c>
      <c r="C105" s="77">
        <f>Entitlement!D99*(1-TPCIL!$L$11)-ISGS!C105</f>
        <v>0.0038589999999985</v>
      </c>
      <c r="D105" s="77">
        <f>Entitlement!F99*(1-TPCIL!$L$11)-ISGS!D105</f>
        <v>0.00215799999998723</v>
      </c>
      <c r="E105" s="77">
        <f>Entitlement!H99*(1-TPCIL!$L$11)-ISGS!E105</f>
        <v>0</v>
      </c>
      <c r="F105" s="77">
        <f>Entitlement!J99*(1-TPCIL!$L$11)-ISGS!F105</f>
        <v>0</v>
      </c>
      <c r="G105" s="77">
        <f>Entitlement!O99*(1-TPCIL!$L$11)-ISGS!H105</f>
        <v>0.0014529999999997</v>
      </c>
      <c r="H105" s="82">
        <v>233.87</v>
      </c>
      <c r="I105" s="77">
        <f>Entitlement!BB99*(1-TPCIL!$L$11)-ISGS!U105</f>
        <v>67.718166</v>
      </c>
      <c r="J105" s="77">
        <f>Entitlement!AG99*(1-TPCIL!$L$11)-ISGS!N105</f>
        <v>121.433883</v>
      </c>
      <c r="K105" s="77">
        <f>Entitlement!AJ99*(1-TPCIL!$L$11)-ISGS!O105</f>
        <v>53.136171</v>
      </c>
      <c r="L105" s="77">
        <f>Entitlement!AM99*(1-TPCIL!$L$11)-ISGS!P105</f>
        <v>15.091259</v>
      </c>
      <c r="M105" s="77">
        <f>Entitlement!AS99*(1-TPCIL!$L$11)-ISGS!R105</f>
        <v>68.534695</v>
      </c>
      <c r="N105" s="77">
        <f>Entitlement!AP99-ISGS!Q105</f>
        <v>0</v>
      </c>
      <c r="O105" s="77">
        <f>Entitlement!AY99*(1-TPCIL!$L$11)-ISGS!T105</f>
        <v>0.00110800000000211</v>
      </c>
      <c r="P105" s="77">
        <f>Entitlement!X99*(1-TPCIL!$L$11)-ISGS!K105</f>
        <v>35.439237</v>
      </c>
      <c r="Q105" s="77">
        <f>Entitlement!U99*(1-TPCIL!$L$11)-ISGS!J105</f>
        <v>28.376139</v>
      </c>
      <c r="R105" s="77">
        <f>Entitlement!AA99*(1-TPCIL!$L$11)-ISGS!L105</f>
        <v>7.481934</v>
      </c>
      <c r="S105" s="77">
        <f>Entitlement!R99*(1-TPCIL!$L$11)-ISGS!I105</f>
        <v>0.00368000000000013</v>
      </c>
      <c r="T105" s="77">
        <f>Entitlement!AD99*(1-TPCIL!$L$11)-ISGS!M105</f>
        <v>-0.000580000000006464</v>
      </c>
      <c r="U105" s="77">
        <f>Entitlement!AV99*(1-TPCIL!$L$11)-ISGS!S105</f>
        <v>0.00303199999999038</v>
      </c>
      <c r="V105" s="77">
        <f t="shared" si="3"/>
        <v>631.096194</v>
      </c>
      <c r="W105" s="80">
        <f t="shared" si="4"/>
        <v>631.096194</v>
      </c>
      <c r="X105" s="81">
        <f t="shared" si="5"/>
        <v>0.00303199999999038</v>
      </c>
    </row>
    <row r="106" spans="1:24">
      <c r="A106" s="75">
        <v>94</v>
      </c>
      <c r="B106" s="75" t="s">
        <v>107</v>
      </c>
      <c r="C106" s="77">
        <f>Entitlement!D100*(1-TPCIL!$L$11)-ISGS!C106</f>
        <v>0.0038589999999985</v>
      </c>
      <c r="D106" s="77">
        <f>Entitlement!F100*(1-TPCIL!$L$11)-ISGS!D106</f>
        <v>0.00215799999998723</v>
      </c>
      <c r="E106" s="77">
        <f>Entitlement!H100*(1-TPCIL!$L$11)-ISGS!E106</f>
        <v>0</v>
      </c>
      <c r="F106" s="77">
        <f>Entitlement!J100*(1-TPCIL!$L$11)-ISGS!F106</f>
        <v>0</v>
      </c>
      <c r="G106" s="77">
        <f>Entitlement!O100*(1-TPCIL!$L$11)-ISGS!H106</f>
        <v>0.0014529999999997</v>
      </c>
      <c r="H106" s="82">
        <v>233.87</v>
      </c>
      <c r="I106" s="77">
        <f>Entitlement!BB100*(1-TPCIL!$L$11)-ISGS!U106</f>
        <v>69.602928</v>
      </c>
      <c r="J106" s="77">
        <f>Entitlement!AG100*(1-TPCIL!$L$11)-ISGS!N106</f>
        <v>121.433883</v>
      </c>
      <c r="K106" s="77">
        <f>Entitlement!AJ100*(1-TPCIL!$L$11)-ISGS!O106</f>
        <v>177.236171</v>
      </c>
      <c r="L106" s="77">
        <f>Entitlement!AM100*(1-TPCIL!$L$11)-ISGS!P106</f>
        <v>46.791259</v>
      </c>
      <c r="M106" s="77">
        <f>Entitlement!AS100*(1-TPCIL!$L$11)-ISGS!R106</f>
        <v>198.994695</v>
      </c>
      <c r="N106" s="77">
        <f>Entitlement!AP100-ISGS!Q106</f>
        <v>0</v>
      </c>
      <c r="O106" s="77">
        <f>Entitlement!AY100*(1-TPCIL!$L$11)-ISGS!T106</f>
        <v>0.00110800000000211</v>
      </c>
      <c r="P106" s="77">
        <f>Entitlement!X100*(1-TPCIL!$L$11)-ISGS!K106</f>
        <v>35.439237</v>
      </c>
      <c r="Q106" s="77">
        <f>Entitlement!U100*(1-TPCIL!$L$11)-ISGS!J106</f>
        <v>28.376139</v>
      </c>
      <c r="R106" s="77">
        <f>Entitlement!AA100*(1-TPCIL!$L$11)-ISGS!L106</f>
        <v>7.481934</v>
      </c>
      <c r="S106" s="77">
        <f>Entitlement!R100*(1-TPCIL!$L$11)-ISGS!I106</f>
        <v>0.00368000000000013</v>
      </c>
      <c r="T106" s="77">
        <f>Entitlement!AD100*(1-TPCIL!$L$11)-ISGS!M106</f>
        <v>-0.000580000000006464</v>
      </c>
      <c r="U106" s="77">
        <f>Entitlement!AV100*(1-TPCIL!$L$11)-ISGS!S106</f>
        <v>0.00303199999999038</v>
      </c>
      <c r="V106" s="77">
        <f t="shared" si="3"/>
        <v>919.240956</v>
      </c>
      <c r="W106" s="80">
        <f t="shared" si="4"/>
        <v>919.240956</v>
      </c>
      <c r="X106" s="81">
        <f t="shared" si="5"/>
        <v>0.00303199999999038</v>
      </c>
    </row>
    <row r="107" spans="1:24">
      <c r="A107" s="75">
        <v>95</v>
      </c>
      <c r="B107" s="75" t="s">
        <v>108</v>
      </c>
      <c r="C107" s="77">
        <f>Entitlement!D101*(1-TPCIL!$L$11)-ISGS!C107</f>
        <v>0.0038589999999985</v>
      </c>
      <c r="D107" s="77">
        <f>Entitlement!F101*(1-TPCIL!$L$11)-ISGS!D107</f>
        <v>0.00215799999998723</v>
      </c>
      <c r="E107" s="77">
        <f>Entitlement!H101*(1-TPCIL!$L$11)-ISGS!E107</f>
        <v>0</v>
      </c>
      <c r="F107" s="77">
        <f>Entitlement!J101*(1-TPCIL!$L$11)-ISGS!F107</f>
        <v>0</v>
      </c>
      <c r="G107" s="77">
        <f>Entitlement!O101*(1-TPCIL!$L$11)-ISGS!H107</f>
        <v>0.0014529999999997</v>
      </c>
      <c r="H107" s="82">
        <v>233.87</v>
      </c>
      <c r="I107" s="77">
        <f>Entitlement!BB101*(1-TPCIL!$L$11)-ISGS!U107</f>
        <v>59.103471</v>
      </c>
      <c r="J107" s="77">
        <f>Entitlement!AG101*(1-TPCIL!$L$11)-ISGS!N107</f>
        <v>121.433883</v>
      </c>
      <c r="K107" s="77">
        <f>Entitlement!AJ101*(1-TPCIL!$L$11)-ISGS!O107</f>
        <v>280.896171</v>
      </c>
      <c r="L107" s="77">
        <f>Entitlement!AM101*(1-TPCIL!$L$11)-ISGS!P107</f>
        <v>71.021259</v>
      </c>
      <c r="M107" s="77">
        <f>Entitlement!AS101*(1-TPCIL!$L$11)-ISGS!R107</f>
        <v>198.994695</v>
      </c>
      <c r="N107" s="77">
        <f>Entitlement!AP101-ISGS!Q107</f>
        <v>0</v>
      </c>
      <c r="O107" s="77">
        <f>Entitlement!AY101*(1-TPCIL!$L$11)-ISGS!T107</f>
        <v>0.00110800000000211</v>
      </c>
      <c r="P107" s="77">
        <f>Entitlement!X101*(1-TPCIL!$L$11)-ISGS!K107</f>
        <v>35.439237</v>
      </c>
      <c r="Q107" s="77">
        <f>Entitlement!U101*(1-TPCIL!$L$11)-ISGS!J107</f>
        <v>28.376139</v>
      </c>
      <c r="R107" s="77">
        <f>Entitlement!AA101*(1-TPCIL!$L$11)-ISGS!L107</f>
        <v>7.481934</v>
      </c>
      <c r="S107" s="77">
        <f>Entitlement!R101*(1-TPCIL!$L$11)-ISGS!I107</f>
        <v>0.00368000000000013</v>
      </c>
      <c r="T107" s="77">
        <f>Entitlement!AD101*(1-TPCIL!$L$11)-ISGS!M107</f>
        <v>-0.000580000000006464</v>
      </c>
      <c r="U107" s="77">
        <f>Entitlement!AV101*(1-TPCIL!$L$11)-ISGS!S107</f>
        <v>0.00303199999999038</v>
      </c>
      <c r="V107" s="77">
        <f t="shared" si="3"/>
        <v>1036.631499</v>
      </c>
      <c r="W107" s="80">
        <f t="shared" si="4"/>
        <v>1036.631499</v>
      </c>
      <c r="X107" s="81">
        <f t="shared" si="5"/>
        <v>0.00303199999999038</v>
      </c>
    </row>
    <row r="108" spans="1:24">
      <c r="A108" s="75">
        <v>96</v>
      </c>
      <c r="B108" s="75" t="s">
        <v>109</v>
      </c>
      <c r="C108" s="77">
        <f>Entitlement!D102*(1-TPCIL!$L$11)-ISGS!C108</f>
        <v>0.0038589999999985</v>
      </c>
      <c r="D108" s="77">
        <f>Entitlement!F102*(1-TPCIL!$L$11)-ISGS!D108</f>
        <v>0.00215799999998723</v>
      </c>
      <c r="E108" s="77">
        <f>Entitlement!H102*(1-TPCIL!$L$11)-ISGS!E108</f>
        <v>0</v>
      </c>
      <c r="F108" s="77">
        <f>Entitlement!J102*(1-TPCIL!$L$11)-ISGS!F108</f>
        <v>0</v>
      </c>
      <c r="G108" s="77">
        <f>Entitlement!O102*(1-TPCIL!$L$11)-ISGS!H108</f>
        <v>0.0014529999999997</v>
      </c>
      <c r="H108" s="82">
        <v>233.87</v>
      </c>
      <c r="I108" s="77">
        <f>Entitlement!BB102*(1-TPCIL!$L$11)-ISGS!U108</f>
        <v>59.103471</v>
      </c>
      <c r="J108" s="77">
        <f>Entitlement!AG102*(1-TPCIL!$L$11)-ISGS!N108</f>
        <v>121.433883</v>
      </c>
      <c r="K108" s="77">
        <f>Entitlement!AJ102*(1-TPCIL!$L$11)-ISGS!O108</f>
        <v>280.896171</v>
      </c>
      <c r="L108" s="77">
        <f>Entitlement!AM102*(1-TPCIL!$L$11)-ISGS!P108</f>
        <v>71.021259</v>
      </c>
      <c r="M108" s="77">
        <f>Entitlement!AS102*(1-TPCIL!$L$11)-ISGS!R108</f>
        <v>198.994695</v>
      </c>
      <c r="N108" s="77">
        <f>Entitlement!AP102-ISGS!Q108</f>
        <v>0</v>
      </c>
      <c r="O108" s="77">
        <f>Entitlement!AY102*(1-TPCIL!$L$11)-ISGS!T108</f>
        <v>0.00110800000000211</v>
      </c>
      <c r="P108" s="77">
        <f>Entitlement!X102*(1-TPCIL!$L$11)-ISGS!K108</f>
        <v>35.439237</v>
      </c>
      <c r="Q108" s="77">
        <f>Entitlement!U102*(1-TPCIL!$L$11)-ISGS!J108</f>
        <v>28.376139</v>
      </c>
      <c r="R108" s="77">
        <f>Entitlement!AA102*(1-TPCIL!$L$11)-ISGS!L108</f>
        <v>7.481934</v>
      </c>
      <c r="S108" s="77">
        <f>Entitlement!R102*(1-TPCIL!$L$11)-ISGS!I108</f>
        <v>0.00368000000000013</v>
      </c>
      <c r="T108" s="77">
        <f>Entitlement!AD102*(1-TPCIL!$L$11)-ISGS!M108</f>
        <v>-0.000580000000006464</v>
      </c>
      <c r="U108" s="77">
        <f>Entitlement!AV102*(1-TPCIL!$L$11)-ISGS!S108</f>
        <v>0.00303199999999038</v>
      </c>
      <c r="V108" s="77">
        <f t="shared" si="3"/>
        <v>1036.631499</v>
      </c>
      <c r="W108" s="80">
        <f t="shared" si="4"/>
        <v>1036.631499</v>
      </c>
      <c r="X108" s="81">
        <f t="shared" si="5"/>
        <v>0.00303199999999038</v>
      </c>
    </row>
    <row r="109" spans="2:23">
      <c r="B109" s="83" t="s">
        <v>627</v>
      </c>
      <c r="H109" s="77"/>
      <c r="M109" s="77"/>
      <c r="T109" s="77"/>
      <c r="U109" s="77"/>
      <c r="V109" s="75"/>
      <c r="W109" s="84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628</v>
      </c>
      <c r="D5" s="1" t="s">
        <v>629</v>
      </c>
      <c r="E5" s="1" t="s">
        <v>630</v>
      </c>
      <c r="F5" s="1" t="s">
        <v>631</v>
      </c>
      <c r="G5" s="1" t="s">
        <v>632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633</v>
      </c>
      <c r="X20" s="1">
        <v>1.40512604960026</v>
      </c>
      <c r="Y20" s="1">
        <f t="shared" si="0"/>
        <v>0</v>
      </c>
    </row>
    <row r="21" customHeight="1" spans="14:25">
      <c r="N21" s="1" t="s">
        <v>634</v>
      </c>
      <c r="X21" s="1">
        <v>1.40512604960026</v>
      </c>
      <c r="Y21" s="1">
        <f t="shared" si="0"/>
        <v>0</v>
      </c>
    </row>
    <row r="22" customHeight="1" spans="14:25">
      <c r="N22" s="1" t="s">
        <v>635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633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O16" sqref="O16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636</v>
      </c>
      <c r="B1" s="61" t="s">
        <v>637</v>
      </c>
      <c r="C1" s="62" t="s">
        <v>638</v>
      </c>
      <c r="D1" s="59" t="s">
        <v>639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605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604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603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602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15.75" spans="1:4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</row>
    <row r="8" s="59" customFormat="1" ht="15.75" spans="1:10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7" t="s">
        <v>640</v>
      </c>
      <c r="J8" s="68">
        <v>0.0481</v>
      </c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601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6" t="s">
        <v>600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599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598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597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596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595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594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593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592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V1" workbookViewId="0">
      <selection activeCell="AV104" sqref="AV104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641</v>
      </c>
      <c r="E2" s="25" t="s">
        <v>642</v>
      </c>
      <c r="F2" s="25" t="s">
        <v>642</v>
      </c>
      <c r="G2" s="25" t="s">
        <v>642</v>
      </c>
      <c r="H2" s="25" t="s">
        <v>642</v>
      </c>
      <c r="I2" s="25" t="s">
        <v>641</v>
      </c>
      <c r="J2" s="25" t="s">
        <v>641</v>
      </c>
      <c r="K2" s="25" t="s">
        <v>641</v>
      </c>
      <c r="L2" s="25" t="s">
        <v>641</v>
      </c>
      <c r="M2" s="25" t="s">
        <v>643</v>
      </c>
      <c r="N2" s="25" t="s">
        <v>641</v>
      </c>
      <c r="O2" s="25" t="s">
        <v>641</v>
      </c>
      <c r="P2" s="25" t="s">
        <v>641</v>
      </c>
      <c r="Q2" s="25" t="s">
        <v>641</v>
      </c>
      <c r="R2" s="25" t="s">
        <v>641</v>
      </c>
      <c r="S2" s="25" t="s">
        <v>641</v>
      </c>
      <c r="T2" s="25" t="s">
        <v>642</v>
      </c>
      <c r="U2" s="25" t="s">
        <v>643</v>
      </c>
      <c r="V2" s="25" t="s">
        <v>641</v>
      </c>
      <c r="W2" s="25" t="s">
        <v>643</v>
      </c>
      <c r="X2" s="25" t="s">
        <v>643</v>
      </c>
      <c r="Y2" s="25" t="s">
        <v>643</v>
      </c>
      <c r="Z2" s="25" t="s">
        <v>643</v>
      </c>
      <c r="AA2" s="25" t="s">
        <v>641</v>
      </c>
      <c r="AB2" s="25" t="s">
        <v>641</v>
      </c>
      <c r="AC2" s="25" t="s">
        <v>643</v>
      </c>
      <c r="AD2" s="25" t="s">
        <v>643</v>
      </c>
      <c r="AE2" s="25" t="s">
        <v>643</v>
      </c>
      <c r="AF2" s="35"/>
      <c r="AG2" s="38" t="s">
        <v>644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591</v>
      </c>
      <c r="B3" s="26" t="s">
        <v>645</v>
      </c>
      <c r="C3" s="27" t="s">
        <v>646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647</v>
      </c>
      <c r="AH3" s="34" t="s">
        <v>648</v>
      </c>
      <c r="AI3" s="28" t="s">
        <v>649</v>
      </c>
      <c r="AJ3" s="28" t="s">
        <v>650</v>
      </c>
      <c r="AK3" s="29" t="s">
        <v>651</v>
      </c>
      <c r="AL3" s="29" t="s">
        <v>652</v>
      </c>
      <c r="AM3" s="39" t="s">
        <v>653</v>
      </c>
      <c r="AN3" s="39" t="s">
        <v>12</v>
      </c>
      <c r="AO3" s="39" t="s">
        <v>654</v>
      </c>
      <c r="AP3" s="39" t="s">
        <v>655</v>
      </c>
      <c r="AQ3" s="42" t="s">
        <v>656</v>
      </c>
      <c r="AR3" s="42" t="s">
        <v>657</v>
      </c>
      <c r="AS3" s="42" t="s">
        <v>658</v>
      </c>
      <c r="AT3" s="43" t="s">
        <v>659</v>
      </c>
    </row>
    <row r="4" ht="15.75" spans="1:51">
      <c r="A4" s="30">
        <v>1</v>
      </c>
      <c r="B4" s="31">
        <f>IF('BD&amp;LR'!M3&gt;0,'BD&amp;LR'!M3,0)</f>
        <v>761.51</v>
      </c>
      <c r="C4" s="32">
        <f>('BD&amp;LR'!N3*(1/(1-GEN_MASTER!J$8))+0.024)</f>
        <v>2.97658955772665</v>
      </c>
      <c r="D4" s="33">
        <f>MIN(INDEX(CHECK!$C3:$AD3,MATCH(D$3,CHECK!$C$2:$AD$2,0)),$B4)</f>
        <v>0.00303199999999038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0.000544999999988249</v>
      </c>
      <c r="I4" s="33">
        <f>MAX(0,MIN(INDEX(CHECK!$C3:$AD3,MATCH(I$3,CHECK!$C$2:$AD$2,0)),$B4-SUM($D4:H4)))</f>
        <v>0.00215199999999527</v>
      </c>
      <c r="J4" s="33">
        <f>MAX(0,MIN(INDEX(CHECK!$C3:$AD3,MATCH(J$3,CHECK!$C$2:$AD$2,0)),$B4-SUM($D4:I4)))</f>
        <v>0.0425159999999991</v>
      </c>
      <c r="K4" s="33">
        <f>MAX(0,MIN(INDEX(CHECK!$C3:$AD3,MATCH(K$3,CHECK!$C$2:$AD$2,0)),$B4-SUM($D4:J4)))</f>
        <v>0.00110800000000211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17.572074</v>
      </c>
      <c r="O4" s="33">
        <f>MAX(0,MIN(INDEX(CHECK!$C3:$AD3,MATCH(O$3,CHECK!$C$2:$AD$2,0)),$B4-SUM($D4:N4)))</f>
        <v>35.325009</v>
      </c>
      <c r="P4" s="33">
        <f>MAX(0,MIN(INDEX(CHECK!$C3:$AD3,MATCH(P$3,CHECK!$C$2:$AD$2,0)),$B4-SUM($D4:O4)))</f>
        <v>6.234945</v>
      </c>
      <c r="Q4" s="33">
        <f>MAX(0,MIN(INDEX(CHECK!$C3:$AD3,MATCH(Q$3,CHECK!$C$2:$AD$2,0)),$B4-SUM($D4:P4)))</f>
        <v>198.994695</v>
      </c>
      <c r="R4" s="33">
        <f>MAX(0,MIN(INDEX(CHECK!$C3:$AD3,MATCH(R$3,CHECK!$C$2:$AD$2,0)),$B4-SUM($D4:Q4)))</f>
        <v>71.021259</v>
      </c>
      <c r="S4" s="33">
        <f>MAX(0,MIN(INDEX(CHECK!$C3:$AD3,MATCH(S$3,CHECK!$C$2:$AD$2,0)),$B4-SUM($D4:R4)))</f>
        <v>280.896171</v>
      </c>
      <c r="T4" s="33">
        <f>MAX(0,MIN(INDEX(CHECK!$C3:$AD3,MATCH(T$3,CHECK!$C$2:$AD$2,0)),$B4-SUM($D4:S4)))</f>
        <v>151.416494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0.153</v>
      </c>
      <c r="AJ4" s="40" cm="1">
        <f t="array" ref="AJ4">ROUND(IFERROR(SUMPRODUCT(--($D$2:$AE$2="C"),D4:AE4,$D$1:$AE$1)/(AI4*4000),0),3)</f>
        <v>3.464</v>
      </c>
      <c r="AK4" s="40">
        <f>ROUND(SUMIF($D$2:$AE$2,"I",D4:AE4)/4000,3)</f>
        <v>0.038</v>
      </c>
      <c r="AL4" s="40" cm="1">
        <f t="array" ref="AL4">ROUND(IFERROR(SUMPRODUCT(--($D$2:$AE$2="I"),D4:AE4,$D$1:$AE$1)/(AK4*4000),0),3)</f>
        <v>3.576</v>
      </c>
      <c r="AM4" s="40">
        <f>IFERROR((AG4*AH4+AI4*AJ4+AK4*AL4)/SUM(AG4+AI4+AK4),0)</f>
        <v>3.48628272251309</v>
      </c>
      <c r="AN4" s="40">
        <f>IF(AM4&gt;0,C4,0)</f>
        <v>2.97658955772665</v>
      </c>
      <c r="AO4" s="44">
        <f>B4</f>
        <v>761.51</v>
      </c>
      <c r="AP4" s="40">
        <f>SUM(AG4+AI4+AK4)</f>
        <v>0.191</v>
      </c>
      <c r="AQ4" s="45">
        <f>AM4*AP4*10^6</f>
        <v>665880</v>
      </c>
      <c r="AR4" s="45">
        <f>(AN4*AP4)*10^6</f>
        <v>568528.605525791</v>
      </c>
      <c r="AS4" s="45">
        <f>AQ4-AR4</f>
        <v>97351.3944742094</v>
      </c>
      <c r="AT4" s="46">
        <f t="shared" ref="AT4:AT30" si="0">IFERROR(AS4/AR4,"-")</f>
        <v>0.171233942369841</v>
      </c>
      <c r="AW4" s="47">
        <v>569.38</v>
      </c>
      <c r="AY4" s="48">
        <f>AW4-AO4</f>
        <v>-192.13</v>
      </c>
    </row>
    <row r="5" ht="15.75" spans="1:51">
      <c r="A5" s="30">
        <v>2</v>
      </c>
      <c r="B5" s="31">
        <f>IF('BD&amp;LR'!M4&gt;0,'BD&amp;LR'!M4,0)</f>
        <v>856.7</v>
      </c>
      <c r="C5" s="32">
        <f>('BD&amp;LR'!N4*(1/(1-GEN_MASTER!J$8))+0.024)</f>
        <v>2.74629225759008</v>
      </c>
      <c r="D5" s="33">
        <f>MIN(INDEX(CHECK!$C4:$AD4,MATCH(D$3,CHECK!$C$2:$AD$2,0)),$B5)</f>
        <v>0.00303199999999038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0.000544999999988249</v>
      </c>
      <c r="I5" s="33">
        <f>MAX(0,MIN(INDEX(CHECK!$C4:$AD4,MATCH(I$3,CHECK!$C$2:$AD$2,0)),$B5-SUM($D5:H5)))</f>
        <v>0.00215199999999527</v>
      </c>
      <c r="J5" s="33">
        <f>MAX(0,MIN(INDEX(CHECK!$C4:$AD4,MATCH(J$3,CHECK!$C$2:$AD$2,0)),$B5-SUM($D5:I5)))</f>
        <v>0.00251599999999996</v>
      </c>
      <c r="K5" s="33">
        <f>MAX(0,MIN(INDEX(CHECK!$C4:$AD4,MATCH(K$3,CHECK!$C$2:$AD$2,0)),$B5-SUM($D5:J5)))</f>
        <v>0.00110800000000211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17.572074</v>
      </c>
      <c r="O5" s="33">
        <f>MAX(0,MIN(INDEX(CHECK!$C4:$AD4,MATCH(O$3,CHECK!$C$2:$AD$2,0)),$B5-SUM($D5:N5)))</f>
        <v>35.325009</v>
      </c>
      <c r="P5" s="33">
        <f>MAX(0,MIN(INDEX(CHECK!$C4:$AD4,MATCH(P$3,CHECK!$C$2:$AD$2,0)),$B5-SUM($D5:O5)))</f>
        <v>6.234945</v>
      </c>
      <c r="Q5" s="33">
        <f>MAX(0,MIN(INDEX(CHECK!$C4:$AD4,MATCH(Q$3,CHECK!$C$2:$AD$2,0)),$B5-SUM($D5:P5)))</f>
        <v>198.994695</v>
      </c>
      <c r="R5" s="33">
        <f>MAX(0,MIN(INDEX(CHECK!$C4:$AD4,MATCH(R$3,CHECK!$C$2:$AD$2,0)),$B5-SUM($D5:Q5)))</f>
        <v>71.021259</v>
      </c>
      <c r="S5" s="33">
        <f>MAX(0,MIN(INDEX(CHECK!$C4:$AD4,MATCH(S$3,CHECK!$C$2:$AD$2,0)),$B5-SUM($D5:R5)))</f>
        <v>280.896171</v>
      </c>
      <c r="T5" s="33">
        <f>MAX(0,MIN(INDEX(CHECK!$C4:$AD4,MATCH(T$3,CHECK!$C$2:$AD$2,0)),$B5-SUM($D5:S5)))</f>
        <v>201.3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45.3464940000001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0.164</v>
      </c>
      <c r="AJ5" s="40" cm="1">
        <f t="array" ref="AJ5">ROUND(IFERROR(SUMPRODUCT(--($D$2:$AE$2="C"),D5:AE5,$D$1:$AE$1)/(AI5*4000),0),3)</f>
        <v>3.489</v>
      </c>
      <c r="AK5" s="40">
        <f t="shared" ref="AK5:AK68" si="3">ROUND(SUMIF($D$2:$AE$2,"I",D5:AE5)/4000,3)</f>
        <v>0.05</v>
      </c>
      <c r="AL5" s="40" cm="1">
        <f t="array" ref="AL5">ROUND(IFERROR(SUMPRODUCT(--($D$2:$AE$2="I"),D5:AE5,$D$1:$AE$1)/(AK5*4000),0),3)</f>
        <v>3.613</v>
      </c>
      <c r="AM5" s="40">
        <f t="shared" ref="AM5:AM68" si="4">IFERROR((AG5*AH5+AI5*AJ5+AK5*AL5)/SUM(AG5+AI5+AK5),0)</f>
        <v>3.51797196261682</v>
      </c>
      <c r="AN5" s="40">
        <f t="shared" ref="AN5:AN68" si="5">IF(AM5&gt;0,C5,0)</f>
        <v>2.74629225759008</v>
      </c>
      <c r="AO5" s="44">
        <f t="shared" ref="AO5:AO68" si="6">B5</f>
        <v>856.7</v>
      </c>
      <c r="AP5" s="40">
        <f t="shared" ref="AP5:AP68" si="7">SUM(AG5+AI5+AK5)</f>
        <v>0.214</v>
      </c>
      <c r="AQ5" s="45">
        <f t="shared" ref="AQ5:AQ68" si="8">AM5*(AG5+AI5+AK5)*10^6</f>
        <v>752846</v>
      </c>
      <c r="AR5" s="45">
        <f t="shared" ref="AR5:AR68" si="9">(AN5*AP5)*10^6</f>
        <v>587706.543124278</v>
      </c>
      <c r="AS5" s="45">
        <f t="shared" ref="AS5:AS68" si="10">AQ5-AR5</f>
        <v>165139.456875722</v>
      </c>
      <c r="AT5" s="46">
        <f t="shared" si="0"/>
        <v>0.280989651736447</v>
      </c>
      <c r="AW5" s="47">
        <v>664.29</v>
      </c>
      <c r="AY5" s="48">
        <f t="shared" ref="AY5:AY36" si="11">AW5-AO5</f>
        <v>-192.41</v>
      </c>
    </row>
    <row r="6" ht="15.75" spans="1:51">
      <c r="A6" s="30">
        <v>3</v>
      </c>
      <c r="B6" s="31">
        <f>IF('BD&amp;LR'!M5&gt;0,'BD&amp;LR'!M5,0)</f>
        <v>1047.08</v>
      </c>
      <c r="C6" s="32">
        <f>('BD&amp;LR'!N5*(1/(1-GEN_MASTER!J$8))+0.024)</f>
        <v>2.65073600168085</v>
      </c>
      <c r="D6" s="33">
        <f>MIN(INDEX(CHECK!$C5:$AD5,MATCH(D$3,CHECK!$C$2:$AD$2,0)),$B6)</f>
        <v>0.00303199999999038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0.000544999999988249</v>
      </c>
      <c r="I6" s="33">
        <f>MAX(0,MIN(INDEX(CHECK!$C5:$AD5,MATCH(I$3,CHECK!$C$2:$AD$2,0)),$B6-SUM($D6:H6)))</f>
        <v>0.00215199999999527</v>
      </c>
      <c r="J6" s="33">
        <f>MAX(0,MIN(INDEX(CHECK!$C5:$AD5,MATCH(J$3,CHECK!$C$2:$AD$2,0)),$B6-SUM($D6:I6)))</f>
        <v>0.00251599999999996</v>
      </c>
      <c r="K6" s="33">
        <f>MAX(0,MIN(INDEX(CHECK!$C5:$AD5,MATCH(K$3,CHECK!$C$2:$AD$2,0)),$B6-SUM($D6:J6)))</f>
        <v>0.00110800000000211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17.572074</v>
      </c>
      <c r="O6" s="33">
        <f>MAX(0,MIN(INDEX(CHECK!$C5:$AD5,MATCH(O$3,CHECK!$C$2:$AD$2,0)),$B6-SUM($D6:N6)))</f>
        <v>35.325009</v>
      </c>
      <c r="P6" s="33">
        <f>MAX(0,MIN(INDEX(CHECK!$C5:$AD5,MATCH(P$3,CHECK!$C$2:$AD$2,0)),$B6-SUM($D6:O6)))</f>
        <v>6.234945</v>
      </c>
      <c r="Q6" s="33">
        <f>MAX(0,MIN(INDEX(CHECK!$C5:$AD5,MATCH(Q$3,CHECK!$C$2:$AD$2,0)),$B6-SUM($D6:P6)))</f>
        <v>198.994695</v>
      </c>
      <c r="R6" s="33">
        <f>MAX(0,MIN(INDEX(CHECK!$C5:$AD5,MATCH(R$3,CHECK!$C$2:$AD$2,0)),$B6-SUM($D6:Q6)))</f>
        <v>71.021259</v>
      </c>
      <c r="S6" s="33">
        <f>MAX(0,MIN(INDEX(CHECK!$C5:$AD5,MATCH(S$3,CHECK!$C$2:$AD$2,0)),$B6-SUM($D6:R6)))</f>
        <v>280.896171</v>
      </c>
      <c r="T6" s="33">
        <f>MAX(0,MIN(INDEX(CHECK!$C5:$AD5,MATCH(T$3,CHECK!$C$2:$AD$2,0)),$B6-SUM($D6:S6)))</f>
        <v>208.06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59.103471</v>
      </c>
      <c r="W6" s="33">
        <f>MAX(0,MIN(INDEX(CHECK!$C5:$AD5,MATCH(W$3,CHECK!$C$2:$AD$2,0)),$B6-SUM($D6:V6)))</f>
        <v>169.863023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0.042</v>
      </c>
      <c r="AH6" s="41" cm="1">
        <f t="array" ref="AH6">ROUND(IFERROR(SUMPRODUCT(--($D$2:$AE$2="S"),D6:AE6,$D$1:$AE$1)/(AG6*4000),0),3)</f>
        <v>3.864</v>
      </c>
      <c r="AI6" s="40">
        <f t="shared" si="2"/>
        <v>0.167</v>
      </c>
      <c r="AJ6" s="40" cm="1">
        <f t="array" ref="AJ6">ROUND(IFERROR(SUMPRODUCT(--($D$2:$AE$2="C"),D6:AE6,$D$1:$AE$1)/(AI6*4000),0),3)</f>
        <v>3.503</v>
      </c>
      <c r="AK6" s="40">
        <f t="shared" si="3"/>
        <v>0.052</v>
      </c>
      <c r="AL6" s="40" cm="1">
        <f t="array" ref="AL6">ROUND(IFERROR(SUMPRODUCT(--($D$2:$AE$2="I"),D6:AE6,$D$1:$AE$1)/(AK6*4000),0),3)</f>
        <v>3.591</v>
      </c>
      <c r="AM6" s="40">
        <f t="shared" si="4"/>
        <v>3.5786245210728</v>
      </c>
      <c r="AN6" s="40">
        <f t="shared" si="5"/>
        <v>2.65073600168085</v>
      </c>
      <c r="AO6" s="44">
        <f t="shared" si="6"/>
        <v>1047.08</v>
      </c>
      <c r="AP6" s="40">
        <f t="shared" si="7"/>
        <v>0.261</v>
      </c>
      <c r="AQ6" s="45">
        <f t="shared" si="8"/>
        <v>934021</v>
      </c>
      <c r="AR6" s="45">
        <f t="shared" si="9"/>
        <v>691842.096438702</v>
      </c>
      <c r="AS6" s="45">
        <f t="shared" si="10"/>
        <v>242178.903561299</v>
      </c>
      <c r="AT6" s="46">
        <f t="shared" si="0"/>
        <v>0.350049389604837</v>
      </c>
      <c r="AW6" s="47">
        <v>759.19</v>
      </c>
      <c r="AY6" s="48">
        <f t="shared" si="11"/>
        <v>-287.89</v>
      </c>
    </row>
    <row r="7" ht="15.75" spans="1:51">
      <c r="A7" s="30">
        <v>4</v>
      </c>
      <c r="B7" s="31">
        <f>IF('BD&amp;LR'!M6&gt;0,'BD&amp;LR'!M6,0)</f>
        <v>951.89</v>
      </c>
      <c r="C7" s="32">
        <f>('BD&amp;LR'!N6*(1/(1-GEN_MASTER!J$8))+0.024)</f>
        <v>2.64953839689043</v>
      </c>
      <c r="D7" s="33">
        <f>MIN(INDEX(CHECK!$C6:$AD6,MATCH(D$3,CHECK!$C$2:$AD$2,0)),$B7)</f>
        <v>0.00303199999999038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0.000544999999988249</v>
      </c>
      <c r="I7" s="33">
        <f>MAX(0,MIN(INDEX(CHECK!$C6:$AD6,MATCH(I$3,CHECK!$C$2:$AD$2,0)),$B7-SUM($D7:H7)))</f>
        <v>0.00215199999999527</v>
      </c>
      <c r="J7" s="33">
        <f>MAX(0,MIN(INDEX(CHECK!$C6:$AD6,MATCH(J$3,CHECK!$C$2:$AD$2,0)),$B7-SUM($D7:I7)))</f>
        <v>0.00251599999999996</v>
      </c>
      <c r="K7" s="33">
        <f>MAX(0,MIN(INDEX(CHECK!$C6:$AD6,MATCH(K$3,CHECK!$C$2:$AD$2,0)),$B7-SUM($D7:J7)))</f>
        <v>0.00110800000000211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17.572074</v>
      </c>
      <c r="O7" s="33">
        <f>MAX(0,MIN(INDEX(CHECK!$C6:$AD6,MATCH(O$3,CHECK!$C$2:$AD$2,0)),$B7-SUM($D7:N7)))</f>
        <v>35.325009</v>
      </c>
      <c r="P7" s="33">
        <f>MAX(0,MIN(INDEX(CHECK!$C6:$AD6,MATCH(P$3,CHECK!$C$2:$AD$2,0)),$B7-SUM($D7:O7)))</f>
        <v>6.234945</v>
      </c>
      <c r="Q7" s="33">
        <f>MAX(0,MIN(INDEX(CHECK!$C6:$AD6,MATCH(Q$3,CHECK!$C$2:$AD$2,0)),$B7-SUM($D7:P7)))</f>
        <v>198.994695</v>
      </c>
      <c r="R7" s="33">
        <f>MAX(0,MIN(INDEX(CHECK!$C6:$AD6,MATCH(R$3,CHECK!$C$2:$AD$2,0)),$B7-SUM($D7:Q7)))</f>
        <v>71.021259</v>
      </c>
      <c r="S7" s="33">
        <f>MAX(0,MIN(INDEX(CHECK!$C6:$AD6,MATCH(S$3,CHECK!$C$2:$AD$2,0)),$B7-SUM($D7:R7)))</f>
        <v>280.896171</v>
      </c>
      <c r="T7" s="33">
        <f>MAX(0,MIN(INDEX(CHECK!$C6:$AD6,MATCH(T$3,CHECK!$C$2:$AD$2,0)),$B7-SUM($D7:S7)))</f>
        <v>206.87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59.103471</v>
      </c>
      <c r="W7" s="33">
        <f>MAX(0,MIN(INDEX(CHECK!$C6:$AD6,MATCH(W$3,CHECK!$C$2:$AD$2,0)),$B7-SUM($D7:V7)))</f>
        <v>75.863023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0.019</v>
      </c>
      <c r="AH7" s="41" cm="1">
        <f t="array" ref="AH7">ROUND(IFERROR(SUMPRODUCT(--($D$2:$AE$2="S"),D7:AE7,$D$1:$AE$1)/(AG7*4000),0),3)</f>
        <v>3.815</v>
      </c>
      <c r="AI7" s="40">
        <f t="shared" si="2"/>
        <v>0.167</v>
      </c>
      <c r="AJ7" s="40" cm="1">
        <f t="array" ref="AJ7">ROUND(IFERROR(SUMPRODUCT(--($D$2:$AE$2="C"),D7:AE7,$D$1:$AE$1)/(AI7*4000),0),3)</f>
        <v>3.503</v>
      </c>
      <c r="AK7" s="40">
        <f t="shared" si="3"/>
        <v>0.052</v>
      </c>
      <c r="AL7" s="40" cm="1">
        <f t="array" ref="AL7">ROUND(IFERROR(SUMPRODUCT(--($D$2:$AE$2="I"),D7:AE7,$D$1:$AE$1)/(AK7*4000),0),3)</f>
        <v>3.571</v>
      </c>
      <c r="AM7" s="40">
        <f t="shared" si="4"/>
        <v>3.54276470588235</v>
      </c>
      <c r="AN7" s="40">
        <f t="shared" si="5"/>
        <v>2.64953839689043</v>
      </c>
      <c r="AO7" s="44">
        <f t="shared" si="6"/>
        <v>951.89</v>
      </c>
      <c r="AP7" s="40">
        <f t="shared" si="7"/>
        <v>0.238</v>
      </c>
      <c r="AQ7" s="45">
        <f t="shared" si="8"/>
        <v>843178</v>
      </c>
      <c r="AR7" s="45">
        <f t="shared" si="9"/>
        <v>630590.138459922</v>
      </c>
      <c r="AS7" s="45">
        <f t="shared" si="10"/>
        <v>212587.861540078</v>
      </c>
      <c r="AT7" s="46">
        <f t="shared" si="0"/>
        <v>0.337125255493651</v>
      </c>
      <c r="AW7" s="47">
        <v>664.29</v>
      </c>
      <c r="AY7" s="48">
        <f t="shared" si="11"/>
        <v>-287.6</v>
      </c>
    </row>
    <row r="8" ht="15.75" spans="1:51">
      <c r="A8" s="30">
        <v>5</v>
      </c>
      <c r="B8" s="31">
        <f>IF('BD&amp;LR'!M7&gt;0,'BD&amp;LR'!M7,0)</f>
        <v>856.68</v>
      </c>
      <c r="C8" s="32">
        <f>('BD&amp;LR'!N7*(1/(1-GEN_MASTER!J$8))+0.024)</f>
        <v>2.17654753650594</v>
      </c>
      <c r="D8" s="33">
        <f>MIN(INDEX(CHECK!$C7:$AD7,MATCH(D$3,CHECK!$C$2:$AD$2,0)),$B8)</f>
        <v>0.00303199999999038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0.000544999999988249</v>
      </c>
      <c r="I8" s="33">
        <f>MAX(0,MIN(INDEX(CHECK!$C7:$AD7,MATCH(I$3,CHECK!$C$2:$AD$2,0)),$B8-SUM($D8:H8)))</f>
        <v>0.00215199999999527</v>
      </c>
      <c r="J8" s="33">
        <f>MAX(0,MIN(INDEX(CHECK!$C7:$AD7,MATCH(J$3,CHECK!$C$2:$AD$2,0)),$B8-SUM($D8:I8)))</f>
        <v>0.00251599999999996</v>
      </c>
      <c r="K8" s="33">
        <f>MAX(0,MIN(INDEX(CHECK!$C7:$AD7,MATCH(K$3,CHECK!$C$2:$AD$2,0)),$B8-SUM($D8:J8)))</f>
        <v>0.00110800000000211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17.572074</v>
      </c>
      <c r="O8" s="33">
        <f>MAX(0,MIN(INDEX(CHECK!$C7:$AD7,MATCH(O$3,CHECK!$C$2:$AD$2,0)),$B8-SUM($D8:N8)))</f>
        <v>35.325009</v>
      </c>
      <c r="P8" s="33">
        <f>MAX(0,MIN(INDEX(CHECK!$C7:$AD7,MATCH(P$3,CHECK!$C$2:$AD$2,0)),$B8-SUM($D8:O8)))</f>
        <v>6.234945</v>
      </c>
      <c r="Q8" s="33">
        <f>MAX(0,MIN(INDEX(CHECK!$C7:$AD7,MATCH(Q$3,CHECK!$C$2:$AD$2,0)),$B8-SUM($D8:P8)))</f>
        <v>198.994695</v>
      </c>
      <c r="R8" s="33">
        <f>MAX(0,MIN(INDEX(CHECK!$C7:$AD7,MATCH(R$3,CHECK!$C$2:$AD$2,0)),$B8-SUM($D8:Q8)))</f>
        <v>71.021259</v>
      </c>
      <c r="S8" s="33">
        <f>MAX(0,MIN(INDEX(CHECK!$C7:$AD7,MATCH(S$3,CHECK!$C$2:$AD$2,0)),$B8-SUM($D8:R8)))</f>
        <v>280.896171</v>
      </c>
      <c r="T8" s="33">
        <f>MAX(0,MIN(INDEX(CHECK!$C7:$AD7,MATCH(T$3,CHECK!$C$2:$AD$2,0)),$B8-SUM($D8:S8)))</f>
        <v>202.06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44.566494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0.164</v>
      </c>
      <c r="AJ8" s="40" cm="1">
        <f t="array" ref="AJ8">ROUND(IFERROR(SUMPRODUCT(--($D$2:$AE$2="C"),D8:AE8,$D$1:$AE$1)/(AI8*4000),0),3)</f>
        <v>3.484</v>
      </c>
      <c r="AK8" s="40">
        <f t="shared" si="3"/>
        <v>0.051</v>
      </c>
      <c r="AL8" s="40" cm="1">
        <f t="array" ref="AL8">ROUND(IFERROR(SUMPRODUCT(--($D$2:$AE$2="I"),D8:AE8,$D$1:$AE$1)/(AK8*4000),0),3)</f>
        <v>3.556</v>
      </c>
      <c r="AM8" s="40">
        <f t="shared" si="4"/>
        <v>3.50107906976744</v>
      </c>
      <c r="AN8" s="40">
        <f t="shared" si="5"/>
        <v>2.17654753650594</v>
      </c>
      <c r="AO8" s="44">
        <f t="shared" si="6"/>
        <v>856.68</v>
      </c>
      <c r="AP8" s="40">
        <f t="shared" si="7"/>
        <v>0.215</v>
      </c>
      <c r="AQ8" s="45">
        <f t="shared" si="8"/>
        <v>752732</v>
      </c>
      <c r="AR8" s="45">
        <f t="shared" si="9"/>
        <v>467957.720348776</v>
      </c>
      <c r="AS8" s="45">
        <f t="shared" si="10"/>
        <v>284774.279651224</v>
      </c>
      <c r="AT8" s="46">
        <f t="shared" si="0"/>
        <v>0.608547027366013</v>
      </c>
      <c r="AW8" s="47">
        <v>873.06</v>
      </c>
      <c r="AY8" s="48">
        <f t="shared" si="11"/>
        <v>16.38</v>
      </c>
    </row>
    <row r="9" ht="15.75" spans="1:51">
      <c r="A9" s="30">
        <v>6</v>
      </c>
      <c r="B9" s="31">
        <f>IF('BD&amp;LR'!M8&gt;0,'BD&amp;LR'!M8,0)</f>
        <v>761.48</v>
      </c>
      <c r="C9" s="32">
        <f>('BD&amp;LR'!N8*(1/(1-GEN_MASTER!J$8))+0.024)</f>
        <v>2.02924214728438</v>
      </c>
      <c r="D9" s="33">
        <f>MIN(INDEX(CHECK!$C8:$AD8,MATCH(D$3,CHECK!$C$2:$AD$2,0)),$B9)</f>
        <v>0.00303199999999038</v>
      </c>
      <c r="E9" s="33">
        <f>MAX(0,MIN(INDEX(CHECK!$C8:$AD8,MATCH(E$3,CHECK!$C$2:$AD$2,0)),$B9-D9))</f>
        <v>47.64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0.000544999999988249</v>
      </c>
      <c r="I9" s="33">
        <f>MAX(0,MIN(INDEX(CHECK!$C8:$AD8,MATCH(I$3,CHECK!$C$2:$AD$2,0)),$B9-SUM($D9:H9)))</f>
        <v>0.00215199999999527</v>
      </c>
      <c r="J9" s="33">
        <f>MAX(0,MIN(INDEX(CHECK!$C8:$AD8,MATCH(J$3,CHECK!$C$2:$AD$2,0)),$B9-SUM($D9:I9)))</f>
        <v>0.00251599999999996</v>
      </c>
      <c r="K9" s="33">
        <f>MAX(0,MIN(INDEX(CHECK!$C8:$AD8,MATCH(K$3,CHECK!$C$2:$AD$2,0)),$B9-SUM($D9:J9)))</f>
        <v>0.00110800000000211</v>
      </c>
      <c r="L9" s="33">
        <f>MAX(0,MIN(INDEX(CHECK!$C8:$AD8,MATCH(L$3,CHECK!$C$2:$AD$2,0)),$B9-SUM($D9:K9)))</f>
        <v>0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17.572074</v>
      </c>
      <c r="O9" s="33">
        <f>MAX(0,MIN(INDEX(CHECK!$C8:$AD8,MATCH(O$3,CHECK!$C$2:$AD$2,0)),$B9-SUM($D9:N9)))</f>
        <v>35.325009</v>
      </c>
      <c r="P9" s="33">
        <f>MAX(0,MIN(INDEX(CHECK!$C8:$AD8,MATCH(P$3,CHECK!$C$2:$AD$2,0)),$B9-SUM($D9:O9)))</f>
        <v>6.234945</v>
      </c>
      <c r="Q9" s="33">
        <f>MAX(0,MIN(INDEX(CHECK!$C8:$AD8,MATCH(Q$3,CHECK!$C$2:$AD$2,0)),$B9-SUM($D9:P9)))</f>
        <v>198.994695</v>
      </c>
      <c r="R9" s="33">
        <f>MAX(0,MIN(INDEX(CHECK!$C8:$AD8,MATCH(R$3,CHECK!$C$2:$AD$2,0)),$B9-SUM($D9:Q9)))</f>
        <v>71.021259</v>
      </c>
      <c r="S9" s="33">
        <f>MAX(0,MIN(INDEX(CHECK!$C8:$AD8,MATCH(S$3,CHECK!$C$2:$AD$2,0)),$B9-SUM($D9:R9)))</f>
        <v>280.896171</v>
      </c>
      <c r="T9" s="33">
        <f>MAX(0,MIN(INDEX(CHECK!$C8:$AD8,MATCH(T$3,CHECK!$C$2:$AD$2,0)),$B9-SUM($D9:S9)))</f>
        <v>103.786494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0.153</v>
      </c>
      <c r="AJ9" s="40" cm="1">
        <f t="array" ref="AJ9">ROUND(IFERROR(SUMPRODUCT(--($D$2:$AE$2="C"),D9:AE9,$D$1:$AE$1)/(AI9*4000),0),3)</f>
        <v>3.464</v>
      </c>
      <c r="AK9" s="40">
        <f t="shared" si="3"/>
        <v>0.038</v>
      </c>
      <c r="AL9" s="40" cm="1">
        <f t="array" ref="AL9">ROUND(IFERROR(SUMPRODUCT(--($D$2:$AE$2="I"),D9:AE9,$D$1:$AE$1)/(AK9*4000),0),3)</f>
        <v>3.244</v>
      </c>
      <c r="AM9" s="40">
        <f t="shared" si="4"/>
        <v>3.42023036649215</v>
      </c>
      <c r="AN9" s="40">
        <f t="shared" si="5"/>
        <v>2.02924214728438</v>
      </c>
      <c r="AO9" s="44">
        <f t="shared" si="6"/>
        <v>761.48</v>
      </c>
      <c r="AP9" s="40">
        <f t="shared" si="7"/>
        <v>0.191</v>
      </c>
      <c r="AQ9" s="45">
        <f t="shared" si="8"/>
        <v>653264</v>
      </c>
      <c r="AR9" s="45">
        <f t="shared" si="9"/>
        <v>387585.250131316</v>
      </c>
      <c r="AS9" s="45">
        <f t="shared" si="10"/>
        <v>265678.749868684</v>
      </c>
      <c r="AT9" s="46">
        <f t="shared" si="0"/>
        <v>0.685471776283205</v>
      </c>
      <c r="AW9" s="47">
        <v>948.98</v>
      </c>
      <c r="AY9" s="48">
        <f t="shared" si="11"/>
        <v>187.5</v>
      </c>
    </row>
    <row r="10" ht="15.75" spans="1:51">
      <c r="A10" s="30">
        <v>7</v>
      </c>
      <c r="B10" s="31">
        <f>IF('BD&amp;LR'!M9&gt;0,'BD&amp;LR'!M9,0)</f>
        <v>856.68</v>
      </c>
      <c r="C10" s="32">
        <f>('BD&amp;LR'!N9*(1/(1-GEN_MASTER!J$8))+0.024)</f>
        <v>2.14568294988969</v>
      </c>
      <c r="D10" s="33">
        <f>MIN(INDEX(CHECK!$C9:$AD9,MATCH(D$3,CHECK!$C$2:$AD$2,0)),$B10)</f>
        <v>0.00303199999999038</v>
      </c>
      <c r="E10" s="33">
        <f>MAX(0,MIN(INDEX(CHECK!$C9:$AD9,MATCH(E$3,CHECK!$C$2:$AD$2,0)),$B10-D10))</f>
        <v>103.33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98.760545</v>
      </c>
      <c r="I10" s="33">
        <f>MAX(0,MIN(INDEX(CHECK!$C9:$AD9,MATCH(I$3,CHECK!$C$2:$AD$2,0)),$B10-SUM($D10:H10)))</f>
        <v>5.08215199999999</v>
      </c>
      <c r="J10" s="33">
        <f>MAX(0,MIN(INDEX(CHECK!$C9:$AD9,MATCH(J$3,CHECK!$C$2:$AD$2,0)),$B10-SUM($D10:I10)))</f>
        <v>2.072516</v>
      </c>
      <c r="K10" s="33">
        <f>MAX(0,MIN(INDEX(CHECK!$C9:$AD9,MATCH(K$3,CHECK!$C$2:$AD$2,0)),$B10-SUM($D10:J10)))</f>
        <v>3.111108</v>
      </c>
      <c r="L10" s="33">
        <f>MAX(0,MIN(INDEX(CHECK!$C9:$AD9,MATCH(L$3,CHECK!$C$2:$AD$2,0)),$B10-SUM($D10:K10)))</f>
        <v>0</v>
      </c>
      <c r="M10" s="33">
        <f>MAX(0,MIN(INDEX(CHECK!$C9:$AD9,MATCH(M$3,CHECK!$C$2:$AD$2,0)),$B10-SUM($D10:L10)))</f>
        <v>268.34</v>
      </c>
      <c r="N10" s="33">
        <f>MAX(0,MIN(INDEX(CHECK!$C9:$AD9,MATCH(N$3,CHECK!$C$2:$AD$2,0)),$B10-SUM($D10:M10)))</f>
        <v>17.572074</v>
      </c>
      <c r="O10" s="33">
        <f>MAX(0,MIN(INDEX(CHECK!$C9:$AD9,MATCH(O$3,CHECK!$C$2:$AD$2,0)),$B10-SUM($D10:N10)))</f>
        <v>35.325009</v>
      </c>
      <c r="P10" s="33">
        <f>MAX(0,MIN(INDEX(CHECK!$C9:$AD9,MATCH(P$3,CHECK!$C$2:$AD$2,0)),$B10-SUM($D10:O10)))</f>
        <v>6.644262</v>
      </c>
      <c r="Q10" s="33">
        <f>MAX(0,MIN(INDEX(CHECK!$C9:$AD9,MATCH(Q$3,CHECK!$C$2:$AD$2,0)),$B10-SUM($D10:P10)))</f>
        <v>198.994695</v>
      </c>
      <c r="R10" s="33">
        <f>MAX(0,MIN(INDEX(CHECK!$C9:$AD9,MATCH(R$3,CHECK!$C$2:$AD$2,0)),$B10-SUM($D10:Q10)))</f>
        <v>71.021259</v>
      </c>
      <c r="S10" s="33">
        <f>MAX(0,MIN(INDEX(CHECK!$C9:$AD9,MATCH(S$3,CHECK!$C$2:$AD$2,0)),$B10-SUM($D10:R10)))</f>
        <v>46.423348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0.067</v>
      </c>
      <c r="AH10" s="41" cm="1">
        <f t="array" ref="AH10">ROUND(IFERROR(SUMPRODUCT(--($D$2:$AE$2="S"),D10:AE10,$D$1:$AE$1)/(AG10*4000),0),3)</f>
        <v>3.339</v>
      </c>
      <c r="AI10" s="40">
        <f t="shared" si="2"/>
        <v>0.097</v>
      </c>
      <c r="AJ10" s="40" cm="1">
        <f t="array" ref="AJ10">ROUND(IFERROR(SUMPRODUCT(--($D$2:$AE$2="C"),D10:AE10,$D$1:$AE$1)/(AI10*4000),0),3)</f>
        <v>3.412</v>
      </c>
      <c r="AK10" s="40">
        <f t="shared" si="3"/>
        <v>0.051</v>
      </c>
      <c r="AL10" s="40" cm="1">
        <f t="array" ref="AL10">ROUND(IFERROR(SUMPRODUCT(--($D$2:$AE$2="I"),D10:AE10,$D$1:$AE$1)/(AK10*4000),0),3)</f>
        <v>2.724</v>
      </c>
      <c r="AM10" s="40">
        <f t="shared" si="4"/>
        <v>3.2260511627907</v>
      </c>
      <c r="AN10" s="40">
        <f t="shared" si="5"/>
        <v>2.14568294988969</v>
      </c>
      <c r="AO10" s="44">
        <f t="shared" si="6"/>
        <v>856.68</v>
      </c>
      <c r="AP10" s="40">
        <f t="shared" si="7"/>
        <v>0.215</v>
      </c>
      <c r="AQ10" s="45">
        <f t="shared" si="8"/>
        <v>693601</v>
      </c>
      <c r="AR10" s="45">
        <f t="shared" si="9"/>
        <v>461321.834226284</v>
      </c>
      <c r="AS10" s="45">
        <f t="shared" si="10"/>
        <v>232279.165773716</v>
      </c>
      <c r="AT10" s="46">
        <f t="shared" si="0"/>
        <v>0.503507851873709</v>
      </c>
      <c r="AW10" s="47">
        <v>948.98</v>
      </c>
      <c r="AY10" s="48">
        <f t="shared" si="11"/>
        <v>92.3000000000001</v>
      </c>
    </row>
    <row r="11" ht="15.75" spans="1:51">
      <c r="A11" s="30">
        <v>8</v>
      </c>
      <c r="B11" s="31">
        <f>IF('BD&amp;LR'!M10&gt;0,'BD&amp;LR'!M10,0)</f>
        <v>856.67</v>
      </c>
      <c r="C11" s="32">
        <f>('BD&amp;LR'!N10*(1/(1-GEN_MASTER!J$8))+0.024)</f>
        <v>2.03095451202857</v>
      </c>
      <c r="D11" s="33">
        <f>MIN(INDEX(CHECK!$C10:$AD10,MATCH(D$3,CHECK!$C$2:$AD$2,0)),$B11)</f>
        <v>0.00303199999999038</v>
      </c>
      <c r="E11" s="33">
        <f>MAX(0,MIN(INDEX(CHECK!$C10:$AD10,MATCH(E$3,CHECK!$C$2:$AD$2,0)),$B11-D11))</f>
        <v>149.28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98.760545</v>
      </c>
      <c r="I11" s="33">
        <f>MAX(0,MIN(INDEX(CHECK!$C10:$AD10,MATCH(I$3,CHECK!$C$2:$AD$2,0)),$B11-SUM($D11:H11)))</f>
        <v>7.90215199999999</v>
      </c>
      <c r="J11" s="33">
        <f>MAX(0,MIN(INDEX(CHECK!$C10:$AD10,MATCH(J$3,CHECK!$C$2:$AD$2,0)),$B11-SUM($D11:I11)))</f>
        <v>2.072516</v>
      </c>
      <c r="K11" s="33">
        <f>MAX(0,MIN(INDEX(CHECK!$C10:$AD10,MATCH(K$3,CHECK!$C$2:$AD$2,0)),$B11-SUM($D11:J11)))</f>
        <v>14.711108</v>
      </c>
      <c r="L11" s="33">
        <f>MAX(0,MIN(INDEX(CHECK!$C10:$AD10,MATCH(L$3,CHECK!$C$2:$AD$2,0)),$B11-SUM($D11:K11)))</f>
        <v>0</v>
      </c>
      <c r="M11" s="33">
        <f>MAX(0,MIN(INDEX(CHECK!$C10:$AD10,MATCH(M$3,CHECK!$C$2:$AD$2,0)),$B11-SUM($D11:L11)))</f>
        <v>267.21</v>
      </c>
      <c r="N11" s="33">
        <f>MAX(0,MIN(INDEX(CHECK!$C10:$AD10,MATCH(N$3,CHECK!$C$2:$AD$2,0)),$B11-SUM($D11:M11)))</f>
        <v>17.572074</v>
      </c>
      <c r="O11" s="33">
        <f>MAX(0,MIN(INDEX(CHECK!$C10:$AD10,MATCH(O$3,CHECK!$C$2:$AD$2,0)),$B11-SUM($D11:N11)))</f>
        <v>35.325009</v>
      </c>
      <c r="P11" s="33">
        <f>MAX(0,MIN(INDEX(CHECK!$C10:$AD10,MATCH(P$3,CHECK!$C$2:$AD$2,0)),$B11-SUM($D11:O11)))</f>
        <v>6.644262</v>
      </c>
      <c r="Q11" s="33">
        <f>MAX(0,MIN(INDEX(CHECK!$C10:$AD10,MATCH(Q$3,CHECK!$C$2:$AD$2,0)),$B11-SUM($D11:P11)))</f>
        <v>198.994695</v>
      </c>
      <c r="R11" s="33">
        <f>MAX(0,MIN(INDEX(CHECK!$C10:$AD10,MATCH(R$3,CHECK!$C$2:$AD$2,0)),$B11-SUM($D11:Q11)))</f>
        <v>58.1946069999999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0.067</v>
      </c>
      <c r="AH11" s="41" cm="1">
        <f t="array" ref="AH11">ROUND(IFERROR(SUMPRODUCT(--($D$2:$AE$2="S"),D11:AE11,$D$1:$AE$1)/(AG11*4000),0),3)</f>
        <v>3.325</v>
      </c>
      <c r="AI11" s="40">
        <f t="shared" si="2"/>
        <v>0.085</v>
      </c>
      <c r="AJ11" s="40" cm="1">
        <f t="array" ref="AJ11">ROUND(IFERROR(SUMPRODUCT(--($D$2:$AE$2="C"),D11:AE11,$D$1:$AE$1)/(AI11*4000),0),3)</f>
        <v>3.413</v>
      </c>
      <c r="AK11" s="40">
        <f t="shared" si="3"/>
        <v>0.062</v>
      </c>
      <c r="AL11" s="40" cm="1">
        <f t="array" ref="AL11">ROUND(IFERROR(SUMPRODUCT(--($D$2:$AE$2="I"),D11:AE11,$D$1:$AE$1)/(AK11*4000),0),3)</f>
        <v>2.71</v>
      </c>
      <c r="AM11" s="40">
        <f t="shared" si="4"/>
        <v>3.18177570093458</v>
      </c>
      <c r="AN11" s="40">
        <f t="shared" si="5"/>
        <v>2.03095451202857</v>
      </c>
      <c r="AO11" s="44">
        <f t="shared" si="6"/>
        <v>856.67</v>
      </c>
      <c r="AP11" s="40">
        <f t="shared" si="7"/>
        <v>0.214</v>
      </c>
      <c r="AQ11" s="45">
        <f t="shared" si="8"/>
        <v>680900</v>
      </c>
      <c r="AR11" s="45">
        <f t="shared" si="9"/>
        <v>434624.265574115</v>
      </c>
      <c r="AS11" s="45">
        <f t="shared" si="10"/>
        <v>246275.734425885</v>
      </c>
      <c r="AT11" s="46">
        <f t="shared" si="0"/>
        <v>0.56664055353782</v>
      </c>
      <c r="AW11" s="47">
        <v>948.98</v>
      </c>
      <c r="AY11" s="48">
        <f t="shared" si="11"/>
        <v>92.3100000000001</v>
      </c>
    </row>
    <row r="12" ht="15.75" spans="1:51">
      <c r="A12" s="30">
        <v>9</v>
      </c>
      <c r="B12" s="31">
        <f>IF('BD&amp;LR'!M11&gt;0,'BD&amp;LR'!M11,0)</f>
        <v>951.86</v>
      </c>
      <c r="C12" s="32">
        <f>('BD&amp;LR'!N11*(1/(1-GEN_MASTER!J$8))+0.024)</f>
        <v>2.02906355709633</v>
      </c>
      <c r="D12" s="33">
        <f>MIN(INDEX(CHECK!$C11:$AD11,MATCH(D$3,CHECK!$C$2:$AD$2,0)),$B12)</f>
        <v>0.00303199999999038</v>
      </c>
      <c r="E12" s="33">
        <f>MAX(0,MIN(INDEX(CHECK!$C11:$AD11,MATCH(E$3,CHECK!$C$2:$AD$2,0)),$B12-D12))</f>
        <v>157.48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98.760545</v>
      </c>
      <c r="I12" s="33">
        <f>MAX(0,MIN(INDEX(CHECK!$C11:$AD11,MATCH(I$3,CHECK!$C$2:$AD$2,0)),$B12-SUM($D12:H12)))</f>
        <v>7.90215199999999</v>
      </c>
      <c r="J12" s="33">
        <f>MAX(0,MIN(INDEX(CHECK!$C11:$AD11,MATCH(J$3,CHECK!$C$2:$AD$2,0)),$B12-SUM($D12:I12)))</f>
        <v>2.072516</v>
      </c>
      <c r="K12" s="33">
        <f>MAX(0,MIN(INDEX(CHECK!$C11:$AD11,MATCH(K$3,CHECK!$C$2:$AD$2,0)),$B12-SUM($D12:J12)))</f>
        <v>14.711108</v>
      </c>
      <c r="L12" s="33">
        <f>MAX(0,MIN(INDEX(CHECK!$C11:$AD11,MATCH(L$3,CHECK!$C$2:$AD$2,0)),$B12-SUM($D12:K12)))</f>
        <v>0</v>
      </c>
      <c r="M12" s="33">
        <f>MAX(0,MIN(INDEX(CHECK!$C11:$AD11,MATCH(M$3,CHECK!$C$2:$AD$2,0)),$B12-SUM($D12:L12)))</f>
        <v>259.52</v>
      </c>
      <c r="N12" s="33">
        <f>MAX(0,MIN(INDEX(CHECK!$C11:$AD11,MATCH(N$3,CHECK!$C$2:$AD$2,0)),$B12-SUM($D12:M12)))</f>
        <v>17.572074</v>
      </c>
      <c r="O12" s="33">
        <f>MAX(0,MIN(INDEX(CHECK!$C11:$AD11,MATCH(O$3,CHECK!$C$2:$AD$2,0)),$B12-SUM($D12:N12)))</f>
        <v>35.325009</v>
      </c>
      <c r="P12" s="33">
        <f>MAX(0,MIN(INDEX(CHECK!$C11:$AD11,MATCH(P$3,CHECK!$C$2:$AD$2,0)),$B12-SUM($D12:O12)))</f>
        <v>6.644262</v>
      </c>
      <c r="Q12" s="33">
        <f>MAX(0,MIN(INDEX(CHECK!$C11:$AD11,MATCH(Q$3,CHECK!$C$2:$AD$2,0)),$B12-SUM($D12:P12)))</f>
        <v>198.994695</v>
      </c>
      <c r="R12" s="33">
        <f>MAX(0,MIN(INDEX(CHECK!$C11:$AD11,MATCH(R$3,CHECK!$C$2:$AD$2,0)),$B12-SUM($D12:Q12)))</f>
        <v>71.021259</v>
      </c>
      <c r="S12" s="33">
        <f>MAX(0,MIN(INDEX(CHECK!$C11:$AD11,MATCH(S$3,CHECK!$C$2:$AD$2,0)),$B12-SUM($D12:R12)))</f>
        <v>81.853348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0.065</v>
      </c>
      <c r="AH12" s="41" cm="1">
        <f t="array" ref="AH12">ROUND(IFERROR(SUMPRODUCT(--($D$2:$AE$2="S"),D12:AE12,$D$1:$AE$1)/(AG12*4000),0),3)</f>
        <v>3.329</v>
      </c>
      <c r="AI12" s="40">
        <f t="shared" si="2"/>
        <v>0.109</v>
      </c>
      <c r="AJ12" s="40" cm="1">
        <f t="array" ref="AJ12">ROUND(IFERROR(SUMPRODUCT(--($D$2:$AE$2="C"),D12:AE12,$D$1:$AE$1)/(AI12*4000),0),3)</f>
        <v>3.428</v>
      </c>
      <c r="AK12" s="40">
        <f t="shared" si="3"/>
        <v>0.064</v>
      </c>
      <c r="AL12" s="40" cm="1">
        <f t="array" ref="AL12">ROUND(IFERROR(SUMPRODUCT(--($D$2:$AE$2="I"),D12:AE12,$D$1:$AE$1)/(AK12*4000),0),3)</f>
        <v>2.706</v>
      </c>
      <c r="AM12" s="40">
        <f t="shared" si="4"/>
        <v>3.20681092436975</v>
      </c>
      <c r="AN12" s="40">
        <f t="shared" si="5"/>
        <v>2.02906355709633</v>
      </c>
      <c r="AO12" s="44">
        <f t="shared" si="6"/>
        <v>951.86</v>
      </c>
      <c r="AP12" s="40">
        <f t="shared" si="7"/>
        <v>0.238</v>
      </c>
      <c r="AQ12" s="45">
        <f t="shared" si="8"/>
        <v>763221</v>
      </c>
      <c r="AR12" s="45">
        <f t="shared" si="9"/>
        <v>482917.126588927</v>
      </c>
      <c r="AS12" s="45">
        <f t="shared" si="10"/>
        <v>280303.873411073</v>
      </c>
      <c r="AT12" s="46">
        <f t="shared" si="0"/>
        <v>0.580438874452417</v>
      </c>
      <c r="AW12" s="47">
        <v>948.98</v>
      </c>
      <c r="AY12" s="48">
        <f t="shared" si="11"/>
        <v>-2.88</v>
      </c>
    </row>
    <row r="13" ht="15.75" spans="1:51">
      <c r="A13" s="30">
        <v>10</v>
      </c>
      <c r="B13" s="31">
        <f>IF('BD&amp;LR'!M12&gt;0,'BD&amp;LR'!M12,0)</f>
        <v>951.86</v>
      </c>
      <c r="C13" s="32">
        <f>('BD&amp;LR'!N12*(1/(1-GEN_MASTER!J$8))+0.024)</f>
        <v>2.0287273873306</v>
      </c>
      <c r="D13" s="33">
        <f>MIN(INDEX(CHECK!$C12:$AD12,MATCH(D$3,CHECK!$C$2:$AD$2,0)),$B13)</f>
        <v>0.00303199999999038</v>
      </c>
      <c r="E13" s="33">
        <f>MAX(0,MIN(INDEX(CHECK!$C12:$AD12,MATCH(E$3,CHECK!$C$2:$AD$2,0)),$B13-D13))</f>
        <v>155.05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98.760545</v>
      </c>
      <c r="I13" s="33">
        <f>MAX(0,MIN(INDEX(CHECK!$C12:$AD12,MATCH(I$3,CHECK!$C$2:$AD$2,0)),$B13-SUM($D13:H13)))</f>
        <v>7.90215199999999</v>
      </c>
      <c r="J13" s="33">
        <f>MAX(0,MIN(INDEX(CHECK!$C12:$AD12,MATCH(J$3,CHECK!$C$2:$AD$2,0)),$B13-SUM($D13:I13)))</f>
        <v>2.072516</v>
      </c>
      <c r="K13" s="33">
        <f>MAX(0,MIN(INDEX(CHECK!$C12:$AD12,MATCH(K$3,CHECK!$C$2:$AD$2,0)),$B13-SUM($D13:J13)))</f>
        <v>14.711108</v>
      </c>
      <c r="L13" s="33">
        <f>MAX(0,MIN(INDEX(CHECK!$C12:$AD12,MATCH(L$3,CHECK!$C$2:$AD$2,0)),$B13-SUM($D13:K13)))</f>
        <v>0</v>
      </c>
      <c r="M13" s="33">
        <f>MAX(0,MIN(INDEX(CHECK!$C12:$AD12,MATCH(M$3,CHECK!$C$2:$AD$2,0)),$B13-SUM($D13:L13)))</f>
        <v>259.78</v>
      </c>
      <c r="N13" s="33">
        <f>MAX(0,MIN(INDEX(CHECK!$C12:$AD12,MATCH(N$3,CHECK!$C$2:$AD$2,0)),$B13-SUM($D13:M13)))</f>
        <v>17.572074</v>
      </c>
      <c r="O13" s="33">
        <f>MAX(0,MIN(INDEX(CHECK!$C12:$AD12,MATCH(O$3,CHECK!$C$2:$AD$2,0)),$B13-SUM($D13:N13)))</f>
        <v>35.325009</v>
      </c>
      <c r="P13" s="33">
        <f>MAX(0,MIN(INDEX(CHECK!$C12:$AD12,MATCH(P$3,CHECK!$C$2:$AD$2,0)),$B13-SUM($D13:O13)))</f>
        <v>6.644262</v>
      </c>
      <c r="Q13" s="33">
        <f>MAX(0,MIN(INDEX(CHECK!$C12:$AD12,MATCH(Q$3,CHECK!$C$2:$AD$2,0)),$B13-SUM($D13:P13)))</f>
        <v>198.994695</v>
      </c>
      <c r="R13" s="33">
        <f>MAX(0,MIN(INDEX(CHECK!$C12:$AD12,MATCH(R$3,CHECK!$C$2:$AD$2,0)),$B13-SUM($D13:Q13)))</f>
        <v>71.021259</v>
      </c>
      <c r="S13" s="33">
        <f>MAX(0,MIN(INDEX(CHECK!$C12:$AD12,MATCH(S$3,CHECK!$C$2:$AD$2,0)),$B13-SUM($D13:R13)))</f>
        <v>84.0233479999999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0.065</v>
      </c>
      <c r="AH13" s="41" cm="1">
        <f t="array" ref="AH13">ROUND(IFERROR(SUMPRODUCT(--($D$2:$AE$2="S"),D13:AE13,$D$1:$AE$1)/(AG13*4000),0),3)</f>
        <v>3.332</v>
      </c>
      <c r="AI13" s="40">
        <f t="shared" si="2"/>
        <v>0.11</v>
      </c>
      <c r="AJ13" s="40" cm="1">
        <f t="array" ref="AJ13">ROUND(IFERROR(SUMPRODUCT(--($D$2:$AE$2="C"),D13:AE13,$D$1:$AE$1)/(AI13*4000),0),3)</f>
        <v>3.414</v>
      </c>
      <c r="AK13" s="40">
        <f t="shared" si="3"/>
        <v>0.063</v>
      </c>
      <c r="AL13" s="40" cm="1">
        <f t="array" ref="AL13">ROUND(IFERROR(SUMPRODUCT(--($D$2:$AE$2="I"),D13:AE13,$D$1:$AE$1)/(AK13*4000),0),3)</f>
        <v>2.725</v>
      </c>
      <c r="AM13" s="40">
        <f t="shared" si="4"/>
        <v>3.20922268907563</v>
      </c>
      <c r="AN13" s="40">
        <f t="shared" si="5"/>
        <v>2.0287273873306</v>
      </c>
      <c r="AO13" s="44">
        <f t="shared" si="6"/>
        <v>951.86</v>
      </c>
      <c r="AP13" s="40">
        <f t="shared" si="7"/>
        <v>0.238</v>
      </c>
      <c r="AQ13" s="45">
        <f t="shared" si="8"/>
        <v>763795</v>
      </c>
      <c r="AR13" s="45">
        <f t="shared" si="9"/>
        <v>482837.118184683</v>
      </c>
      <c r="AS13" s="45">
        <f t="shared" si="10"/>
        <v>280957.881815317</v>
      </c>
      <c r="AT13" s="46">
        <f t="shared" si="0"/>
        <v>0.581889567379639</v>
      </c>
      <c r="AW13" s="47">
        <v>948.98</v>
      </c>
      <c r="AY13" s="48">
        <f t="shared" si="11"/>
        <v>-2.88</v>
      </c>
    </row>
    <row r="14" ht="15.75" spans="1:51">
      <c r="A14" s="30">
        <v>11</v>
      </c>
      <c r="B14" s="31">
        <f>IF('BD&amp;LR'!M13&gt;0,'BD&amp;LR'!M13,0)</f>
        <v>951.86</v>
      </c>
      <c r="C14" s="32">
        <f>('BD&amp;LR'!N13*(1/(1-GEN_MASTER!J$8))+0.024)</f>
        <v>2.02861182897363</v>
      </c>
      <c r="D14" s="33">
        <f>MIN(INDEX(CHECK!$C13:$AD13,MATCH(D$3,CHECK!$C$2:$AD$2,0)),$B14)</f>
        <v>0.00303199999999038</v>
      </c>
      <c r="E14" s="33">
        <f>MAX(0,MIN(INDEX(CHECK!$C13:$AD13,MATCH(E$3,CHECK!$C$2:$AD$2,0)),$B14-D14))</f>
        <v>155.09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98.760545</v>
      </c>
      <c r="I14" s="33">
        <f>MAX(0,MIN(INDEX(CHECK!$C13:$AD13,MATCH(I$3,CHECK!$C$2:$AD$2,0)),$B14-SUM($D14:H14)))</f>
        <v>7.90215199999999</v>
      </c>
      <c r="J14" s="33">
        <f>MAX(0,MIN(INDEX(CHECK!$C13:$AD13,MATCH(J$3,CHECK!$C$2:$AD$2,0)),$B14-SUM($D14:I14)))</f>
        <v>2.072516</v>
      </c>
      <c r="K14" s="33">
        <f>MAX(0,MIN(INDEX(CHECK!$C13:$AD13,MATCH(K$3,CHECK!$C$2:$AD$2,0)),$B14-SUM($D14:J14)))</f>
        <v>14.711108</v>
      </c>
      <c r="L14" s="33">
        <f>MAX(0,MIN(INDEX(CHECK!$C13:$AD13,MATCH(L$3,CHECK!$C$2:$AD$2,0)),$B14-SUM($D14:K14)))</f>
        <v>0</v>
      </c>
      <c r="M14" s="33">
        <f>MAX(0,MIN(INDEX(CHECK!$C13:$AD13,MATCH(M$3,CHECK!$C$2:$AD$2,0)),$B14-SUM($D14:L14)))</f>
        <v>248.44</v>
      </c>
      <c r="N14" s="33">
        <f>MAX(0,MIN(INDEX(CHECK!$C13:$AD13,MATCH(N$3,CHECK!$C$2:$AD$2,0)),$B14-SUM($D14:M14)))</f>
        <v>17.572074</v>
      </c>
      <c r="O14" s="33">
        <f>MAX(0,MIN(INDEX(CHECK!$C13:$AD13,MATCH(O$3,CHECK!$C$2:$AD$2,0)),$B14-SUM($D14:N14)))</f>
        <v>35.325009</v>
      </c>
      <c r="P14" s="33">
        <f>MAX(0,MIN(INDEX(CHECK!$C13:$AD13,MATCH(P$3,CHECK!$C$2:$AD$2,0)),$B14-SUM($D14:O14)))</f>
        <v>6.644262</v>
      </c>
      <c r="Q14" s="33">
        <f>MAX(0,MIN(INDEX(CHECK!$C13:$AD13,MATCH(Q$3,CHECK!$C$2:$AD$2,0)),$B14-SUM($D14:P14)))</f>
        <v>198.994695</v>
      </c>
      <c r="R14" s="33">
        <f>MAX(0,MIN(INDEX(CHECK!$C13:$AD13,MATCH(R$3,CHECK!$C$2:$AD$2,0)),$B14-SUM($D14:Q14)))</f>
        <v>71.021259</v>
      </c>
      <c r="S14" s="33">
        <f>MAX(0,MIN(INDEX(CHECK!$C13:$AD13,MATCH(S$3,CHECK!$C$2:$AD$2,0)),$B14-SUM($D14:R14)))</f>
        <v>95.323348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0.062</v>
      </c>
      <c r="AH14" s="41" cm="1">
        <f t="array" ref="AH14">ROUND(IFERROR(SUMPRODUCT(--($D$2:$AE$2="S"),D14:AE14,$D$1:$AE$1)/(AG14*4000),0),3)</f>
        <v>3.341</v>
      </c>
      <c r="AI14" s="40">
        <f t="shared" si="2"/>
        <v>0.112</v>
      </c>
      <c r="AJ14" s="40" cm="1">
        <f t="array" ref="AJ14">ROUND(IFERROR(SUMPRODUCT(--($D$2:$AE$2="C"),D14:AE14,$D$1:$AE$1)/(AI14*4000),0),3)</f>
        <v>3.442</v>
      </c>
      <c r="AK14" s="40">
        <f t="shared" si="3"/>
        <v>0.063</v>
      </c>
      <c r="AL14" s="40" cm="1">
        <f t="array" ref="AL14">ROUND(IFERROR(SUMPRODUCT(--($D$2:$AE$2="I"),D14:AE14,$D$1:$AE$1)/(AK14*4000),0),3)</f>
        <v>2.725</v>
      </c>
      <c r="AM14" s="40">
        <f t="shared" si="4"/>
        <v>3.22498312236287</v>
      </c>
      <c r="AN14" s="40">
        <f t="shared" si="5"/>
        <v>2.02861182897363</v>
      </c>
      <c r="AO14" s="44">
        <f t="shared" si="6"/>
        <v>951.86</v>
      </c>
      <c r="AP14" s="40">
        <f t="shared" si="7"/>
        <v>0.237</v>
      </c>
      <c r="AQ14" s="45">
        <f t="shared" si="8"/>
        <v>764321</v>
      </c>
      <c r="AR14" s="45">
        <f t="shared" si="9"/>
        <v>480781.003466751</v>
      </c>
      <c r="AS14" s="45">
        <f t="shared" si="10"/>
        <v>283539.996533249</v>
      </c>
      <c r="AT14" s="46">
        <f t="shared" si="0"/>
        <v>0.589748751487137</v>
      </c>
      <c r="AW14" s="47">
        <v>1138.78</v>
      </c>
      <c r="AY14" s="48">
        <f t="shared" si="11"/>
        <v>186.92</v>
      </c>
    </row>
    <row r="15" ht="15.75" spans="1:51">
      <c r="A15" s="30">
        <v>12</v>
      </c>
      <c r="B15" s="31">
        <f>IF('BD&amp;LR'!M14&gt;0,'BD&amp;LR'!M14,0)</f>
        <v>951.85</v>
      </c>
      <c r="C15" s="32">
        <f>('BD&amp;LR'!N14*(1/(1-GEN_MASTER!J$8))+0.024)</f>
        <v>2.01930412858494</v>
      </c>
      <c r="D15" s="33">
        <f>MIN(INDEX(CHECK!$C14:$AD14,MATCH(D$3,CHECK!$C$2:$AD$2,0)),$B15)</f>
        <v>0.00303199999999038</v>
      </c>
      <c r="E15" s="33">
        <f>MAX(0,MIN(INDEX(CHECK!$C14:$AD14,MATCH(E$3,CHECK!$C$2:$AD$2,0)),$B15-D15))</f>
        <v>156.17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98.760545</v>
      </c>
      <c r="I15" s="33">
        <f>MAX(0,MIN(INDEX(CHECK!$C14:$AD14,MATCH(I$3,CHECK!$C$2:$AD$2,0)),$B15-SUM($D15:H15)))</f>
        <v>7.90215199999999</v>
      </c>
      <c r="J15" s="33">
        <f>MAX(0,MIN(INDEX(CHECK!$C14:$AD14,MATCH(J$3,CHECK!$C$2:$AD$2,0)),$B15-SUM($D15:I15)))</f>
        <v>2.072516</v>
      </c>
      <c r="K15" s="33">
        <f>MAX(0,MIN(INDEX(CHECK!$C14:$AD14,MATCH(K$3,CHECK!$C$2:$AD$2,0)),$B15-SUM($D15:J15)))</f>
        <v>14.711108</v>
      </c>
      <c r="L15" s="33">
        <f>MAX(0,MIN(INDEX(CHECK!$C14:$AD14,MATCH(L$3,CHECK!$C$2:$AD$2,0)),$B15-SUM($D15:K15)))</f>
        <v>0</v>
      </c>
      <c r="M15" s="33">
        <f>MAX(0,MIN(INDEX(CHECK!$C14:$AD14,MATCH(M$3,CHECK!$C$2:$AD$2,0)),$B15-SUM($D15:L15)))</f>
        <v>252.05</v>
      </c>
      <c r="N15" s="33">
        <f>MAX(0,MIN(INDEX(CHECK!$C14:$AD14,MATCH(N$3,CHECK!$C$2:$AD$2,0)),$B15-SUM($D15:M15)))</f>
        <v>17.572074</v>
      </c>
      <c r="O15" s="33">
        <f>MAX(0,MIN(INDEX(CHECK!$C14:$AD14,MATCH(O$3,CHECK!$C$2:$AD$2,0)),$B15-SUM($D15:N15)))</f>
        <v>35.325009</v>
      </c>
      <c r="P15" s="33">
        <f>MAX(0,MIN(INDEX(CHECK!$C14:$AD14,MATCH(P$3,CHECK!$C$2:$AD$2,0)),$B15-SUM($D15:O15)))</f>
        <v>6.644262</v>
      </c>
      <c r="Q15" s="33">
        <f>MAX(0,MIN(INDEX(CHECK!$C14:$AD14,MATCH(Q$3,CHECK!$C$2:$AD$2,0)),$B15-SUM($D15:P15)))</f>
        <v>198.994695</v>
      </c>
      <c r="R15" s="33">
        <f>MAX(0,MIN(INDEX(CHECK!$C14:$AD14,MATCH(R$3,CHECK!$C$2:$AD$2,0)),$B15-SUM($D15:Q15)))</f>
        <v>71.021259</v>
      </c>
      <c r="S15" s="33">
        <f>MAX(0,MIN(INDEX(CHECK!$C14:$AD14,MATCH(S$3,CHECK!$C$2:$AD$2,0)),$B15-SUM($D15:R15)))</f>
        <v>90.623348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0.063</v>
      </c>
      <c r="AH15" s="41" cm="1">
        <f t="array" ref="AH15">ROUND(IFERROR(SUMPRODUCT(--($D$2:$AE$2="S"),D15:AE15,$D$1:$AE$1)/(AG15*4000),0),3)</f>
        <v>3.336</v>
      </c>
      <c r="AI15" s="40">
        <f t="shared" si="2"/>
        <v>0.111</v>
      </c>
      <c r="AJ15" s="40" cm="1">
        <f t="array" ref="AJ15">ROUND(IFERROR(SUMPRODUCT(--($D$2:$AE$2="C"),D15:AE15,$D$1:$AE$1)/(AI15*4000),0),3)</f>
        <v>3.436</v>
      </c>
      <c r="AK15" s="40">
        <f t="shared" si="3"/>
        <v>0.064</v>
      </c>
      <c r="AL15" s="40" cm="1">
        <f t="array" ref="AL15">ROUND(IFERROR(SUMPRODUCT(--($D$2:$AE$2="I"),D15:AE15,$D$1:$AE$1)/(AK15*4000),0),3)</f>
        <v>2.693</v>
      </c>
      <c r="AM15" s="40">
        <f t="shared" si="4"/>
        <v>3.20973109243697</v>
      </c>
      <c r="AN15" s="40">
        <f t="shared" si="5"/>
        <v>2.01930412858494</v>
      </c>
      <c r="AO15" s="44">
        <f t="shared" si="6"/>
        <v>951.85</v>
      </c>
      <c r="AP15" s="40">
        <f t="shared" si="7"/>
        <v>0.238</v>
      </c>
      <c r="AQ15" s="45">
        <f t="shared" si="8"/>
        <v>763916</v>
      </c>
      <c r="AR15" s="45">
        <f t="shared" si="9"/>
        <v>480594.382603215</v>
      </c>
      <c r="AS15" s="45">
        <f t="shared" si="10"/>
        <v>283321.617396785</v>
      </c>
      <c r="AT15" s="46">
        <f t="shared" si="0"/>
        <v>0.589523364509859</v>
      </c>
      <c r="AW15" s="47">
        <v>1138.78</v>
      </c>
      <c r="AY15" s="48">
        <f t="shared" si="11"/>
        <v>186.93</v>
      </c>
    </row>
    <row r="16" ht="15.75" spans="1:51">
      <c r="A16" s="30">
        <v>13</v>
      </c>
      <c r="B16" s="31">
        <f>IF('BD&amp;LR'!M15&gt;0,'BD&amp;LR'!M15,0)</f>
        <v>1047.05</v>
      </c>
      <c r="C16" s="32">
        <f>('BD&amp;LR'!N15*(1/(1-GEN_MASTER!J$8))+0.024)</f>
        <v>2.02929467381027</v>
      </c>
      <c r="D16" s="33">
        <f>MIN(INDEX(CHECK!$C15:$AD15,MATCH(D$3,CHECK!$C$2:$AD$2,0)),$B16)</f>
        <v>0.00303199999999038</v>
      </c>
      <c r="E16" s="33">
        <f>MAX(0,MIN(INDEX(CHECK!$C15:$AD15,MATCH(E$3,CHECK!$C$2:$AD$2,0)),$B16-D16))</f>
        <v>155.94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98.760545</v>
      </c>
      <c r="I16" s="33">
        <f>MAX(0,MIN(INDEX(CHECK!$C15:$AD15,MATCH(I$3,CHECK!$C$2:$AD$2,0)),$B16-SUM($D16:H16)))</f>
        <v>9.39215199999999</v>
      </c>
      <c r="J16" s="33">
        <f>MAX(0,MIN(INDEX(CHECK!$C15:$AD15,MATCH(J$3,CHECK!$C$2:$AD$2,0)),$B16-SUM($D16:I16)))</f>
        <v>2.112516</v>
      </c>
      <c r="K16" s="33">
        <f>MAX(0,MIN(INDEX(CHECK!$C15:$AD15,MATCH(K$3,CHECK!$C$2:$AD$2,0)),$B16-SUM($D16:J16)))</f>
        <v>15.121108</v>
      </c>
      <c r="L16" s="33">
        <f>MAX(0,MIN(INDEX(CHECK!$C15:$AD15,MATCH(L$3,CHECK!$C$2:$AD$2,0)),$B16-SUM($D16:K16)))</f>
        <v>0</v>
      </c>
      <c r="M16" s="33">
        <f>MAX(0,MIN(INDEX(CHECK!$C15:$AD15,MATCH(M$3,CHECK!$C$2:$AD$2,0)),$B16-SUM($D16:L16)))</f>
        <v>253.29</v>
      </c>
      <c r="N16" s="33">
        <f>MAX(0,MIN(INDEX(CHECK!$C15:$AD15,MATCH(N$3,CHECK!$C$2:$AD$2,0)),$B16-SUM($D16:M16)))</f>
        <v>17.572074</v>
      </c>
      <c r="O16" s="33">
        <f>MAX(0,MIN(INDEX(CHECK!$C15:$AD15,MATCH(O$3,CHECK!$C$2:$AD$2,0)),$B16-SUM($D16:N16)))</f>
        <v>35.325009</v>
      </c>
      <c r="P16" s="33">
        <f>MAX(0,MIN(INDEX(CHECK!$C15:$AD15,MATCH(P$3,CHECK!$C$2:$AD$2,0)),$B16-SUM($D16:O16)))</f>
        <v>6.644262</v>
      </c>
      <c r="Q16" s="33">
        <f>MAX(0,MIN(INDEX(CHECK!$C15:$AD15,MATCH(Q$3,CHECK!$C$2:$AD$2,0)),$B16-SUM($D16:P16)))</f>
        <v>198.994695</v>
      </c>
      <c r="R16" s="33">
        <f>MAX(0,MIN(INDEX(CHECK!$C15:$AD15,MATCH(R$3,CHECK!$C$2:$AD$2,0)),$B16-SUM($D16:Q16)))</f>
        <v>71.021259</v>
      </c>
      <c r="S16" s="33">
        <f>MAX(0,MIN(INDEX(CHECK!$C15:$AD15,MATCH(S$3,CHECK!$C$2:$AD$2,0)),$B16-SUM($D16:R16)))</f>
        <v>182.873348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0.063</v>
      </c>
      <c r="AH16" s="41" cm="1">
        <f t="array" ref="AH16">ROUND(IFERROR(SUMPRODUCT(--($D$2:$AE$2="S"),D16:AE16,$D$1:$AE$1)/(AG16*4000),0),3)</f>
        <v>3.352</v>
      </c>
      <c r="AI16" s="40">
        <f t="shared" si="2"/>
        <v>0.135</v>
      </c>
      <c r="AJ16" s="40" cm="1">
        <f t="array" ref="AJ16">ROUND(IFERROR(SUMPRODUCT(--($D$2:$AE$2="C"),D16:AE16,$D$1:$AE$1)/(AI16*4000),0),3)</f>
        <v>3.44</v>
      </c>
      <c r="AK16" s="40">
        <f t="shared" si="3"/>
        <v>0.064</v>
      </c>
      <c r="AL16" s="40" cm="1">
        <f t="array" ref="AL16">ROUND(IFERROR(SUMPRODUCT(--($D$2:$AE$2="I"),D16:AE16,$D$1:$AE$1)/(AK16*4000),0),3)</f>
        <v>2.691</v>
      </c>
      <c r="AM16" s="40">
        <f t="shared" si="4"/>
        <v>3.23587786259542</v>
      </c>
      <c r="AN16" s="40">
        <f t="shared" si="5"/>
        <v>2.02929467381027</v>
      </c>
      <c r="AO16" s="44">
        <f t="shared" si="6"/>
        <v>1047.05</v>
      </c>
      <c r="AP16" s="40">
        <f t="shared" si="7"/>
        <v>0.262</v>
      </c>
      <c r="AQ16" s="45">
        <f t="shared" si="8"/>
        <v>847800</v>
      </c>
      <c r="AR16" s="45">
        <f t="shared" si="9"/>
        <v>531675.204538292</v>
      </c>
      <c r="AS16" s="45">
        <f t="shared" si="10"/>
        <v>316124.795461708</v>
      </c>
      <c r="AT16" s="46">
        <f t="shared" si="0"/>
        <v>0.594582543559149</v>
      </c>
      <c r="AW16" s="47">
        <v>1328.57</v>
      </c>
      <c r="AY16" s="48">
        <f t="shared" si="11"/>
        <v>281.52</v>
      </c>
    </row>
    <row r="17" ht="15.75" spans="1:51">
      <c r="A17" s="30">
        <v>14</v>
      </c>
      <c r="B17" s="31">
        <f>IF('BD&amp;LR'!M16&gt;0,'BD&amp;LR'!M16,0)</f>
        <v>1142.24</v>
      </c>
      <c r="C17" s="32">
        <f>('BD&amp;LR'!N16*(1/(1-GEN_MASTER!J$8))+0.024)</f>
        <v>2.14577749763631</v>
      </c>
      <c r="D17" s="33">
        <f>MIN(INDEX(CHECK!$C16:$AD16,MATCH(D$3,CHECK!$C$2:$AD$2,0)),$B17)</f>
        <v>0.00303199999999038</v>
      </c>
      <c r="E17" s="33">
        <f>MAX(0,MIN(INDEX(CHECK!$C16:$AD16,MATCH(E$3,CHECK!$C$2:$AD$2,0)),$B17-D17))</f>
        <v>153.82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98.760545</v>
      </c>
      <c r="I17" s="33">
        <f>MAX(0,MIN(INDEX(CHECK!$C16:$AD16,MATCH(I$3,CHECK!$C$2:$AD$2,0)),$B17-SUM($D17:H17)))</f>
        <v>9.39215199999999</v>
      </c>
      <c r="J17" s="33">
        <f>MAX(0,MIN(INDEX(CHECK!$C16:$AD16,MATCH(J$3,CHECK!$C$2:$AD$2,0)),$B17-SUM($D17:I17)))</f>
        <v>2.112516</v>
      </c>
      <c r="K17" s="33">
        <f>MAX(0,MIN(INDEX(CHECK!$C16:$AD16,MATCH(K$3,CHECK!$C$2:$AD$2,0)),$B17-SUM($D17:J17)))</f>
        <v>15.121108</v>
      </c>
      <c r="L17" s="33">
        <f>MAX(0,MIN(INDEX(CHECK!$C16:$AD16,MATCH(L$3,CHECK!$C$2:$AD$2,0)),$B17-SUM($D17:K17)))</f>
        <v>0</v>
      </c>
      <c r="M17" s="33">
        <f>MAX(0,MIN(INDEX(CHECK!$C16:$AD16,MATCH(M$3,CHECK!$C$2:$AD$2,0)),$B17-SUM($D17:L17)))</f>
        <v>232.6</v>
      </c>
      <c r="N17" s="33">
        <f>MAX(0,MIN(INDEX(CHECK!$C16:$AD16,MATCH(N$3,CHECK!$C$2:$AD$2,0)),$B17-SUM($D17:M17)))</f>
        <v>17.572074</v>
      </c>
      <c r="O17" s="33">
        <f>MAX(0,MIN(INDEX(CHECK!$C16:$AD16,MATCH(O$3,CHECK!$C$2:$AD$2,0)),$B17-SUM($D17:N17)))</f>
        <v>35.325009</v>
      </c>
      <c r="P17" s="33">
        <f>MAX(0,MIN(INDEX(CHECK!$C16:$AD16,MATCH(P$3,CHECK!$C$2:$AD$2,0)),$B17-SUM($D17:O17)))</f>
        <v>6.644262</v>
      </c>
      <c r="Q17" s="33">
        <f>MAX(0,MIN(INDEX(CHECK!$C16:$AD16,MATCH(Q$3,CHECK!$C$2:$AD$2,0)),$B17-SUM($D17:P17)))</f>
        <v>198.994695</v>
      </c>
      <c r="R17" s="33">
        <f>MAX(0,MIN(INDEX(CHECK!$C16:$AD16,MATCH(R$3,CHECK!$C$2:$AD$2,0)),$B17-SUM($D17:Q17)))</f>
        <v>71.021259</v>
      </c>
      <c r="S17" s="33">
        <f>MAX(0,MIN(INDEX(CHECK!$C16:$AD16,MATCH(S$3,CHECK!$C$2:$AD$2,0)),$B17-SUM($D17:R17)))</f>
        <v>280.896171</v>
      </c>
      <c r="T17" s="33">
        <f>MAX(0,MIN(INDEX(CHECK!$C16:$AD16,MATCH(T$3,CHECK!$C$2:$AD$2,0)),$B17-SUM($D17:S17)))</f>
        <v>19.977177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0.058</v>
      </c>
      <c r="AH17" s="41" cm="1">
        <f t="array" ref="AH17">ROUND(IFERROR(SUMPRODUCT(--($D$2:$AE$2="S"),D17:AE17,$D$1:$AE$1)/(AG17*4000),0),3)</f>
        <v>3.344</v>
      </c>
      <c r="AI17" s="40">
        <f t="shared" si="2"/>
        <v>0.159</v>
      </c>
      <c r="AJ17" s="40" cm="1">
        <f t="array" ref="AJ17">ROUND(IFERROR(SUMPRODUCT(--($D$2:$AE$2="C"),D17:AE17,$D$1:$AE$1)/(AI17*4000),0),3)</f>
        <v>3.466</v>
      </c>
      <c r="AK17" s="40">
        <f t="shared" si="3"/>
        <v>0.068</v>
      </c>
      <c r="AL17" s="40" cm="1">
        <f t="array" ref="AL17">ROUND(IFERROR(SUMPRODUCT(--($D$2:$AE$2="I"),D17:AE17,$D$1:$AE$1)/(AK17*4000),0),3)</f>
        <v>2.776</v>
      </c>
      <c r="AM17" s="40">
        <f t="shared" si="4"/>
        <v>3.27654035087719</v>
      </c>
      <c r="AN17" s="40">
        <f t="shared" si="5"/>
        <v>2.14577749763631</v>
      </c>
      <c r="AO17" s="44">
        <f t="shared" si="6"/>
        <v>1142.24</v>
      </c>
      <c r="AP17" s="40">
        <f t="shared" si="7"/>
        <v>0.285</v>
      </c>
      <c r="AQ17" s="45">
        <f t="shared" si="8"/>
        <v>933814</v>
      </c>
      <c r="AR17" s="45">
        <f t="shared" si="9"/>
        <v>611546.586826347</v>
      </c>
      <c r="AS17" s="45">
        <f t="shared" si="10"/>
        <v>322267.413173653</v>
      </c>
      <c r="AT17" s="46">
        <f t="shared" si="0"/>
        <v>0.526971158233547</v>
      </c>
      <c r="AW17" s="47">
        <v>1328.58</v>
      </c>
      <c r="AY17" s="48">
        <f t="shared" si="11"/>
        <v>186.34</v>
      </c>
    </row>
    <row r="18" ht="15.75" spans="1:51">
      <c r="A18" s="30">
        <v>15</v>
      </c>
      <c r="B18" s="31">
        <f>IF('BD&amp;LR'!M17&gt;0,'BD&amp;LR'!M17,0)</f>
        <v>1047.06</v>
      </c>
      <c r="C18" s="32">
        <f>('BD&amp;LR'!N17*(1/(1-GEN_MASTER!J$8))+0.024)</f>
        <v>2.19956466015338</v>
      </c>
      <c r="D18" s="33">
        <f>MIN(INDEX(CHECK!$C17:$AD17,MATCH(D$3,CHECK!$C$2:$AD$2,0)),$B18)</f>
        <v>0.00303199999999038</v>
      </c>
      <c r="E18" s="33">
        <f>MAX(0,MIN(INDEX(CHECK!$C17:$AD17,MATCH(E$3,CHECK!$C$2:$AD$2,0)),$B18-D18))</f>
        <v>152.96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98.760545</v>
      </c>
      <c r="I18" s="33">
        <f>MAX(0,MIN(INDEX(CHECK!$C17:$AD17,MATCH(I$3,CHECK!$C$2:$AD$2,0)),$B18-SUM($D18:H18)))</f>
        <v>1.97215199999999</v>
      </c>
      <c r="J18" s="33">
        <f>MAX(0,MIN(INDEX(CHECK!$C17:$AD17,MATCH(J$3,CHECK!$C$2:$AD$2,0)),$B18-SUM($D18:I18)))</f>
        <v>2.072516</v>
      </c>
      <c r="K18" s="33">
        <f>MAX(0,MIN(INDEX(CHECK!$C17:$AD17,MATCH(K$3,CHECK!$C$2:$AD$2,0)),$B18-SUM($D18:J18)))</f>
        <v>0.961108000000003</v>
      </c>
      <c r="L18" s="33">
        <f>MAX(0,MIN(INDEX(CHECK!$C17:$AD17,MATCH(L$3,CHECK!$C$2:$AD$2,0)),$B18-SUM($D18:K18)))</f>
        <v>0</v>
      </c>
      <c r="M18" s="33">
        <f>MAX(0,MIN(INDEX(CHECK!$C17:$AD17,MATCH(M$3,CHECK!$C$2:$AD$2,0)),$B18-SUM($D18:L18)))</f>
        <v>241.83</v>
      </c>
      <c r="N18" s="33">
        <f>MAX(0,MIN(INDEX(CHECK!$C17:$AD17,MATCH(N$3,CHECK!$C$2:$AD$2,0)),$B18-SUM($D18:M18)))</f>
        <v>17.572074</v>
      </c>
      <c r="O18" s="33">
        <f>MAX(0,MIN(INDEX(CHECK!$C17:$AD17,MATCH(O$3,CHECK!$C$2:$AD$2,0)),$B18-SUM($D18:N18)))</f>
        <v>35.325009</v>
      </c>
      <c r="P18" s="33">
        <f>MAX(0,MIN(INDEX(CHECK!$C17:$AD17,MATCH(P$3,CHECK!$C$2:$AD$2,0)),$B18-SUM($D18:O18)))</f>
        <v>6.85368</v>
      </c>
      <c r="Q18" s="33">
        <f>MAX(0,MIN(INDEX(CHECK!$C17:$AD17,MATCH(Q$3,CHECK!$C$2:$AD$2,0)),$B18-SUM($D18:P18)))</f>
        <v>198.994695</v>
      </c>
      <c r="R18" s="33">
        <f>MAX(0,MIN(INDEX(CHECK!$C17:$AD17,MATCH(R$3,CHECK!$C$2:$AD$2,0)),$B18-SUM($D18:Q18)))</f>
        <v>71.021259</v>
      </c>
      <c r="S18" s="33">
        <f>MAX(0,MIN(INDEX(CHECK!$C17:$AD17,MATCH(S$3,CHECK!$C$2:$AD$2,0)),$B18-SUM($D18:R18)))</f>
        <v>218.73393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0.06</v>
      </c>
      <c r="AH18" s="41" cm="1">
        <f t="array" ref="AH18">ROUND(IFERROR(SUMPRODUCT(--($D$2:$AE$2="S"),D18:AE18,$D$1:$AE$1)/(AG18*4000),0),3)</f>
        <v>3.36</v>
      </c>
      <c r="AI18" s="40">
        <f t="shared" si="2"/>
        <v>0.138</v>
      </c>
      <c r="AJ18" s="40" cm="1">
        <f t="array" ref="AJ18">ROUND(IFERROR(SUMPRODUCT(--($D$2:$AE$2="C"),D18:AE18,$D$1:$AE$1)/(AI18*4000),0),3)</f>
        <v>3.474</v>
      </c>
      <c r="AK18" s="40">
        <f t="shared" si="3"/>
        <v>0.063</v>
      </c>
      <c r="AL18" s="40" cm="1">
        <f t="array" ref="AL18">ROUND(IFERROR(SUMPRODUCT(--($D$2:$AE$2="I"),D18:AE18,$D$1:$AE$1)/(AK18*4000),0),3)</f>
        <v>2.704</v>
      </c>
      <c r="AM18" s="40">
        <f t="shared" si="4"/>
        <v>3.26193103448276</v>
      </c>
      <c r="AN18" s="40">
        <f t="shared" si="5"/>
        <v>2.19956466015338</v>
      </c>
      <c r="AO18" s="44">
        <f t="shared" si="6"/>
        <v>1047.06</v>
      </c>
      <c r="AP18" s="40">
        <f t="shared" si="7"/>
        <v>0.261</v>
      </c>
      <c r="AQ18" s="45">
        <f t="shared" si="8"/>
        <v>851364</v>
      </c>
      <c r="AR18" s="45">
        <f t="shared" si="9"/>
        <v>574086.376300032</v>
      </c>
      <c r="AS18" s="45">
        <f t="shared" si="10"/>
        <v>277277.623699968</v>
      </c>
      <c r="AT18" s="46">
        <f t="shared" si="0"/>
        <v>0.482989381296616</v>
      </c>
      <c r="AW18" s="47">
        <v>1423.47</v>
      </c>
      <c r="AY18" s="48">
        <f t="shared" si="11"/>
        <v>376.41</v>
      </c>
    </row>
    <row r="19" ht="15.75" spans="1:51">
      <c r="A19" s="30">
        <v>16</v>
      </c>
      <c r="B19" s="31">
        <f>IF('BD&amp;LR'!M18&gt;0,'BD&amp;LR'!M18,0)</f>
        <v>1047.06</v>
      </c>
      <c r="C19" s="32">
        <f>('BD&amp;LR'!N18*(1/(1-GEN_MASTER!J$8))+0.024)</f>
        <v>2.33784599222607</v>
      </c>
      <c r="D19" s="33">
        <f>MIN(INDEX(CHECK!$C18:$AD18,MATCH(D$3,CHECK!$C$2:$AD$2,0)),$B19)</f>
        <v>0.00303199999999038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98.760545</v>
      </c>
      <c r="I19" s="33">
        <f>MAX(0,MIN(INDEX(CHECK!$C18:$AD18,MATCH(I$3,CHECK!$C$2:$AD$2,0)),$B19-SUM($D19:H19)))</f>
        <v>1.97215199999999</v>
      </c>
      <c r="J19" s="33">
        <f>MAX(0,MIN(INDEX(CHECK!$C18:$AD18,MATCH(J$3,CHECK!$C$2:$AD$2,0)),$B19-SUM($D19:I19)))</f>
        <v>2.072516</v>
      </c>
      <c r="K19" s="33">
        <f>MAX(0,MIN(INDEX(CHECK!$C18:$AD18,MATCH(K$3,CHECK!$C$2:$AD$2,0)),$B19-SUM($D19:J19)))</f>
        <v>0.961108000000003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219.32</v>
      </c>
      <c r="N19" s="33">
        <f>MAX(0,MIN(INDEX(CHECK!$C18:$AD18,MATCH(N$3,CHECK!$C$2:$AD$2,0)),$B19-SUM($D19:M19)))</f>
        <v>17.572074</v>
      </c>
      <c r="O19" s="33">
        <f>MAX(0,MIN(INDEX(CHECK!$C18:$AD18,MATCH(O$3,CHECK!$C$2:$AD$2,0)),$B19-SUM($D19:N19)))</f>
        <v>35.325009</v>
      </c>
      <c r="P19" s="33">
        <f>MAX(0,MIN(INDEX(CHECK!$C18:$AD18,MATCH(P$3,CHECK!$C$2:$AD$2,0)),$B19-SUM($D19:O19)))</f>
        <v>6.85368</v>
      </c>
      <c r="Q19" s="33">
        <f>MAX(0,MIN(INDEX(CHECK!$C18:$AD18,MATCH(Q$3,CHECK!$C$2:$AD$2,0)),$B19-SUM($D19:P19)))</f>
        <v>198.994695</v>
      </c>
      <c r="R19" s="33">
        <f>MAX(0,MIN(INDEX(CHECK!$C18:$AD18,MATCH(R$3,CHECK!$C$2:$AD$2,0)),$B19-SUM($D19:Q19)))</f>
        <v>71.021259</v>
      </c>
      <c r="S19" s="33">
        <f>MAX(0,MIN(INDEX(CHECK!$C18:$AD18,MATCH(S$3,CHECK!$C$2:$AD$2,0)),$B19-SUM($D19:R19)))</f>
        <v>280.896171</v>
      </c>
      <c r="T19" s="33">
        <f>MAX(0,MIN(INDEX(CHECK!$C18:$AD18,MATCH(T$3,CHECK!$C$2:$AD$2,0)),$B19-SUM($D19:S19)))</f>
        <v>113.307759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0.055</v>
      </c>
      <c r="AH19" s="41" cm="1">
        <f t="array" ref="AH19">ROUND(IFERROR(SUMPRODUCT(--($D$2:$AE$2="S"),D19:AE19,$D$1:$AE$1)/(AG19*4000),0),3)</f>
        <v>3.325</v>
      </c>
      <c r="AI19" s="40">
        <f t="shared" si="2"/>
        <v>0.154</v>
      </c>
      <c r="AJ19" s="40" cm="1">
        <f t="array" ref="AJ19">ROUND(IFERROR(SUMPRODUCT(--($D$2:$AE$2="C"),D19:AE19,$D$1:$AE$1)/(AI19*4000),0),3)</f>
        <v>3.47</v>
      </c>
      <c r="AK19" s="40">
        <f t="shared" si="3"/>
        <v>0.053</v>
      </c>
      <c r="AL19" s="40" cm="1">
        <f t="array" ref="AL19">ROUND(IFERROR(SUMPRODUCT(--($D$2:$AE$2="I"),D19:AE19,$D$1:$AE$1)/(AK19*4000),0),3)</f>
        <v>3.307</v>
      </c>
      <c r="AM19" s="40">
        <f t="shared" si="4"/>
        <v>3.40658778625954</v>
      </c>
      <c r="AN19" s="40">
        <f t="shared" si="5"/>
        <v>2.33784599222607</v>
      </c>
      <c r="AO19" s="44">
        <f t="shared" si="6"/>
        <v>1047.06</v>
      </c>
      <c r="AP19" s="40">
        <f t="shared" si="7"/>
        <v>0.262</v>
      </c>
      <c r="AQ19" s="45">
        <f t="shared" si="8"/>
        <v>892526</v>
      </c>
      <c r="AR19" s="45">
        <f t="shared" si="9"/>
        <v>612515.649963232</v>
      </c>
      <c r="AS19" s="45">
        <f t="shared" si="10"/>
        <v>280010.350036768</v>
      </c>
      <c r="AT19" s="46">
        <f t="shared" si="0"/>
        <v>0.45714807458973</v>
      </c>
      <c r="AW19" s="47">
        <v>1423.47</v>
      </c>
      <c r="AY19" s="48">
        <f t="shared" si="11"/>
        <v>376.41</v>
      </c>
    </row>
    <row r="20" ht="15.75" spans="1:51">
      <c r="A20" s="30">
        <v>17</v>
      </c>
      <c r="B20" s="31">
        <f>IF('BD&amp;LR'!M19&gt;0,'BD&amp;LR'!M19,0)</f>
        <v>1047.06</v>
      </c>
      <c r="C20" s="32">
        <f>('BD&amp;LR'!N19*(1/(1-GEN_MASTER!J$8))+0.024)</f>
        <v>2.43639626011136</v>
      </c>
      <c r="D20" s="33">
        <f>MIN(INDEX(CHECK!$C19:$AD19,MATCH(D$3,CHECK!$C$2:$AD$2,0)),$B20)</f>
        <v>0.00303199999999038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0.000544999999988249</v>
      </c>
      <c r="I20" s="33">
        <f>MAX(0,MIN(INDEX(CHECK!$C19:$AD19,MATCH(I$3,CHECK!$C$2:$AD$2,0)),$B20-SUM($D20:H20)))</f>
        <v>0.00215199999999527</v>
      </c>
      <c r="J20" s="33">
        <f>MAX(0,MIN(INDEX(CHECK!$C19:$AD19,MATCH(J$3,CHECK!$C$2:$AD$2,0)),$B20-SUM($D20:I20)))</f>
        <v>0.00251599999999996</v>
      </c>
      <c r="K20" s="33">
        <f>MAX(0,MIN(INDEX(CHECK!$C19:$AD19,MATCH(K$3,CHECK!$C$2:$AD$2,0)),$B20-SUM($D20:J20)))</f>
        <v>0.00110800000000211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235.54</v>
      </c>
      <c r="N20" s="33">
        <f>MAX(0,MIN(INDEX(CHECK!$C19:$AD19,MATCH(N$3,CHECK!$C$2:$AD$2,0)),$B20-SUM($D20:M20)))</f>
        <v>17.572074</v>
      </c>
      <c r="O20" s="33">
        <f>MAX(0,MIN(INDEX(CHECK!$C19:$AD19,MATCH(O$3,CHECK!$C$2:$AD$2,0)),$B20-SUM($D20:N20)))</f>
        <v>35.325009</v>
      </c>
      <c r="P20" s="33">
        <f>MAX(0,MIN(INDEX(CHECK!$C19:$AD19,MATCH(P$3,CHECK!$C$2:$AD$2,0)),$B20-SUM($D20:O20)))</f>
        <v>6.85368</v>
      </c>
      <c r="Q20" s="33">
        <f>MAX(0,MIN(INDEX(CHECK!$C19:$AD19,MATCH(Q$3,CHECK!$C$2:$AD$2,0)),$B20-SUM($D20:P20)))</f>
        <v>198.994695</v>
      </c>
      <c r="R20" s="33">
        <f>MAX(0,MIN(INDEX(CHECK!$C19:$AD19,MATCH(R$3,CHECK!$C$2:$AD$2,0)),$B20-SUM($D20:Q20)))</f>
        <v>71.021259</v>
      </c>
      <c r="S20" s="33">
        <f>MAX(0,MIN(INDEX(CHECK!$C19:$AD19,MATCH(S$3,CHECK!$C$2:$AD$2,0)),$B20-SUM($D20:R20)))</f>
        <v>280.896171</v>
      </c>
      <c r="T20" s="33">
        <f>MAX(0,MIN(INDEX(CHECK!$C19:$AD19,MATCH(T$3,CHECK!$C$2:$AD$2,0)),$B20-SUM($D20:S20)))</f>
        <v>200.847759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0.059</v>
      </c>
      <c r="AH20" s="41" cm="1">
        <f t="array" ref="AH20">ROUND(IFERROR(SUMPRODUCT(--($D$2:$AE$2="S"),D20:AE20,$D$1:$AE$1)/(AG20*4000),0),3)</f>
        <v>3.328</v>
      </c>
      <c r="AI20" s="40">
        <f t="shared" si="2"/>
        <v>0.153</v>
      </c>
      <c r="AJ20" s="40" cm="1">
        <f t="array" ref="AJ20">ROUND(IFERROR(SUMPRODUCT(--($D$2:$AE$2="C"),D20:AE20,$D$1:$AE$1)/(AI20*4000),0),3)</f>
        <v>3.468</v>
      </c>
      <c r="AK20" s="40">
        <f t="shared" si="3"/>
        <v>0.05</v>
      </c>
      <c r="AL20" s="40" cm="1">
        <f t="array" ref="AL20">ROUND(IFERROR(SUMPRODUCT(--($D$2:$AE$2="I"),D20:AE20,$D$1:$AE$1)/(AK20*4000),0),3)</f>
        <v>3.605</v>
      </c>
      <c r="AM20" s="40">
        <f t="shared" si="4"/>
        <v>3.46261832061069</v>
      </c>
      <c r="AN20" s="40">
        <f t="shared" si="5"/>
        <v>2.43639626011136</v>
      </c>
      <c r="AO20" s="44">
        <f t="shared" si="6"/>
        <v>1047.06</v>
      </c>
      <c r="AP20" s="40">
        <f t="shared" si="7"/>
        <v>0.262</v>
      </c>
      <c r="AQ20" s="45">
        <f t="shared" si="8"/>
        <v>907206</v>
      </c>
      <c r="AR20" s="45">
        <f t="shared" si="9"/>
        <v>638335.820149175</v>
      </c>
      <c r="AS20" s="45">
        <f t="shared" si="10"/>
        <v>268870.179850825</v>
      </c>
      <c r="AT20" s="46">
        <f t="shared" si="0"/>
        <v>0.421204907141184</v>
      </c>
      <c r="AW20" s="47">
        <v>1233.68</v>
      </c>
      <c r="AY20" s="48">
        <f t="shared" si="11"/>
        <v>186.62</v>
      </c>
    </row>
    <row r="21" ht="15.75" spans="1:51">
      <c r="A21" s="30">
        <v>18</v>
      </c>
      <c r="B21" s="31">
        <f>IF('BD&amp;LR'!M20&gt;0,'BD&amp;LR'!M20,0)</f>
        <v>1142.27</v>
      </c>
      <c r="C21" s="32">
        <f>('BD&amp;LR'!N20*(1/(1-GEN_MASTER!J$8))+0.024)</f>
        <v>2.59849311902511</v>
      </c>
      <c r="D21" s="33">
        <f>MIN(INDEX(CHECK!$C20:$AD20,MATCH(D$3,CHECK!$C$2:$AD$2,0)),$B21)</f>
        <v>0.00303199999999038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0.000544999999988249</v>
      </c>
      <c r="I21" s="33">
        <f>MAX(0,MIN(INDEX(CHECK!$C20:$AD20,MATCH(I$3,CHECK!$C$2:$AD$2,0)),$B21-SUM($D21:H21)))</f>
        <v>0.00215199999999527</v>
      </c>
      <c r="J21" s="33">
        <f>MAX(0,MIN(INDEX(CHECK!$C20:$AD20,MATCH(J$3,CHECK!$C$2:$AD$2,0)),$B21-SUM($D21:I21)))</f>
        <v>0.00251599999999996</v>
      </c>
      <c r="K21" s="33">
        <f>MAX(0,MIN(INDEX(CHECK!$C20:$AD20,MATCH(K$3,CHECK!$C$2:$AD$2,0)),$B21-SUM($D21:J21)))</f>
        <v>0.00110800000000211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17.572074</v>
      </c>
      <c r="O21" s="33">
        <f>MAX(0,MIN(INDEX(CHECK!$C20:$AD20,MATCH(O$3,CHECK!$C$2:$AD$2,0)),$B21-SUM($D21:N21)))</f>
        <v>35.325009</v>
      </c>
      <c r="P21" s="33">
        <f>MAX(0,MIN(INDEX(CHECK!$C20:$AD20,MATCH(P$3,CHECK!$C$2:$AD$2,0)),$B21-SUM($D21:O21)))</f>
        <v>6.85368</v>
      </c>
      <c r="Q21" s="33">
        <f>MAX(0,MIN(INDEX(CHECK!$C20:$AD20,MATCH(Q$3,CHECK!$C$2:$AD$2,0)),$B21-SUM($D21:P21)))</f>
        <v>198.994695</v>
      </c>
      <c r="R21" s="33">
        <f>MAX(0,MIN(INDEX(CHECK!$C20:$AD20,MATCH(R$3,CHECK!$C$2:$AD$2,0)),$B21-SUM($D21:Q21)))</f>
        <v>71.021259</v>
      </c>
      <c r="S21" s="33">
        <f>MAX(0,MIN(INDEX(CHECK!$C20:$AD20,MATCH(S$3,CHECK!$C$2:$AD$2,0)),$B21-SUM($D21:R21)))</f>
        <v>280.896171</v>
      </c>
      <c r="T21" s="33">
        <f>MAX(0,MIN(INDEX(CHECK!$C20:$AD20,MATCH(T$3,CHECK!$C$2:$AD$2,0)),$B21-SUM($D21:S21)))</f>
        <v>205.27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59.103471</v>
      </c>
      <c r="W21" s="33">
        <f>MAX(0,MIN(INDEX(CHECK!$C20:$AD20,MATCH(W$3,CHECK!$C$2:$AD$2,0)),$B21-SUM($D21:V21)))</f>
        <v>267.224288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0.067</v>
      </c>
      <c r="AH21" s="41" cm="1">
        <f t="array" ref="AH21">ROUND(IFERROR(SUMPRODUCT(--($D$2:$AE$2="S"),D21:AE21,$D$1:$AE$1)/(AG21*4000),0),3)</f>
        <v>3.811</v>
      </c>
      <c r="AI21" s="40">
        <f t="shared" si="2"/>
        <v>0.167</v>
      </c>
      <c r="AJ21" s="40" cm="1">
        <f t="array" ref="AJ21">ROUND(IFERROR(SUMPRODUCT(--($D$2:$AE$2="C"),D21:AE21,$D$1:$AE$1)/(AI21*4000),0),3)</f>
        <v>3.506</v>
      </c>
      <c r="AK21" s="40">
        <f t="shared" si="3"/>
        <v>0.051</v>
      </c>
      <c r="AL21" s="40" cm="1">
        <f t="array" ref="AL21">ROUND(IFERROR(SUMPRODUCT(--($D$2:$AE$2="I"),D21:AE21,$D$1:$AE$1)/(AK21*4000),0),3)</f>
        <v>3.612</v>
      </c>
      <c r="AM21" s="40">
        <f t="shared" si="4"/>
        <v>3.5966701754386</v>
      </c>
      <c r="AN21" s="40">
        <f t="shared" si="5"/>
        <v>2.59849311902511</v>
      </c>
      <c r="AO21" s="44">
        <f t="shared" si="6"/>
        <v>1142.27</v>
      </c>
      <c r="AP21" s="40">
        <f t="shared" si="7"/>
        <v>0.285</v>
      </c>
      <c r="AQ21" s="45">
        <f t="shared" si="8"/>
        <v>1025051</v>
      </c>
      <c r="AR21" s="45">
        <f t="shared" si="9"/>
        <v>740570.538922156</v>
      </c>
      <c r="AS21" s="45">
        <f t="shared" si="10"/>
        <v>284480.461077844</v>
      </c>
      <c r="AT21" s="46">
        <f t="shared" si="0"/>
        <v>0.384136886530598</v>
      </c>
      <c r="AW21" s="47">
        <v>1138.78</v>
      </c>
      <c r="AY21" s="48">
        <f t="shared" si="11"/>
        <v>-3.49000000000001</v>
      </c>
    </row>
    <row r="22" ht="15.75" spans="1:51">
      <c r="A22" s="30">
        <v>19</v>
      </c>
      <c r="B22" s="31">
        <f>IF('BD&amp;LR'!M21&gt;0,'BD&amp;LR'!M21,0)</f>
        <v>1142.28</v>
      </c>
      <c r="C22" s="32">
        <f>('BD&amp;LR'!N21*(1/(1-GEN_MASTER!J$8))+0.024)</f>
        <v>2.6506099380187</v>
      </c>
      <c r="D22" s="33">
        <f>MIN(INDEX(CHECK!$C21:$AD21,MATCH(D$3,CHECK!$C$2:$AD$2,0)),$B22)</f>
        <v>0.00303199999999038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0.000544999999988249</v>
      </c>
      <c r="I22" s="33">
        <f>MAX(0,MIN(INDEX(CHECK!$C21:$AD21,MATCH(I$3,CHECK!$C$2:$AD$2,0)),$B22-SUM($D22:H22)))</f>
        <v>0.00215199999999527</v>
      </c>
      <c r="J22" s="33">
        <f>MAX(0,MIN(INDEX(CHECK!$C21:$AD21,MATCH(J$3,CHECK!$C$2:$AD$2,0)),$B22-SUM($D22:I22)))</f>
        <v>0.00251599999999996</v>
      </c>
      <c r="K22" s="33">
        <f>MAX(0,MIN(INDEX(CHECK!$C21:$AD21,MATCH(K$3,CHECK!$C$2:$AD$2,0)),$B22-SUM($D22:J22)))</f>
        <v>0.00110800000000211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0</v>
      </c>
      <c r="O22" s="33">
        <f>MAX(0,MIN(INDEX(CHECK!$C21:$AD21,MATCH(O$3,CHECK!$C$2:$AD$2,0)),$B22-SUM($D22:N22)))</f>
        <v>1.575009</v>
      </c>
      <c r="P22" s="33">
        <f>MAX(0,MIN(INDEX(CHECK!$C21:$AD21,MATCH(P$3,CHECK!$C$2:$AD$2,0)),$B22-SUM($D22:O22)))</f>
        <v>0.22368</v>
      </c>
      <c r="Q22" s="33">
        <f>MAX(0,MIN(INDEX(CHECK!$C21:$AD21,MATCH(Q$3,CHECK!$C$2:$AD$2,0)),$B22-SUM($D22:P22)))</f>
        <v>130.454695</v>
      </c>
      <c r="R22" s="33">
        <f>MAX(0,MIN(INDEX(CHECK!$C21:$AD21,MATCH(R$3,CHECK!$C$2:$AD$2,0)),$B22-SUM($D22:Q22)))</f>
        <v>21.201259</v>
      </c>
      <c r="S22" s="33">
        <f>MAX(0,MIN(INDEX(CHECK!$C21:$AD21,MATCH(S$3,CHECK!$C$2:$AD$2,0)),$B22-SUM($D22:R22)))</f>
        <v>84.986171</v>
      </c>
      <c r="T22" s="33">
        <f>MAX(0,MIN(INDEX(CHECK!$C21:$AD21,MATCH(T$3,CHECK!$C$2:$AD$2,0)),$B22-SUM($D22:S22)))</f>
        <v>205.69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59.103471</v>
      </c>
      <c r="W22" s="33">
        <f>MAX(0,MIN(INDEX(CHECK!$C21:$AD21,MATCH(W$3,CHECK!$C$2:$AD$2,0)),$B22-SUM($D22:V22)))</f>
        <v>598.44</v>
      </c>
      <c r="X22" s="33">
        <f>MAX(0,MIN(INDEX(CHECK!$C21:$AD21,MATCH(X$3,CHECK!$C$2:$AD$2,0)),$B22-SUM($D22:W22)))</f>
        <v>40.596362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0.16</v>
      </c>
      <c r="AH22" s="41" cm="1">
        <f t="array" ref="AH22">ROUND(IFERROR(SUMPRODUCT(--($D$2:$AE$2="S"),D22:AE22,$D$1:$AE$1)/(AG22*4000),0),3)</f>
        <v>3.827</v>
      </c>
      <c r="AI22" s="40">
        <f t="shared" si="2"/>
        <v>0.074</v>
      </c>
      <c r="AJ22" s="40" cm="1">
        <f t="array" ref="AJ22">ROUND(IFERROR(SUMPRODUCT(--($D$2:$AE$2="C"),D22:AE22,$D$1:$AE$1)/(AI22*4000),0),3)</f>
        <v>3.536</v>
      </c>
      <c r="AK22" s="40">
        <f t="shared" si="3"/>
        <v>0.051</v>
      </c>
      <c r="AL22" s="40" cm="1">
        <f t="array" ref="AL22">ROUND(IFERROR(SUMPRODUCT(--($D$2:$AE$2="I"),D22:AE22,$D$1:$AE$1)/(AK22*4000),0),3)</f>
        <v>3.62</v>
      </c>
      <c r="AM22" s="40">
        <f t="shared" si="4"/>
        <v>3.7144</v>
      </c>
      <c r="AN22" s="40">
        <f t="shared" si="5"/>
        <v>2.6506099380187</v>
      </c>
      <c r="AO22" s="44">
        <f t="shared" si="6"/>
        <v>1142.28</v>
      </c>
      <c r="AP22" s="40">
        <f t="shared" si="7"/>
        <v>0.285</v>
      </c>
      <c r="AQ22" s="45">
        <f t="shared" si="8"/>
        <v>1058604</v>
      </c>
      <c r="AR22" s="45">
        <f t="shared" si="9"/>
        <v>755423.832335329</v>
      </c>
      <c r="AS22" s="45">
        <f t="shared" si="10"/>
        <v>303180.16766467</v>
      </c>
      <c r="AT22" s="46">
        <f t="shared" si="0"/>
        <v>0.401337838028507</v>
      </c>
      <c r="AW22" s="47">
        <v>664.28</v>
      </c>
      <c r="AY22" s="48">
        <f t="shared" si="11"/>
        <v>-478</v>
      </c>
    </row>
    <row r="23" ht="15.75" spans="1:51">
      <c r="A23" s="30">
        <v>20</v>
      </c>
      <c r="B23" s="31">
        <f>IF('BD&amp;LR'!M22&gt;0,'BD&amp;LR'!M22,0)</f>
        <v>1142.28</v>
      </c>
      <c r="C23" s="32">
        <f>('BD&amp;LR'!N22*(1/(1-GEN_MASTER!J$8))+0.024)</f>
        <v>2.74665994327135</v>
      </c>
      <c r="D23" s="33">
        <f>MIN(INDEX(CHECK!$C22:$AD22,MATCH(D$3,CHECK!$C$2:$AD$2,0)),$B23)</f>
        <v>0.00303199999999038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0.000544999999988249</v>
      </c>
      <c r="I23" s="33">
        <f>MAX(0,MIN(INDEX(CHECK!$C22:$AD22,MATCH(I$3,CHECK!$C$2:$AD$2,0)),$B23-SUM($D23:H23)))</f>
        <v>0.00215199999999527</v>
      </c>
      <c r="J23" s="33">
        <f>MAX(0,MIN(INDEX(CHECK!$C22:$AD22,MATCH(J$3,CHECK!$C$2:$AD$2,0)),$B23-SUM($D23:I23)))</f>
        <v>0.00251599999999996</v>
      </c>
      <c r="K23" s="33">
        <f>MAX(0,MIN(INDEX(CHECK!$C22:$AD22,MATCH(K$3,CHECK!$C$2:$AD$2,0)),$B23-SUM($D23:J23)))</f>
        <v>0.00110800000000211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</v>
      </c>
      <c r="O23" s="33">
        <f>MAX(0,MIN(INDEX(CHECK!$C22:$AD22,MATCH(O$3,CHECK!$C$2:$AD$2,0)),$B23-SUM($D23:N23)))</f>
        <v>0</v>
      </c>
      <c r="P23" s="33">
        <f>MAX(0,MIN(INDEX(CHECK!$C22:$AD22,MATCH(P$3,CHECK!$C$2:$AD$2,0)),$B23-SUM($D23:O23)))</f>
        <v>0.22368</v>
      </c>
      <c r="Q23" s="33">
        <f>MAX(0,MIN(INDEX(CHECK!$C22:$AD22,MATCH(Q$3,CHECK!$C$2:$AD$2,0)),$B23-SUM($D23:P23)))</f>
        <v>87.194695</v>
      </c>
      <c r="R23" s="33">
        <f>MAX(0,MIN(INDEX(CHECK!$C22:$AD22,MATCH(R$3,CHECK!$C$2:$AD$2,0)),$B23-SUM($D23:Q23)))</f>
        <v>21.201259</v>
      </c>
      <c r="S23" s="33">
        <f>MAX(0,MIN(INDEX(CHECK!$C22:$AD22,MATCH(S$3,CHECK!$C$2:$AD$2,0)),$B23-SUM($D23:R23)))</f>
        <v>84.986171</v>
      </c>
      <c r="T23" s="33">
        <f>MAX(0,MIN(INDEX(CHECK!$C22:$AD22,MATCH(T$3,CHECK!$C$2:$AD$2,0)),$B23-SUM($D23:S23)))</f>
        <v>202.24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59.103471</v>
      </c>
      <c r="W23" s="33">
        <f>MAX(0,MIN(INDEX(CHECK!$C22:$AD22,MATCH(W$3,CHECK!$C$2:$AD$2,0)),$B23-SUM($D23:V23)))</f>
        <v>594.83</v>
      </c>
      <c r="X23" s="33">
        <f>MAX(0,MIN(INDEX(CHECK!$C22:$AD22,MATCH(X$3,CHECK!$C$2:$AD$2,0)),$B23-SUM($D23:W23)))</f>
        <v>92.4913709999998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0.172</v>
      </c>
      <c r="AH23" s="41" cm="1">
        <f t="array" ref="AH23">ROUND(IFERROR(SUMPRODUCT(--($D$2:$AE$2="S"),D23:AE23,$D$1:$AE$1)/(AG23*4000),0),3)</f>
        <v>3.84</v>
      </c>
      <c r="AI23" s="40">
        <f t="shared" si="2"/>
        <v>0.063</v>
      </c>
      <c r="AJ23" s="40" cm="1">
        <f t="array" ref="AJ23">ROUND(IFERROR(SUMPRODUCT(--($D$2:$AE$2="C"),D23:AE23,$D$1:$AE$1)/(AI23*4000),0),3)</f>
        <v>3.545</v>
      </c>
      <c r="AK23" s="40">
        <f t="shared" si="3"/>
        <v>0.051</v>
      </c>
      <c r="AL23" s="40" cm="1">
        <f t="array" ref="AL23">ROUND(IFERROR(SUMPRODUCT(--($D$2:$AE$2="I"),D23:AE23,$D$1:$AE$1)/(AK23*4000),0),3)</f>
        <v>3.559</v>
      </c>
      <c r="AM23" s="40">
        <f t="shared" si="4"/>
        <v>3.72490909090909</v>
      </c>
      <c r="AN23" s="40">
        <f t="shared" si="5"/>
        <v>2.74665994327135</v>
      </c>
      <c r="AO23" s="44">
        <f t="shared" si="6"/>
        <v>1142.28</v>
      </c>
      <c r="AP23" s="40">
        <f t="shared" si="7"/>
        <v>0.286</v>
      </c>
      <c r="AQ23" s="45">
        <f t="shared" si="8"/>
        <v>1065324</v>
      </c>
      <c r="AR23" s="45">
        <f t="shared" si="9"/>
        <v>785544.743775607</v>
      </c>
      <c r="AS23" s="45">
        <f t="shared" si="10"/>
        <v>279779.256224393</v>
      </c>
      <c r="AT23" s="46">
        <f t="shared" si="0"/>
        <v>0.356159542077355</v>
      </c>
      <c r="AW23" s="47">
        <v>759.18</v>
      </c>
      <c r="AY23" s="48">
        <f t="shared" si="11"/>
        <v>-383.1</v>
      </c>
    </row>
    <row r="24" ht="15.75" spans="1:51">
      <c r="A24" s="30">
        <v>21</v>
      </c>
      <c r="B24" s="31">
        <f>IF('BD&amp;LR'!M23&gt;0,'BD&amp;LR'!M23,0)</f>
        <v>970.93</v>
      </c>
      <c r="C24" s="32">
        <f>('BD&amp;LR'!N23*(1/(1-GEN_MASTER!J$8))+0.024)</f>
        <v>3.16486563714676</v>
      </c>
      <c r="D24" s="33">
        <f>MIN(INDEX(CHECK!$C23:$AD23,MATCH(D$3,CHECK!$C$2:$AD$2,0)),$B24)</f>
        <v>0.00303199999999038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0.000544999999988249</v>
      </c>
      <c r="I24" s="33">
        <f>MAX(0,MIN(INDEX(CHECK!$C23:$AD23,MATCH(I$3,CHECK!$C$2:$AD$2,0)),$B24-SUM($D24:H24)))</f>
        <v>0.00215199999999527</v>
      </c>
      <c r="J24" s="33">
        <f>MAX(0,MIN(INDEX(CHECK!$C23:$AD23,MATCH(J$3,CHECK!$C$2:$AD$2,0)),$B24-SUM($D24:I24)))</f>
        <v>0.00251599999999996</v>
      </c>
      <c r="K24" s="33">
        <f>MAX(0,MIN(INDEX(CHECK!$C23:$AD23,MATCH(K$3,CHECK!$C$2:$AD$2,0)),$B24-SUM($D24:J24)))</f>
        <v>0.00110800000000211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</v>
      </c>
      <c r="O24" s="33">
        <f>MAX(0,MIN(INDEX(CHECK!$C23:$AD23,MATCH(O$3,CHECK!$C$2:$AD$2,0)),$B24-SUM($D24:N24)))</f>
        <v>0</v>
      </c>
      <c r="P24" s="33">
        <f>MAX(0,MIN(INDEX(CHECK!$C23:$AD23,MATCH(P$3,CHECK!$C$2:$AD$2,0)),$B24-SUM($D24:O24)))</f>
        <v>0.10368</v>
      </c>
      <c r="Q24" s="33">
        <f>MAX(0,MIN(INDEX(CHECK!$C23:$AD23,MATCH(Q$3,CHECK!$C$2:$AD$2,0)),$B24-SUM($D24:P24)))</f>
        <v>87.194695</v>
      </c>
      <c r="R24" s="33">
        <f>MAX(0,MIN(INDEX(CHECK!$C23:$AD23,MATCH(R$3,CHECK!$C$2:$AD$2,0)),$B24-SUM($D24:Q24)))</f>
        <v>21.201259</v>
      </c>
      <c r="S24" s="33">
        <f>MAX(0,MIN(INDEX(CHECK!$C23:$AD23,MATCH(S$3,CHECK!$C$2:$AD$2,0)),$B24-SUM($D24:R24)))</f>
        <v>84.986171</v>
      </c>
      <c r="T24" s="33">
        <f>MAX(0,MIN(INDEX(CHECK!$C23:$AD23,MATCH(T$3,CHECK!$C$2:$AD$2,0)),$B24-SUM($D24:S24)))</f>
        <v>198.99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2.023471</v>
      </c>
      <c r="W24" s="33">
        <f>MAX(0,MIN(INDEX(CHECK!$C23:$AD23,MATCH(W$3,CHECK!$C$2:$AD$2,0)),$B24-SUM($D24:V24)))</f>
        <v>576.421371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0.144</v>
      </c>
      <c r="AH24" s="41" cm="1">
        <f t="array" ref="AH24">ROUND(IFERROR(SUMPRODUCT(--($D$2:$AE$2="S"),D24:AE24,$D$1:$AE$1)/(AG24*4000),0),3)</f>
        <v>3.825</v>
      </c>
      <c r="AI24" s="40">
        <f t="shared" si="2"/>
        <v>0.049</v>
      </c>
      <c r="AJ24" s="40" cm="1">
        <f t="array" ref="AJ24">ROUND(IFERROR(SUMPRODUCT(--($D$2:$AE$2="C"),D24:AE24,$D$1:$AE$1)/(AI24*4000),0),3)</f>
        <v>3.472</v>
      </c>
      <c r="AK24" s="40">
        <f t="shared" si="3"/>
        <v>0.05</v>
      </c>
      <c r="AL24" s="40" cm="1">
        <f t="array" ref="AL24">ROUND(IFERROR(SUMPRODUCT(--($D$2:$AE$2="I"),D24:AE24,$D$1:$AE$1)/(AK24*4000),0),3)</f>
        <v>3.572</v>
      </c>
      <c r="AM24" s="40">
        <f t="shared" si="4"/>
        <v>3.70176131687243</v>
      </c>
      <c r="AN24" s="40">
        <f t="shared" si="5"/>
        <v>3.16486563714676</v>
      </c>
      <c r="AO24" s="44">
        <f t="shared" si="6"/>
        <v>970.93</v>
      </c>
      <c r="AP24" s="40">
        <f t="shared" si="7"/>
        <v>0.243</v>
      </c>
      <c r="AQ24" s="45">
        <f t="shared" si="8"/>
        <v>899528</v>
      </c>
      <c r="AR24" s="45">
        <f t="shared" si="9"/>
        <v>769062.349826663</v>
      </c>
      <c r="AS24" s="45">
        <f t="shared" si="10"/>
        <v>130465.650173337</v>
      </c>
      <c r="AT24" s="46">
        <f t="shared" si="0"/>
        <v>0.169642487638022</v>
      </c>
      <c r="AW24" s="47">
        <v>1062.86</v>
      </c>
      <c r="AY24" s="48">
        <f t="shared" si="11"/>
        <v>91.9299999999999</v>
      </c>
    </row>
    <row r="25" ht="15.75" spans="1:51">
      <c r="A25" s="30">
        <v>22</v>
      </c>
      <c r="B25" s="31">
        <f>IF('BD&amp;LR'!M24&gt;0,'BD&amp;LR'!M24,0)</f>
        <v>894.78</v>
      </c>
      <c r="C25" s="32">
        <f>('BD&amp;LR'!N24*(1/(1-GEN_MASTER!J$8))+0.024)</f>
        <v>3.02327513394264</v>
      </c>
      <c r="D25" s="33">
        <f>MIN(INDEX(CHECK!$C24:$AD24,MATCH(D$3,CHECK!$C$2:$AD$2,0)),$B25)</f>
        <v>0.00303199999999038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0.000544999999988249</v>
      </c>
      <c r="I25" s="33">
        <f>MAX(0,MIN(INDEX(CHECK!$C24:$AD24,MATCH(I$3,CHECK!$C$2:$AD$2,0)),$B25-SUM($D25:H25)))</f>
        <v>0.00215199999999527</v>
      </c>
      <c r="J25" s="33">
        <f>MAX(0,MIN(INDEX(CHECK!$C24:$AD24,MATCH(J$3,CHECK!$C$2:$AD$2,0)),$B25-SUM($D25:I25)))</f>
        <v>0.00251599999999996</v>
      </c>
      <c r="K25" s="33">
        <f>MAX(0,MIN(INDEX(CHECK!$C24:$AD24,MATCH(K$3,CHECK!$C$2:$AD$2,0)),$B25-SUM($D25:J25)))</f>
        <v>0.00110800000000211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</v>
      </c>
      <c r="O25" s="33">
        <f>MAX(0,MIN(INDEX(CHECK!$C24:$AD24,MATCH(O$3,CHECK!$C$2:$AD$2,0)),$B25-SUM($D25:N25)))</f>
        <v>0</v>
      </c>
      <c r="P25" s="33">
        <f>MAX(0,MIN(INDEX(CHECK!$C24:$AD24,MATCH(P$3,CHECK!$C$2:$AD$2,0)),$B25-SUM($D25:O25)))</f>
        <v>0.22368</v>
      </c>
      <c r="Q25" s="33">
        <f>MAX(0,MIN(INDEX(CHECK!$C24:$AD24,MATCH(Q$3,CHECK!$C$2:$AD$2,0)),$B25-SUM($D25:P25)))</f>
        <v>87.194695</v>
      </c>
      <c r="R25" s="33">
        <f>MAX(0,MIN(INDEX(CHECK!$C24:$AD24,MATCH(R$3,CHECK!$C$2:$AD$2,0)),$B25-SUM($D25:Q25)))</f>
        <v>21.201259</v>
      </c>
      <c r="S25" s="33">
        <f>MAX(0,MIN(INDEX(CHECK!$C24:$AD24,MATCH(S$3,CHECK!$C$2:$AD$2,0)),$B25-SUM($D25:R25)))</f>
        <v>84.986171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2.023471</v>
      </c>
      <c r="W25" s="33">
        <f>MAX(0,MIN(INDEX(CHECK!$C24:$AD24,MATCH(W$3,CHECK!$C$2:$AD$2,0)),$B25-SUM($D25:V25)))</f>
        <v>0</v>
      </c>
      <c r="X25" s="33">
        <f>MAX(0,MIN(INDEX(CHECK!$C24:$AD24,MATCH(X$3,CHECK!$C$2:$AD$2,0)),$B25-SUM($D25:W25)))</f>
        <v>195.87</v>
      </c>
      <c r="Y25" s="33">
        <f>MAX(0,MIN(INDEX(CHECK!$C24:$AD24,MATCH(Y$3,CHECK!$C$2:$AD$2,0)),$B25-SUM($D25:X25)))</f>
        <v>131.13</v>
      </c>
      <c r="Z25" s="33">
        <f>MAX(0,MIN(INDEX(CHECK!$C24:$AD24,MATCH(Z$3,CHECK!$C$2:$AD$2,0)),$B25-SUM($D25:Y25)))</f>
        <v>31.72</v>
      </c>
      <c r="AA25" s="33">
        <f>MAX(0,MIN(INDEX(CHECK!$C24:$AD24,MATCH(AA$3,CHECK!$C$2:$AD$2,0)),$B25-SUM($D25:Z25)))</f>
        <v>13.553883</v>
      </c>
      <c r="AB25" s="33">
        <f>MAX(0,MIN(INDEX(CHECK!$C24:$AD24,MATCH(AB$3,CHECK!$C$2:$AD$2,0)),$B25-SUM($D25:AA25)))</f>
        <v>148.014432</v>
      </c>
      <c r="AC25" s="33">
        <f>MAX(0,MIN(INDEX(CHECK!$C24:$AD24,MATCH(AC$3,CHECK!$C$2:$AD$2,0)),$B25-SUM($D25:AB25)))</f>
        <v>60.11</v>
      </c>
      <c r="AD25" s="33">
        <f>MAX(0,MIN(INDEX(CHECK!$C24:$AD24,MATCH(AD$3,CHECK!$C$2:$AD$2,0)),$B25-SUM($D25:AC25)))</f>
        <v>118.743056</v>
      </c>
      <c r="AE25" s="33">
        <f>MAX(0,MIN(INDEX(CHECK!$C24:$AD24,MATCH(AE$3,CHECK!$C$2:$AD$2,0)),$B25-SUM($D25:AD25)))</f>
        <v>0</v>
      </c>
      <c r="AF25" s="37"/>
      <c r="AG25" s="40">
        <f t="shared" si="1"/>
        <v>0.134</v>
      </c>
      <c r="AH25" s="41" cm="1">
        <f t="array" ref="AH25">ROUND(IFERROR(SUMPRODUCT(--($D$2:$AE$2="S"),D25:AE25,$D$1:$AE$1)/(AG25*4000),0),3)</f>
        <v>4.198</v>
      </c>
      <c r="AI25" s="40">
        <f t="shared" si="2"/>
        <v>0.089</v>
      </c>
      <c r="AJ25" s="40" cm="1">
        <f t="array" ref="AJ25">ROUND(IFERROR(SUMPRODUCT(--($D$2:$AE$2="C"),D25:AE25,$D$1:$AE$1)/(AI25*4000),0),3)</f>
        <v>3.92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4.08704932735426</v>
      </c>
      <c r="AN25" s="40">
        <f t="shared" si="5"/>
        <v>3.02327513394264</v>
      </c>
      <c r="AO25" s="44">
        <f t="shared" si="6"/>
        <v>894.78</v>
      </c>
      <c r="AP25" s="40">
        <f t="shared" si="7"/>
        <v>0.223</v>
      </c>
      <c r="AQ25" s="45">
        <f t="shared" si="8"/>
        <v>911412</v>
      </c>
      <c r="AR25" s="45">
        <f t="shared" si="9"/>
        <v>674190.354869209</v>
      </c>
      <c r="AS25" s="45">
        <f t="shared" si="10"/>
        <v>237221.645130791</v>
      </c>
      <c r="AT25" s="46">
        <f t="shared" si="0"/>
        <v>0.351861523110652</v>
      </c>
      <c r="AW25" s="47">
        <v>1233.68</v>
      </c>
      <c r="AY25" s="48">
        <f t="shared" si="11"/>
        <v>338.9</v>
      </c>
    </row>
    <row r="26" ht="15.75" spans="1:51">
      <c r="A26" s="30">
        <v>23</v>
      </c>
      <c r="B26" s="31">
        <f>IF('BD&amp;LR'!M25&gt;0,'BD&amp;LR'!M25,0)</f>
        <v>609.22</v>
      </c>
      <c r="C26" s="32">
        <f>('BD&amp;LR'!N25*(1/(1-GEN_MASTER!J$8))+0.024)</f>
        <v>3.70068872780754</v>
      </c>
      <c r="D26" s="33">
        <f>MIN(INDEX(CHECK!$C25:$AD25,MATCH(D$3,CHECK!$C$2:$AD$2,0)),$B26)</f>
        <v>0.00303199999999038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0.000544999999988249</v>
      </c>
      <c r="I26" s="33">
        <f>MAX(0,MIN(INDEX(CHECK!$C25:$AD25,MATCH(I$3,CHECK!$C$2:$AD$2,0)),$B26-SUM($D26:H26)))</f>
        <v>0.00215199999999527</v>
      </c>
      <c r="J26" s="33">
        <f>MAX(0,MIN(INDEX(CHECK!$C25:$AD25,MATCH(J$3,CHECK!$C$2:$AD$2,0)),$B26-SUM($D26:I26)))</f>
        <v>0.00251599999999996</v>
      </c>
      <c r="K26" s="33">
        <f>MAX(0,MIN(INDEX(CHECK!$C25:$AD25,MATCH(K$3,CHECK!$C$2:$AD$2,0)),$B26-SUM($D26:J26)))</f>
        <v>0.00110800000000211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</v>
      </c>
      <c r="P26" s="33">
        <f>MAX(0,MIN(INDEX(CHECK!$C25:$AD25,MATCH(P$3,CHECK!$C$2:$AD$2,0)),$B26-SUM($D26:O26)))</f>
        <v>0.00368000000000013</v>
      </c>
      <c r="Q26" s="33">
        <f>MAX(0,MIN(INDEX(CHECK!$C25:$AD25,MATCH(Q$3,CHECK!$C$2:$AD$2,0)),$B26-SUM($D26:P26)))</f>
        <v>32.874695</v>
      </c>
      <c r="R26" s="33">
        <f>MAX(0,MIN(INDEX(CHECK!$C25:$AD25,MATCH(R$3,CHECK!$C$2:$AD$2,0)),$B26-SUM($D26:Q26)))</f>
        <v>0.00125900000000456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2.023471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198.36</v>
      </c>
      <c r="Y26" s="33">
        <f>MAX(0,MIN(INDEX(CHECK!$C25:$AD25,MATCH(Y$3,CHECK!$C$2:$AD$2,0)),$B26-SUM($D26:X26)))</f>
        <v>129.26</v>
      </c>
      <c r="Z26" s="33">
        <f>MAX(0,MIN(INDEX(CHECK!$C25:$AD25,MATCH(Z$3,CHECK!$C$2:$AD$2,0)),$B26-SUM($D26:Y26)))</f>
        <v>29.1500000000001</v>
      </c>
      <c r="AA26" s="33">
        <f>MAX(0,MIN(INDEX(CHECK!$C25:$AD25,MATCH(AA$3,CHECK!$C$2:$AD$2,0)),$B26-SUM($D26:Z26)))</f>
        <v>14.793883</v>
      </c>
      <c r="AB26" s="33">
        <f>MAX(0,MIN(INDEX(CHECK!$C25:$AD25,MATCH(AB$3,CHECK!$C$2:$AD$2,0)),$B26-SUM($D26:AA26)))</f>
        <v>108.644432</v>
      </c>
      <c r="AC26" s="33">
        <f>MAX(0,MIN(INDEX(CHECK!$C25:$AD25,MATCH(AC$3,CHECK!$C$2:$AD$2,0)),$B26-SUM($D26:AB26)))</f>
        <v>56.76</v>
      </c>
      <c r="AD26" s="33">
        <f>MAX(0,MIN(INDEX(CHECK!$C25:$AD25,MATCH(AD$3,CHECK!$C$2:$AD$2,0)),$B26-SUM($D26:AC26)))</f>
        <v>37.3392269999999</v>
      </c>
      <c r="AE26" s="33">
        <f>MAX(0,MIN(INDEX(CHECK!$C25:$AD25,MATCH(AE$3,CHECK!$C$2:$AD$2,0)),$B26-SUM($D26:AD26)))</f>
        <v>0</v>
      </c>
      <c r="AF26" s="37"/>
      <c r="AG26" s="40">
        <f t="shared" si="1"/>
        <v>0.113</v>
      </c>
      <c r="AH26" s="41" cm="1">
        <f t="array" ref="AH26">ROUND(IFERROR(SUMPRODUCT(--($D$2:$AE$2="S"),D26:AE26,$D$1:$AE$1)/(AG26*4000),0),3)</f>
        <v>4.128</v>
      </c>
      <c r="AI26" s="40">
        <f t="shared" si="2"/>
        <v>0.04</v>
      </c>
      <c r="AJ26" s="40" cm="1">
        <f t="array" ref="AJ26">ROUND(IFERROR(SUMPRODUCT(--($D$2:$AE$2="C"),D26:AE26,$D$1:$AE$1)/(AI26*4000),0),3)</f>
        <v>4.16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4.1363660130719</v>
      </c>
      <c r="AN26" s="40">
        <f t="shared" si="5"/>
        <v>3.70068872780754</v>
      </c>
      <c r="AO26" s="44">
        <f t="shared" si="6"/>
        <v>609.22</v>
      </c>
      <c r="AP26" s="40">
        <f t="shared" si="7"/>
        <v>0.153</v>
      </c>
      <c r="AQ26" s="45">
        <f t="shared" si="8"/>
        <v>632864</v>
      </c>
      <c r="AR26" s="45">
        <f t="shared" si="9"/>
        <v>566205.375354554</v>
      </c>
      <c r="AS26" s="45">
        <f t="shared" si="10"/>
        <v>66658.624645446</v>
      </c>
      <c r="AT26" s="46">
        <f t="shared" si="0"/>
        <v>0.117728703306119</v>
      </c>
      <c r="AW26" s="47">
        <v>1328.58</v>
      </c>
      <c r="AY26" s="48">
        <f t="shared" si="11"/>
        <v>719.36</v>
      </c>
    </row>
    <row r="27" ht="15.75" spans="1:51">
      <c r="A27" s="30">
        <v>24</v>
      </c>
      <c r="B27" s="31">
        <f>IF('BD&amp;LR'!M26&gt;0,'BD&amp;LR'!M26,0)</f>
        <v>281.14</v>
      </c>
      <c r="C27" s="32">
        <f>('BD&amp;LR'!N26*(1/(1-GEN_MASTER!J$8))+0.024)</f>
        <v>3.84536779073432</v>
      </c>
      <c r="D27" s="33">
        <f>MIN(INDEX(CHECK!$C26:$AD26,MATCH(D$3,CHECK!$C$2:$AD$2,0)),$B27)</f>
        <v>0.00303199999999038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0.000544999999988249</v>
      </c>
      <c r="I27" s="33">
        <f>MAX(0,MIN(INDEX(CHECK!$C26:$AD26,MATCH(I$3,CHECK!$C$2:$AD$2,0)),$B27-SUM($D27:H27)))</f>
        <v>0.00215199999999527</v>
      </c>
      <c r="J27" s="33">
        <f>MAX(0,MIN(INDEX(CHECK!$C26:$AD26,MATCH(J$3,CHECK!$C$2:$AD$2,0)),$B27-SUM($D27:I27)))</f>
        <v>0.00251599999999996</v>
      </c>
      <c r="K27" s="33">
        <f>MAX(0,MIN(INDEX(CHECK!$C26:$AD26,MATCH(K$3,CHECK!$C$2:$AD$2,0)),$B27-SUM($D27:J27)))</f>
        <v>0.00110800000000211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</v>
      </c>
      <c r="O27" s="33">
        <f>MAX(0,MIN(INDEX(CHECK!$C26:$AD26,MATCH(O$3,CHECK!$C$2:$AD$2,0)),$B27-SUM($D27:N27)))</f>
        <v>0.00151699999999977</v>
      </c>
      <c r="P27" s="33">
        <f>MAX(0,MIN(INDEX(CHECK!$C26:$AD26,MATCH(P$3,CHECK!$C$2:$AD$2,0)),$B27-SUM($D27:O27)))</f>
        <v>0.00368000000000013</v>
      </c>
      <c r="Q27" s="33">
        <f>MAX(0,MIN(INDEX(CHECK!$C26:$AD26,MATCH(Q$3,CHECK!$C$2:$AD$2,0)),$B27-SUM($D27:P27)))</f>
        <v>0.00469499999999812</v>
      </c>
      <c r="R27" s="33">
        <f>MAX(0,MIN(INDEX(CHECK!$C26:$AD26,MATCH(R$3,CHECK!$C$2:$AD$2,0)),$B27-SUM($D27:Q27)))</f>
        <v>0.00125900000000456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10.343471</v>
      </c>
      <c r="W27" s="33">
        <f>MAX(0,MIN(INDEX(CHECK!$C26:$AD26,MATCH(W$3,CHECK!$C$2:$AD$2,0)),$B27-SUM($D27:V27)))</f>
        <v>0</v>
      </c>
      <c r="X27" s="33">
        <f>MAX(0,MIN(INDEX(CHECK!$C26:$AD26,MATCH(X$3,CHECK!$C$2:$AD$2,0)),$B27-SUM($D27:W27)))</f>
        <v>196.6</v>
      </c>
      <c r="Y27" s="33">
        <f>MAX(0,MIN(INDEX(CHECK!$C26:$AD26,MATCH(Y$3,CHECK!$C$2:$AD$2,0)),$B27-SUM($D27:X27)))</f>
        <v>74.176025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0.068</v>
      </c>
      <c r="AH27" s="41" cm="1">
        <f t="array" ref="AH27">ROUND(IFERROR(SUMPRODUCT(--($D$2:$AE$2="S"),D27:AE27,$D$1:$AE$1)/(AG27*4000),0),3)</f>
        <v>4.009</v>
      </c>
      <c r="AI27" s="40">
        <f t="shared" si="2"/>
        <v>0.003</v>
      </c>
      <c r="AJ27" s="40" cm="1">
        <f t="array" ref="AJ27">ROUND(IFERROR(SUMPRODUCT(--($D$2:$AE$2="C"),D27:AE27,$D$1:$AE$1)/(AI27*4000),0),3)</f>
        <v>3.211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3.97528169014084</v>
      </c>
      <c r="AN27" s="40">
        <f t="shared" si="5"/>
        <v>3.84536779073432</v>
      </c>
      <c r="AO27" s="44">
        <f t="shared" si="6"/>
        <v>281.14</v>
      </c>
      <c r="AP27" s="40">
        <f t="shared" si="7"/>
        <v>0.071</v>
      </c>
      <c r="AQ27" s="45">
        <f t="shared" si="8"/>
        <v>282245</v>
      </c>
      <c r="AR27" s="45">
        <f t="shared" si="9"/>
        <v>273021.113142137</v>
      </c>
      <c r="AS27" s="45">
        <f t="shared" si="10"/>
        <v>9223.88685786317</v>
      </c>
      <c r="AT27" s="46">
        <f t="shared" si="0"/>
        <v>0.033784518536708</v>
      </c>
      <c r="AW27" s="47">
        <v>1271.65</v>
      </c>
      <c r="AY27" s="48">
        <f t="shared" si="11"/>
        <v>990.51</v>
      </c>
    </row>
    <row r="28" ht="15.75" spans="1:51">
      <c r="A28" s="30">
        <v>25</v>
      </c>
      <c r="B28" s="31">
        <f>IF('BD&amp;LR'!M27&gt;0,'BD&amp;LR'!M27,0)</f>
        <v>380.71</v>
      </c>
      <c r="C28" s="32">
        <f>('BD&amp;LR'!N27*(1/(1-GEN_MASTER!J$8))+0.024)</f>
        <v>3.89071919319256</v>
      </c>
      <c r="D28" s="33">
        <f>MIN(INDEX(CHECK!$C27:$AD27,MATCH(D$3,CHECK!$C$2:$AD$2,0)),$B28)</f>
        <v>0.00303199999999038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0.000544999999988249</v>
      </c>
      <c r="I28" s="33">
        <f>MAX(0,MIN(INDEX(CHECK!$C27:$AD27,MATCH(I$3,CHECK!$C$2:$AD$2,0)),$B28-SUM($D28:H28)))</f>
        <v>0.00215199999999527</v>
      </c>
      <c r="J28" s="33">
        <f>MAX(0,MIN(INDEX(CHECK!$C27:$AD27,MATCH(J$3,CHECK!$C$2:$AD$2,0)),$B28-SUM($D28:I28)))</f>
        <v>0.00251599999999996</v>
      </c>
      <c r="K28" s="33">
        <f>MAX(0,MIN(INDEX(CHECK!$C27:$AD27,MATCH(K$3,CHECK!$C$2:$AD$2,0)),$B28-SUM($D28:J28)))</f>
        <v>0.00110800000000211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</v>
      </c>
      <c r="O28" s="33">
        <f>MAX(0,MIN(INDEX(CHECK!$C27:$AD27,MATCH(O$3,CHECK!$C$2:$AD$2,0)),$B28-SUM($D28:N28)))</f>
        <v>0.00151699999999977</v>
      </c>
      <c r="P28" s="33">
        <f>MAX(0,MIN(INDEX(CHECK!$C27:$AD27,MATCH(P$3,CHECK!$C$2:$AD$2,0)),$B28-SUM($D28:O28)))</f>
        <v>0.00368000000000013</v>
      </c>
      <c r="Q28" s="33">
        <f>MAX(0,MIN(INDEX(CHECK!$C27:$AD27,MATCH(Q$3,CHECK!$C$2:$AD$2,0)),$B28-SUM($D28:P28)))</f>
        <v>0.00469499999999812</v>
      </c>
      <c r="R28" s="33">
        <f>MAX(0,MIN(INDEX(CHECK!$C27:$AD27,MATCH(R$3,CHECK!$C$2:$AD$2,0)),$B28-SUM($D28:Q28)))</f>
        <v>0.00125900000000456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0.00347099999999756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197.83</v>
      </c>
      <c r="Y28" s="33">
        <f>MAX(0,MIN(INDEX(CHECK!$C27:$AD27,MATCH(Y$3,CHECK!$C$2:$AD$2,0)),$B28-SUM($D28:X28)))</f>
        <v>126.21</v>
      </c>
      <c r="Z28" s="33">
        <f>MAX(0,MIN(INDEX(CHECK!$C27:$AD27,MATCH(Z$3,CHECK!$C$2:$AD$2,0)),$B28-SUM($D28:Y28)))</f>
        <v>20.51</v>
      </c>
      <c r="AA28" s="33">
        <f>MAX(0,MIN(INDEX(CHECK!$C27:$AD27,MATCH(AA$3,CHECK!$C$2:$AD$2,0)),$B28-SUM($D28:Z28)))</f>
        <v>0.00388299999998765</v>
      </c>
      <c r="AB28" s="33">
        <f>MAX(0,MIN(INDEX(CHECK!$C27:$AD27,MATCH(AB$3,CHECK!$C$2:$AD$2,0)),$B28-SUM($D28:AA28)))</f>
        <v>25.574432</v>
      </c>
      <c r="AC28" s="33">
        <f>MAX(0,MIN(INDEX(CHECK!$C27:$AD27,MATCH(AC$3,CHECK!$C$2:$AD$2,0)),$B28-SUM($D28:AB28)))</f>
        <v>10.5577100000001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0.089</v>
      </c>
      <c r="AH28" s="41" cm="1">
        <f t="array" ref="AH28">ROUND(IFERROR(SUMPRODUCT(--($D$2:$AE$2="S"),D28:AE28,$D$1:$AE$1)/(AG28*4000),0),3)</f>
        <v>4.056</v>
      </c>
      <c r="AI28" s="40">
        <f t="shared" si="2"/>
        <v>0.006</v>
      </c>
      <c r="AJ28" s="40" cm="1">
        <f t="array" ref="AJ28">ROUND(IFERROR(SUMPRODUCT(--($D$2:$AE$2="C"),D28:AE28,$D$1:$AE$1)/(AI28*4000),0),3)</f>
        <v>4.728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4.09844210526316</v>
      </c>
      <c r="AN28" s="40">
        <f t="shared" si="5"/>
        <v>3.89071919319256</v>
      </c>
      <c r="AO28" s="44">
        <f t="shared" si="6"/>
        <v>380.71</v>
      </c>
      <c r="AP28" s="40">
        <f t="shared" si="7"/>
        <v>0.095</v>
      </c>
      <c r="AQ28" s="45">
        <f t="shared" si="8"/>
        <v>389352</v>
      </c>
      <c r="AR28" s="45">
        <f t="shared" si="9"/>
        <v>369618.323353293</v>
      </c>
      <c r="AS28" s="45">
        <f t="shared" si="10"/>
        <v>19733.6766467065</v>
      </c>
      <c r="AT28" s="46">
        <f t="shared" si="0"/>
        <v>0.0533893354303337</v>
      </c>
      <c r="AW28" s="47">
        <v>789.6771</v>
      </c>
      <c r="AY28" s="48">
        <f t="shared" si="11"/>
        <v>408.9671</v>
      </c>
    </row>
    <row r="29" ht="15.75" spans="1:51">
      <c r="A29" s="30">
        <v>26</v>
      </c>
      <c r="B29" s="31">
        <f>IF('BD&amp;LR'!M28&gt;0,'BD&amp;LR'!M28,0)</f>
        <v>190.37</v>
      </c>
      <c r="C29" s="32">
        <f>('BD&amp;LR'!N28*(1/(1-GEN_MASTER!J$8))+0.024)</f>
        <v>4.22671036873621</v>
      </c>
      <c r="D29" s="33">
        <f>MIN(INDEX(CHECK!$C28:$AD28,MATCH(D$3,CHECK!$C$2:$AD$2,0)),$B29)</f>
        <v>0.00303199999999038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0.000544999999988249</v>
      </c>
      <c r="I29" s="33">
        <f>MAX(0,MIN(INDEX(CHECK!$C28:$AD28,MATCH(I$3,CHECK!$C$2:$AD$2,0)),$B29-SUM($D29:H29)))</f>
        <v>0.00215199999999527</v>
      </c>
      <c r="J29" s="33">
        <f>MAX(0,MIN(INDEX(CHECK!$C28:$AD28,MATCH(J$3,CHECK!$C$2:$AD$2,0)),$B29-SUM($D29:I29)))</f>
        <v>0.00251599999999996</v>
      </c>
      <c r="K29" s="33">
        <f>MAX(0,MIN(INDEX(CHECK!$C28:$AD28,MATCH(K$3,CHECK!$C$2:$AD$2,0)),$B29-SUM($D29:J29)))</f>
        <v>0.00110800000000211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</v>
      </c>
      <c r="O29" s="33">
        <f>MAX(0,MIN(INDEX(CHECK!$C28:$AD28,MATCH(O$3,CHECK!$C$2:$AD$2,0)),$B29-SUM($D29:N29)))</f>
        <v>0.00151699999999977</v>
      </c>
      <c r="P29" s="33">
        <f>MAX(0,MIN(INDEX(CHECK!$C28:$AD28,MATCH(P$3,CHECK!$C$2:$AD$2,0)),$B29-SUM($D29:O29)))</f>
        <v>0.00368000000000013</v>
      </c>
      <c r="Q29" s="33">
        <f>MAX(0,MIN(INDEX(CHECK!$C28:$AD28,MATCH(Q$3,CHECK!$C$2:$AD$2,0)),$B29-SUM($D29:P29)))</f>
        <v>0.00469499999999812</v>
      </c>
      <c r="R29" s="33">
        <f>MAX(0,MIN(INDEX(CHECK!$C28:$AD28,MATCH(R$3,CHECK!$C$2:$AD$2,0)),$B29-SUM($D29:Q29)))</f>
        <v>0.00125900000000456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0.00347099999999756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0.00388299999998765</v>
      </c>
      <c r="AB29" s="33">
        <f>MAX(0,MIN(INDEX(CHECK!$C28:$AD28,MATCH(AB$3,CHECK!$C$2:$AD$2,0)),$B29-SUM($D29:AA29)))</f>
        <v>0.00443200000000843</v>
      </c>
      <c r="AC29" s="33">
        <f>MAX(0,MIN(INDEX(CHECK!$C28:$AD28,MATCH(AC$3,CHECK!$C$2:$AD$2,0)),$B29-SUM($D29:AB29)))</f>
        <v>65.62</v>
      </c>
      <c r="AD29" s="33">
        <f>MAX(0,MIN(INDEX(CHECK!$C28:$AD28,MATCH(AD$3,CHECK!$C$2:$AD$2,0)),$B29-SUM($D29:AC29)))</f>
        <v>124.71771</v>
      </c>
      <c r="AE29" s="33">
        <f>MAX(0,MIN(INDEX(CHECK!$C28:$AD28,MATCH(AE$3,CHECK!$C$2:$AD$2,0)),$B29-SUM($D29:AD29)))</f>
        <v>0</v>
      </c>
      <c r="AF29" s="37"/>
      <c r="AG29" s="40">
        <f t="shared" si="1"/>
        <v>0.048</v>
      </c>
      <c r="AH29" s="41" cm="1">
        <f t="array" ref="AH29">ROUND(IFERROR(SUMPRODUCT(--($D$2:$AE$2="S"),D29:AE29,$D$1:$AE$1)/(AG29*4000),0),3)</f>
        <v>4.397</v>
      </c>
      <c r="AI29" s="40">
        <f t="shared" si="2"/>
        <v>0</v>
      </c>
      <c r="AJ29" s="40" cm="1">
        <f t="array" ref="AJ29">ROUND(IFERROR(SUMPRODUCT(--($D$2:$AE$2="C"),D29:AE29,$D$1:$AE$1)/(AI29*4000),0),3)</f>
        <v>0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4.397</v>
      </c>
      <c r="AN29" s="40">
        <f t="shared" si="5"/>
        <v>4.22671036873621</v>
      </c>
      <c r="AO29" s="44">
        <f t="shared" si="6"/>
        <v>190.37</v>
      </c>
      <c r="AP29" s="40">
        <f t="shared" si="7"/>
        <v>0.048</v>
      </c>
      <c r="AQ29" s="45">
        <f t="shared" si="8"/>
        <v>211056</v>
      </c>
      <c r="AR29" s="45">
        <f t="shared" si="9"/>
        <v>202882.097699338</v>
      </c>
      <c r="AS29" s="45">
        <f t="shared" si="10"/>
        <v>8173.90230066184</v>
      </c>
      <c r="AT29" s="46">
        <f t="shared" si="0"/>
        <v>0.0402889283645676</v>
      </c>
      <c r="AW29" s="47">
        <v>642.9971</v>
      </c>
      <c r="AY29" s="48">
        <f t="shared" si="11"/>
        <v>452.6271</v>
      </c>
    </row>
    <row r="30" ht="15.75" spans="1:51">
      <c r="A30" s="30">
        <v>27</v>
      </c>
      <c r="B30" s="31">
        <f>IF('BD&amp;LR'!M29&gt;0,'BD&amp;LR'!M29,0)</f>
        <v>277.46</v>
      </c>
      <c r="C30" s="32">
        <f>('BD&amp;LR'!N29*(1/(1-GEN_MASTER!J$8))+0.024)</f>
        <v>5.11993444689568</v>
      </c>
      <c r="D30" s="33">
        <f>MIN(INDEX(CHECK!$C29:$AD29,MATCH(D$3,CHECK!$C$2:$AD$2,0)),$B30)</f>
        <v>0.00303199999999038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0.000544999999988249</v>
      </c>
      <c r="I30" s="33">
        <f>MAX(0,MIN(INDEX(CHECK!$C29:$AD29,MATCH(I$3,CHECK!$C$2:$AD$2,0)),$B30-SUM($D30:H30)))</f>
        <v>0.00215199999999527</v>
      </c>
      <c r="J30" s="33">
        <f>MAX(0,MIN(INDEX(CHECK!$C29:$AD29,MATCH(J$3,CHECK!$C$2:$AD$2,0)),$B30-SUM($D30:I30)))</f>
        <v>0.00251599999999996</v>
      </c>
      <c r="K30" s="33">
        <f>MAX(0,MIN(INDEX(CHECK!$C29:$AD29,MATCH(K$3,CHECK!$C$2:$AD$2,0)),$B30-SUM($D30:J30)))</f>
        <v>0.00110800000000211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</v>
      </c>
      <c r="O30" s="33">
        <f>MAX(0,MIN(INDEX(CHECK!$C29:$AD29,MATCH(O$3,CHECK!$C$2:$AD$2,0)),$B30-SUM($D30:N30)))</f>
        <v>0.00151699999999977</v>
      </c>
      <c r="P30" s="33">
        <f>MAX(0,MIN(INDEX(CHECK!$C29:$AD29,MATCH(P$3,CHECK!$C$2:$AD$2,0)),$B30-SUM($D30:O30)))</f>
        <v>0.00368000000000013</v>
      </c>
      <c r="Q30" s="33">
        <f>MAX(0,MIN(INDEX(CHECK!$C29:$AD29,MATCH(Q$3,CHECK!$C$2:$AD$2,0)),$B30-SUM($D30:P30)))</f>
        <v>0.00469499999999812</v>
      </c>
      <c r="R30" s="33">
        <f>MAX(0,MIN(INDEX(CHECK!$C29:$AD29,MATCH(R$3,CHECK!$C$2:$AD$2,0)),$B30-SUM($D30:Q30)))</f>
        <v>0.00125900000000456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0.00347099999999756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0.00388299999998765</v>
      </c>
      <c r="AB30" s="33">
        <f>MAX(0,MIN(INDEX(CHECK!$C29:$AD29,MATCH(AB$3,CHECK!$C$2:$AD$2,0)),$B30-SUM($D30:AA30)))</f>
        <v>0.00443200000000843</v>
      </c>
      <c r="AC30" s="33">
        <f>MAX(0,MIN(INDEX(CHECK!$C29:$AD29,MATCH(AC$3,CHECK!$C$2:$AD$2,0)),$B30-SUM($D30:AB30)))</f>
        <v>67</v>
      </c>
      <c r="AD30" s="33">
        <f>MAX(0,MIN(INDEX(CHECK!$C29:$AD29,MATCH(AD$3,CHECK!$C$2:$AD$2,0)),$B30-SUM($D30:AC30)))</f>
        <v>166.28</v>
      </c>
      <c r="AE30" s="33">
        <f>MAX(0,MIN(INDEX(CHECK!$C29:$AD29,MATCH(AE$3,CHECK!$C$2:$AD$2,0)),$B30-SUM($D30:AD30)))</f>
        <v>44.14771</v>
      </c>
      <c r="AF30" s="37"/>
      <c r="AG30" s="40">
        <f t="shared" si="1"/>
        <v>0.069</v>
      </c>
      <c r="AH30" s="41" cm="1">
        <f t="array" ref="AH30">ROUND(IFERROR(SUMPRODUCT(--($D$2:$AE$2="S"),D30:AE30,$D$1:$AE$1)/(AG30*4000),0),3)</f>
        <v>4.458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4.458</v>
      </c>
      <c r="AN30" s="40">
        <f t="shared" si="5"/>
        <v>5.11993444689568</v>
      </c>
      <c r="AO30" s="44">
        <f t="shared" si="6"/>
        <v>277.46</v>
      </c>
      <c r="AP30" s="40">
        <f t="shared" si="7"/>
        <v>0.069</v>
      </c>
      <c r="AQ30" s="45">
        <f t="shared" si="8"/>
        <v>307602</v>
      </c>
      <c r="AR30" s="45">
        <f t="shared" si="9"/>
        <v>353275.476835802</v>
      </c>
      <c r="AS30" s="45">
        <f t="shared" si="10"/>
        <v>-45673.476835802</v>
      </c>
      <c r="AT30" s="46">
        <f t="shared" si="0"/>
        <v>-0.129285726948521</v>
      </c>
      <c r="AW30" s="47">
        <v>748.14586</v>
      </c>
      <c r="AY30" s="48">
        <f t="shared" si="11"/>
        <v>470.68586</v>
      </c>
    </row>
    <row r="31" ht="15.75" spans="1:51">
      <c r="A31" s="30">
        <v>28</v>
      </c>
      <c r="B31" s="31">
        <f>IF('BD&amp;LR'!M30&gt;0,'BD&amp;LR'!M30,0)</f>
        <v>463.94</v>
      </c>
      <c r="C31" s="32">
        <f>('BD&amp;LR'!N30*(1/(1-GEN_MASTER!J$8))+0.024)</f>
        <v>5.55090408656372</v>
      </c>
      <c r="D31" s="33">
        <f>MIN(INDEX(CHECK!$C30:$AD30,MATCH(D$3,CHECK!$C$2:$AD$2,0)),$B31)</f>
        <v>0.00303199999999038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0.000544999999988249</v>
      </c>
      <c r="I31" s="33">
        <f>MAX(0,MIN(INDEX(CHECK!$C30:$AD30,MATCH(I$3,CHECK!$C$2:$AD$2,0)),$B31-SUM($D31:H31)))</f>
        <v>0.00215199999999527</v>
      </c>
      <c r="J31" s="33">
        <f>MAX(0,MIN(INDEX(CHECK!$C30:$AD30,MATCH(J$3,CHECK!$C$2:$AD$2,0)),$B31-SUM($D31:I31)))</f>
        <v>0.00251599999999996</v>
      </c>
      <c r="K31" s="33">
        <f>MAX(0,MIN(INDEX(CHECK!$C30:$AD30,MATCH(K$3,CHECK!$C$2:$AD$2,0)),$B31-SUM($D31:J31)))</f>
        <v>0.00110800000000211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</v>
      </c>
      <c r="O31" s="33">
        <f>MAX(0,MIN(INDEX(CHECK!$C30:$AD30,MATCH(O$3,CHECK!$C$2:$AD$2,0)),$B31-SUM($D31:N31)))</f>
        <v>0.00151699999999977</v>
      </c>
      <c r="P31" s="33">
        <f>MAX(0,MIN(INDEX(CHECK!$C30:$AD30,MATCH(P$3,CHECK!$C$2:$AD$2,0)),$B31-SUM($D31:O31)))</f>
        <v>0.00368000000000013</v>
      </c>
      <c r="Q31" s="33">
        <f>MAX(0,MIN(INDEX(CHECK!$C30:$AD30,MATCH(Q$3,CHECK!$C$2:$AD$2,0)),$B31-SUM($D31:P31)))</f>
        <v>0.00469499999999812</v>
      </c>
      <c r="R31" s="33">
        <f>MAX(0,MIN(INDEX(CHECK!$C30:$AD30,MATCH(R$3,CHECK!$C$2:$AD$2,0)),$B31-SUM($D31:Q31)))</f>
        <v>0.00125900000000456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0.00347099999999756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45.55</v>
      </c>
      <c r="Y31" s="33">
        <f>MAX(0,MIN(INDEX(CHECK!$C30:$AD30,MATCH(Y$3,CHECK!$C$2:$AD$2,0)),$B31-SUM($D31:X31)))</f>
        <v>7.41000000000003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0.00388299999998765</v>
      </c>
      <c r="AB31" s="33">
        <f>MAX(0,MIN(INDEX(CHECK!$C30:$AD30,MATCH(AB$3,CHECK!$C$2:$AD$2,0)),$B31-SUM($D31:AA31)))</f>
        <v>0.00443200000000843</v>
      </c>
      <c r="AC31" s="33">
        <f>MAX(0,MIN(INDEX(CHECK!$C30:$AD30,MATCH(AC$3,CHECK!$C$2:$AD$2,0)),$B31-SUM($D31:AB31)))</f>
        <v>67.07</v>
      </c>
      <c r="AD31" s="33">
        <f>MAX(0,MIN(INDEX(CHECK!$C30:$AD30,MATCH(AD$3,CHECK!$C$2:$AD$2,0)),$B31-SUM($D31:AC31)))</f>
        <v>169.77</v>
      </c>
      <c r="AE31" s="33">
        <f>MAX(0,MIN(INDEX(CHECK!$C30:$AD30,MATCH(AE$3,CHECK!$C$2:$AD$2,0)),$B31-SUM($D31:AD31)))</f>
        <v>69.28</v>
      </c>
      <c r="AF31" s="37"/>
      <c r="AG31" s="40">
        <f t="shared" si="1"/>
        <v>0.09</v>
      </c>
      <c r="AH31" s="41" cm="1">
        <f t="array" ref="AH31">ROUND(IFERROR(SUMPRODUCT(--($D$2:$AE$2="S"),D31:AE31,$D$1:$AE$1)/(AG31*4000),0),3)</f>
        <v>4.361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4.361</v>
      </c>
      <c r="AN31" s="40">
        <f t="shared" si="5"/>
        <v>5.55090408656372</v>
      </c>
      <c r="AO31" s="44">
        <f t="shared" si="6"/>
        <v>463.94</v>
      </c>
      <c r="AP31" s="40">
        <f t="shared" si="7"/>
        <v>0.09</v>
      </c>
      <c r="AQ31" s="45">
        <f t="shared" si="8"/>
        <v>392490</v>
      </c>
      <c r="AR31" s="45">
        <f t="shared" si="9"/>
        <v>499581.367790734</v>
      </c>
      <c r="AS31" s="45">
        <f t="shared" si="10"/>
        <v>-107091.367790734</v>
      </c>
      <c r="AT31" s="46">
        <f t="shared" ref="AT31:AT94" si="12">IFERROR(AS31/AR31,"-")</f>
        <v>-0.214362213435456</v>
      </c>
      <c r="AW31" s="47">
        <v>749.7</v>
      </c>
      <c r="AY31" s="48">
        <f t="shared" si="11"/>
        <v>285.76</v>
      </c>
    </row>
    <row r="32" ht="15.75" spans="1:51">
      <c r="A32" s="30">
        <v>29</v>
      </c>
      <c r="B32" s="31">
        <f>IF('BD&amp;LR'!M31&gt;0,'BD&amp;LR'!M31,0)</f>
        <v>281.65</v>
      </c>
      <c r="C32" s="32">
        <f>('BD&amp;LR'!N31*(1/(1-GEN_MASTER!J$8))+0.024)</f>
        <v>6.14324571908814</v>
      </c>
      <c r="D32" s="33">
        <f>MIN(INDEX(CHECK!$C31:$AD31,MATCH(D$3,CHECK!$C$2:$AD$2,0)),$B32)</f>
        <v>0.00303199999999038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0.000544999999988249</v>
      </c>
      <c r="I32" s="33">
        <f>MAX(0,MIN(INDEX(CHECK!$C31:$AD31,MATCH(I$3,CHECK!$C$2:$AD$2,0)),$B32-SUM($D32:H32)))</f>
        <v>0.00215199999999527</v>
      </c>
      <c r="J32" s="33">
        <f>MAX(0,MIN(INDEX(CHECK!$C31:$AD31,MATCH(J$3,CHECK!$C$2:$AD$2,0)),$B32-SUM($D32:I32)))</f>
        <v>0.00251599999999996</v>
      </c>
      <c r="K32" s="33">
        <f>MAX(0,MIN(INDEX(CHECK!$C31:$AD31,MATCH(K$3,CHECK!$C$2:$AD$2,0)),$B32-SUM($D32:J32)))</f>
        <v>0.00110800000000211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0.00427699999999476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0.00368000000000013</v>
      </c>
      <c r="Q32" s="33">
        <f>MAX(0,MIN(INDEX(CHECK!$C31:$AD31,MATCH(Q$3,CHECK!$C$2:$AD$2,0)),$B32-SUM($D32:P32)))</f>
        <v>0.00469499999999812</v>
      </c>
      <c r="R32" s="33">
        <f>MAX(0,MIN(INDEX(CHECK!$C31:$AD31,MATCH(R$3,CHECK!$C$2:$AD$2,0)),$B32-SUM($D32:Q32)))</f>
        <v>0.00125900000000456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0.00347099999999756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85.8</v>
      </c>
      <c r="Y32" s="33">
        <f>MAX(0,MIN(INDEX(CHECK!$C31:$AD31,MATCH(Y$3,CHECK!$C$2:$AD$2,0)),$B32-SUM($D32:X32)))</f>
        <v>100.49</v>
      </c>
      <c r="Z32" s="33">
        <f>MAX(0,MIN(INDEX(CHECK!$C31:$AD31,MATCH(Z$3,CHECK!$C$2:$AD$2,0)),$B32-SUM($D32:Y32)))</f>
        <v>4.8599999999999</v>
      </c>
      <c r="AA32" s="33">
        <f>MAX(0,MIN(INDEX(CHECK!$C31:$AD31,MATCH(AA$3,CHECK!$C$2:$AD$2,0)),$B32-SUM($D32:Z32)))</f>
        <v>0.00388299999998765</v>
      </c>
      <c r="AB32" s="33">
        <f>MAX(0,MIN(INDEX(CHECK!$C31:$AD31,MATCH(AB$3,CHECK!$C$2:$AD$2,0)),$B32-SUM($D32:AA32)))</f>
        <v>0.00443200000000843</v>
      </c>
      <c r="AC32" s="33">
        <f>MAX(0,MIN(INDEX(CHECK!$C31:$AD31,MATCH(AC$3,CHECK!$C$2:$AD$2,0)),$B32-SUM($D32:AB32)))</f>
        <v>71.46</v>
      </c>
      <c r="AD32" s="33">
        <f>MAX(0,MIN(INDEX(CHECK!$C31:$AD31,MATCH(AD$3,CHECK!$C$2:$AD$2,0)),$B32-SUM($D32:AC32)))</f>
        <v>19.0049500000001</v>
      </c>
      <c r="AE32" s="33">
        <f>MAX(0,MIN(INDEX(CHECK!$C31:$AD31,MATCH(AE$3,CHECK!$C$2:$AD$2,0)),$B32-SUM($D32:AD32)))</f>
        <v>0</v>
      </c>
      <c r="AF32" s="37"/>
      <c r="AG32" s="40">
        <f t="shared" si="1"/>
        <v>0.07</v>
      </c>
      <c r="AH32" s="41" cm="1">
        <f t="array" ref="AH32">ROUND(IFERROR(SUMPRODUCT(--($D$2:$AE$2="S"),D32:AE32,$D$1:$AE$1)/(AG32*4000),0),3)</f>
        <v>4.212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4.212</v>
      </c>
      <c r="AN32" s="40">
        <f t="shared" si="5"/>
        <v>6.14324571908814</v>
      </c>
      <c r="AO32" s="44">
        <f t="shared" si="6"/>
        <v>281.65</v>
      </c>
      <c r="AP32" s="40">
        <f t="shared" si="7"/>
        <v>0.07</v>
      </c>
      <c r="AQ32" s="45">
        <f t="shared" si="8"/>
        <v>294840</v>
      </c>
      <c r="AR32" s="45">
        <f t="shared" si="9"/>
        <v>430027.20033617</v>
      </c>
      <c r="AS32" s="45">
        <f t="shared" si="10"/>
        <v>-135187.20033617</v>
      </c>
      <c r="AT32" s="46">
        <f t="shared" si="12"/>
        <v>-0.314368952081376</v>
      </c>
      <c r="AW32" s="47">
        <v>344.20476</v>
      </c>
      <c r="AY32" s="48">
        <f t="shared" si="11"/>
        <v>62.55476</v>
      </c>
    </row>
    <row r="33" ht="15.75" spans="1:51">
      <c r="A33" s="30">
        <v>30</v>
      </c>
      <c r="B33" s="31">
        <f>IF('BD&amp;LR'!M32&gt;0,'BD&amp;LR'!M32,0)</f>
        <v>373.62</v>
      </c>
      <c r="C33" s="32">
        <f>('BD&amp;LR'!N32*(1/(1-GEN_MASTER!J$8))+0.024)</f>
        <v>6.85217522849039</v>
      </c>
      <c r="D33" s="33">
        <f>MIN(INDEX(CHECK!$C32:$AD32,MATCH(D$3,CHECK!$C$2:$AD$2,0)),$B33)</f>
        <v>0.00303199999999038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0.000544999999988249</v>
      </c>
      <c r="I33" s="33">
        <f>MAX(0,MIN(INDEX(CHECK!$C32:$AD32,MATCH(I$3,CHECK!$C$2:$AD$2,0)),$B33-SUM($D33:H33)))</f>
        <v>0.00215199999999527</v>
      </c>
      <c r="J33" s="33">
        <f>MAX(0,MIN(INDEX(CHECK!$C32:$AD32,MATCH(J$3,CHECK!$C$2:$AD$2,0)),$B33-SUM($D33:I33)))</f>
        <v>0.00251599999999996</v>
      </c>
      <c r="K33" s="33">
        <f>MAX(0,MIN(INDEX(CHECK!$C32:$AD32,MATCH(K$3,CHECK!$C$2:$AD$2,0)),$B33-SUM($D33:J33)))</f>
        <v>0.00110800000000211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0.00427699999999476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0.00368000000000013</v>
      </c>
      <c r="Q33" s="33">
        <f>MAX(0,MIN(INDEX(CHECK!$C32:$AD32,MATCH(Q$3,CHECK!$C$2:$AD$2,0)),$B33-SUM($D33:P33)))</f>
        <v>0.00469499999999812</v>
      </c>
      <c r="R33" s="33">
        <f>MAX(0,MIN(INDEX(CHECK!$C32:$AD32,MATCH(R$3,CHECK!$C$2:$AD$2,0)),$B33-SUM($D33:Q33)))</f>
        <v>0.00125900000000456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0.00347099999999756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149.42</v>
      </c>
      <c r="Y33" s="33">
        <f>MAX(0,MIN(INDEX(CHECK!$C32:$AD32,MATCH(Y$3,CHECK!$C$2:$AD$2,0)),$B33-SUM($D33:X33)))</f>
        <v>134.02</v>
      </c>
      <c r="Z33" s="33">
        <f>MAX(0,MIN(INDEX(CHECK!$C32:$AD32,MATCH(Z$3,CHECK!$C$2:$AD$2,0)),$B33-SUM($D33:Y33)))</f>
        <v>29.62</v>
      </c>
      <c r="AA33" s="33">
        <f>MAX(0,MIN(INDEX(CHECK!$C32:$AD32,MATCH(AA$3,CHECK!$C$2:$AD$2,0)),$B33-SUM($D33:Z33)))</f>
        <v>0.00388299999998765</v>
      </c>
      <c r="AB33" s="33">
        <f>MAX(0,MIN(INDEX(CHECK!$C32:$AD32,MATCH(AB$3,CHECK!$C$2:$AD$2,0)),$B33-SUM($D33:AA33)))</f>
        <v>0.00443200000000843</v>
      </c>
      <c r="AC33" s="33">
        <f>MAX(0,MIN(INDEX(CHECK!$C32:$AD32,MATCH(AC$3,CHECK!$C$2:$AD$2,0)),$B33-SUM($D33:AB33)))</f>
        <v>60.52495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0.093</v>
      </c>
      <c r="AH33" s="41" cm="1">
        <f t="array" ref="AH33">ROUND(IFERROR(SUMPRODUCT(--($D$2:$AE$2="S"),D33:AE33,$D$1:$AE$1)/(AG33*4000),0),3)</f>
        <v>4.149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4.149</v>
      </c>
      <c r="AN33" s="40">
        <f t="shared" si="5"/>
        <v>6.85217522849039</v>
      </c>
      <c r="AO33" s="44">
        <f t="shared" si="6"/>
        <v>373.62</v>
      </c>
      <c r="AP33" s="40">
        <f t="shared" si="7"/>
        <v>0.093</v>
      </c>
      <c r="AQ33" s="45">
        <f t="shared" si="8"/>
        <v>385857</v>
      </c>
      <c r="AR33" s="45">
        <f t="shared" si="9"/>
        <v>637252.296249606</v>
      </c>
      <c r="AS33" s="45">
        <f t="shared" si="10"/>
        <v>-251395.296249606</v>
      </c>
      <c r="AT33" s="46">
        <f t="shared" si="12"/>
        <v>-0.394498847205624</v>
      </c>
      <c r="AW33" s="47">
        <v>261.05476</v>
      </c>
      <c r="AY33" s="48">
        <f t="shared" si="11"/>
        <v>-112.56524</v>
      </c>
    </row>
    <row r="34" ht="15.75" spans="1:51">
      <c r="A34" s="30">
        <v>31</v>
      </c>
      <c r="B34" s="31">
        <f>IF('BD&amp;LR'!M33&gt;0,'BD&amp;LR'!M33,0)</f>
        <v>257.93</v>
      </c>
      <c r="C34" s="32">
        <f>('BD&amp;LR'!N33*(1/(1-GEN_MASTER!J$8))+0.024)</f>
        <v>10.5293051791155</v>
      </c>
      <c r="D34" s="33">
        <f>MIN(INDEX(CHECK!$C33:$AD33,MATCH(D$3,CHECK!$C$2:$AD$2,0)),$B34)</f>
        <v>0.00303199999999038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0.000544999999988249</v>
      </c>
      <c r="I34" s="33">
        <f>MAX(0,MIN(INDEX(CHECK!$C33:$AD33,MATCH(I$3,CHECK!$C$2:$AD$2,0)),$B34-SUM($D34:H34)))</f>
        <v>0.00215199999999527</v>
      </c>
      <c r="J34" s="33">
        <f>MAX(0,MIN(INDEX(CHECK!$C33:$AD33,MATCH(J$3,CHECK!$C$2:$AD$2,0)),$B34-SUM($D34:I34)))</f>
        <v>0.00251599999999996</v>
      </c>
      <c r="K34" s="33">
        <f>MAX(0,MIN(INDEX(CHECK!$C33:$AD33,MATCH(K$3,CHECK!$C$2:$AD$2,0)),$B34-SUM($D34:J34)))</f>
        <v>0.00110800000000211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1.630333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0.0378069999999999</v>
      </c>
      <c r="Q34" s="33">
        <f>MAX(0,MIN(INDEX(CHECK!$C33:$AD33,MATCH(Q$3,CHECK!$C$2:$AD$2,0)),$B34-SUM($D34:P34)))</f>
        <v>0.00469499999999812</v>
      </c>
      <c r="R34" s="33">
        <f>MAX(0,MIN(INDEX(CHECK!$C33:$AD33,MATCH(R$3,CHECK!$C$2:$AD$2,0)),$B34-SUM($D34:Q34)))</f>
        <v>0.00125900000000456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0.00347099999999756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199.17</v>
      </c>
      <c r="Y34" s="33">
        <f>MAX(0,MIN(INDEX(CHECK!$C33:$AD33,MATCH(Y$3,CHECK!$C$2:$AD$2,0)),$B34-SUM($D34:X34)))</f>
        <v>57.073082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0.064</v>
      </c>
      <c r="AH34" s="41" cm="1">
        <f t="array" ref="AH34">ROUND(IFERROR(SUMPRODUCT(--($D$2:$AE$2="S"),D34:AE34,$D$1:$AE$1)/(AG34*4000),0),3)</f>
        <v>4.023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4.023</v>
      </c>
      <c r="AN34" s="40">
        <f t="shared" si="5"/>
        <v>10.5293051791155</v>
      </c>
      <c r="AO34" s="44">
        <f t="shared" si="6"/>
        <v>257.93</v>
      </c>
      <c r="AP34" s="40">
        <f t="shared" si="7"/>
        <v>0.064</v>
      </c>
      <c r="AQ34" s="45">
        <f t="shared" si="8"/>
        <v>257472</v>
      </c>
      <c r="AR34" s="45">
        <f t="shared" si="9"/>
        <v>673875.531463389</v>
      </c>
      <c r="AS34" s="45">
        <f t="shared" si="10"/>
        <v>-416403.531463389</v>
      </c>
      <c r="AT34" s="46">
        <f t="shared" si="12"/>
        <v>-0.617923506673594</v>
      </c>
      <c r="AW34" s="47">
        <v>0</v>
      </c>
      <c r="AY34" s="48">
        <f t="shared" si="11"/>
        <v>-257.93</v>
      </c>
    </row>
    <row r="35" ht="15.75" spans="1:51">
      <c r="A35" s="30">
        <v>32</v>
      </c>
      <c r="B35" s="31">
        <f>IF('BD&amp;LR'!M34&gt;0,'BD&amp;LR'!M34,0)</f>
        <v>156.74</v>
      </c>
      <c r="C35" s="32">
        <f>('BD&amp;LR'!N34*(1/(1-GEN_MASTER!J$8))+0.024)</f>
        <v>10.5293051791155</v>
      </c>
      <c r="D35" s="33">
        <f>MIN(INDEX(CHECK!$C34:$AD34,MATCH(D$3,CHECK!$C$2:$AD$2,0)),$B35)</f>
        <v>0.00303199999999038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0.000544999999988249</v>
      </c>
      <c r="I35" s="33">
        <f>MAX(0,MIN(INDEX(CHECK!$C34:$AD34,MATCH(I$3,CHECK!$C$2:$AD$2,0)),$B35-SUM($D35:H35)))</f>
        <v>0.00215199999999527</v>
      </c>
      <c r="J35" s="33">
        <f>MAX(0,MIN(INDEX(CHECK!$C34:$AD34,MATCH(J$3,CHECK!$C$2:$AD$2,0)),$B35-SUM($D35:I35)))</f>
        <v>0.00251599999999996</v>
      </c>
      <c r="K35" s="33">
        <f>MAX(0,MIN(INDEX(CHECK!$C34:$AD34,MATCH(K$3,CHECK!$C$2:$AD$2,0)),$B35-SUM($D35:J35)))</f>
        <v>0.00110800000000211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1.542844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0.00469499999999812</v>
      </c>
      <c r="R35" s="33">
        <f>MAX(0,MIN(INDEX(CHECK!$C34:$AD34,MATCH(R$3,CHECK!$C$2:$AD$2,0)),$B35-SUM($D35:Q35)))</f>
        <v>0.00125900000000456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0.00347099999999756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0.00388299999998765</v>
      </c>
      <c r="AB35" s="33">
        <f>MAX(0,MIN(INDEX(CHECK!$C34:$AD34,MATCH(AB$3,CHECK!$C$2:$AD$2,0)),$B35-SUM($D35:AA35)))</f>
        <v>0.00443200000000843</v>
      </c>
      <c r="AC35" s="33">
        <f>MAX(0,MIN(INDEX(CHECK!$C34:$AD34,MATCH(AC$3,CHECK!$C$2:$AD$2,0)),$B35-SUM($D35:AB35)))</f>
        <v>60.35</v>
      </c>
      <c r="AD35" s="33">
        <f>MAX(0,MIN(INDEX(CHECK!$C34:$AD34,MATCH(AD$3,CHECK!$C$2:$AD$2,0)),$B35-SUM($D35:AC35)))</f>
        <v>94.820063</v>
      </c>
      <c r="AE35" s="33">
        <f>MAX(0,MIN(INDEX(CHECK!$C34:$AD34,MATCH(AE$3,CHECK!$C$2:$AD$2,0)),$B35-SUM($D35:AD35)))</f>
        <v>0</v>
      </c>
      <c r="AF35" s="37"/>
      <c r="AG35" s="40">
        <f t="shared" si="1"/>
        <v>0.039</v>
      </c>
      <c r="AH35" s="41" cm="1">
        <f t="array" ref="AH35">ROUND(IFERROR(SUMPRODUCT(--($D$2:$AE$2="S"),D35:AE35,$D$1:$AE$1)/(AG35*4000),0),3)</f>
        <v>4.411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4.411</v>
      </c>
      <c r="AN35" s="40">
        <f t="shared" si="5"/>
        <v>10.5293051791155</v>
      </c>
      <c r="AO35" s="44">
        <f t="shared" si="6"/>
        <v>156.74</v>
      </c>
      <c r="AP35" s="40">
        <f t="shared" si="7"/>
        <v>0.039</v>
      </c>
      <c r="AQ35" s="45">
        <f t="shared" si="8"/>
        <v>172029</v>
      </c>
      <c r="AR35" s="45">
        <f t="shared" si="9"/>
        <v>410642.901985503</v>
      </c>
      <c r="AS35" s="45">
        <f t="shared" si="10"/>
        <v>-238613.901985503</v>
      </c>
      <c r="AT35" s="46">
        <f t="shared" si="12"/>
        <v>-0.581073971647333</v>
      </c>
      <c r="AW35" s="47">
        <v>0</v>
      </c>
      <c r="AY35" s="48">
        <f t="shared" si="11"/>
        <v>-156.74</v>
      </c>
    </row>
    <row r="36" ht="15.75" spans="1:51">
      <c r="A36" s="30">
        <v>33</v>
      </c>
      <c r="B36" s="31">
        <f>IF('BD&amp;LR'!M35&gt;0,'BD&amp;LR'!M35,0)</f>
        <v>0</v>
      </c>
      <c r="C36" s="32">
        <f>('BD&amp;LR'!N35*(1/(1-GEN_MASTER!J$8))+0.024)</f>
        <v>10.5293051791155</v>
      </c>
      <c r="D36" s="33">
        <f>MIN(INDEX(CHECK!$C35:$AD35,MATCH(D$3,CHECK!$C$2:$AD$2,0)),$B36)</f>
        <v>0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IF('BD&amp;LR'!M36&gt;0,'BD&amp;LR'!M36,0)</f>
        <v>0</v>
      </c>
      <c r="C37" s="32">
        <f>('BD&amp;LR'!N36*(1/(1-GEN_MASTER!J$8))+0.024)</f>
        <v>10.5293051791155</v>
      </c>
      <c r="D37" s="33">
        <f>MIN(INDEX(CHECK!$C36:$AD36,MATCH(D$3,CHECK!$C$2:$AD$2,0)),$B37)</f>
        <v>0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IF('BD&amp;LR'!M37&gt;0,'BD&amp;LR'!M37,0)</f>
        <v>0</v>
      </c>
      <c r="C38" s="32">
        <f>('BD&amp;LR'!N37*(1/(1-GEN_MASTER!J$8))+0.024)</f>
        <v>6.53809811955037</v>
      </c>
      <c r="D38" s="33">
        <f>MIN(INDEX(CHECK!$C37:$AD37,MATCH(D$3,CHECK!$C$2:$AD$2,0)),$B38)</f>
        <v>0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IF('BD&amp;LR'!M38&gt;0,'BD&amp;LR'!M38,0)</f>
        <v>0</v>
      </c>
      <c r="C39" s="32">
        <f>('BD&amp;LR'!N38*(1/(1-GEN_MASTER!J$8))+0.024)</f>
        <v>6.85161844731589</v>
      </c>
      <c r="D39" s="33">
        <f>MIN(INDEX(CHECK!$C38:$AD38,MATCH(D$3,CHECK!$C$2:$AD$2,0)),$B39)</f>
        <v>0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IF('BD&amp;LR'!M39&gt;0,'BD&amp;LR'!M39,0)</f>
        <v>95.19</v>
      </c>
      <c r="C40" s="32">
        <f>('BD&amp;LR'!N39*(1/(1-GEN_MASTER!J$8))+0.024)</f>
        <v>5.96052694610778</v>
      </c>
      <c r="D40" s="33">
        <f>MIN(INDEX(CHECK!$C39:$AD39,MATCH(D$3,CHECK!$C$2:$AD$2,0)),$B40)</f>
        <v>0.00303199999999038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0.000544999999988249</v>
      </c>
      <c r="I40" s="33">
        <f>MAX(0,MIN(INDEX(CHECK!$C39:$AD39,MATCH(I$3,CHECK!$C$2:$AD$2,0)),$B40-SUM($D40:H40)))</f>
        <v>0.00215199999999527</v>
      </c>
      <c r="J40" s="33">
        <f>MAX(0,MIN(INDEX(CHECK!$C39:$AD39,MATCH(J$3,CHECK!$C$2:$AD$2,0)),$B40-SUM($D40:I40)))</f>
        <v>0.00251599999999996</v>
      </c>
      <c r="K40" s="33">
        <f>MAX(0,MIN(INDEX(CHECK!$C39:$AD39,MATCH(K$3,CHECK!$C$2:$AD$2,0)),$B40-SUM($D40:J40)))</f>
        <v>0.00110800000000211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0.0419339999999995</v>
      </c>
      <c r="Q40" s="33">
        <f>MAX(0,MIN(INDEX(CHECK!$C39:$AD39,MATCH(Q$3,CHECK!$C$2:$AD$2,0)),$B40-SUM($D40:P40)))</f>
        <v>0.00469499999999812</v>
      </c>
      <c r="R40" s="33">
        <f>MAX(0,MIN(INDEX(CHECK!$C39:$AD39,MATCH(R$3,CHECK!$C$2:$AD$2,0)),$B40-SUM($D40:Q40)))</f>
        <v>0.00125900000000456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0.00347099999999756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0.00388299999998765</v>
      </c>
      <c r="AB40" s="33">
        <f>MAX(0,MIN(INDEX(CHECK!$C39:$AD39,MATCH(AB$3,CHECK!$C$2:$AD$2,0)),$B40-SUM($D40:AA40)))</f>
        <v>0.00443200000000843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95.19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-95.19</v>
      </c>
    </row>
    <row r="41" ht="15.75" spans="1:51">
      <c r="A41" s="30">
        <v>38</v>
      </c>
      <c r="B41" s="31">
        <f>IF('BD&amp;LR'!M40&gt;0,'BD&amp;LR'!M40,0)</f>
        <v>91.79</v>
      </c>
      <c r="C41" s="32">
        <f>('BD&amp;LR'!N40*(1/(1-GEN_MASTER!J$8))+0.024)</f>
        <v>7.37750351927724</v>
      </c>
      <c r="D41" s="33">
        <f>MIN(INDEX(CHECK!$C40:$AD40,MATCH(D$3,CHECK!$C$2:$AD$2,0)),$B41)</f>
        <v>0.00303199999999038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0.000544999999988249</v>
      </c>
      <c r="I41" s="33">
        <f>MAX(0,MIN(INDEX(CHECK!$C40:$AD40,MATCH(I$3,CHECK!$C$2:$AD$2,0)),$B41-SUM($D41:H41)))</f>
        <v>0.00215199999999527</v>
      </c>
      <c r="J41" s="33">
        <f>MAX(0,MIN(INDEX(CHECK!$C40:$AD40,MATCH(J$3,CHECK!$C$2:$AD$2,0)),$B41-SUM($D41:I41)))</f>
        <v>0.00251599999999996</v>
      </c>
      <c r="K41" s="33">
        <f>MAX(0,MIN(INDEX(CHECK!$C40:$AD40,MATCH(K$3,CHECK!$C$2:$AD$2,0)),$B41-SUM($D41:J41)))</f>
        <v>0.00110800000000211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0.00193399999999944</v>
      </c>
      <c r="Q41" s="33">
        <f>MAX(0,MIN(INDEX(CHECK!$C40:$AD40,MATCH(Q$3,CHECK!$C$2:$AD$2,0)),$B41-SUM($D41:P41)))</f>
        <v>0.00469499999999812</v>
      </c>
      <c r="R41" s="33">
        <f>MAX(0,MIN(INDEX(CHECK!$C40:$AD40,MATCH(R$3,CHECK!$C$2:$AD$2,0)),$B41-SUM($D41:Q41)))</f>
        <v>0.00125900000000456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0.00347099999999756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0.00388299999998765</v>
      </c>
      <c r="AB41" s="33">
        <f>MAX(0,MIN(INDEX(CHECK!$C40:$AD40,MATCH(AB$3,CHECK!$C$2:$AD$2,0)),$B41-SUM($D41:AA41)))</f>
        <v>0.00443200000000843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91.79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-91.79</v>
      </c>
    </row>
    <row r="42" ht="15.75" spans="1:51">
      <c r="A42" s="30">
        <v>39</v>
      </c>
      <c r="B42" s="31">
        <f>IF('BD&amp;LR'!M41&gt;0,'BD&amp;LR'!M41,0)</f>
        <v>190.38</v>
      </c>
      <c r="C42" s="32">
        <f>('BD&amp;LR'!N41*(1/(1-GEN_MASTER!J$8))+0.024)</f>
        <v>6.85171299506251</v>
      </c>
      <c r="D42" s="33">
        <f>MIN(INDEX(CHECK!$C41:$AD41,MATCH(D$3,CHECK!$C$2:$AD$2,0)),$B42)</f>
        <v>0.00303199999999038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0.000544999999988249</v>
      </c>
      <c r="I42" s="33">
        <f>MAX(0,MIN(INDEX(CHECK!$C41:$AD41,MATCH(I$3,CHECK!$C$2:$AD$2,0)),$B42-SUM($D42:H42)))</f>
        <v>0.00215199999999527</v>
      </c>
      <c r="J42" s="33">
        <f>MAX(0,MIN(INDEX(CHECK!$C41:$AD41,MATCH(J$3,CHECK!$C$2:$AD$2,0)),$B42-SUM($D42:I42)))</f>
        <v>0.00251599999999996</v>
      </c>
      <c r="K42" s="33">
        <f>MAX(0,MIN(INDEX(CHECK!$C41:$AD41,MATCH(K$3,CHECK!$C$2:$AD$2,0)),$B42-SUM($D42:J42)))</f>
        <v>0.00110800000000211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0.00193399999999944</v>
      </c>
      <c r="Q42" s="33">
        <f>MAX(0,MIN(INDEX(CHECK!$C41:$AD41,MATCH(Q$3,CHECK!$C$2:$AD$2,0)),$B42-SUM($D42:P42)))</f>
        <v>0.00469499999999812</v>
      </c>
      <c r="R42" s="33">
        <f>MAX(0,MIN(INDEX(CHECK!$C41:$AD41,MATCH(R$3,CHECK!$C$2:$AD$2,0)),$B42-SUM($D42:Q42)))</f>
        <v>0.00125900000000456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0.00347099999999756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15.28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0.00388299999998765</v>
      </c>
      <c r="AB42" s="33">
        <f>MAX(0,MIN(INDEX(CHECK!$C41:$AD41,MATCH(AB$3,CHECK!$C$2:$AD$2,0)),$B42-SUM($D42:AA42)))</f>
        <v>0.00443200000000843</v>
      </c>
      <c r="AC42" s="33">
        <f>MAX(0,MIN(INDEX(CHECK!$C41:$AD41,MATCH(AC$3,CHECK!$C$2:$AD$2,0)),$B42-SUM($D42:AB42)))</f>
        <v>9.55000000000001</v>
      </c>
      <c r="AD42" s="33">
        <f>MAX(0,MIN(INDEX(CHECK!$C41:$AD41,MATCH(AD$3,CHECK!$C$2:$AD$2,0)),$B42-SUM($D42:AC42)))</f>
        <v>40.35</v>
      </c>
      <c r="AE42" s="33">
        <f>MAX(0,MIN(INDEX(CHECK!$C41:$AD41,MATCH(AE$3,CHECK!$C$2:$AD$2,0)),$B42-SUM($D42:AD42)))</f>
        <v>13.42</v>
      </c>
      <c r="AF42" s="37"/>
      <c r="AG42" s="40">
        <f t="shared" si="1"/>
        <v>0.02</v>
      </c>
      <c r="AH42" s="41" cm="1">
        <f t="array" ref="AH42">ROUND(IFERROR(SUMPRODUCT(--($D$2:$AE$2="S"),D42:AE42,$D$1:$AE$1)/(AG42*4000),0),3)</f>
        <v>4.301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4.301</v>
      </c>
      <c r="AN42" s="40">
        <f t="shared" si="5"/>
        <v>6.85171299506251</v>
      </c>
      <c r="AO42" s="44">
        <f t="shared" si="6"/>
        <v>190.38</v>
      </c>
      <c r="AP42" s="40">
        <f t="shared" si="7"/>
        <v>0.02</v>
      </c>
      <c r="AQ42" s="45">
        <f t="shared" si="8"/>
        <v>86020</v>
      </c>
      <c r="AR42" s="45">
        <f t="shared" si="9"/>
        <v>137034.25990125</v>
      </c>
      <c r="AS42" s="45">
        <f t="shared" si="10"/>
        <v>-51014.2599012502</v>
      </c>
      <c r="AT42" s="46">
        <f t="shared" si="12"/>
        <v>-0.372273765246823</v>
      </c>
      <c r="AW42" s="47">
        <v>0</v>
      </c>
      <c r="AY42" s="48">
        <f t="shared" si="13"/>
        <v>-190.38</v>
      </c>
    </row>
    <row r="43" ht="15.75" spans="1:51">
      <c r="A43" s="30">
        <v>40</v>
      </c>
      <c r="B43" s="31">
        <f>IF('BD&amp;LR'!M42&gt;0,'BD&amp;LR'!M42,0)</f>
        <v>95.18</v>
      </c>
      <c r="C43" s="32">
        <f>('BD&amp;LR'!N42*(1/(1-GEN_MASTER!J$8))+0.024)</f>
        <v>5.38102279651224</v>
      </c>
      <c r="D43" s="33">
        <f>MIN(INDEX(CHECK!$C42:$AD42,MATCH(D$3,CHECK!$C$2:$AD$2,0)),$B43)</f>
        <v>0.00303199999999038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0.000544999999988249</v>
      </c>
      <c r="I43" s="33">
        <f>MAX(0,MIN(INDEX(CHECK!$C42:$AD42,MATCH(I$3,CHECK!$C$2:$AD$2,0)),$B43-SUM($D43:H43)))</f>
        <v>0.00215199999999527</v>
      </c>
      <c r="J43" s="33">
        <f>MAX(0,MIN(INDEX(CHECK!$C42:$AD42,MATCH(J$3,CHECK!$C$2:$AD$2,0)),$B43-SUM($D43:I43)))</f>
        <v>0.00251599999999996</v>
      </c>
      <c r="K43" s="33">
        <f>MAX(0,MIN(INDEX(CHECK!$C42:$AD42,MATCH(K$3,CHECK!$C$2:$AD$2,0)),$B43-SUM($D43:J43)))</f>
        <v>0.00110800000000211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0.0418869999999991</v>
      </c>
      <c r="O43" s="33">
        <f>MAX(0,MIN(INDEX(CHECK!$C42:$AD42,MATCH(O$3,CHECK!$C$2:$AD$2,0)),$B43-SUM($D43:N43)))</f>
        <v>0.0515169999999969</v>
      </c>
      <c r="P43" s="33">
        <f>MAX(0,MIN(INDEX(CHECK!$C42:$AD42,MATCH(P$3,CHECK!$C$2:$AD$2,0)),$B43-SUM($D43:O43)))</f>
        <v>0.00193399999999944</v>
      </c>
      <c r="Q43" s="33">
        <f>MAX(0,MIN(INDEX(CHECK!$C42:$AD42,MATCH(Q$3,CHECK!$C$2:$AD$2,0)),$B43-SUM($D43:P43)))</f>
        <v>0.00469499999999812</v>
      </c>
      <c r="R43" s="33">
        <f>MAX(0,MIN(INDEX(CHECK!$C42:$AD42,MATCH(R$3,CHECK!$C$2:$AD$2,0)),$B43-SUM($D43:Q43)))</f>
        <v>0.00125900000000456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0.00347099999999756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5.87</v>
      </c>
      <c r="Y43" s="33">
        <f>MAX(0,MIN(INDEX(CHECK!$C42:$AD42,MATCH(Y$3,CHECK!$C$2:$AD$2,0)),$B43-SUM($D43:X43)))</f>
        <v>89.195884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0.024</v>
      </c>
      <c r="AH43" s="41" cm="1">
        <f t="array" ref="AH43">ROUND(IFERROR(SUMPRODUCT(--($D$2:$AE$2="S"),D43:AE43,$D$1:$AE$1)/(AG43*4000),0),3)</f>
        <v>4.088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4.088</v>
      </c>
      <c r="AN43" s="40">
        <f t="shared" si="5"/>
        <v>5.38102279651224</v>
      </c>
      <c r="AO43" s="44">
        <f t="shared" si="6"/>
        <v>95.18</v>
      </c>
      <c r="AP43" s="40">
        <f t="shared" si="7"/>
        <v>0.024</v>
      </c>
      <c r="AQ43" s="45">
        <f t="shared" si="8"/>
        <v>98112</v>
      </c>
      <c r="AR43" s="45">
        <f t="shared" si="9"/>
        <v>129144.547116294</v>
      </c>
      <c r="AS43" s="45">
        <f t="shared" si="10"/>
        <v>-31032.5471162937</v>
      </c>
      <c r="AT43" s="46">
        <f t="shared" si="12"/>
        <v>-0.240293127423717</v>
      </c>
      <c r="AW43" s="47">
        <v>0</v>
      </c>
      <c r="AY43" s="48">
        <f t="shared" si="13"/>
        <v>-95.18</v>
      </c>
    </row>
    <row r="44" ht="15.75" spans="1:51">
      <c r="A44" s="30">
        <v>41</v>
      </c>
      <c r="B44" s="31">
        <f>IF('BD&amp;LR'!M43&gt;0,'BD&amp;LR'!M43,0)</f>
        <v>0</v>
      </c>
      <c r="C44" s="32">
        <f>('BD&amp;LR'!N43*(1/(1-GEN_MASTER!J$8))+0.024)</f>
        <v>4.75173400567286</v>
      </c>
      <c r="D44" s="33">
        <f>MIN(INDEX(CHECK!$C43:$AD43,MATCH(D$3,CHECK!$C$2:$AD$2,0)),$B44)</f>
        <v>0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IF('BD&amp;LR'!M44&gt;0,'BD&amp;LR'!M44,0)</f>
        <v>0</v>
      </c>
      <c r="C45" s="32">
        <f>('BD&amp;LR'!N44*(1/(1-GEN_MASTER!J$8))+0.024)</f>
        <v>4.69894484714781</v>
      </c>
      <c r="D45" s="33">
        <f>MIN(INDEX(CHECK!$C44:$AD44,MATCH(D$3,CHECK!$C$2:$AD$2,0)),$B45)</f>
        <v>0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IF('BD&amp;LR'!M45&gt;0,'BD&amp;LR'!M45,0)</f>
        <v>0</v>
      </c>
      <c r="C46" s="32">
        <f>('BD&amp;LR'!N45*(1/(1-GEN_MASTER!J$8))+0.024)</f>
        <v>4.3839117554365</v>
      </c>
      <c r="D46" s="33">
        <f>MIN(INDEX(CHECK!$C45:$AD45,MATCH(D$3,CHECK!$C$2:$AD$2,0)),$B46)</f>
        <v>0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2"/>
        <v>-</v>
      </c>
      <c r="AW46" s="47">
        <v>188.04283</v>
      </c>
      <c r="AY46" s="48">
        <f t="shared" si="13"/>
        <v>188.04283</v>
      </c>
    </row>
    <row r="47" ht="15.75" spans="1:51">
      <c r="A47" s="30">
        <v>44</v>
      </c>
      <c r="B47" s="31">
        <f>IF('BD&amp;LR'!M46&gt;0,'BD&amp;LR'!M46,0)</f>
        <v>0</v>
      </c>
      <c r="C47" s="32">
        <f>('BD&amp;LR'!N46*(1/(1-GEN_MASTER!J$8))+0.024)</f>
        <v>4.07267107889484</v>
      </c>
      <c r="D47" s="33">
        <f>MIN(INDEX(CHECK!$C46:$AD46,MATCH(D$3,CHECK!$C$2:$AD$2,0)),$B47)</f>
        <v>0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2"/>
        <v>-</v>
      </c>
      <c r="AW47" s="47">
        <v>269.37283</v>
      </c>
      <c r="AY47" s="48">
        <f t="shared" si="13"/>
        <v>269.37283</v>
      </c>
    </row>
    <row r="48" ht="15.75" spans="1:51">
      <c r="A48" s="30">
        <v>45</v>
      </c>
      <c r="B48" s="31">
        <f>IF('BD&amp;LR'!M47&gt;0,'BD&amp;LR'!M47,0)</f>
        <v>0</v>
      </c>
      <c r="C48" s="32">
        <f>('BD&amp;LR'!N47*(1/(1-GEN_MASTER!J$8))+0.024)</f>
        <v>3.8185162306965</v>
      </c>
      <c r="D48" s="33">
        <f>MIN(INDEX(CHECK!$C47:$AD47,MATCH(D$3,CHECK!$C$2:$AD$2,0)),$B48)</f>
        <v>0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</v>
      </c>
      <c r="AJ48" s="40" cm="1">
        <f t="array" ref="AJ48">ROUND(IFERROR(SUMPRODUCT(--($D$2:$AE$2="C"),D48:AE48,$D$1:$AE$1)/(AI48*4000),0),3)</f>
        <v>0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0</v>
      </c>
      <c r="AN48" s="40">
        <f t="shared" si="5"/>
        <v>0</v>
      </c>
      <c r="AO48" s="44">
        <f t="shared" si="6"/>
        <v>0</v>
      </c>
      <c r="AP48" s="40">
        <f t="shared" si="7"/>
        <v>0</v>
      </c>
      <c r="AQ48" s="45">
        <f t="shared" si="8"/>
        <v>0</v>
      </c>
      <c r="AR48" s="45">
        <f t="shared" si="9"/>
        <v>0</v>
      </c>
      <c r="AS48" s="45">
        <f t="shared" si="10"/>
        <v>0</v>
      </c>
      <c r="AT48" s="46" t="str">
        <f t="shared" si="12"/>
        <v>-</v>
      </c>
      <c r="AW48" s="47">
        <v>287.53283</v>
      </c>
      <c r="AY48" s="48">
        <f t="shared" si="13"/>
        <v>287.53283</v>
      </c>
    </row>
    <row r="49" ht="15.75" spans="1:51">
      <c r="A49" s="30">
        <v>46</v>
      </c>
      <c r="B49" s="31">
        <f>IF('BD&amp;LR'!M48&gt;0,'BD&amp;LR'!M48,0)</f>
        <v>0</v>
      </c>
      <c r="C49" s="32">
        <f>('BD&amp;LR'!N48*(1/(1-GEN_MASTER!J$8))+0.024)</f>
        <v>3.70167622649438</v>
      </c>
      <c r="D49" s="33">
        <f>MIN(INDEX(CHECK!$C48:$AD48,MATCH(D$3,CHECK!$C$2:$AD$2,0)),$B49)</f>
        <v>0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0</v>
      </c>
      <c r="AN49" s="40">
        <f t="shared" si="5"/>
        <v>0</v>
      </c>
      <c r="AO49" s="44">
        <f t="shared" si="6"/>
        <v>0</v>
      </c>
      <c r="AP49" s="40">
        <f t="shared" si="7"/>
        <v>0</v>
      </c>
      <c r="AQ49" s="45">
        <f t="shared" si="8"/>
        <v>0</v>
      </c>
      <c r="AR49" s="45">
        <f t="shared" si="9"/>
        <v>0</v>
      </c>
      <c r="AS49" s="45">
        <f t="shared" si="10"/>
        <v>0</v>
      </c>
      <c r="AT49" s="46" t="str">
        <f t="shared" si="12"/>
        <v>-</v>
      </c>
      <c r="AW49" s="47">
        <v>407.55681</v>
      </c>
      <c r="AY49" s="48">
        <f t="shared" si="13"/>
        <v>407.55681</v>
      </c>
    </row>
    <row r="50" ht="15.75" spans="1:51">
      <c r="A50" s="30">
        <v>47</v>
      </c>
      <c r="B50" s="31">
        <f>IF('BD&amp;LR'!M49&gt;0,'BD&amp;LR'!M49,0)</f>
        <v>0</v>
      </c>
      <c r="C50" s="32">
        <f>('BD&amp;LR'!N49*(1/(1-GEN_MASTER!J$8))+0.024)</f>
        <v>3.59644458451518</v>
      </c>
      <c r="D50" s="33">
        <f>MIN(INDEX(CHECK!$C49:$AD49,MATCH(D$3,CHECK!$C$2:$AD$2,0)),$B50)</f>
        <v>0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</v>
      </c>
      <c r="J50" s="33">
        <f>MAX(0,MIN(INDEX(CHECK!$C49:$AD49,MATCH(J$3,CHECK!$C$2:$AD$2,0)),$B50-SUM($D50:I50)))</f>
        <v>0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</v>
      </c>
      <c r="Q50" s="33">
        <f>MAX(0,MIN(INDEX(CHECK!$C49:$AD49,MATCH(Q$3,CHECK!$C$2:$AD$2,0)),$B50-SUM($D50:P50)))</f>
        <v>0</v>
      </c>
      <c r="R50" s="33">
        <f>MAX(0,MIN(INDEX(CHECK!$C49:$AD49,MATCH(R$3,CHECK!$C$2:$AD$2,0)),$B50-SUM($D50:Q50)))</f>
        <v>0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</v>
      </c>
      <c r="AH50" s="41" cm="1">
        <f t="array" ref="AH50">ROUND(IFERROR(SUMPRODUCT(--($D$2:$AE$2="S"),D50:AE50,$D$1:$AE$1)/(AG50*4000),0),3)</f>
        <v>0</v>
      </c>
      <c r="AI50" s="40">
        <f t="shared" si="2"/>
        <v>0</v>
      </c>
      <c r="AJ50" s="40" cm="1">
        <f t="array" ref="AJ50">ROUND(IFERROR(SUMPRODUCT(--($D$2:$AE$2="C"),D50:AE50,$D$1:$AE$1)/(AI50*4000),0),3)</f>
        <v>0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0</v>
      </c>
      <c r="AN50" s="40">
        <f t="shared" si="5"/>
        <v>0</v>
      </c>
      <c r="AO50" s="44">
        <f t="shared" si="6"/>
        <v>0</v>
      </c>
      <c r="AP50" s="40">
        <f t="shared" si="7"/>
        <v>0</v>
      </c>
      <c r="AQ50" s="45">
        <f t="shared" si="8"/>
        <v>0</v>
      </c>
      <c r="AR50" s="45">
        <f t="shared" si="9"/>
        <v>0</v>
      </c>
      <c r="AS50" s="45">
        <f t="shared" si="10"/>
        <v>0</v>
      </c>
      <c r="AT50" s="46" t="str">
        <f t="shared" si="12"/>
        <v>-</v>
      </c>
      <c r="AW50" s="47">
        <v>474.5</v>
      </c>
      <c r="AY50" s="48">
        <f t="shared" si="13"/>
        <v>474.5</v>
      </c>
    </row>
    <row r="51" ht="15.75" spans="1:51">
      <c r="A51" s="30">
        <v>48</v>
      </c>
      <c r="B51" s="31">
        <f>IF('BD&amp;LR'!M50&gt;0,'BD&amp;LR'!M50,0)</f>
        <v>0</v>
      </c>
      <c r="C51" s="32">
        <f>('BD&amp;LR'!N50*(1/(1-GEN_MASTER!J$8))+0.024)</f>
        <v>3.51405147599538</v>
      </c>
      <c r="D51" s="33">
        <f>MIN(INDEX(CHECK!$C50:$AD50,MATCH(D$3,CHECK!$C$2:$AD$2,0)),$B51)</f>
        <v>0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</v>
      </c>
      <c r="J51" s="33">
        <f>MAX(0,MIN(INDEX(CHECK!$C50:$AD50,MATCH(J$3,CHECK!$C$2:$AD$2,0)),$B51-SUM($D51:I51)))</f>
        <v>0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</v>
      </c>
      <c r="Q51" s="33">
        <f>MAX(0,MIN(INDEX(CHECK!$C50:$AD50,MATCH(Q$3,CHECK!$C$2:$AD$2,0)),$B51-SUM($D51:P51)))</f>
        <v>0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</v>
      </c>
      <c r="AH51" s="41" cm="1">
        <f t="array" ref="AH51">ROUND(IFERROR(SUMPRODUCT(--($D$2:$AE$2="S"),D51:AE51,$D$1:$AE$1)/(AG51*4000),0),3)</f>
        <v>0</v>
      </c>
      <c r="AI51" s="40">
        <f t="shared" si="2"/>
        <v>0</v>
      </c>
      <c r="AJ51" s="40" cm="1">
        <f t="array" ref="AJ51">ROUND(IFERROR(SUMPRODUCT(--($D$2:$AE$2="C"),D51:AE51,$D$1:$AE$1)/(AI51*4000),0),3)</f>
        <v>0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0</v>
      </c>
      <c r="AN51" s="40">
        <f t="shared" si="5"/>
        <v>0</v>
      </c>
      <c r="AO51" s="44">
        <f t="shared" si="6"/>
        <v>0</v>
      </c>
      <c r="AP51" s="40">
        <f t="shared" si="7"/>
        <v>0</v>
      </c>
      <c r="AQ51" s="45">
        <f t="shared" si="8"/>
        <v>0</v>
      </c>
      <c r="AR51" s="45">
        <f t="shared" si="9"/>
        <v>0</v>
      </c>
      <c r="AS51" s="45">
        <f t="shared" si="10"/>
        <v>0</v>
      </c>
      <c r="AT51" s="46" t="str">
        <f t="shared" si="12"/>
        <v>-</v>
      </c>
      <c r="AW51" s="47">
        <v>569.39</v>
      </c>
      <c r="AY51" s="48">
        <f t="shared" si="13"/>
        <v>569.39</v>
      </c>
    </row>
    <row r="52" ht="15.75" spans="1:51">
      <c r="A52" s="30">
        <v>49</v>
      </c>
      <c r="B52" s="31">
        <f>IF('BD&amp;LR'!M51&gt;0,'BD&amp;LR'!M51,0)</f>
        <v>0</v>
      </c>
      <c r="C52" s="32">
        <f>('BD&amp;LR'!N51*(1/(1-GEN_MASTER!J$8))+0.024)</f>
        <v>2.94656539552474</v>
      </c>
      <c r="D52" s="33">
        <f>MIN(INDEX(CHECK!$C51:$AD51,MATCH(D$3,CHECK!$C$2:$AD$2,0)),$B52)</f>
        <v>0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</v>
      </c>
      <c r="I52" s="33">
        <f>MAX(0,MIN(INDEX(CHECK!$C51:$AD51,MATCH(I$3,CHECK!$C$2:$AD$2,0)),$B52-SUM($D52:H52)))</f>
        <v>0</v>
      </c>
      <c r="J52" s="33">
        <f>MAX(0,MIN(INDEX(CHECK!$C51:$AD51,MATCH(J$3,CHECK!$C$2:$AD$2,0)),$B52-SUM($D52:I52)))</f>
        <v>0</v>
      </c>
      <c r="K52" s="33">
        <f>MAX(0,MIN(INDEX(CHECK!$C51:$AD51,MATCH(K$3,CHECK!$C$2:$AD$2,0)),$B52-SUM($D52:J52)))</f>
        <v>0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</v>
      </c>
      <c r="P52" s="33">
        <f>MAX(0,MIN(INDEX(CHECK!$C51:$AD51,MATCH(P$3,CHECK!$C$2:$AD$2,0)),$B52-SUM($D52:O52)))</f>
        <v>0</v>
      </c>
      <c r="Q52" s="33">
        <f>MAX(0,MIN(INDEX(CHECK!$C51:$AD51,MATCH(Q$3,CHECK!$C$2:$AD$2,0)),$B52-SUM($D52:P52)))</f>
        <v>0</v>
      </c>
      <c r="R52" s="33">
        <f>MAX(0,MIN(INDEX(CHECK!$C51:$AD51,MATCH(R$3,CHECK!$C$2:$AD$2,0)),$B52-SUM($D52:Q52)))</f>
        <v>0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</v>
      </c>
      <c r="AH52" s="41" cm="1">
        <f t="array" ref="AH52">ROUND(IFERROR(SUMPRODUCT(--($D$2:$AE$2="S"),D52:AE52,$D$1:$AE$1)/(AG52*4000),0),3)</f>
        <v>0</v>
      </c>
      <c r="AI52" s="40">
        <f t="shared" si="2"/>
        <v>0</v>
      </c>
      <c r="AJ52" s="40" cm="1">
        <f t="array" ref="AJ52">ROUND(IFERROR(SUMPRODUCT(--($D$2:$AE$2="C"),D52:AE52,$D$1:$AE$1)/(AI52*4000),0),3)</f>
        <v>0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0</v>
      </c>
      <c r="AN52" s="40">
        <f t="shared" si="5"/>
        <v>0</v>
      </c>
      <c r="AO52" s="44">
        <f t="shared" si="6"/>
        <v>0</v>
      </c>
      <c r="AP52" s="40">
        <f t="shared" si="7"/>
        <v>0</v>
      </c>
      <c r="AQ52" s="45">
        <f t="shared" si="8"/>
        <v>0</v>
      </c>
      <c r="AR52" s="45">
        <f t="shared" si="9"/>
        <v>0</v>
      </c>
      <c r="AS52" s="45">
        <f t="shared" si="10"/>
        <v>0</v>
      </c>
      <c r="AT52" s="46" t="str">
        <f t="shared" si="12"/>
        <v>-</v>
      </c>
      <c r="AW52" s="47">
        <v>474.49</v>
      </c>
      <c r="AY52" s="48">
        <f t="shared" si="13"/>
        <v>474.49</v>
      </c>
    </row>
    <row r="53" ht="15.75" spans="1:51">
      <c r="A53" s="30">
        <v>50</v>
      </c>
      <c r="B53" s="31">
        <f>IF('BD&amp;LR'!M52&gt;0,'BD&amp;LR'!M52,0)</f>
        <v>0</v>
      </c>
      <c r="C53" s="32">
        <f>('BD&amp;LR'!N52*(1/(1-GEN_MASTER!J$8))+0.024)</f>
        <v>2.94591406660363</v>
      </c>
      <c r="D53" s="33">
        <f>MIN(INDEX(CHECK!$C52:$AD52,MATCH(D$3,CHECK!$C$2:$AD$2,0)),$B53)</f>
        <v>0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</v>
      </c>
      <c r="I53" s="33">
        <f>MAX(0,MIN(INDEX(CHECK!$C52:$AD52,MATCH(I$3,CHECK!$C$2:$AD$2,0)),$B53-SUM($D53:H53)))</f>
        <v>0</v>
      </c>
      <c r="J53" s="33">
        <f>MAX(0,MIN(INDEX(CHECK!$C52:$AD52,MATCH(J$3,CHECK!$C$2:$AD$2,0)),$B53-SUM($D53:I53)))</f>
        <v>0</v>
      </c>
      <c r="K53" s="33">
        <f>MAX(0,MIN(INDEX(CHECK!$C52:$AD52,MATCH(K$3,CHECK!$C$2:$AD$2,0)),$B53-SUM($D53:J53)))</f>
        <v>0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</v>
      </c>
      <c r="P53" s="33">
        <f>MAX(0,MIN(INDEX(CHECK!$C52:$AD52,MATCH(P$3,CHECK!$C$2:$AD$2,0)),$B53-SUM($D53:O53)))</f>
        <v>0</v>
      </c>
      <c r="Q53" s="33">
        <f>MAX(0,MIN(INDEX(CHECK!$C52:$AD52,MATCH(Q$3,CHECK!$C$2:$AD$2,0)),$B53-SUM($D53:P53)))</f>
        <v>0</v>
      </c>
      <c r="R53" s="33">
        <f>MAX(0,MIN(INDEX(CHECK!$C52:$AD52,MATCH(R$3,CHECK!$C$2:$AD$2,0)),$B53-SUM($D53:Q53)))</f>
        <v>0</v>
      </c>
      <c r="S53" s="33">
        <f>MAX(0,MIN(INDEX(CHECK!$C52:$AD52,MATCH(S$3,CHECK!$C$2:$AD$2,0)),$B53-SUM($D53:R53)))</f>
        <v>0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</v>
      </c>
      <c r="AH53" s="41" cm="1">
        <f t="array" ref="AH53">ROUND(IFERROR(SUMPRODUCT(--($D$2:$AE$2="S"),D53:AE53,$D$1:$AE$1)/(AG53*4000),0),3)</f>
        <v>0</v>
      </c>
      <c r="AI53" s="40">
        <f t="shared" si="2"/>
        <v>0</v>
      </c>
      <c r="AJ53" s="40" cm="1">
        <f t="array" ref="AJ53">ROUND(IFERROR(SUMPRODUCT(--($D$2:$AE$2="C"),D53:AE53,$D$1:$AE$1)/(AI53*4000),0),3)</f>
        <v>0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0</v>
      </c>
      <c r="AN53" s="40">
        <f t="shared" si="5"/>
        <v>0</v>
      </c>
      <c r="AO53" s="44">
        <f t="shared" si="6"/>
        <v>0</v>
      </c>
      <c r="AP53" s="40">
        <f t="shared" si="7"/>
        <v>0</v>
      </c>
      <c r="AQ53" s="45">
        <f t="shared" si="8"/>
        <v>0</v>
      </c>
      <c r="AR53" s="45">
        <f t="shared" si="9"/>
        <v>0</v>
      </c>
      <c r="AS53" s="45">
        <f t="shared" si="10"/>
        <v>0</v>
      </c>
      <c r="AT53" s="46" t="str">
        <f t="shared" si="12"/>
        <v>-</v>
      </c>
      <c r="AW53" s="47">
        <v>569.4</v>
      </c>
      <c r="AY53" s="48">
        <f t="shared" si="13"/>
        <v>569.4</v>
      </c>
    </row>
    <row r="54" ht="15.75" spans="1:51">
      <c r="A54" s="30">
        <v>51</v>
      </c>
      <c r="B54" s="31">
        <f>IF('BD&amp;LR'!M53&gt;0,'BD&amp;LR'!M53,0)</f>
        <v>285.56</v>
      </c>
      <c r="C54" s="32">
        <f>('BD&amp;LR'!N53*(1/(1-GEN_MASTER!J$8))+0.024)</f>
        <v>3.17569660678643</v>
      </c>
      <c r="D54" s="33">
        <f>MIN(INDEX(CHECK!$C53:$AD53,MATCH(D$3,CHECK!$C$2:$AD$2,0)),$B54)</f>
        <v>0.00303199999999038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</v>
      </c>
      <c r="H54" s="33">
        <f>MAX(0,MIN(INDEX(CHECK!$C53:$AD53,MATCH(H$3,CHECK!$C$2:$AD$2,0)),$B54-SUM($D54:G54)))</f>
        <v>0.000544999999988249</v>
      </c>
      <c r="I54" s="33">
        <f>MAX(0,MIN(INDEX(CHECK!$C53:$AD53,MATCH(I$3,CHECK!$C$2:$AD$2,0)),$B54-SUM($D54:H54)))</f>
        <v>0.00215199999999527</v>
      </c>
      <c r="J54" s="33">
        <f>MAX(0,MIN(INDEX(CHECK!$C53:$AD53,MATCH(J$3,CHECK!$C$2:$AD$2,0)),$B54-SUM($D54:I54)))</f>
        <v>0.00436299999999878</v>
      </c>
      <c r="K54" s="33">
        <f>MAX(0,MIN(INDEX(CHECK!$C53:$AD53,MATCH(K$3,CHECK!$C$2:$AD$2,0)),$B54-SUM($D54:J54)))</f>
        <v>0.00110800000000211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0.00225299999999606</v>
      </c>
      <c r="P54" s="33">
        <f>MAX(0,MIN(INDEX(CHECK!$C53:$AD53,MATCH(P$3,CHECK!$C$2:$AD$2,0)),$B54-SUM($D54:O54)))</f>
        <v>0.00193399999999944</v>
      </c>
      <c r="Q54" s="33">
        <f>MAX(0,MIN(INDEX(CHECK!$C53:$AD53,MATCH(Q$3,CHECK!$C$2:$AD$2,0)),$B54-SUM($D54:P54)))</f>
        <v>0.00469499999999812</v>
      </c>
      <c r="R54" s="33">
        <f>MAX(0,MIN(INDEX(CHECK!$C53:$AD53,MATCH(R$3,CHECK!$C$2:$AD$2,0)),$B54-SUM($D54:Q54)))</f>
        <v>0.00125900000000456</v>
      </c>
      <c r="S54" s="33">
        <f>MAX(0,MIN(INDEX(CHECK!$C53:$AD53,MATCH(S$3,CHECK!$C$2:$AD$2,0)),$B54-SUM($D54:R54)))</f>
        <v>0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0.00347099999999756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216.68</v>
      </c>
      <c r="Y54" s="33">
        <f>MAX(0,MIN(INDEX(CHECK!$C53:$AD53,MATCH(Y$3,CHECK!$C$2:$AD$2,0)),$B54-SUM($D54:X54)))</f>
        <v>68.855188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0.071</v>
      </c>
      <c r="AH54" s="41" cm="1">
        <f t="array" ref="AH54">ROUND(IFERROR(SUMPRODUCT(--($D$2:$AE$2="S"),D54:AE54,$D$1:$AE$1)/(AG54*4000),0),3)</f>
        <v>4.044</v>
      </c>
      <c r="AI54" s="40">
        <f t="shared" si="2"/>
        <v>0</v>
      </c>
      <c r="AJ54" s="40" cm="1">
        <f t="array" ref="AJ54">ROUND(IFERROR(SUMPRODUCT(--($D$2:$AE$2="C"),D54:AE54,$D$1:$AE$1)/(AI54*4000),0),3)</f>
        <v>0</v>
      </c>
      <c r="AK54" s="40">
        <f t="shared" si="3"/>
        <v>0</v>
      </c>
      <c r="AL54" s="40" cm="1">
        <f t="array" ref="AL54">ROUND(IFERROR(SUMPRODUCT(--($D$2:$AE$2="I"),D54:AE54,$D$1:$AE$1)/(AK54*4000),0),3)</f>
        <v>0</v>
      </c>
      <c r="AM54" s="40">
        <f t="shared" si="4"/>
        <v>4.044</v>
      </c>
      <c r="AN54" s="40">
        <f t="shared" si="5"/>
        <v>3.17569660678643</v>
      </c>
      <c r="AO54" s="44">
        <f t="shared" si="6"/>
        <v>285.56</v>
      </c>
      <c r="AP54" s="40">
        <f t="shared" si="7"/>
        <v>0.071</v>
      </c>
      <c r="AQ54" s="45">
        <f t="shared" si="8"/>
        <v>287124</v>
      </c>
      <c r="AR54" s="45">
        <f t="shared" si="9"/>
        <v>225474.459081836</v>
      </c>
      <c r="AS54" s="45">
        <f t="shared" si="10"/>
        <v>61649.5409181636</v>
      </c>
      <c r="AT54" s="46">
        <f t="shared" si="12"/>
        <v>0.273421394020455</v>
      </c>
      <c r="AW54" s="47">
        <v>379.6</v>
      </c>
      <c r="AY54" s="48">
        <f t="shared" si="13"/>
        <v>94.04</v>
      </c>
    </row>
    <row r="55" ht="15.75" spans="1:51">
      <c r="A55" s="30">
        <v>52</v>
      </c>
      <c r="B55" s="31">
        <f>IF('BD&amp;LR'!M54&gt;0,'BD&amp;LR'!M54,0)</f>
        <v>571.13</v>
      </c>
      <c r="C55" s="32">
        <f>('BD&amp;LR'!N54*(1/(1-GEN_MASTER!J$8))+0.024)</f>
        <v>3.18443702069545</v>
      </c>
      <c r="D55" s="33">
        <f>MIN(INDEX(CHECK!$C54:$AD54,MATCH(D$3,CHECK!$C$2:$AD$2,0)),$B55)</f>
        <v>0.00303199999999038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</v>
      </c>
      <c r="H55" s="33">
        <f>MAX(0,MIN(INDEX(CHECK!$C54:$AD54,MATCH(H$3,CHECK!$C$2:$AD$2,0)),$B55-SUM($D55:G55)))</f>
        <v>0.000544999999988249</v>
      </c>
      <c r="I55" s="33">
        <f>MAX(0,MIN(INDEX(CHECK!$C54:$AD54,MATCH(I$3,CHECK!$C$2:$AD$2,0)),$B55-SUM($D55:H55)))</f>
        <v>0.00215199999999527</v>
      </c>
      <c r="J55" s="33">
        <f>MAX(0,MIN(INDEX(CHECK!$C54:$AD54,MATCH(J$3,CHECK!$C$2:$AD$2,0)),$B55-SUM($D55:I55)))</f>
        <v>0.00436299999999878</v>
      </c>
      <c r="K55" s="33">
        <f>MAX(0,MIN(INDEX(CHECK!$C54:$AD54,MATCH(K$3,CHECK!$C$2:$AD$2,0)),$B55-SUM($D55:J55)))</f>
        <v>0.00110800000000211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25.980545</v>
      </c>
      <c r="O55" s="33">
        <f>MAX(0,MIN(INDEX(CHECK!$C54:$AD54,MATCH(O$3,CHECK!$C$2:$AD$2,0)),$B55-SUM($D55:N55)))</f>
        <v>26.933061</v>
      </c>
      <c r="P55" s="33">
        <f>MAX(0,MIN(INDEX(CHECK!$C54:$AD54,MATCH(P$3,CHECK!$C$2:$AD$2,0)),$B55-SUM($D55:O55)))</f>
        <v>7.481934</v>
      </c>
      <c r="Q55" s="33">
        <f>MAX(0,MIN(INDEX(CHECK!$C54:$AD54,MATCH(Q$3,CHECK!$C$2:$AD$2,0)),$B55-SUM($D55:P55)))</f>
        <v>62.014695</v>
      </c>
      <c r="R55" s="33">
        <f>MAX(0,MIN(INDEX(CHECK!$C54:$AD54,MATCH(R$3,CHECK!$C$2:$AD$2,0)),$B55-SUM($D55:Q55)))</f>
        <v>34.271259</v>
      </c>
      <c r="S55" s="33">
        <f>MAX(0,MIN(INDEX(CHECK!$C54:$AD54,MATCH(S$3,CHECK!$C$2:$AD$2,0)),$B55-SUM($D55:R55)))</f>
        <v>140.126171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59.103471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215.207664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0.054</v>
      </c>
      <c r="AH55" s="41" cm="1">
        <f t="array" ref="AH55">ROUND(IFERROR(SUMPRODUCT(--($D$2:$AE$2="S"),D55:AE55,$D$1:$AE$1)/(AG55*4000),0),3)</f>
        <v>3.97</v>
      </c>
      <c r="AI55" s="40">
        <f t="shared" si="2"/>
        <v>0.089</v>
      </c>
      <c r="AJ55" s="40" cm="1">
        <f t="array" ref="AJ55">ROUND(IFERROR(SUMPRODUCT(--($D$2:$AE$2="C"),D55:AE55,$D$1:$AE$1)/(AI55*4000),0),3)</f>
        <v>3.511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3.68432867132867</v>
      </c>
      <c r="AN55" s="40">
        <f t="shared" si="5"/>
        <v>3.18443702069545</v>
      </c>
      <c r="AO55" s="44">
        <f t="shared" si="6"/>
        <v>571.13</v>
      </c>
      <c r="AP55" s="40">
        <f t="shared" si="7"/>
        <v>0.143</v>
      </c>
      <c r="AQ55" s="45">
        <f t="shared" si="8"/>
        <v>526859</v>
      </c>
      <c r="AR55" s="45">
        <f t="shared" si="9"/>
        <v>455374.49395945</v>
      </c>
      <c r="AS55" s="45">
        <f t="shared" si="10"/>
        <v>71484.5060405505</v>
      </c>
      <c r="AT55" s="46">
        <f t="shared" si="12"/>
        <v>0.156979600282391</v>
      </c>
      <c r="AW55" s="47">
        <v>474.5</v>
      </c>
      <c r="AY55" s="48">
        <f t="shared" si="13"/>
        <v>-96.63</v>
      </c>
    </row>
    <row r="56" ht="15.75" spans="1:51">
      <c r="A56" s="30">
        <v>53</v>
      </c>
      <c r="B56" s="31">
        <f>IF('BD&amp;LR'!M55&gt;0,'BD&amp;LR'!M55,0)</f>
        <v>761.5</v>
      </c>
      <c r="C56" s="32">
        <f>('BD&amp;LR'!N55*(1/(1-GEN_MASTER!J$8))+0.024)</f>
        <v>3.08392226074167</v>
      </c>
      <c r="D56" s="33">
        <f>MIN(INDEX(CHECK!$C55:$AD55,MATCH(D$3,CHECK!$C$2:$AD$2,0)),$B56)</f>
        <v>0.00303199999999038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</v>
      </c>
      <c r="H56" s="33">
        <f>MAX(0,MIN(INDEX(CHECK!$C55:$AD55,MATCH(H$3,CHECK!$C$2:$AD$2,0)),$B56-SUM($D56:G56)))</f>
        <v>0.000544999999988249</v>
      </c>
      <c r="I56" s="33">
        <f>MAX(0,MIN(INDEX(CHECK!$C55:$AD55,MATCH(I$3,CHECK!$C$2:$AD$2,0)),$B56-SUM($D56:H56)))</f>
        <v>0.00215199999999527</v>
      </c>
      <c r="J56" s="33">
        <f>MAX(0,MIN(INDEX(CHECK!$C55:$AD55,MATCH(J$3,CHECK!$C$2:$AD$2,0)),$B56-SUM($D56:I56)))</f>
        <v>0.00436299999999878</v>
      </c>
      <c r="K56" s="33">
        <f>MAX(0,MIN(INDEX(CHECK!$C55:$AD55,MATCH(K$3,CHECK!$C$2:$AD$2,0)),$B56-SUM($D56:J56)))</f>
        <v>0.00110800000000211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29.080545</v>
      </c>
      <c r="O56" s="33">
        <f>MAX(0,MIN(INDEX(CHECK!$C55:$AD55,MATCH(O$3,CHECK!$C$2:$AD$2,0)),$B56-SUM($D56:N56)))</f>
        <v>36.353061</v>
      </c>
      <c r="P56" s="33">
        <f>MAX(0,MIN(INDEX(CHECK!$C55:$AD55,MATCH(P$3,CHECK!$C$2:$AD$2,0)),$B56-SUM($D56:O56)))</f>
        <v>7.481934</v>
      </c>
      <c r="Q56" s="33">
        <f>MAX(0,MIN(INDEX(CHECK!$C55:$AD55,MATCH(Q$3,CHECK!$C$2:$AD$2,0)),$B56-SUM($D56:P56)))</f>
        <v>139.234695</v>
      </c>
      <c r="R56" s="33">
        <f>MAX(0,MIN(INDEX(CHECK!$C55:$AD55,MATCH(R$3,CHECK!$C$2:$AD$2,0)),$B56-SUM($D56:Q56)))</f>
        <v>62.121259</v>
      </c>
      <c r="S56" s="33">
        <f>MAX(0,MIN(INDEX(CHECK!$C55:$AD55,MATCH(S$3,CHECK!$C$2:$AD$2,0)),$B56-SUM($D56:R56)))</f>
        <v>253.176171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59.103471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174.937664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0.044</v>
      </c>
      <c r="AH56" s="41" cm="1">
        <f t="array" ref="AH56">ROUND(IFERROR(SUMPRODUCT(--($D$2:$AE$2="S"),D56:AE56,$D$1:$AE$1)/(AG56*4000),0),3)</f>
        <v>3.961</v>
      </c>
      <c r="AI56" s="40">
        <f t="shared" si="2"/>
        <v>0.147</v>
      </c>
      <c r="AJ56" s="40" cm="1">
        <f t="array" ref="AJ56">ROUND(IFERROR(SUMPRODUCT(--($D$2:$AE$2="C"),D56:AE56,$D$1:$AE$1)/(AI56*4000),0),3)</f>
        <v>3.491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3.5992722513089</v>
      </c>
      <c r="AN56" s="40">
        <f t="shared" si="5"/>
        <v>3.08392226074167</v>
      </c>
      <c r="AO56" s="44">
        <f t="shared" si="6"/>
        <v>761.5</v>
      </c>
      <c r="AP56" s="40">
        <f t="shared" si="7"/>
        <v>0.191</v>
      </c>
      <c r="AQ56" s="45">
        <f t="shared" si="8"/>
        <v>687461</v>
      </c>
      <c r="AR56" s="45">
        <f t="shared" si="9"/>
        <v>589029.15180166</v>
      </c>
      <c r="AS56" s="45">
        <f t="shared" si="10"/>
        <v>98431.84819834</v>
      </c>
      <c r="AT56" s="46">
        <f t="shared" si="12"/>
        <v>0.167108619152833</v>
      </c>
      <c r="AW56" s="47">
        <v>474.49</v>
      </c>
      <c r="AY56" s="48">
        <f t="shared" si="13"/>
        <v>-287.01</v>
      </c>
    </row>
    <row r="57" ht="15.75" spans="1:51">
      <c r="A57" s="30">
        <v>54</v>
      </c>
      <c r="B57" s="31">
        <f>IF('BD&amp;LR'!M56&gt;0,'BD&amp;LR'!M56,0)</f>
        <v>951.89</v>
      </c>
      <c r="C57" s="32">
        <f>('BD&amp;LR'!N56*(1/(1-GEN_MASTER!J$8))+0.024)</f>
        <v>2.94612417270722</v>
      </c>
      <c r="D57" s="33">
        <f>MIN(INDEX(CHECK!$C56:$AD56,MATCH(D$3,CHECK!$C$2:$AD$2,0)),$B57)</f>
        <v>0.00303199999999038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</v>
      </c>
      <c r="H57" s="33">
        <f>MAX(0,MIN(INDEX(CHECK!$C56:$AD56,MATCH(H$3,CHECK!$C$2:$AD$2,0)),$B57-SUM($D57:G57)))</f>
        <v>0.000544999999988249</v>
      </c>
      <c r="I57" s="33">
        <f>MAX(0,MIN(INDEX(CHECK!$C56:$AD56,MATCH(I$3,CHECK!$C$2:$AD$2,0)),$B57-SUM($D57:H57)))</f>
        <v>0.00215199999999527</v>
      </c>
      <c r="J57" s="33">
        <f>MAX(0,MIN(INDEX(CHECK!$C56:$AD56,MATCH(J$3,CHECK!$C$2:$AD$2,0)),$B57-SUM($D57:I57)))</f>
        <v>0.00436299999999878</v>
      </c>
      <c r="K57" s="33">
        <f>MAX(0,MIN(INDEX(CHECK!$C56:$AD56,MATCH(K$3,CHECK!$C$2:$AD$2,0)),$B57-SUM($D57:J57)))</f>
        <v>0.00110800000000211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29.080545</v>
      </c>
      <c r="O57" s="33">
        <f>MAX(0,MIN(INDEX(CHECK!$C56:$AD56,MATCH(O$3,CHECK!$C$2:$AD$2,0)),$B57-SUM($D57:N57)))</f>
        <v>36.353061</v>
      </c>
      <c r="P57" s="33">
        <f>MAX(0,MIN(INDEX(CHECK!$C56:$AD56,MATCH(P$3,CHECK!$C$2:$AD$2,0)),$B57-SUM($D57:O57)))</f>
        <v>7.481934</v>
      </c>
      <c r="Q57" s="33">
        <f>MAX(0,MIN(INDEX(CHECK!$C56:$AD56,MATCH(Q$3,CHECK!$C$2:$AD$2,0)),$B57-SUM($D57:P57)))</f>
        <v>198.994695</v>
      </c>
      <c r="R57" s="33">
        <f>MAX(0,MIN(INDEX(CHECK!$C56:$AD56,MATCH(R$3,CHECK!$C$2:$AD$2,0)),$B57-SUM($D57:Q57)))</f>
        <v>71.021259</v>
      </c>
      <c r="S57" s="33">
        <f>MAX(0,MIN(INDEX(CHECK!$C56:$AD56,MATCH(S$3,CHECK!$C$2:$AD$2,0)),$B57-SUM($D57:R57)))</f>
        <v>280.896171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59.103471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222.27</v>
      </c>
      <c r="Y57" s="33">
        <f>MAX(0,MIN(INDEX(CHECK!$C56:$AD56,MATCH(Y$3,CHECK!$C$2:$AD$2,0)),$B57-SUM($D57:X57)))</f>
        <v>46.677664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0.067</v>
      </c>
      <c r="AH57" s="41" cm="1">
        <f t="array" ref="AH57">ROUND(IFERROR(SUMPRODUCT(--($D$2:$AE$2="S"),D57:AE57,$D$1:$AE$1)/(AG57*4000),0),3)</f>
        <v>4.026</v>
      </c>
      <c r="AI57" s="40">
        <f t="shared" si="2"/>
        <v>0.171</v>
      </c>
      <c r="AJ57" s="40" cm="1">
        <f t="array" ref="AJ57">ROUND(IFERROR(SUMPRODUCT(--($D$2:$AE$2="C"),D57:AE57,$D$1:$AE$1)/(AI57*4000),0),3)</f>
        <v>3.489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3.64017226890756</v>
      </c>
      <c r="AN57" s="40">
        <f t="shared" si="5"/>
        <v>2.94612417270722</v>
      </c>
      <c r="AO57" s="44">
        <f t="shared" si="6"/>
        <v>951.89</v>
      </c>
      <c r="AP57" s="40">
        <f t="shared" si="7"/>
        <v>0.238</v>
      </c>
      <c r="AQ57" s="45">
        <f t="shared" si="8"/>
        <v>866361</v>
      </c>
      <c r="AR57" s="45">
        <f t="shared" si="9"/>
        <v>701177.553104318</v>
      </c>
      <c r="AS57" s="45">
        <f t="shared" si="10"/>
        <v>165183.446895682</v>
      </c>
      <c r="AT57" s="46">
        <f t="shared" si="12"/>
        <v>0.235580055528541</v>
      </c>
      <c r="AW57" s="47">
        <v>854.09</v>
      </c>
      <c r="AY57" s="48">
        <f t="shared" si="13"/>
        <v>-97.8</v>
      </c>
    </row>
    <row r="58" ht="15.75" spans="1:51">
      <c r="A58" s="30">
        <v>55</v>
      </c>
      <c r="B58" s="31">
        <f>IF('BD&amp;LR'!M57&gt;0,'BD&amp;LR'!M57,0)</f>
        <v>571.12</v>
      </c>
      <c r="C58" s="32">
        <f>('BD&amp;LR'!N57*(1/(1-GEN_MASTER!J$8))+0.024)</f>
        <v>3.02161529572434</v>
      </c>
      <c r="D58" s="33">
        <f>MIN(INDEX(CHECK!$C57:$AD57,MATCH(D$3,CHECK!$C$2:$AD$2,0)),$B58)</f>
        <v>0.00303199999999038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</v>
      </c>
      <c r="H58" s="33">
        <f>MAX(0,MIN(INDEX(CHECK!$C57:$AD57,MATCH(H$3,CHECK!$C$2:$AD$2,0)),$B58-SUM($D58:G58)))</f>
        <v>0.000544999999988249</v>
      </c>
      <c r="I58" s="33">
        <f>MAX(0,MIN(INDEX(CHECK!$C57:$AD57,MATCH(I$3,CHECK!$C$2:$AD$2,0)),$B58-SUM($D58:H58)))</f>
        <v>0.00215199999999527</v>
      </c>
      <c r="J58" s="33">
        <f>MAX(0,MIN(INDEX(CHECK!$C57:$AD57,MATCH(J$3,CHECK!$C$2:$AD$2,0)),$B58-SUM($D58:I58)))</f>
        <v>0.00436299999999878</v>
      </c>
      <c r="K58" s="33">
        <f>MAX(0,MIN(INDEX(CHECK!$C57:$AD57,MATCH(K$3,CHECK!$C$2:$AD$2,0)),$B58-SUM($D58:J58)))</f>
        <v>0.00110800000000211</v>
      </c>
      <c r="L58" s="33">
        <f>MAX(0,MIN(INDEX(CHECK!$C57:$AD57,MATCH(L$3,CHECK!$C$2:$AD$2,0)),$B58-SUM($D58:K58)))</f>
        <v>0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0.00054500000000246</v>
      </c>
      <c r="O58" s="33">
        <f>MAX(0,MIN(INDEX(CHECK!$C57:$AD57,MATCH(O$3,CHECK!$C$2:$AD$2,0)),$B58-SUM($D58:N58)))</f>
        <v>2.023061</v>
      </c>
      <c r="P58" s="33">
        <f>MAX(0,MIN(INDEX(CHECK!$C57:$AD57,MATCH(P$3,CHECK!$C$2:$AD$2,0)),$B58-SUM($D58:O58)))</f>
        <v>7.481934</v>
      </c>
      <c r="Q58" s="33">
        <f>MAX(0,MIN(INDEX(CHECK!$C57:$AD57,MATCH(Q$3,CHECK!$C$2:$AD$2,0)),$B58-SUM($D58:P58)))</f>
        <v>194.814695</v>
      </c>
      <c r="R58" s="33">
        <f>MAX(0,MIN(INDEX(CHECK!$C57:$AD57,MATCH(R$3,CHECK!$C$2:$AD$2,0)),$B58-SUM($D58:Q58)))</f>
        <v>64.321259</v>
      </c>
      <c r="S58" s="33">
        <f>MAX(0,MIN(INDEX(CHECK!$C57:$AD57,MATCH(S$3,CHECK!$C$2:$AD$2,0)),$B58-SUM($D58:R58)))</f>
        <v>243.416171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59.051135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</v>
      </c>
      <c r="AH58" s="41" cm="1">
        <f t="array" ref="AH58">ROUND(IFERROR(SUMPRODUCT(--($D$2:$AE$2="S"),D58:AE58,$D$1:$AE$1)/(AG58*4000),0),3)</f>
        <v>0</v>
      </c>
      <c r="AI58" s="40">
        <f t="shared" si="2"/>
        <v>0.143</v>
      </c>
      <c r="AJ58" s="40" cm="1">
        <f t="array" ref="AJ58">ROUND(IFERROR(SUMPRODUCT(--($D$2:$AE$2="C"),D58:AE58,$D$1:$AE$1)/(AI58*4000),0),3)</f>
        <v>3.501</v>
      </c>
      <c r="AK58" s="40">
        <f t="shared" si="3"/>
        <v>0</v>
      </c>
      <c r="AL58" s="40" cm="1">
        <f t="array" ref="AL58">ROUND(IFERROR(SUMPRODUCT(--($D$2:$AE$2="I"),D58:AE58,$D$1:$AE$1)/(AK58*4000),0),3)</f>
        <v>0</v>
      </c>
      <c r="AM58" s="40">
        <f t="shared" si="4"/>
        <v>3.501</v>
      </c>
      <c r="AN58" s="40">
        <f t="shared" si="5"/>
        <v>3.02161529572434</v>
      </c>
      <c r="AO58" s="44">
        <f t="shared" si="6"/>
        <v>571.12</v>
      </c>
      <c r="AP58" s="40">
        <f t="shared" si="7"/>
        <v>0.143</v>
      </c>
      <c r="AQ58" s="45">
        <f t="shared" si="8"/>
        <v>500643</v>
      </c>
      <c r="AR58" s="45">
        <f t="shared" si="9"/>
        <v>432090.987288581</v>
      </c>
      <c r="AS58" s="45">
        <f t="shared" si="10"/>
        <v>68552.0127114193</v>
      </c>
      <c r="AT58" s="46">
        <f t="shared" si="12"/>
        <v>0.15865179957025</v>
      </c>
      <c r="AW58" s="47">
        <v>1043.89</v>
      </c>
      <c r="AY58" s="48">
        <f t="shared" si="13"/>
        <v>472.77</v>
      </c>
    </row>
    <row r="59" ht="15.75" spans="1:51">
      <c r="A59" s="30">
        <v>56</v>
      </c>
      <c r="B59" s="31">
        <f>IF('BD&amp;LR'!M58&gt;0,'BD&amp;LR'!M58,0)</f>
        <v>666.31</v>
      </c>
      <c r="C59" s="32">
        <f>('BD&amp;LR'!N58*(1/(1-GEN_MASTER!J$8))+0.024)</f>
        <v>3.08186322092657</v>
      </c>
      <c r="D59" s="33">
        <f>MIN(INDEX(CHECK!$C58:$AD58,MATCH(D$3,CHECK!$C$2:$AD$2,0)),$B59)</f>
        <v>0.00303199999999038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</v>
      </c>
      <c r="H59" s="33">
        <f>MAX(0,MIN(INDEX(CHECK!$C58:$AD58,MATCH(H$3,CHECK!$C$2:$AD$2,0)),$B59-SUM($D59:G59)))</f>
        <v>0.000544999999988249</v>
      </c>
      <c r="I59" s="33">
        <f>MAX(0,MIN(INDEX(CHECK!$C58:$AD58,MATCH(I$3,CHECK!$C$2:$AD$2,0)),$B59-SUM($D59:H59)))</f>
        <v>0.00215199999999527</v>
      </c>
      <c r="J59" s="33">
        <f>MAX(0,MIN(INDEX(CHECK!$C58:$AD58,MATCH(J$3,CHECK!$C$2:$AD$2,0)),$B59-SUM($D59:I59)))</f>
        <v>0.00436299999999878</v>
      </c>
      <c r="K59" s="33">
        <f>MAX(0,MIN(INDEX(CHECK!$C58:$AD58,MATCH(K$3,CHECK!$C$2:$AD$2,0)),$B59-SUM($D59:J59)))</f>
        <v>0.00110800000000211</v>
      </c>
      <c r="L59" s="33">
        <f>MAX(0,MIN(INDEX(CHECK!$C58:$AD58,MATCH(L$3,CHECK!$C$2:$AD$2,0)),$B59-SUM($D59:K59)))</f>
        <v>0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0.00054500000000246</v>
      </c>
      <c r="O59" s="33">
        <f>MAX(0,MIN(INDEX(CHECK!$C58:$AD58,MATCH(O$3,CHECK!$C$2:$AD$2,0)),$B59-SUM($D59:N59)))</f>
        <v>0.00306099999999532</v>
      </c>
      <c r="P59" s="33">
        <f>MAX(0,MIN(INDEX(CHECK!$C58:$AD58,MATCH(P$3,CHECK!$C$2:$AD$2,0)),$B59-SUM($D59:O59)))</f>
        <v>5.501934</v>
      </c>
      <c r="Q59" s="33">
        <f>MAX(0,MIN(INDEX(CHECK!$C58:$AD58,MATCH(Q$3,CHECK!$C$2:$AD$2,0)),$B59-SUM($D59:P59)))</f>
        <v>142.324695</v>
      </c>
      <c r="R59" s="33">
        <f>MAX(0,MIN(INDEX(CHECK!$C58:$AD58,MATCH(R$3,CHECK!$C$2:$AD$2,0)),$B59-SUM($D59:Q59)))</f>
        <v>39.311259</v>
      </c>
      <c r="S59" s="33">
        <f>MAX(0,MIN(INDEX(CHECK!$C58:$AD58,MATCH(S$3,CHECK!$C$2:$AD$2,0)),$B59-SUM($D59:R59)))</f>
        <v>127.936171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50.243471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221.12</v>
      </c>
      <c r="Y59" s="33">
        <f>MAX(0,MIN(INDEX(CHECK!$C58:$AD58,MATCH(Y$3,CHECK!$C$2:$AD$2,0)),$B59-SUM($D59:X59)))</f>
        <v>79.857664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0.075</v>
      </c>
      <c r="AH59" s="41" cm="1">
        <f t="array" ref="AH59">ROUND(IFERROR(SUMPRODUCT(--($D$2:$AE$2="S"),D59:AE59,$D$1:$AE$1)/(AG59*4000),0),3)</f>
        <v>4.039</v>
      </c>
      <c r="AI59" s="40">
        <f t="shared" si="2"/>
        <v>0.091</v>
      </c>
      <c r="AJ59" s="40" cm="1">
        <f t="array" ref="AJ59">ROUND(IFERROR(SUMPRODUCT(--($D$2:$AE$2="C"),D59:AE59,$D$1:$AE$1)/(AI59*4000),0),3)</f>
        <v>3.521</v>
      </c>
      <c r="AK59" s="40">
        <f t="shared" si="3"/>
        <v>0</v>
      </c>
      <c r="AL59" s="40" cm="1">
        <f t="array" ref="AL59">ROUND(IFERROR(SUMPRODUCT(--($D$2:$AE$2="I"),D59:AE59,$D$1:$AE$1)/(AK59*4000),0),3)</f>
        <v>0</v>
      </c>
      <c r="AM59" s="40">
        <f t="shared" si="4"/>
        <v>3.75503614457831</v>
      </c>
      <c r="AN59" s="40">
        <f t="shared" si="5"/>
        <v>3.08186322092657</v>
      </c>
      <c r="AO59" s="44">
        <f t="shared" si="6"/>
        <v>666.31</v>
      </c>
      <c r="AP59" s="40">
        <f t="shared" si="7"/>
        <v>0.166</v>
      </c>
      <c r="AQ59" s="45">
        <f t="shared" si="8"/>
        <v>623336</v>
      </c>
      <c r="AR59" s="45">
        <f t="shared" si="9"/>
        <v>511589.29467381</v>
      </c>
      <c r="AS59" s="45">
        <f t="shared" si="10"/>
        <v>111746.70532619</v>
      </c>
      <c r="AT59" s="46">
        <f t="shared" si="12"/>
        <v>0.218430499796598</v>
      </c>
      <c r="AW59" s="47">
        <v>1043.9</v>
      </c>
      <c r="AY59" s="48">
        <f t="shared" si="13"/>
        <v>377.59</v>
      </c>
    </row>
    <row r="60" ht="15.75" spans="1:51">
      <c r="A60" s="30">
        <v>57</v>
      </c>
      <c r="B60" s="31">
        <f>IF('BD&amp;LR'!M59&gt;0,'BD&amp;LR'!M59,0)</f>
        <v>380.74</v>
      </c>
      <c r="C60" s="32">
        <f>('BD&amp;LR'!N59*(1/(1-GEN_MASTER!J$8))+0.024)</f>
        <v>2.94637630003152</v>
      </c>
      <c r="D60" s="33">
        <f>MIN(INDEX(CHECK!$C59:$AD59,MATCH(D$3,CHECK!$C$2:$AD$2,0)),$B60)</f>
        <v>0.00303199999999038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</v>
      </c>
      <c r="H60" s="33">
        <f>MAX(0,MIN(INDEX(CHECK!$C59:$AD59,MATCH(H$3,CHECK!$C$2:$AD$2,0)),$B60-SUM($D60:G60)))</f>
        <v>0.000544999999988249</v>
      </c>
      <c r="I60" s="33">
        <f>MAX(0,MIN(INDEX(CHECK!$C59:$AD59,MATCH(I$3,CHECK!$C$2:$AD$2,0)),$B60-SUM($D60:H60)))</f>
        <v>0.00215199999999527</v>
      </c>
      <c r="J60" s="33">
        <f>MAX(0,MIN(INDEX(CHECK!$C59:$AD59,MATCH(J$3,CHECK!$C$2:$AD$2,0)),$B60-SUM($D60:I60)))</f>
        <v>0.00436299999999878</v>
      </c>
      <c r="K60" s="33">
        <f>MAX(0,MIN(INDEX(CHECK!$C59:$AD59,MATCH(K$3,CHECK!$C$2:$AD$2,0)),$B60-SUM($D60:J60)))</f>
        <v>0.00110800000000211</v>
      </c>
      <c r="L60" s="33">
        <f>MAX(0,MIN(INDEX(CHECK!$C59:$AD59,MATCH(L$3,CHECK!$C$2:$AD$2,0)),$B60-SUM($D60:K60)))</f>
        <v>0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0.00054500000000246</v>
      </c>
      <c r="O60" s="33">
        <f>MAX(0,MIN(INDEX(CHECK!$C59:$AD59,MATCH(O$3,CHECK!$C$2:$AD$2,0)),$B60-SUM($D60:N60)))</f>
        <v>0.00306099999999532</v>
      </c>
      <c r="P60" s="33">
        <f>MAX(0,MIN(INDEX(CHECK!$C59:$AD59,MATCH(P$3,CHECK!$C$2:$AD$2,0)),$B60-SUM($D60:O60)))</f>
        <v>0.461934</v>
      </c>
      <c r="Q60" s="33">
        <f>MAX(0,MIN(INDEX(CHECK!$C59:$AD59,MATCH(Q$3,CHECK!$C$2:$AD$2,0)),$B60-SUM($D60:P60)))</f>
        <v>31.274695</v>
      </c>
      <c r="R60" s="33">
        <f>MAX(0,MIN(INDEX(CHECK!$C59:$AD59,MATCH(R$3,CHECK!$C$2:$AD$2,0)),$B60-SUM($D60:Q60)))</f>
        <v>3.78125900000001</v>
      </c>
      <c r="S60" s="33">
        <f>MAX(0,MIN(INDEX(CHECK!$C59:$AD59,MATCH(S$3,CHECK!$C$2:$AD$2,0)),$B60-SUM($D60:R60)))</f>
        <v>0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25.203471</v>
      </c>
      <c r="W60" s="33">
        <f>MAX(0,MIN(INDEX(CHECK!$C59:$AD59,MATCH(W$3,CHECK!$C$2:$AD$2,0)),$B60-SUM($D60:V60)))</f>
        <v>320.003835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0.08</v>
      </c>
      <c r="AH60" s="41" cm="1">
        <f t="array" ref="AH60">ROUND(IFERROR(SUMPRODUCT(--($D$2:$AE$2="S"),D60:AE60,$D$1:$AE$1)/(AG60*4000),0),3)</f>
        <v>3.822</v>
      </c>
      <c r="AI60" s="40">
        <f t="shared" si="2"/>
        <v>0.015</v>
      </c>
      <c r="AJ60" s="40" cm="1">
        <f t="array" ref="AJ60">ROUND(IFERROR(SUMPRODUCT(--($D$2:$AE$2="C"),D60:AE60,$D$1:$AE$1)/(AI60*4000),0),3)</f>
        <v>3.593</v>
      </c>
      <c r="AK60" s="40">
        <f t="shared" si="3"/>
        <v>0</v>
      </c>
      <c r="AL60" s="40" cm="1">
        <f t="array" ref="AL60">ROUND(IFERROR(SUMPRODUCT(--($D$2:$AE$2="I"),D60:AE60,$D$1:$AE$1)/(AK60*4000),0),3)</f>
        <v>0</v>
      </c>
      <c r="AM60" s="40">
        <f t="shared" si="4"/>
        <v>3.78584210526316</v>
      </c>
      <c r="AN60" s="40">
        <f t="shared" si="5"/>
        <v>2.94637630003152</v>
      </c>
      <c r="AO60" s="44">
        <f t="shared" si="6"/>
        <v>380.74</v>
      </c>
      <c r="AP60" s="40">
        <f t="shared" si="7"/>
        <v>0.095</v>
      </c>
      <c r="AQ60" s="45">
        <f t="shared" si="8"/>
        <v>359655</v>
      </c>
      <c r="AR60" s="45">
        <f t="shared" si="9"/>
        <v>279905.748502994</v>
      </c>
      <c r="AS60" s="45">
        <f t="shared" si="10"/>
        <v>79749.251497006</v>
      </c>
      <c r="AT60" s="46">
        <f t="shared" si="12"/>
        <v>0.28491466117979</v>
      </c>
      <c r="AW60" s="47">
        <v>1138.79</v>
      </c>
      <c r="AY60" s="48">
        <f t="shared" si="13"/>
        <v>758.05</v>
      </c>
    </row>
    <row r="61" ht="15.75" spans="1:51">
      <c r="A61" s="30">
        <v>58</v>
      </c>
      <c r="B61" s="31">
        <f>IF('BD&amp;LR'!M60&gt;0,'BD&amp;LR'!M60,0)</f>
        <v>475.93</v>
      </c>
      <c r="C61" s="32">
        <f>('BD&amp;LR'!N60*(1/(1-GEN_MASTER!J$8))+0.024)</f>
        <v>3.02121609412753</v>
      </c>
      <c r="D61" s="33">
        <f>MIN(INDEX(CHECK!$C60:$AD60,MATCH(D$3,CHECK!$C$2:$AD$2,0)),$B61)</f>
        <v>0.00303199999999038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0.000544999999988249</v>
      </c>
      <c r="I61" s="33">
        <f>MAX(0,MIN(INDEX(CHECK!$C60:$AD60,MATCH(I$3,CHECK!$C$2:$AD$2,0)),$B61-SUM($D61:H61)))</f>
        <v>0.00215199999999527</v>
      </c>
      <c r="J61" s="33">
        <f>MAX(0,MIN(INDEX(CHECK!$C60:$AD60,MATCH(J$3,CHECK!$C$2:$AD$2,0)),$B61-SUM($D61:I61)))</f>
        <v>0.00436299999999878</v>
      </c>
      <c r="K61" s="33">
        <f>MAX(0,MIN(INDEX(CHECK!$C60:$AD60,MATCH(K$3,CHECK!$C$2:$AD$2,0)),$B61-SUM($D61:J61)))</f>
        <v>0.00110800000000211</v>
      </c>
      <c r="L61" s="33">
        <f>MAX(0,MIN(INDEX(CHECK!$C60:$AD60,MATCH(L$3,CHECK!$C$2:$AD$2,0)),$B61-SUM($D61:K61)))</f>
        <v>0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0.00054500000000246</v>
      </c>
      <c r="O61" s="33">
        <f>MAX(0,MIN(INDEX(CHECK!$C60:$AD60,MATCH(O$3,CHECK!$C$2:$AD$2,0)),$B61-SUM($D61:N61)))</f>
        <v>0.00306099999999532</v>
      </c>
      <c r="P61" s="33">
        <f>MAX(0,MIN(INDEX(CHECK!$C60:$AD60,MATCH(P$3,CHECK!$C$2:$AD$2,0)),$B61-SUM($D61:O61)))</f>
        <v>0.00193399999999944</v>
      </c>
      <c r="Q61" s="33">
        <f>MAX(0,MIN(INDEX(CHECK!$C60:$AD60,MATCH(Q$3,CHECK!$C$2:$AD$2,0)),$B61-SUM($D61:P61)))</f>
        <v>0.00469499999999812</v>
      </c>
      <c r="R61" s="33">
        <f>MAX(0,MIN(INDEX(CHECK!$C60:$AD60,MATCH(R$3,CHECK!$C$2:$AD$2,0)),$B61-SUM($D61:Q61)))</f>
        <v>0.00125900000000456</v>
      </c>
      <c r="S61" s="33">
        <f>MAX(0,MIN(INDEX(CHECK!$C60:$AD60,MATCH(S$3,CHECK!$C$2:$AD$2,0)),$B61-SUM($D61:R61)))</f>
        <v>0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0.00347099999999756</v>
      </c>
      <c r="W61" s="33">
        <f>MAX(0,MIN(INDEX(CHECK!$C60:$AD60,MATCH(W$3,CHECK!$C$2:$AD$2,0)),$B61-SUM($D61:V61)))</f>
        <v>475.903835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0.119</v>
      </c>
      <c r="AH61" s="41" cm="1">
        <f t="array" ref="AH61">ROUND(IFERROR(SUMPRODUCT(--($D$2:$AE$2="S"),D61:AE61,$D$1:$AE$1)/(AG61*4000),0),3)</f>
        <v>3.821</v>
      </c>
      <c r="AI61" s="40">
        <f t="shared" si="2"/>
        <v>0</v>
      </c>
      <c r="AJ61" s="40" cm="1">
        <f t="array" ref="AJ61">ROUND(IFERROR(SUMPRODUCT(--($D$2:$AE$2="C"),D61:AE61,$D$1:$AE$1)/(AI61*4000),0),3)</f>
        <v>0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3.821</v>
      </c>
      <c r="AN61" s="40">
        <f t="shared" si="5"/>
        <v>3.02121609412753</v>
      </c>
      <c r="AO61" s="44">
        <f t="shared" si="6"/>
        <v>475.93</v>
      </c>
      <c r="AP61" s="40">
        <f t="shared" si="7"/>
        <v>0.119</v>
      </c>
      <c r="AQ61" s="45">
        <f t="shared" si="8"/>
        <v>454699</v>
      </c>
      <c r="AR61" s="45">
        <f t="shared" si="9"/>
        <v>359524.715201177</v>
      </c>
      <c r="AS61" s="45">
        <f t="shared" si="10"/>
        <v>95174.2847988234</v>
      </c>
      <c r="AT61" s="46">
        <f t="shared" si="12"/>
        <v>0.264722509398464</v>
      </c>
      <c r="AW61" s="47">
        <v>1328.59</v>
      </c>
      <c r="AY61" s="48">
        <f t="shared" si="13"/>
        <v>852.66</v>
      </c>
    </row>
    <row r="62" ht="15.75" spans="1:51">
      <c r="A62" s="30">
        <v>59</v>
      </c>
      <c r="B62" s="31">
        <f>IF('BD&amp;LR'!M61&gt;0,'BD&amp;LR'!M61,0)</f>
        <v>571.13</v>
      </c>
      <c r="C62" s="32">
        <f>('BD&amp;LR'!N61*(1/(1-GEN_MASTER!J$8))+0.024)</f>
        <v>3.45431831074693</v>
      </c>
      <c r="D62" s="33">
        <f>MIN(INDEX(CHECK!$C61:$AD61,MATCH(D$3,CHECK!$C$2:$AD$2,0)),$B62)</f>
        <v>0.00303199999999038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0.000544999999988249</v>
      </c>
      <c r="I62" s="33">
        <f>MAX(0,MIN(INDEX(CHECK!$C61:$AD61,MATCH(I$3,CHECK!$C$2:$AD$2,0)),$B62-SUM($D62:H62)))</f>
        <v>0.00215199999999527</v>
      </c>
      <c r="J62" s="33">
        <f>MAX(0,MIN(INDEX(CHECK!$C61:$AD61,MATCH(J$3,CHECK!$C$2:$AD$2,0)),$B62-SUM($D62:I62)))</f>
        <v>0.00436299999999878</v>
      </c>
      <c r="K62" s="33">
        <f>MAX(0,MIN(INDEX(CHECK!$C61:$AD61,MATCH(K$3,CHECK!$C$2:$AD$2,0)),$B62-SUM($D62:J62)))</f>
        <v>0.00110800000000211</v>
      </c>
      <c r="L62" s="33">
        <f>MAX(0,MIN(INDEX(CHECK!$C61:$AD61,MATCH(L$3,CHECK!$C$2:$AD$2,0)),$B62-SUM($D62:K62)))</f>
        <v>0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0.00054500000000246</v>
      </c>
      <c r="O62" s="33">
        <f>MAX(0,MIN(INDEX(CHECK!$C61:$AD61,MATCH(O$3,CHECK!$C$2:$AD$2,0)),$B62-SUM($D62:N62)))</f>
        <v>0.00306099999999532</v>
      </c>
      <c r="P62" s="33">
        <f>MAX(0,MIN(INDEX(CHECK!$C61:$AD61,MATCH(P$3,CHECK!$C$2:$AD$2,0)),$B62-SUM($D62:O62)))</f>
        <v>0.00193399999999944</v>
      </c>
      <c r="Q62" s="33">
        <f>MAX(0,MIN(INDEX(CHECK!$C61:$AD61,MATCH(Q$3,CHECK!$C$2:$AD$2,0)),$B62-SUM($D62:P62)))</f>
        <v>0.00469499999999812</v>
      </c>
      <c r="R62" s="33">
        <f>MAX(0,MIN(INDEX(CHECK!$C61:$AD61,MATCH(R$3,CHECK!$C$2:$AD$2,0)),$B62-SUM($D62:Q62)))</f>
        <v>0.00125900000000456</v>
      </c>
      <c r="S62" s="33">
        <f>MAX(0,MIN(INDEX(CHECK!$C61:$AD61,MATCH(S$3,CHECK!$C$2:$AD$2,0)),$B62-SUM($D62:R62)))</f>
        <v>0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0.00347099999999756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119.58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50.043883</v>
      </c>
      <c r="AB62" s="33">
        <f>MAX(0,MIN(INDEX(CHECK!$C61:$AD61,MATCH(AB$3,CHECK!$C$2:$AD$2,0)),$B62-SUM($D62:AA62)))</f>
        <v>229.674432</v>
      </c>
      <c r="AC62" s="33">
        <f>MAX(0,MIN(INDEX(CHECK!$C61:$AD61,MATCH(AC$3,CHECK!$C$2:$AD$2,0)),$B62-SUM($D62:AB62)))</f>
        <v>53.17</v>
      </c>
      <c r="AD62" s="33">
        <f>MAX(0,MIN(INDEX(CHECK!$C61:$AD61,MATCH(AD$3,CHECK!$C$2:$AD$2,0)),$B62-SUM($D62:AC62)))</f>
        <v>118.63552</v>
      </c>
      <c r="AE62" s="33">
        <f>MAX(0,MIN(INDEX(CHECK!$C61:$AD61,MATCH(AE$3,CHECK!$C$2:$AD$2,0)),$B62-SUM($D62:AD62)))</f>
        <v>0</v>
      </c>
      <c r="AF62" s="37"/>
      <c r="AG62" s="40">
        <f t="shared" si="1"/>
        <v>0.073</v>
      </c>
      <c r="AH62" s="41" cm="1">
        <f t="array" ref="AH62">ROUND(IFERROR(SUMPRODUCT(--($D$2:$AE$2="S"),D62:AE62,$D$1:$AE$1)/(AG62*4000),0),3)</f>
        <v>4.304</v>
      </c>
      <c r="AI62" s="40">
        <f t="shared" si="2"/>
        <v>0.07</v>
      </c>
      <c r="AJ62" s="40" cm="1">
        <f t="array" ref="AJ62">ROUND(IFERROR(SUMPRODUCT(--($D$2:$AE$2="C"),D62:AE62,$D$1:$AE$1)/(AI62*4000),0),3)</f>
        <v>4.408</v>
      </c>
      <c r="AK62" s="40">
        <f t="shared" si="3"/>
        <v>0</v>
      </c>
      <c r="AL62" s="40" cm="1">
        <f t="array" ref="AL62">ROUND(IFERROR(SUMPRODUCT(--($D$2:$AE$2="I"),D62:AE62,$D$1:$AE$1)/(AK62*4000),0),3)</f>
        <v>0</v>
      </c>
      <c r="AM62" s="40">
        <f t="shared" si="4"/>
        <v>4.35490909090909</v>
      </c>
      <c r="AN62" s="40">
        <f t="shared" si="5"/>
        <v>3.45431831074693</v>
      </c>
      <c r="AO62" s="44">
        <f t="shared" si="6"/>
        <v>571.13</v>
      </c>
      <c r="AP62" s="40">
        <f t="shared" si="7"/>
        <v>0.143</v>
      </c>
      <c r="AQ62" s="45">
        <f t="shared" si="8"/>
        <v>622752</v>
      </c>
      <c r="AR62" s="45">
        <f t="shared" si="9"/>
        <v>493967.518436811</v>
      </c>
      <c r="AS62" s="45">
        <f t="shared" si="10"/>
        <v>128784.481563189</v>
      </c>
      <c r="AT62" s="46">
        <f t="shared" si="12"/>
        <v>0.260714473637326</v>
      </c>
      <c r="AW62" s="47">
        <v>1233.69</v>
      </c>
      <c r="AY62" s="48">
        <f t="shared" si="13"/>
        <v>662.56</v>
      </c>
    </row>
    <row r="63" ht="15.75" spans="1:51">
      <c r="A63" s="30">
        <v>60</v>
      </c>
      <c r="B63" s="31">
        <f>IF('BD&amp;LR'!M62&gt;0,'BD&amp;LR'!M62,0)</f>
        <v>571.13</v>
      </c>
      <c r="C63" s="32">
        <f>('BD&amp;LR'!N62*(1/(1-GEN_MASTER!J$8))+0.024)</f>
        <v>3.51456623594915</v>
      </c>
      <c r="D63" s="33">
        <f>MIN(INDEX(CHECK!$C62:$AD62,MATCH(D$3,CHECK!$C$2:$AD$2,0)),$B63)</f>
        <v>0.00303199999999038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0.000544999999988249</v>
      </c>
      <c r="I63" s="33">
        <f>MAX(0,MIN(INDEX(CHECK!$C62:$AD62,MATCH(I$3,CHECK!$C$2:$AD$2,0)),$B63-SUM($D63:H63)))</f>
        <v>0.00215199999999527</v>
      </c>
      <c r="J63" s="33">
        <f>MAX(0,MIN(INDEX(CHECK!$C62:$AD62,MATCH(J$3,CHECK!$C$2:$AD$2,0)),$B63-SUM($D63:I63)))</f>
        <v>0.00436299999999878</v>
      </c>
      <c r="K63" s="33">
        <f>MAX(0,MIN(INDEX(CHECK!$C62:$AD62,MATCH(K$3,CHECK!$C$2:$AD$2,0)),$B63-SUM($D63:J63)))</f>
        <v>0.00110800000000211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0</v>
      </c>
      <c r="O63" s="33">
        <f>MAX(0,MIN(INDEX(CHECK!$C62:$AD62,MATCH(O$3,CHECK!$C$2:$AD$2,0)),$B63-SUM($D63:N63)))</f>
        <v>0</v>
      </c>
      <c r="P63" s="33">
        <f>MAX(0,MIN(INDEX(CHECK!$C62:$AD62,MATCH(P$3,CHECK!$C$2:$AD$2,0)),$B63-SUM($D63:O63)))</f>
        <v>0.00193399999999944</v>
      </c>
      <c r="Q63" s="33">
        <f>MAX(0,MIN(INDEX(CHECK!$C62:$AD62,MATCH(Q$3,CHECK!$C$2:$AD$2,0)),$B63-SUM($D63:P63)))</f>
        <v>0.00469499999999812</v>
      </c>
      <c r="R63" s="33">
        <f>MAX(0,MIN(INDEX(CHECK!$C62:$AD62,MATCH(R$3,CHECK!$C$2:$AD$2,0)),$B63-SUM($D63:Q63)))</f>
        <v>0.00125900000000456</v>
      </c>
      <c r="S63" s="33">
        <f>MAX(0,MIN(INDEX(CHECK!$C62:$AD62,MATCH(S$3,CHECK!$C$2:$AD$2,0)),$B63-SUM($D63:R63)))</f>
        <v>0</v>
      </c>
      <c r="T63" s="33">
        <f>MAX(0,MIN(INDEX(CHECK!$C62:$AD62,MATCH(T$3,CHECK!$C$2:$AD$2,0)),$B63-SUM($D63:S63)))</f>
        <v>0</v>
      </c>
      <c r="U63" s="33">
        <f>MAX(0,MIN(INDEX(CHECK!$C62:$AD62,MATCH(U$3,CHECK!$C$2:$AD$2,0)),$B63-SUM($D63:T63)))</f>
        <v>0</v>
      </c>
      <c r="V63" s="33">
        <f>MAX(0,MIN(INDEX(CHECK!$C62:$AD62,MATCH(V$3,CHECK!$C$2:$AD$2,0)),$B63-SUM($D63:U63)))</f>
        <v>0.00347099999999756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0.00388299999998765</v>
      </c>
      <c r="AB63" s="33">
        <f>MAX(0,MIN(INDEX(CHECK!$C62:$AD62,MATCH(AB$3,CHECK!$C$2:$AD$2,0)),$B63-SUM($D63:AA63)))</f>
        <v>0.00443200000000843</v>
      </c>
      <c r="AC63" s="33">
        <f>MAX(0,MIN(INDEX(CHECK!$C62:$AD62,MATCH(AC$3,CHECK!$C$2:$AD$2,0)),$B63-SUM($D63:AB63)))</f>
        <v>57.4400000000001</v>
      </c>
      <c r="AD63" s="33">
        <f>MAX(0,MIN(INDEX(CHECK!$C62:$AD62,MATCH(AD$3,CHECK!$C$2:$AD$2,0)),$B63-SUM($D63:AC63)))</f>
        <v>146.05</v>
      </c>
      <c r="AE63" s="33">
        <f>MAX(0,MIN(INDEX(CHECK!$C62:$AD62,MATCH(AE$3,CHECK!$C$2:$AD$2,0)),$B63-SUM($D63:AD63)))</f>
        <v>68.07</v>
      </c>
      <c r="AF63" s="37"/>
      <c r="AG63" s="40">
        <f t="shared" si="1"/>
        <v>0.068</v>
      </c>
      <c r="AH63" s="41" cm="1">
        <f t="array" ref="AH63">ROUND(IFERROR(SUMPRODUCT(--($D$2:$AE$2="S"),D63:AE63,$D$1:$AE$1)/(AG63*4000),0),3)</f>
        <v>4.428</v>
      </c>
      <c r="AI63" s="40">
        <f t="shared" si="2"/>
        <v>0</v>
      </c>
      <c r="AJ63" s="40" cm="1">
        <f t="array" ref="AJ63">ROUND(IFERROR(SUMPRODUCT(--($D$2:$AE$2="C"),D63:AE63,$D$1:$AE$1)/(AI63*4000),0),3)</f>
        <v>0</v>
      </c>
      <c r="AK63" s="40">
        <f t="shared" si="3"/>
        <v>0</v>
      </c>
      <c r="AL63" s="40" cm="1">
        <f t="array" ref="AL63">ROUND(IFERROR(SUMPRODUCT(--($D$2:$AE$2="I"),D63:AE63,$D$1:$AE$1)/(AK63*4000),0),3)</f>
        <v>0</v>
      </c>
      <c r="AM63" s="40">
        <f t="shared" si="4"/>
        <v>4.428</v>
      </c>
      <c r="AN63" s="40">
        <f t="shared" si="5"/>
        <v>3.51456623594915</v>
      </c>
      <c r="AO63" s="44">
        <f t="shared" si="6"/>
        <v>571.13</v>
      </c>
      <c r="AP63" s="40">
        <f t="shared" si="7"/>
        <v>0.068</v>
      </c>
      <c r="AQ63" s="45">
        <f t="shared" si="8"/>
        <v>301104</v>
      </c>
      <c r="AR63" s="45">
        <f t="shared" si="9"/>
        <v>238990.504044543</v>
      </c>
      <c r="AS63" s="45">
        <f t="shared" si="10"/>
        <v>62113.4959554575</v>
      </c>
      <c r="AT63" s="46">
        <f t="shared" si="12"/>
        <v>0.259899430748432</v>
      </c>
      <c r="AW63" s="47">
        <v>1328.6</v>
      </c>
      <c r="AY63" s="48">
        <f t="shared" si="13"/>
        <v>757.47</v>
      </c>
    </row>
    <row r="64" ht="15.75" spans="1:51">
      <c r="A64" s="30">
        <v>61</v>
      </c>
      <c r="B64" s="31">
        <f>IF('BD&amp;LR'!M63&gt;0,'BD&amp;LR'!M63,0)</f>
        <v>285.55</v>
      </c>
      <c r="C64" s="32">
        <f>('BD&amp;LR'!N63*(1/(1-GEN_MASTER!J$8))+0.024)</f>
        <v>3.46996071015863</v>
      </c>
      <c r="D64" s="33">
        <f>MIN(INDEX(CHECK!$C63:$AD63,MATCH(D$3,CHECK!$C$2:$AD$2,0)),$B64)</f>
        <v>0.00303199999999038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0.000544999999988249</v>
      </c>
      <c r="I64" s="33">
        <f>MAX(0,MIN(INDEX(CHECK!$C63:$AD63,MATCH(I$3,CHECK!$C$2:$AD$2,0)),$B64-SUM($D64:H64)))</f>
        <v>0.00215199999999527</v>
      </c>
      <c r="J64" s="33">
        <f>MAX(0,MIN(INDEX(CHECK!$C63:$AD63,MATCH(J$3,CHECK!$C$2:$AD$2,0)),$B64-SUM($D64:I64)))</f>
        <v>0.00436299999999878</v>
      </c>
      <c r="K64" s="33">
        <f>MAX(0,MIN(INDEX(CHECK!$C63:$AD63,MATCH(K$3,CHECK!$C$2:$AD$2,0)),$B64-SUM($D64:J64)))</f>
        <v>0.00110800000000211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0</v>
      </c>
      <c r="O64" s="33">
        <f>MAX(0,MIN(INDEX(CHECK!$C63:$AD63,MATCH(O$3,CHECK!$C$2:$AD$2,0)),$B64-SUM($D64:N64)))</f>
        <v>0</v>
      </c>
      <c r="P64" s="33">
        <f>MAX(0,MIN(INDEX(CHECK!$C63:$AD63,MATCH(P$3,CHECK!$C$2:$AD$2,0)),$B64-SUM($D64:O64)))</f>
        <v>0.00193399999999944</v>
      </c>
      <c r="Q64" s="33">
        <f>MAX(0,MIN(INDEX(CHECK!$C63:$AD63,MATCH(Q$3,CHECK!$C$2:$AD$2,0)),$B64-SUM($D64:P64)))</f>
        <v>0.00469499999999812</v>
      </c>
      <c r="R64" s="33">
        <f>MAX(0,MIN(INDEX(CHECK!$C63:$AD63,MATCH(R$3,CHECK!$C$2:$AD$2,0)),$B64-SUM($D64:Q64)))</f>
        <v>0.00125900000000456</v>
      </c>
      <c r="S64" s="33">
        <f>MAX(0,MIN(INDEX(CHECK!$C63:$AD63,MATCH(S$3,CHECK!$C$2:$AD$2,0)),$B64-SUM($D64:R64)))</f>
        <v>0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0.00347099999999756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21.353883</v>
      </c>
      <c r="AB64" s="33">
        <f>MAX(0,MIN(INDEX(CHECK!$C63:$AD63,MATCH(AB$3,CHECK!$C$2:$AD$2,0)),$B64-SUM($D64:AA64)))</f>
        <v>0.00443200000000843</v>
      </c>
      <c r="AC64" s="33">
        <f>MAX(0,MIN(INDEX(CHECK!$C63:$AD63,MATCH(AC$3,CHECK!$C$2:$AD$2,0)),$B64-SUM($D64:AB64)))</f>
        <v>56.81</v>
      </c>
      <c r="AD64" s="33">
        <f>MAX(0,MIN(INDEX(CHECK!$C63:$AD63,MATCH(AD$3,CHECK!$C$2:$AD$2,0)),$B64-SUM($D64:AC64)))</f>
        <v>155.16</v>
      </c>
      <c r="AE64" s="33">
        <f>MAX(0,MIN(INDEX(CHECK!$C63:$AD63,MATCH(AE$3,CHECK!$C$2:$AD$2,0)),$B64-SUM($D64:AD64)))</f>
        <v>52.199126</v>
      </c>
      <c r="AF64" s="37"/>
      <c r="AG64" s="40">
        <f t="shared" si="1"/>
        <v>0.066</v>
      </c>
      <c r="AH64" s="41" cm="1">
        <f t="array" ref="AH64">ROUND(IFERROR(SUMPRODUCT(--($D$2:$AE$2="S"),D64:AE64,$D$1:$AE$1)/(AG64*4000),0),3)</f>
        <v>4.438</v>
      </c>
      <c r="AI64" s="40">
        <f t="shared" si="2"/>
        <v>0.005</v>
      </c>
      <c r="AJ64" s="40" cm="1">
        <f t="array" ref="AJ64">ROUND(IFERROR(SUMPRODUCT(--($D$2:$AE$2="C"),D64:AE64,$D$1:$AE$1)/(AI64*4000),0),3)</f>
        <v>4.613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4.45032394366197</v>
      </c>
      <c r="AN64" s="40">
        <f t="shared" si="5"/>
        <v>3.46996071015863</v>
      </c>
      <c r="AO64" s="44">
        <f t="shared" si="6"/>
        <v>285.55</v>
      </c>
      <c r="AP64" s="40">
        <f t="shared" si="7"/>
        <v>0.071</v>
      </c>
      <c r="AQ64" s="45">
        <f t="shared" si="8"/>
        <v>315973</v>
      </c>
      <c r="AR64" s="45">
        <f t="shared" si="9"/>
        <v>246367.210421263</v>
      </c>
      <c r="AS64" s="45">
        <f t="shared" si="10"/>
        <v>69605.7895787373</v>
      </c>
      <c r="AT64" s="46">
        <f t="shared" si="12"/>
        <v>0.282528626515349</v>
      </c>
      <c r="AW64" s="47">
        <v>854.1</v>
      </c>
      <c r="AY64" s="48">
        <f t="shared" si="13"/>
        <v>568.55</v>
      </c>
    </row>
    <row r="65" ht="15.75" spans="1:51">
      <c r="A65" s="30">
        <v>62</v>
      </c>
      <c r="B65" s="31">
        <f>IF('BD&amp;LR'!M64&gt;0,'BD&amp;LR'!M64,0)</f>
        <v>380.75</v>
      </c>
      <c r="C65" s="32">
        <f>('BD&amp;LR'!N64*(1/(1-GEN_MASTER!J$8))+0.024)</f>
        <v>3.45411870994852</v>
      </c>
      <c r="D65" s="33">
        <f>MIN(INDEX(CHECK!$C64:$AD64,MATCH(D$3,CHECK!$C$2:$AD$2,0)),$B65)</f>
        <v>0.00303199999999038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0.000544999999988249</v>
      </c>
      <c r="I65" s="33">
        <f>MAX(0,MIN(INDEX(CHECK!$C64:$AD64,MATCH(I$3,CHECK!$C$2:$AD$2,0)),$B65-SUM($D65:H65)))</f>
        <v>0.00215199999999527</v>
      </c>
      <c r="J65" s="33">
        <f>MAX(0,MIN(INDEX(CHECK!$C64:$AD64,MATCH(J$3,CHECK!$C$2:$AD$2,0)),$B65-SUM($D65:I65)))</f>
        <v>0.00436299999999878</v>
      </c>
      <c r="K65" s="33">
        <f>MAX(0,MIN(INDEX(CHECK!$C64:$AD64,MATCH(K$3,CHECK!$C$2:$AD$2,0)),$B65-SUM($D65:J65)))</f>
        <v>0.00110800000000211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0</v>
      </c>
      <c r="O65" s="33">
        <f>MAX(0,MIN(INDEX(CHECK!$C64:$AD64,MATCH(O$3,CHECK!$C$2:$AD$2,0)),$B65-SUM($D65:N65)))</f>
        <v>0</v>
      </c>
      <c r="P65" s="33">
        <f>MAX(0,MIN(INDEX(CHECK!$C64:$AD64,MATCH(P$3,CHECK!$C$2:$AD$2,0)),$B65-SUM($D65:O65)))</f>
        <v>0.00193399999999944</v>
      </c>
      <c r="Q65" s="33">
        <f>MAX(0,MIN(INDEX(CHECK!$C64:$AD64,MATCH(Q$3,CHECK!$C$2:$AD$2,0)),$B65-SUM($D65:P65)))</f>
        <v>0.00469499999999812</v>
      </c>
      <c r="R65" s="33">
        <f>MAX(0,MIN(INDEX(CHECK!$C64:$AD64,MATCH(R$3,CHECK!$C$2:$AD$2,0)),$B65-SUM($D65:Q65)))</f>
        <v>0.00125900000000456</v>
      </c>
      <c r="S65" s="33">
        <f>MAX(0,MIN(INDEX(CHECK!$C64:$AD64,MATCH(S$3,CHECK!$C$2:$AD$2,0)),$B65-SUM($D65:R65)))</f>
        <v>0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0.00347099999999756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29.373883</v>
      </c>
      <c r="AB65" s="33">
        <f>MAX(0,MIN(INDEX(CHECK!$C64:$AD64,MATCH(AB$3,CHECK!$C$2:$AD$2,0)),$B65-SUM($D65:AA65)))</f>
        <v>70.134432</v>
      </c>
      <c r="AC65" s="33">
        <f>MAX(0,MIN(INDEX(CHECK!$C64:$AD64,MATCH(AC$3,CHECK!$C$2:$AD$2,0)),$B65-SUM($D65:AB65)))</f>
        <v>48.88</v>
      </c>
      <c r="AD65" s="33">
        <f>MAX(0,MIN(INDEX(CHECK!$C64:$AD64,MATCH(AD$3,CHECK!$C$2:$AD$2,0)),$B65-SUM($D65:AC65)))</f>
        <v>151.87</v>
      </c>
      <c r="AE65" s="33">
        <f>MAX(0,MIN(INDEX(CHECK!$C64:$AD64,MATCH(AE$3,CHECK!$C$2:$AD$2,0)),$B65-SUM($D65:AD65)))</f>
        <v>70.53</v>
      </c>
      <c r="AF65" s="37"/>
      <c r="AG65" s="40">
        <f t="shared" si="1"/>
        <v>0.068</v>
      </c>
      <c r="AH65" s="41" cm="1">
        <f t="array" ref="AH65">ROUND(IFERROR(SUMPRODUCT(--($D$2:$AE$2="S"),D65:AE65,$D$1:$AE$1)/(AG65*4000),0),3)</f>
        <v>4.423</v>
      </c>
      <c r="AI65" s="40">
        <f t="shared" si="2"/>
        <v>0.025</v>
      </c>
      <c r="AJ65" s="40" cm="1">
        <f t="array" ref="AJ65">ROUND(IFERROR(SUMPRODUCT(--($D$2:$AE$2="C"),D65:AE65,$D$1:$AE$1)/(AI65*4000),0),3)</f>
        <v>4.378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4.41090322580645</v>
      </c>
      <c r="AN65" s="40">
        <f t="shared" si="5"/>
        <v>3.45411870994852</v>
      </c>
      <c r="AO65" s="44">
        <f t="shared" si="6"/>
        <v>380.75</v>
      </c>
      <c r="AP65" s="40">
        <f t="shared" si="7"/>
        <v>0.093</v>
      </c>
      <c r="AQ65" s="45">
        <f t="shared" si="8"/>
        <v>410214</v>
      </c>
      <c r="AR65" s="45">
        <f t="shared" si="9"/>
        <v>321233.040025213</v>
      </c>
      <c r="AS65" s="45">
        <f t="shared" si="10"/>
        <v>88980.9599747873</v>
      </c>
      <c r="AT65" s="46">
        <f t="shared" si="12"/>
        <v>0.276998156751881</v>
      </c>
      <c r="AW65" s="47">
        <v>949</v>
      </c>
      <c r="AY65" s="48">
        <f t="shared" si="13"/>
        <v>568.25</v>
      </c>
    </row>
    <row r="66" ht="15.75" spans="1:51">
      <c r="A66" s="30">
        <v>63</v>
      </c>
      <c r="B66" s="31">
        <f>IF('BD&amp;LR'!M65&gt;0,'BD&amp;LR'!M65,0)</f>
        <v>666.32</v>
      </c>
      <c r="C66" s="32">
        <f>('BD&amp;LR'!N65*(1/(1-GEN_MASTER!J$8))+0.024)</f>
        <v>3.4910028364324</v>
      </c>
      <c r="D66" s="33">
        <f>MIN(INDEX(CHECK!$C65:$AD65,MATCH(D$3,CHECK!$C$2:$AD$2,0)),$B66)</f>
        <v>0.00303199999999038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0.000544999999988249</v>
      </c>
      <c r="I66" s="33">
        <f>MAX(0,MIN(INDEX(CHECK!$C65:$AD65,MATCH(I$3,CHECK!$C$2:$AD$2,0)),$B66-SUM($D66:H66)))</f>
        <v>0.00215199999999527</v>
      </c>
      <c r="J66" s="33">
        <f>MAX(0,MIN(INDEX(CHECK!$C65:$AD65,MATCH(J$3,CHECK!$C$2:$AD$2,0)),$B66-SUM($D66:I66)))</f>
        <v>0.00436299999999878</v>
      </c>
      <c r="K66" s="33">
        <f>MAX(0,MIN(INDEX(CHECK!$C65:$AD65,MATCH(K$3,CHECK!$C$2:$AD$2,0)),$B66-SUM($D66:J66)))</f>
        <v>0.00110800000000211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</v>
      </c>
      <c r="O66" s="33">
        <f>MAX(0,MIN(INDEX(CHECK!$C65:$AD65,MATCH(O$3,CHECK!$C$2:$AD$2,0)),$B66-SUM($D66:N66)))</f>
        <v>0</v>
      </c>
      <c r="P66" s="33">
        <f>MAX(0,MIN(INDEX(CHECK!$C65:$AD65,MATCH(P$3,CHECK!$C$2:$AD$2,0)),$B66-SUM($D66:O66)))</f>
        <v>0.00193399999999944</v>
      </c>
      <c r="Q66" s="33">
        <f>MAX(0,MIN(INDEX(CHECK!$C65:$AD65,MATCH(Q$3,CHECK!$C$2:$AD$2,0)),$B66-SUM($D66:P66)))</f>
        <v>0.00469499999999812</v>
      </c>
      <c r="R66" s="33">
        <f>MAX(0,MIN(INDEX(CHECK!$C65:$AD65,MATCH(R$3,CHECK!$C$2:$AD$2,0)),$B66-SUM($D66:Q66)))</f>
        <v>0.00125900000000456</v>
      </c>
      <c r="S66" s="33">
        <f>MAX(0,MIN(INDEX(CHECK!$C65:$AD65,MATCH(S$3,CHECK!$C$2:$AD$2,0)),$B66-SUM($D66:R66)))</f>
        <v>0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0.00347099999999756</v>
      </c>
      <c r="W66" s="33">
        <f>MAX(0,MIN(INDEX(CHECK!$C65:$AD65,MATCH(W$3,CHECK!$C$2:$AD$2,0)),$B66-SUM($D66:V66)))</f>
        <v>0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17.223883</v>
      </c>
      <c r="AB66" s="33">
        <f>MAX(0,MIN(INDEX(CHECK!$C65:$AD65,MATCH(AB$3,CHECK!$C$2:$AD$2,0)),$B66-SUM($D66:AA66)))</f>
        <v>70.134432</v>
      </c>
      <c r="AC66" s="33">
        <f>MAX(0,MIN(INDEX(CHECK!$C65:$AD65,MATCH(AC$3,CHECK!$C$2:$AD$2,0)),$B66-SUM($D66:AB66)))</f>
        <v>48.52</v>
      </c>
      <c r="AD66" s="33">
        <f>MAX(0,MIN(INDEX(CHECK!$C65:$AD65,MATCH(AD$3,CHECK!$C$2:$AD$2,0)),$B66-SUM($D66:AC66)))</f>
        <v>155.3</v>
      </c>
      <c r="AE66" s="33">
        <f>MAX(0,MIN(INDEX(CHECK!$C65:$AD65,MATCH(AE$3,CHECK!$C$2:$AD$2,0)),$B66-SUM($D66:AD66)))</f>
        <v>65.77</v>
      </c>
      <c r="AF66" s="37"/>
      <c r="AG66" s="40">
        <f t="shared" si="1"/>
        <v>0.067</v>
      </c>
      <c r="AH66" s="41" cm="1">
        <f t="array" ref="AH66">ROUND(IFERROR(SUMPRODUCT(--($D$2:$AE$2="S"),D66:AE66,$D$1:$AE$1)/(AG66*4000),0),3)</f>
        <v>4.461</v>
      </c>
      <c r="AI66" s="40">
        <f t="shared" si="2"/>
        <v>0.022</v>
      </c>
      <c r="AJ66" s="40" cm="1">
        <f t="array" ref="AJ66">ROUND(IFERROR(SUMPRODUCT(--($D$2:$AE$2="C"),D66:AE66,$D$1:$AE$1)/(AI66*4000),0),3)</f>
        <v>4.379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4.44073033707865</v>
      </c>
      <c r="AN66" s="40">
        <f t="shared" si="5"/>
        <v>3.4910028364324</v>
      </c>
      <c r="AO66" s="44">
        <f t="shared" si="6"/>
        <v>666.32</v>
      </c>
      <c r="AP66" s="40">
        <f t="shared" si="7"/>
        <v>0.089</v>
      </c>
      <c r="AQ66" s="45">
        <f t="shared" si="8"/>
        <v>395225</v>
      </c>
      <c r="AR66" s="45">
        <f t="shared" si="9"/>
        <v>310699.252442483</v>
      </c>
      <c r="AS66" s="45">
        <f t="shared" si="10"/>
        <v>84525.7475575165</v>
      </c>
      <c r="AT66" s="46">
        <f t="shared" si="12"/>
        <v>0.272050051273181</v>
      </c>
      <c r="AW66" s="47">
        <v>1043.9</v>
      </c>
      <c r="AY66" s="48">
        <f t="shared" si="13"/>
        <v>377.58</v>
      </c>
    </row>
    <row r="67" ht="15.75" spans="1:51">
      <c r="A67" s="30">
        <v>64</v>
      </c>
      <c r="B67" s="31">
        <f>IF('BD&amp;LR'!M66&gt;0,'BD&amp;LR'!M66,0)</f>
        <v>761.51</v>
      </c>
      <c r="C67" s="32">
        <f>('BD&amp;LR'!N66*(1/(1-GEN_MASTER!J$8))+0.024)</f>
        <v>3.59631852085303</v>
      </c>
      <c r="D67" s="33">
        <f>MIN(INDEX(CHECK!$C66:$AD66,MATCH(D$3,CHECK!$C$2:$AD$2,0)),$B67)</f>
        <v>0.00303199999999038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0.000544999999988249</v>
      </c>
      <c r="I67" s="33">
        <f>MAX(0,MIN(INDEX(CHECK!$C66:$AD66,MATCH(I$3,CHECK!$C$2:$AD$2,0)),$B67-SUM($D67:H67)))</f>
        <v>0.00215199999999527</v>
      </c>
      <c r="J67" s="33">
        <f>MAX(0,MIN(INDEX(CHECK!$C66:$AD66,MATCH(J$3,CHECK!$C$2:$AD$2,0)),$B67-SUM($D67:I67)))</f>
        <v>0.00436299999999878</v>
      </c>
      <c r="K67" s="33">
        <f>MAX(0,MIN(INDEX(CHECK!$C66:$AD66,MATCH(K$3,CHECK!$C$2:$AD$2,0)),$B67-SUM($D67:J67)))</f>
        <v>0.00110800000000211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</v>
      </c>
      <c r="O67" s="33">
        <f>MAX(0,MIN(INDEX(CHECK!$C66:$AD66,MATCH(O$3,CHECK!$C$2:$AD$2,0)),$B67-SUM($D67:N67)))</f>
        <v>0</v>
      </c>
      <c r="P67" s="33">
        <f>MAX(0,MIN(INDEX(CHECK!$C66:$AD66,MATCH(P$3,CHECK!$C$2:$AD$2,0)),$B67-SUM($D67:O67)))</f>
        <v>0.00193399999999944</v>
      </c>
      <c r="Q67" s="33">
        <f>MAX(0,MIN(INDEX(CHECK!$C66:$AD66,MATCH(Q$3,CHECK!$C$2:$AD$2,0)),$B67-SUM($D67:P67)))</f>
        <v>0.00469499999999812</v>
      </c>
      <c r="R67" s="33">
        <f>MAX(0,MIN(INDEX(CHECK!$C66:$AD66,MATCH(R$3,CHECK!$C$2:$AD$2,0)),$B67-SUM($D67:Q67)))</f>
        <v>0.00125900000000456</v>
      </c>
      <c r="S67" s="33">
        <f>MAX(0,MIN(INDEX(CHECK!$C66:$AD66,MATCH(S$3,CHECK!$C$2:$AD$2,0)),$B67-SUM($D67:R67)))</f>
        <v>0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0.00347099999999756</v>
      </c>
      <c r="W67" s="33">
        <f>MAX(0,MIN(INDEX(CHECK!$C66:$AD66,MATCH(W$3,CHECK!$C$2:$AD$2,0)),$B67-SUM($D67:V67)))</f>
        <v>0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0.00388299999998765</v>
      </c>
      <c r="AB67" s="33">
        <f>MAX(0,MIN(INDEX(CHECK!$C66:$AD66,MATCH(AB$3,CHECK!$C$2:$AD$2,0)),$B67-SUM($D67:AA67)))</f>
        <v>103.354432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</v>
      </c>
      <c r="AH67" s="41" cm="1">
        <f t="array" ref="AH67">ROUND(IFERROR(SUMPRODUCT(--($D$2:$AE$2="S"),D67:AE67,$D$1:$AE$1)/(AG67*4000),0),3)</f>
        <v>0</v>
      </c>
      <c r="AI67" s="40">
        <f t="shared" si="2"/>
        <v>0.026</v>
      </c>
      <c r="AJ67" s="40" cm="1">
        <f t="array" ref="AJ67">ROUND(IFERROR(SUMPRODUCT(--($D$2:$AE$2="C"),D67:AE67,$D$1:$AE$1)/(AI67*4000),0),3)</f>
        <v>4.406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4.406</v>
      </c>
      <c r="AN67" s="40">
        <f t="shared" si="5"/>
        <v>3.59631852085303</v>
      </c>
      <c r="AO67" s="44">
        <f t="shared" si="6"/>
        <v>761.51</v>
      </c>
      <c r="AP67" s="40">
        <f t="shared" si="7"/>
        <v>0.026</v>
      </c>
      <c r="AQ67" s="45">
        <f t="shared" si="8"/>
        <v>114556</v>
      </c>
      <c r="AR67" s="45">
        <f t="shared" si="9"/>
        <v>93504.2815421788</v>
      </c>
      <c r="AS67" s="45">
        <f t="shared" si="10"/>
        <v>21051.7184578212</v>
      </c>
      <c r="AT67" s="46">
        <f t="shared" si="12"/>
        <v>0.225141759399809</v>
      </c>
      <c r="AW67" s="47">
        <v>1138.79</v>
      </c>
      <c r="AY67" s="48">
        <f t="shared" si="13"/>
        <v>377.28</v>
      </c>
    </row>
    <row r="68" ht="15.75" spans="1:51">
      <c r="A68" s="30">
        <v>65</v>
      </c>
      <c r="B68" s="31">
        <f>IF('BD&amp;LR'!M67&gt;0,'BD&amp;LR'!M67,0)</f>
        <v>190.35</v>
      </c>
      <c r="C68" s="32">
        <f>('BD&amp;LR'!N67*(1/(1-GEN_MASTER!J$8))+0.024)</f>
        <v>3.17521336274819</v>
      </c>
      <c r="D68" s="33">
        <f>MIN(INDEX(CHECK!$C67:$AD67,MATCH(D$3,CHECK!$C$2:$AD$2,0)),$B68)</f>
        <v>0.00303199999999038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0.000544999999988249</v>
      </c>
      <c r="I68" s="33">
        <f>MAX(0,MIN(INDEX(CHECK!$C67:$AD67,MATCH(I$3,CHECK!$C$2:$AD$2,0)),$B68-SUM($D68:H68)))</f>
        <v>0.00215199999999527</v>
      </c>
      <c r="J68" s="33">
        <f>MAX(0,MIN(INDEX(CHECK!$C67:$AD67,MATCH(J$3,CHECK!$C$2:$AD$2,0)),$B68-SUM($D68:I68)))</f>
        <v>0.00436299999999878</v>
      </c>
      <c r="K68" s="33">
        <f>MAX(0,MIN(INDEX(CHECK!$C67:$AD67,MATCH(K$3,CHECK!$C$2:$AD$2,0)),$B68-SUM($D68:J68)))</f>
        <v>0.00110800000000211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</v>
      </c>
      <c r="O68" s="33">
        <f>MAX(0,MIN(INDEX(CHECK!$C67:$AD67,MATCH(O$3,CHECK!$C$2:$AD$2,0)),$B68-SUM($D68:N68)))</f>
        <v>0</v>
      </c>
      <c r="P68" s="33">
        <f>MAX(0,MIN(INDEX(CHECK!$C67:$AD67,MATCH(P$3,CHECK!$C$2:$AD$2,0)),$B68-SUM($D68:O68)))</f>
        <v>0.00193399999999944</v>
      </c>
      <c r="Q68" s="33">
        <f>MAX(0,MIN(INDEX(CHECK!$C67:$AD67,MATCH(Q$3,CHECK!$C$2:$AD$2,0)),$B68-SUM($D68:P68)))</f>
        <v>0.00469499999999812</v>
      </c>
      <c r="R68" s="33">
        <f>MAX(0,MIN(INDEX(CHECK!$C67:$AD67,MATCH(R$3,CHECK!$C$2:$AD$2,0)),$B68-SUM($D68:Q68)))</f>
        <v>0.00125900000000456</v>
      </c>
      <c r="S68" s="33">
        <f>MAX(0,MIN(INDEX(CHECK!$C67:$AD67,MATCH(S$3,CHECK!$C$2:$AD$2,0)),$B68-SUM($D68:R68)))</f>
        <v>0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0.00347099999999756</v>
      </c>
      <c r="W68" s="33">
        <f>MAX(0,MIN(INDEX(CHECK!$C67:$AD67,MATCH(W$3,CHECK!$C$2:$AD$2,0)),$B68-SUM($D68:V68)))</f>
        <v>0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0.00388299999998765</v>
      </c>
      <c r="AB68" s="33">
        <f>MAX(0,MIN(INDEX(CHECK!$C67:$AD67,MATCH(AB$3,CHECK!$C$2:$AD$2,0)),$B68-SUM($D68:AA68)))</f>
        <v>85.784432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</v>
      </c>
      <c r="AH68" s="41" cm="1">
        <f t="array" ref="AH68">ROUND(IFERROR(SUMPRODUCT(--($D$2:$AE$2="S"),D68:AE68,$D$1:$AE$1)/(AG68*4000),0),3)</f>
        <v>0</v>
      </c>
      <c r="AI68" s="40">
        <f t="shared" si="2"/>
        <v>0.021</v>
      </c>
      <c r="AJ68" s="40" cm="1">
        <f t="array" ref="AJ68">ROUND(IFERROR(SUMPRODUCT(--($D$2:$AE$2="C"),D68:AE68,$D$1:$AE$1)/(AI68*4000),0),3)</f>
        <v>4.528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4.528</v>
      </c>
      <c r="AN68" s="40">
        <f t="shared" si="5"/>
        <v>3.17521336274819</v>
      </c>
      <c r="AO68" s="44">
        <f t="shared" si="6"/>
        <v>190.35</v>
      </c>
      <c r="AP68" s="40">
        <f t="shared" si="7"/>
        <v>0.021</v>
      </c>
      <c r="AQ68" s="45">
        <f t="shared" si="8"/>
        <v>95088</v>
      </c>
      <c r="AR68" s="45">
        <f t="shared" si="9"/>
        <v>66679.4806177119</v>
      </c>
      <c r="AS68" s="45">
        <f t="shared" si="10"/>
        <v>28408.519382288</v>
      </c>
      <c r="AT68" s="46">
        <f t="shared" si="12"/>
        <v>0.426045900764589</v>
      </c>
      <c r="AW68" s="47">
        <v>1138.78</v>
      </c>
      <c r="AY68" s="48">
        <f t="shared" si="13"/>
        <v>948.43</v>
      </c>
    </row>
    <row r="69" ht="15.75" spans="1:51">
      <c r="A69" s="30">
        <v>66</v>
      </c>
      <c r="B69" s="31">
        <f>IF('BD&amp;LR'!M68&gt;0,'BD&amp;LR'!M68,0)</f>
        <v>380.74</v>
      </c>
      <c r="C69" s="32">
        <f>('BD&amp;LR'!N68*(1/(1-GEN_MASTER!J$8))+0.024)</f>
        <v>3.40745414434289</v>
      </c>
      <c r="D69" s="33">
        <f>MIN(INDEX(CHECK!$C68:$AD68,MATCH(D$3,CHECK!$C$2:$AD$2,0)),$B69)</f>
        <v>0.00303199999999038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0.000544999999988249</v>
      </c>
      <c r="I69" s="33">
        <f>MAX(0,MIN(INDEX(CHECK!$C68:$AD68,MATCH(I$3,CHECK!$C$2:$AD$2,0)),$B69-SUM($D69:H69)))</f>
        <v>0.00215199999999527</v>
      </c>
      <c r="J69" s="33">
        <f>MAX(0,MIN(INDEX(CHECK!$C68:$AD68,MATCH(J$3,CHECK!$C$2:$AD$2,0)),$B69-SUM($D69:I69)))</f>
        <v>0.00436299999999878</v>
      </c>
      <c r="K69" s="33">
        <f>MAX(0,MIN(INDEX(CHECK!$C68:$AD68,MATCH(K$3,CHECK!$C$2:$AD$2,0)),$B69-SUM($D69:J69)))</f>
        <v>0.00110800000000211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</v>
      </c>
      <c r="O69" s="33">
        <f>MAX(0,MIN(INDEX(CHECK!$C68:$AD68,MATCH(O$3,CHECK!$C$2:$AD$2,0)),$B69-SUM($D69:N69)))</f>
        <v>0</v>
      </c>
      <c r="P69" s="33">
        <f>MAX(0,MIN(INDEX(CHECK!$C68:$AD68,MATCH(P$3,CHECK!$C$2:$AD$2,0)),$B69-SUM($D69:O69)))</f>
        <v>0.00193399999999944</v>
      </c>
      <c r="Q69" s="33">
        <f>MAX(0,MIN(INDEX(CHECK!$C68:$AD68,MATCH(Q$3,CHECK!$C$2:$AD$2,0)),$B69-SUM($D69:P69)))</f>
        <v>0.00469499999999812</v>
      </c>
      <c r="R69" s="33">
        <f>MAX(0,MIN(INDEX(CHECK!$C68:$AD68,MATCH(R$3,CHECK!$C$2:$AD$2,0)),$B69-SUM($D69:Q69)))</f>
        <v>0.00125900000000456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0.00347099999999756</v>
      </c>
      <c r="W69" s="33">
        <f>MAX(0,MIN(INDEX(CHECK!$C68:$AD68,MATCH(W$3,CHECK!$C$2:$AD$2,0)),$B69-SUM($D69:V69)))</f>
        <v>0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0.00388299999998765</v>
      </c>
      <c r="AB69" s="33">
        <f>MAX(0,MIN(INDEX(CHECK!$C68:$AD68,MATCH(AB$3,CHECK!$C$2:$AD$2,0)),$B69-SUM($D69:AA69)))</f>
        <v>100.504432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</v>
      </c>
      <c r="AH69" s="41" cm="1">
        <f t="array" ref="AH69">ROUND(IFERROR(SUMPRODUCT(--($D$2:$AE$2="S"),D69:AE69,$D$1:$AE$1)/(AG69*4000),0),3)</f>
        <v>0</v>
      </c>
      <c r="AI69" s="40">
        <f t="shared" ref="AI69:AI99" si="15">ROUND(SUMIF($D$2:$AE$2,"C",D69:AE69)/4000,3)</f>
        <v>0.025</v>
      </c>
      <c r="AJ69" s="40" cm="1">
        <f t="array" ref="AJ69">ROUND(IFERROR(SUMPRODUCT(--($D$2:$AE$2="C"),D69:AE69,$D$1:$AE$1)/(AI69*4000),0),3)</f>
        <v>4.456</v>
      </c>
      <c r="AK69" s="40">
        <f t="shared" ref="AK69:AK99" si="16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7">IFERROR((AG69*AH69+AI69*AJ69+AK69*AL69)/SUM(AG69+AI69+AK69),0)</f>
        <v>4.456</v>
      </c>
      <c r="AN69" s="40">
        <f t="shared" ref="AN69:AN99" si="18">IF(AM69&gt;0,C69,0)</f>
        <v>3.40745414434289</v>
      </c>
      <c r="AO69" s="44">
        <f t="shared" ref="AO69:AO99" si="19">B69</f>
        <v>380.74</v>
      </c>
      <c r="AP69" s="40">
        <f t="shared" ref="AP69:AP99" si="20">SUM(AG69+AI69+AK69)</f>
        <v>0.025</v>
      </c>
      <c r="AQ69" s="45">
        <f t="shared" ref="AQ69:AQ99" si="21">AM69*(AG69+AI69+AK69)*10^6</f>
        <v>111400</v>
      </c>
      <c r="AR69" s="45">
        <f t="shared" ref="AR69:AR99" si="22">(AN69*AP69)*10^6</f>
        <v>85186.3536085723</v>
      </c>
      <c r="AS69" s="45">
        <f t="shared" ref="AS69:AS99" si="23">AQ69-AR69</f>
        <v>26213.6463914277</v>
      </c>
      <c r="AT69" s="46">
        <f t="shared" si="12"/>
        <v>0.307721193371866</v>
      </c>
      <c r="AW69" s="47">
        <v>1233.69</v>
      </c>
      <c r="AY69" s="48">
        <f t="shared" ref="AY69:AY99" si="24">AW69-AO69</f>
        <v>852.95</v>
      </c>
    </row>
    <row r="70" ht="15.75" spans="1:51">
      <c r="A70" s="30">
        <v>67</v>
      </c>
      <c r="B70" s="31">
        <f>IF('BD&amp;LR'!M69&gt;0,'BD&amp;LR'!M69,0)</f>
        <v>761.5</v>
      </c>
      <c r="C70" s="32">
        <f>('BD&amp;LR'!N69*(1/(1-GEN_MASTER!J$8))+0.024)</f>
        <v>3.75084105473264</v>
      </c>
      <c r="D70" s="33">
        <f>MIN(INDEX(CHECK!$C69:$AD69,MATCH(D$3,CHECK!$C$2:$AD$2,0)),$B70)</f>
        <v>0.00303199999999038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0.000544999999988249</v>
      </c>
      <c r="I70" s="33">
        <f>MAX(0,MIN(INDEX(CHECK!$C69:$AD69,MATCH(I$3,CHECK!$C$2:$AD$2,0)),$B70-SUM($D70:H70)))</f>
        <v>0.00215199999999527</v>
      </c>
      <c r="J70" s="33">
        <f>MAX(0,MIN(INDEX(CHECK!$C69:$AD69,MATCH(J$3,CHECK!$C$2:$AD$2,0)),$B70-SUM($D70:I70)))</f>
        <v>0.00436299999999878</v>
      </c>
      <c r="K70" s="33">
        <f>MAX(0,MIN(INDEX(CHECK!$C69:$AD69,MATCH(K$3,CHECK!$C$2:$AD$2,0)),$B70-SUM($D70:J70)))</f>
        <v>0.00110800000000211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0.00193399999999944</v>
      </c>
      <c r="Q70" s="33">
        <f>MAX(0,MIN(INDEX(CHECK!$C69:$AD69,MATCH(Q$3,CHECK!$C$2:$AD$2,0)),$B70-SUM($D70:P70)))</f>
        <v>0.00469499999999812</v>
      </c>
      <c r="R70" s="33">
        <f>MAX(0,MIN(INDEX(CHECK!$C69:$AD69,MATCH(R$3,CHECK!$C$2:$AD$2,0)),$B70-SUM($D70:Q70)))</f>
        <v>0.00125900000000456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0.00347099999999756</v>
      </c>
      <c r="W70" s="33">
        <f>MAX(0,MIN(INDEX(CHECK!$C69:$AD69,MATCH(W$3,CHECK!$C$2:$AD$2,0)),$B70-SUM($D70:V70)))</f>
        <v>0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0.00388299999998765</v>
      </c>
      <c r="AB70" s="33">
        <f>MAX(0,MIN(INDEX(CHECK!$C69:$AD69,MATCH(AB$3,CHECK!$C$2:$AD$2,0)),$B70-SUM($D70:AA70)))</f>
        <v>100.504432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4"/>
        <v>0</v>
      </c>
      <c r="AH70" s="41" cm="1">
        <f t="array" ref="AH70">ROUND(IFERROR(SUMPRODUCT(--($D$2:$AE$2="S"),D70:AE70,$D$1:$AE$1)/(AG70*4000),0),3)</f>
        <v>0</v>
      </c>
      <c r="AI70" s="40">
        <f t="shared" si="15"/>
        <v>0.025</v>
      </c>
      <c r="AJ70" s="40" cm="1">
        <f t="array" ref="AJ70">ROUND(IFERROR(SUMPRODUCT(--($D$2:$AE$2="C"),D70:AE70,$D$1:$AE$1)/(AI70*4000),0),3)</f>
        <v>4.456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4.456</v>
      </c>
      <c r="AN70" s="40">
        <f t="shared" si="18"/>
        <v>3.75084105473264</v>
      </c>
      <c r="AO70" s="44">
        <f t="shared" si="19"/>
        <v>761.5</v>
      </c>
      <c r="AP70" s="40">
        <f t="shared" si="20"/>
        <v>0.025</v>
      </c>
      <c r="AQ70" s="45">
        <f t="shared" si="21"/>
        <v>111400</v>
      </c>
      <c r="AR70" s="45">
        <f t="shared" si="22"/>
        <v>93771.026368316</v>
      </c>
      <c r="AS70" s="45">
        <f t="shared" si="23"/>
        <v>17628.973631684</v>
      </c>
      <c r="AT70" s="46">
        <f t="shared" si="12"/>
        <v>0.188000220477917</v>
      </c>
      <c r="AW70" s="47">
        <v>1233.7</v>
      </c>
      <c r="AY70" s="48">
        <f t="shared" si="24"/>
        <v>472.2</v>
      </c>
    </row>
    <row r="71" ht="15.75" spans="1:51">
      <c r="A71" s="30">
        <v>68</v>
      </c>
      <c r="B71" s="31">
        <f>IF('BD&amp;LR'!M70&gt;0,'BD&amp;LR'!M70,0)</f>
        <v>666.33</v>
      </c>
      <c r="C71" s="32">
        <f>('BD&amp;LR'!N70*(1/(1-GEN_MASTER!J$8))+0.024)</f>
        <v>4.75192310116609</v>
      </c>
      <c r="D71" s="33">
        <f>MIN(INDEX(CHECK!$C70:$AD70,MATCH(D$3,CHECK!$C$2:$AD$2,0)),$B71)</f>
        <v>0.00303199999999038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0.000544999999988249</v>
      </c>
      <c r="I71" s="33">
        <f>MAX(0,MIN(INDEX(CHECK!$C70:$AD70,MATCH(I$3,CHECK!$C$2:$AD$2,0)),$B71-SUM($D71:H71)))</f>
        <v>0.00215199999999527</v>
      </c>
      <c r="J71" s="33">
        <f>MAX(0,MIN(INDEX(CHECK!$C70:$AD70,MATCH(J$3,CHECK!$C$2:$AD$2,0)),$B71-SUM($D71:I71)))</f>
        <v>0.00436299999999878</v>
      </c>
      <c r="K71" s="33">
        <f>MAX(0,MIN(INDEX(CHECK!$C70:$AD70,MATCH(K$3,CHECK!$C$2:$AD$2,0)),$B71-SUM($D71:J71)))</f>
        <v>0.00110800000000211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0.00193399999999944</v>
      </c>
      <c r="Q71" s="33">
        <f>MAX(0,MIN(INDEX(CHECK!$C70:$AD70,MATCH(Q$3,CHECK!$C$2:$AD$2,0)),$B71-SUM($D71:P71)))</f>
        <v>0.00469499999999812</v>
      </c>
      <c r="R71" s="33">
        <f>MAX(0,MIN(INDEX(CHECK!$C70:$AD70,MATCH(R$3,CHECK!$C$2:$AD$2,0)),$B71-SUM($D71:Q71)))</f>
        <v>0.00125900000000456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0.00347099999999756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0.00388299999998765</v>
      </c>
      <c r="AB71" s="33">
        <f>MAX(0,MIN(INDEX(CHECK!$C70:$AD70,MATCH(AB$3,CHECK!$C$2:$AD$2,0)),$B71-SUM($D71:AA71)))</f>
        <v>100.504432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4"/>
        <v>0</v>
      </c>
      <c r="AH71" s="41" cm="1">
        <f t="array" ref="AH71">ROUND(IFERROR(SUMPRODUCT(--($D$2:$AE$2="S"),D71:AE71,$D$1:$AE$1)/(AG71*4000),0),3)</f>
        <v>0</v>
      </c>
      <c r="AI71" s="40">
        <f t="shared" si="15"/>
        <v>0.025</v>
      </c>
      <c r="AJ71" s="40" cm="1">
        <f t="array" ref="AJ71">ROUND(IFERROR(SUMPRODUCT(--($D$2:$AE$2="C"),D71:AE71,$D$1:$AE$1)/(AI71*4000),0),3)</f>
        <v>4.456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4.456</v>
      </c>
      <c r="AN71" s="40">
        <f t="shared" si="18"/>
        <v>4.75192310116609</v>
      </c>
      <c r="AO71" s="44">
        <f t="shared" si="19"/>
        <v>666.33</v>
      </c>
      <c r="AP71" s="40">
        <f t="shared" si="20"/>
        <v>0.025</v>
      </c>
      <c r="AQ71" s="45">
        <f t="shared" si="21"/>
        <v>111400</v>
      </c>
      <c r="AR71" s="45">
        <f t="shared" si="22"/>
        <v>118798.077529152</v>
      </c>
      <c r="AS71" s="45">
        <f t="shared" si="23"/>
        <v>-7398.07752915223</v>
      </c>
      <c r="AT71" s="46">
        <f t="shared" si="12"/>
        <v>-0.0622743876249748</v>
      </c>
      <c r="AW71" s="47">
        <v>1328.59</v>
      </c>
      <c r="AY71" s="48">
        <f t="shared" si="24"/>
        <v>662.26</v>
      </c>
    </row>
    <row r="72" ht="15.75" spans="1:51">
      <c r="A72" s="30">
        <v>69</v>
      </c>
      <c r="B72" s="31">
        <f>IF('BD&amp;LR'!M71&gt;0,'BD&amp;LR'!M71,0)</f>
        <v>187.66</v>
      </c>
      <c r="C72" s="32">
        <f>('BD&amp;LR'!N71*(1/(1-GEN_MASTER!J$8))+0.024)</f>
        <v>5.27596974472108</v>
      </c>
      <c r="D72" s="33">
        <f>MIN(INDEX(CHECK!$C71:$AD71,MATCH(D$3,CHECK!$C$2:$AD$2,0)),$B72)</f>
        <v>0.00303199999999038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0.000544999999988249</v>
      </c>
      <c r="I72" s="33">
        <f>MAX(0,MIN(INDEX(CHECK!$C71:$AD71,MATCH(I$3,CHECK!$C$2:$AD$2,0)),$B72-SUM($D72:H72)))</f>
        <v>0.00215199999999527</v>
      </c>
      <c r="J72" s="33">
        <f>MAX(0,MIN(INDEX(CHECK!$C71:$AD71,MATCH(J$3,CHECK!$C$2:$AD$2,0)),$B72-SUM($D72:I72)))</f>
        <v>0.00436299999999878</v>
      </c>
      <c r="K72" s="33">
        <f>MAX(0,MIN(INDEX(CHECK!$C71:$AD71,MATCH(K$3,CHECK!$C$2:$AD$2,0)),$B72-SUM($D72:J72)))</f>
        <v>0.00110800000000211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0.00193399999999944</v>
      </c>
      <c r="Q72" s="33">
        <f>MAX(0,MIN(INDEX(CHECK!$C71:$AD71,MATCH(Q$3,CHECK!$C$2:$AD$2,0)),$B72-SUM($D72:P72)))</f>
        <v>0.00469499999999812</v>
      </c>
      <c r="R72" s="33">
        <f>MAX(0,MIN(INDEX(CHECK!$C71:$AD71,MATCH(R$3,CHECK!$C$2:$AD$2,0)),$B72-SUM($D72:Q72)))</f>
        <v>0.00125900000000456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0.00347099999999756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0.00388299999998765</v>
      </c>
      <c r="AB72" s="33">
        <f>MAX(0,MIN(INDEX(CHECK!$C71:$AD71,MATCH(AB$3,CHECK!$C$2:$AD$2,0)),$B72-SUM($D72:AA72)))</f>
        <v>0.00443200000000843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</v>
      </c>
      <c r="AH72" s="41" cm="1">
        <f t="array" ref="AH72">ROUND(IFERROR(SUMPRODUCT(--($D$2:$AE$2="S"),D72:AE72,$D$1:$AE$1)/(AG72*4000),0),3)</f>
        <v>0</v>
      </c>
      <c r="AI72" s="40">
        <f t="shared" si="15"/>
        <v>0</v>
      </c>
      <c r="AJ72" s="40" cm="1">
        <f t="array" ref="AJ72">ROUND(IFERROR(SUMPRODUCT(--($D$2:$AE$2="C"),D72:AE72,$D$1:$AE$1)/(AI72*4000),0),3)</f>
        <v>0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0</v>
      </c>
      <c r="AN72" s="40">
        <f t="shared" si="18"/>
        <v>0</v>
      </c>
      <c r="AO72" s="44">
        <f t="shared" si="19"/>
        <v>187.66</v>
      </c>
      <c r="AP72" s="40">
        <f t="shared" si="20"/>
        <v>0</v>
      </c>
      <c r="AQ72" s="45">
        <f t="shared" si="21"/>
        <v>0</v>
      </c>
      <c r="AR72" s="45">
        <f t="shared" si="22"/>
        <v>0</v>
      </c>
      <c r="AS72" s="45">
        <f t="shared" si="23"/>
        <v>0</v>
      </c>
      <c r="AT72" s="46" t="str">
        <f t="shared" si="12"/>
        <v>-</v>
      </c>
      <c r="AW72" s="47">
        <v>664.29</v>
      </c>
      <c r="AY72" s="48">
        <f t="shared" si="24"/>
        <v>476.63</v>
      </c>
    </row>
    <row r="73" ht="15.75" spans="1:51">
      <c r="A73" s="30">
        <v>70</v>
      </c>
      <c r="B73" s="31">
        <f>IF('BD&amp;LR'!M72&gt;0,'BD&amp;LR'!M72,0)</f>
        <v>280.81</v>
      </c>
      <c r="C73" s="32">
        <f>('BD&amp;LR'!N72*(1/(1-GEN_MASTER!J$8))+0.024)</f>
        <v>8.42719361277445</v>
      </c>
      <c r="D73" s="33">
        <f>MIN(INDEX(CHECK!$C72:$AD72,MATCH(D$3,CHECK!$C$2:$AD$2,0)),$B73)</f>
        <v>0.00303199999999038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0.000544999999988249</v>
      </c>
      <c r="I73" s="33">
        <f>MAX(0,MIN(INDEX(CHECK!$C72:$AD72,MATCH(I$3,CHECK!$C$2:$AD$2,0)),$B73-SUM($D73:H73)))</f>
        <v>0.00215199999999527</v>
      </c>
      <c r="J73" s="33">
        <f>MAX(0,MIN(INDEX(CHECK!$C72:$AD72,MATCH(J$3,CHECK!$C$2:$AD$2,0)),$B73-SUM($D73:I73)))</f>
        <v>0.00436299999999878</v>
      </c>
      <c r="K73" s="33">
        <f>MAX(0,MIN(INDEX(CHECK!$C72:$AD72,MATCH(K$3,CHECK!$C$2:$AD$2,0)),$B73-SUM($D73:J73)))</f>
        <v>0.00110800000000211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0.00193399999999944</v>
      </c>
      <c r="Q73" s="33">
        <f>MAX(0,MIN(INDEX(CHECK!$C72:$AD72,MATCH(Q$3,CHECK!$C$2:$AD$2,0)),$B73-SUM($D73:P73)))</f>
        <v>0.00469499999999812</v>
      </c>
      <c r="R73" s="33">
        <f>MAX(0,MIN(INDEX(CHECK!$C72:$AD72,MATCH(R$3,CHECK!$C$2:$AD$2,0)),$B73-SUM($D73:Q73)))</f>
        <v>0.00125900000000456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0.00347099999999756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0.00388299999998765</v>
      </c>
      <c r="AB73" s="33">
        <f>MAX(0,MIN(INDEX(CHECK!$C72:$AD72,MATCH(AB$3,CHECK!$C$2:$AD$2,0)),$B73-SUM($D73:AA73)))</f>
        <v>0.00443200000000843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</v>
      </c>
      <c r="AH73" s="41" cm="1">
        <f t="array" ref="AH73">ROUND(IFERROR(SUMPRODUCT(--($D$2:$AE$2="S"),D73:AE73,$D$1:$AE$1)/(AG73*4000),0),3)</f>
        <v>0</v>
      </c>
      <c r="AI73" s="40">
        <f t="shared" si="15"/>
        <v>0</v>
      </c>
      <c r="AJ73" s="40" cm="1">
        <f t="array" ref="AJ73">ROUND(IFERROR(SUMPRODUCT(--($D$2:$AE$2="C"),D73:AE73,$D$1:$AE$1)/(AI73*4000),0),3)</f>
        <v>0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0</v>
      </c>
      <c r="AN73" s="40">
        <f t="shared" si="18"/>
        <v>0</v>
      </c>
      <c r="AO73" s="44">
        <f t="shared" si="19"/>
        <v>280.81</v>
      </c>
      <c r="AP73" s="40">
        <f t="shared" si="20"/>
        <v>0</v>
      </c>
      <c r="AQ73" s="45">
        <f t="shared" si="21"/>
        <v>0</v>
      </c>
      <c r="AR73" s="45">
        <f t="shared" si="22"/>
        <v>0</v>
      </c>
      <c r="AS73" s="45">
        <f t="shared" si="23"/>
        <v>0</v>
      </c>
      <c r="AT73" s="46" t="str">
        <f t="shared" si="12"/>
        <v>-</v>
      </c>
      <c r="AW73" s="47">
        <v>759.2</v>
      </c>
      <c r="AY73" s="48">
        <f t="shared" si="24"/>
        <v>478.39</v>
      </c>
    </row>
    <row r="74" ht="15.75" spans="1:51">
      <c r="A74" s="30">
        <v>71</v>
      </c>
      <c r="B74" s="31">
        <f>IF('BD&amp;LR'!M73&gt;0,'BD&amp;LR'!M73,0)</f>
        <v>53.65</v>
      </c>
      <c r="C74" s="32">
        <f>('BD&amp;LR'!N73*(1/(1-GEN_MASTER!J$8))+0.024)</f>
        <v>10.5293051791155</v>
      </c>
      <c r="D74" s="33">
        <f>MIN(INDEX(CHECK!$C73:$AD73,MATCH(D$3,CHECK!$C$2:$AD$2,0)),$B74)</f>
        <v>0.00303199999999038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0.000544999999988249</v>
      </c>
      <c r="I74" s="33">
        <f>MAX(0,MIN(INDEX(CHECK!$C73:$AD73,MATCH(I$3,CHECK!$C$2:$AD$2,0)),$B74-SUM($D74:H74)))</f>
        <v>0.00215199999999527</v>
      </c>
      <c r="J74" s="33">
        <f>MAX(0,MIN(INDEX(CHECK!$C73:$AD73,MATCH(J$3,CHECK!$C$2:$AD$2,0)),$B74-SUM($D74:I74)))</f>
        <v>0.00436299999999878</v>
      </c>
      <c r="K74" s="33">
        <f>MAX(0,MIN(INDEX(CHECK!$C73:$AD73,MATCH(K$3,CHECK!$C$2:$AD$2,0)),$B74-SUM($D74:J74)))</f>
        <v>0.00110800000000211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0.00193399999999944</v>
      </c>
      <c r="Q74" s="33">
        <f>MAX(0,MIN(INDEX(CHECK!$C73:$AD73,MATCH(Q$3,CHECK!$C$2:$AD$2,0)),$B74-SUM($D74:P74)))</f>
        <v>0.00469499999999812</v>
      </c>
      <c r="R74" s="33">
        <f>MAX(0,MIN(INDEX(CHECK!$C73:$AD73,MATCH(R$3,CHECK!$C$2:$AD$2,0)),$B74-SUM($D74:Q74)))</f>
        <v>0.00125900000000456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0.00347099999999756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0.00388299999998765</v>
      </c>
      <c r="AB74" s="33">
        <f>MAX(0,MIN(INDEX(CHECK!$C73:$AD73,MATCH(AB$3,CHECK!$C$2:$AD$2,0)),$B74-SUM($D74:AA74)))</f>
        <v>0.00443200000000843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53.65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435.91</v>
      </c>
    </row>
    <row r="75" ht="15.75" spans="1:51">
      <c r="A75" s="30">
        <v>72</v>
      </c>
      <c r="B75" s="31">
        <f>IF('BD&amp;LR'!M74&gt;0,'BD&amp;LR'!M74,0)</f>
        <v>53.53</v>
      </c>
      <c r="C75" s="32">
        <f>('BD&amp;LR'!N74*(1/(1-GEN_MASTER!J$8))+0.024)</f>
        <v>10.5293051791155</v>
      </c>
      <c r="D75" s="33">
        <f>MIN(INDEX(CHECK!$C74:$AD74,MATCH(D$3,CHECK!$C$2:$AD$2,0)),$B75)</f>
        <v>0.00303199999999038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0.000544999999988249</v>
      </c>
      <c r="I75" s="33">
        <f>MAX(0,MIN(INDEX(CHECK!$C74:$AD74,MATCH(I$3,CHECK!$C$2:$AD$2,0)),$B75-SUM($D75:H75)))</f>
        <v>0.00215199999999527</v>
      </c>
      <c r="J75" s="33">
        <f>MAX(0,MIN(INDEX(CHECK!$C74:$AD74,MATCH(J$3,CHECK!$C$2:$AD$2,0)),$B75-SUM($D75:I75)))</f>
        <v>0.00436299999999878</v>
      </c>
      <c r="K75" s="33">
        <f>MAX(0,MIN(INDEX(CHECK!$C74:$AD74,MATCH(K$3,CHECK!$C$2:$AD$2,0)),$B75-SUM($D75:J75)))</f>
        <v>0.00110800000000211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0.00193399999999944</v>
      </c>
      <c r="Q75" s="33">
        <f>MAX(0,MIN(INDEX(CHECK!$C74:$AD74,MATCH(Q$3,CHECK!$C$2:$AD$2,0)),$B75-SUM($D75:P75)))</f>
        <v>0.00469499999999812</v>
      </c>
      <c r="R75" s="33">
        <f>MAX(0,MIN(INDEX(CHECK!$C74:$AD74,MATCH(R$3,CHECK!$C$2:$AD$2,0)),$B75-SUM($D75:Q75)))</f>
        <v>0.00125900000000456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0.00347099999999756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0.00388299999998765</v>
      </c>
      <c r="AB75" s="33">
        <f>MAX(0,MIN(INDEX(CHECK!$C74:$AD74,MATCH(AB$3,CHECK!$C$2:$AD$2,0)),$B75-SUM($D75:AA75)))</f>
        <v>0.00443200000000843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53.53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-53.53</v>
      </c>
    </row>
    <row r="76" ht="15.75" spans="1:51">
      <c r="A76" s="30">
        <v>73</v>
      </c>
      <c r="B76" s="31">
        <f>IF('BD&amp;LR'!M75&gt;0,'BD&amp;LR'!M75,0)</f>
        <v>0</v>
      </c>
      <c r="C76" s="32">
        <f>('BD&amp;LR'!N75*(1/(1-GEN_MASTER!J$8))+0.024)</f>
        <v>10.5293051791155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IF('BD&amp;LR'!M76&gt;0,'BD&amp;LR'!M76,0)</f>
        <v>0</v>
      </c>
      <c r="C77" s="32">
        <f>('BD&amp;LR'!N76*(1/(1-GEN_MASTER!J$8))+0.024)</f>
        <v>10.5293051791155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IF('BD&amp;LR'!M77&gt;0,'BD&amp;LR'!M77,0)</f>
        <v>0</v>
      </c>
      <c r="C78" s="32">
        <f>('BD&amp;LR'!N77*(1/(1-GEN_MASTER!J$8))+0.024)</f>
        <v>10.5293051791155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IF('BD&amp;LR'!M78&gt;0,'BD&amp;LR'!M78,0)</f>
        <v>0</v>
      </c>
      <c r="C79" s="32">
        <f>('BD&amp;LR'!N78*(1/(1-GEN_MASTER!J$8))+0.024)</f>
        <v>10.5293051791155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IF('BD&amp;LR'!M79&gt;0,'BD&amp;LR'!M79,0)</f>
        <v>0</v>
      </c>
      <c r="C80" s="32">
        <f>('BD&amp;LR'!N79*(1/(1-GEN_MASTER!J$8))+0.024)</f>
        <v>10.5293051791155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IF('BD&amp;LR'!M80&gt;0,'BD&amp;LR'!M80,0)</f>
        <v>0</v>
      </c>
      <c r="C81" s="32">
        <f>('BD&amp;LR'!N80*(1/(1-GEN_MASTER!J$8))+0.024)</f>
        <v>10.5293051791155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IF('BD&amp;LR'!M81&gt;0,'BD&amp;LR'!M81,0)</f>
        <v>0</v>
      </c>
      <c r="C82" s="32">
        <f>('BD&amp;LR'!N81*(1/(1-GEN_MASTER!J$8))+0.024)</f>
        <v>10.5293051791155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IF('BD&amp;LR'!M82&gt;0,'BD&amp;LR'!M82,0)</f>
        <v>0</v>
      </c>
      <c r="C83" s="32">
        <f>('BD&amp;LR'!N82*(1/(1-GEN_MASTER!J$8))+0.024)</f>
        <v>10.5288954722135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IF('BD&amp;LR'!M83&gt;0,'BD&amp;LR'!M83,0)</f>
        <v>0</v>
      </c>
      <c r="C84" s="32">
        <f>('BD&amp;LR'!N83*(1/(1-GEN_MASTER!J$8))+0.024)</f>
        <v>6.10629856077319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IF('BD&amp;LR'!M84&gt;0,'BD&amp;LR'!M84,0)</f>
        <v>0</v>
      </c>
      <c r="C85" s="32">
        <f>('BD&amp;LR'!N84*(1/(1-GEN_MASTER!J$8))+0.024)</f>
        <v>5.95922428826557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IF('BD&amp;LR'!M85&gt;0,'BD&amp;LR'!M85,0)</f>
        <v>0</v>
      </c>
      <c r="C86" s="32">
        <f>('BD&amp;LR'!N85*(1/(1-GEN_MASTER!J$8))+0.024)</f>
        <v>5.27731442378401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IF('BD&amp;LR'!M86&gt;0,'BD&amp;LR'!M86,0)</f>
        <v>0</v>
      </c>
      <c r="C87" s="32">
        <f>('BD&amp;LR'!N86*(1/(1-GEN_MASTER!J$8))+0.024)</f>
        <v>4.92478789788843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IF('BD&amp;LR'!M87&gt;0,'BD&amp;LR'!M87,0)</f>
        <v>0</v>
      </c>
      <c r="C88" s="32">
        <f>('BD&amp;LR'!N87*(1/(1-GEN_MASTER!J$8))+0.024)</f>
        <v>4.69871373043387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IF('BD&amp;LR'!M88&gt;0,'BD&amp;LR'!M88,0)</f>
        <v>0</v>
      </c>
      <c r="C89" s="32">
        <f>('BD&amp;LR'!N88*(1/(1-GEN_MASTER!J$8))+0.024)</f>
        <v>4.09122344784116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IF('BD&amp;LR'!M89&gt;0,'BD&amp;LR'!M89,0)</f>
        <v>0</v>
      </c>
      <c r="C90" s="32">
        <f>('BD&amp;LR'!N89*(1/(1-GEN_MASTER!J$8))+0.024)</f>
        <v>4.03528269776237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IF('BD&amp;LR'!M90&gt;0,'BD&amp;LR'!M90,0)</f>
        <v>0</v>
      </c>
      <c r="C91" s="32">
        <f>('BD&amp;LR'!N90*(1/(1-GEN_MASTER!J$8))+0.024)</f>
        <v>3.78590776342053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IF('BD&amp;LR'!M91&gt;0,'BD&amp;LR'!M91,0)</f>
        <v>0</v>
      </c>
      <c r="C92" s="32">
        <f>('BD&amp;LR'!N91*(1/(1-GEN_MASTER!J$8))+0.024)</f>
        <v>3.63667990335119</v>
      </c>
      <c r="D92" s="33">
        <f>MIN(INDEX(CHECK!$C91:$AD91,MATCH(D$3,CHECK!$C$2:$AD$2,0)),$B92)</f>
        <v>0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0</v>
      </c>
      <c r="AN92" s="40">
        <f t="shared" si="18"/>
        <v>0</v>
      </c>
      <c r="AO92" s="44">
        <f t="shared" si="19"/>
        <v>0</v>
      </c>
      <c r="AP92" s="40">
        <f t="shared" si="20"/>
        <v>0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6" t="str">
        <f t="shared" si="12"/>
        <v>-</v>
      </c>
      <c r="AW92" s="47">
        <v>569.38</v>
      </c>
      <c r="AY92" s="48">
        <f t="shared" si="24"/>
        <v>569.38</v>
      </c>
    </row>
    <row r="93" ht="15.75" spans="1:51">
      <c r="A93" s="30">
        <v>90</v>
      </c>
      <c r="B93" s="31">
        <f>IF('BD&amp;LR'!M92&gt;0,'BD&amp;LR'!M92,0)</f>
        <v>0</v>
      </c>
      <c r="C93" s="32">
        <f>('BD&amp;LR'!N92*(1/(1-GEN_MASTER!J$8))+0.024)</f>
        <v>3.51396743355394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IF('BD&amp;LR'!M93&gt;0,'BD&amp;LR'!M93,0)</f>
        <v>0</v>
      </c>
      <c r="C94" s="32">
        <f>('BD&amp;LR'!N93*(1/(1-GEN_MASTER!J$8))+0.024)</f>
        <v>3.13461035823091</v>
      </c>
      <c r="D94" s="33">
        <f>MIN(INDEX(CHECK!$C93:$AD93,MATCH(D$3,CHECK!$C$2:$AD$2,0)),$B94)</f>
        <v>0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IF('BD&amp;LR'!M94&gt;0,'BD&amp;LR'!M94,0)</f>
        <v>0</v>
      </c>
      <c r="C95" s="32">
        <f>('BD&amp;LR'!N94*(1/(1-GEN_MASTER!J$8))+0.024)</f>
        <v>2.52426263262948</v>
      </c>
      <c r="D95" s="33">
        <f>MIN(INDEX(CHECK!$C94:$AD94,MATCH(D$3,CHECK!$C$2:$AD$2,0)),$B95)</f>
        <v>0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IF('BD&amp;LR'!M95&gt;0,'BD&amp;LR'!M95,0)</f>
        <v>190.33</v>
      </c>
      <c r="C96" s="32">
        <f>('BD&amp;LR'!N95*(1/(1-GEN_MASTER!J$8))+0.024)</f>
        <v>2.96612627376825</v>
      </c>
      <c r="D96" s="33">
        <f>MIN(INDEX(CHECK!$C95:$AD95,MATCH(D$3,CHECK!$C$2:$AD$2,0)),$B96)</f>
        <v>0.00303199999999038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0.000544999999988249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0.00368000000000013</v>
      </c>
      <c r="K96" s="33">
        <f>MAX(0,MIN(INDEX(CHECK!$C95:$AD95,MATCH(K$3,CHECK!$C$2:$AD$2,0)),$B96-SUM($D96:J96)))</f>
        <v>0.00110800000000211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28.376139</v>
      </c>
      <c r="O96" s="33">
        <f>MAX(0,MIN(INDEX(CHECK!$C95:$AD95,MATCH(O$3,CHECK!$C$2:$AD$2,0)),$B96-SUM($D96:N96)))</f>
        <v>35.439237</v>
      </c>
      <c r="P96" s="33">
        <f>MAX(0,MIN(INDEX(CHECK!$C95:$AD95,MATCH(P$3,CHECK!$C$2:$AD$2,0)),$B96-SUM($D96:O96)))</f>
        <v>7.481934</v>
      </c>
      <c r="Q96" s="33">
        <f>MAX(0,MIN(INDEX(CHECK!$C95:$AD95,MATCH(Q$3,CHECK!$C$2:$AD$2,0)),$B96-SUM($D96:P96)))</f>
        <v>68.534695</v>
      </c>
      <c r="R96" s="33">
        <f>MAX(0,MIN(INDEX(CHECK!$C95:$AD95,MATCH(R$3,CHECK!$C$2:$AD$2,0)),$B96-SUM($D96:Q96)))</f>
        <v>15.091259</v>
      </c>
      <c r="S96" s="33">
        <f>MAX(0,MIN(INDEX(CHECK!$C95:$AD95,MATCH(S$3,CHECK!$C$2:$AD$2,0)),$B96-SUM($D96:R96)))</f>
        <v>35.398371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0.048</v>
      </c>
      <c r="AJ96" s="40" cm="1">
        <f t="array" ref="AJ96">ROUND(IFERROR(SUMPRODUCT(--($D$2:$AE$2="C"),D96:AE96,$D$1:$AE$1)/(AI96*4000),0),3)</f>
        <v>3.397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3.397</v>
      </c>
      <c r="AN96" s="40">
        <f t="shared" si="18"/>
        <v>2.96612627376825</v>
      </c>
      <c r="AO96" s="44">
        <f t="shared" si="19"/>
        <v>190.33</v>
      </c>
      <c r="AP96" s="40">
        <f t="shared" si="20"/>
        <v>0.048</v>
      </c>
      <c r="AQ96" s="45">
        <f t="shared" si="21"/>
        <v>163056</v>
      </c>
      <c r="AR96" s="45">
        <f t="shared" si="22"/>
        <v>142374.061140876</v>
      </c>
      <c r="AS96" s="45">
        <f t="shared" si="23"/>
        <v>20681.9388591238</v>
      </c>
      <c r="AT96" s="46">
        <f t="shared" si="25"/>
        <v>0.145264795380526</v>
      </c>
      <c r="AW96" s="47">
        <v>759.19</v>
      </c>
      <c r="AY96" s="48">
        <f t="shared" si="24"/>
        <v>568.86</v>
      </c>
    </row>
    <row r="97" ht="15.75" spans="1:51">
      <c r="A97" s="30">
        <v>94</v>
      </c>
      <c r="B97" s="31">
        <f>IF('BD&amp;LR'!M96&gt;0,'BD&amp;LR'!M96,0)</f>
        <v>475.91</v>
      </c>
      <c r="C97" s="32">
        <f>('BD&amp;LR'!N96*(1/(1-GEN_MASTER!J$8))+0.024)</f>
        <v>3.07031789053472</v>
      </c>
      <c r="D97" s="33">
        <f>MIN(INDEX(CHECK!$C96:$AD96,MATCH(D$3,CHECK!$C$2:$AD$2,0)),$B97)</f>
        <v>0.00303199999999038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0.000544999999988249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0.00368000000000013</v>
      </c>
      <c r="K97" s="33">
        <f>MAX(0,MIN(INDEX(CHECK!$C96:$AD96,MATCH(K$3,CHECK!$C$2:$AD$2,0)),$B97-SUM($D97:J97)))</f>
        <v>0.00110800000000211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28.376139</v>
      </c>
      <c r="O97" s="33">
        <f>MAX(0,MIN(INDEX(CHECK!$C96:$AD96,MATCH(O$3,CHECK!$C$2:$AD$2,0)),$B97-SUM($D97:N97)))</f>
        <v>35.439237</v>
      </c>
      <c r="P97" s="33">
        <f>MAX(0,MIN(INDEX(CHECK!$C96:$AD96,MATCH(P$3,CHECK!$C$2:$AD$2,0)),$B97-SUM($D97:O97)))</f>
        <v>7.481934</v>
      </c>
      <c r="Q97" s="33">
        <f>MAX(0,MIN(INDEX(CHECK!$C96:$AD96,MATCH(Q$3,CHECK!$C$2:$AD$2,0)),$B97-SUM($D97:P97)))</f>
        <v>198.994695</v>
      </c>
      <c r="R97" s="33">
        <f>MAX(0,MIN(INDEX(CHECK!$C96:$AD96,MATCH(R$3,CHECK!$C$2:$AD$2,0)),$B97-SUM($D97:Q97)))</f>
        <v>46.791259</v>
      </c>
      <c r="S97" s="33">
        <f>MAX(0,MIN(INDEX(CHECK!$C96:$AD96,MATCH(S$3,CHECK!$C$2:$AD$2,0)),$B97-SUM($D97:R97)))</f>
        <v>158.818371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0.119</v>
      </c>
      <c r="AJ97" s="40" cm="1">
        <f t="array" ref="AJ97">ROUND(IFERROR(SUMPRODUCT(--($D$2:$AE$2="C"),D97:AE97,$D$1:$AE$1)/(AI97*4000),0),3)</f>
        <v>3.457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3.457</v>
      </c>
      <c r="AN97" s="40">
        <f t="shared" si="18"/>
        <v>3.07031789053472</v>
      </c>
      <c r="AO97" s="44">
        <f t="shared" si="19"/>
        <v>475.91</v>
      </c>
      <c r="AP97" s="40">
        <f t="shared" si="20"/>
        <v>0.119</v>
      </c>
      <c r="AQ97" s="45">
        <f t="shared" si="21"/>
        <v>411383</v>
      </c>
      <c r="AR97" s="45">
        <f t="shared" si="22"/>
        <v>365367.828973632</v>
      </c>
      <c r="AS97" s="45">
        <f t="shared" si="23"/>
        <v>46015.1710263683</v>
      </c>
      <c r="AT97" s="46">
        <f t="shared" si="25"/>
        <v>0.125942043544532</v>
      </c>
      <c r="AW97" s="47">
        <v>759.18</v>
      </c>
      <c r="AY97" s="48">
        <f t="shared" si="24"/>
        <v>283.27</v>
      </c>
    </row>
    <row r="98" ht="15.75" spans="1:51">
      <c r="A98" s="30">
        <v>95</v>
      </c>
      <c r="B98" s="31">
        <f>IF('BD&amp;LR'!M97&gt;0,'BD&amp;LR'!M97,0)</f>
        <v>666.29</v>
      </c>
      <c r="C98" s="32">
        <f>('BD&amp;LR'!N97*(1/(1-GEN_MASTER!J$8))+0.024)</f>
        <v>3.05315222187205</v>
      </c>
      <c r="D98" s="33">
        <f>MIN(INDEX(CHECK!$C97:$AD97,MATCH(D$3,CHECK!$C$2:$AD$2,0)),$B98)</f>
        <v>0.00303199999999038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0.000544999999988249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0.00368000000000013</v>
      </c>
      <c r="K98" s="33">
        <f>MAX(0,MIN(INDEX(CHECK!$C97:$AD97,MATCH(K$3,CHECK!$C$2:$AD$2,0)),$B98-SUM($D98:J98)))</f>
        <v>0.00110800000000211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28.376139</v>
      </c>
      <c r="O98" s="33">
        <f>MAX(0,MIN(INDEX(CHECK!$C97:$AD97,MATCH(O$3,CHECK!$C$2:$AD$2,0)),$B98-SUM($D98:N98)))</f>
        <v>35.439237</v>
      </c>
      <c r="P98" s="33">
        <f>MAX(0,MIN(INDEX(CHECK!$C97:$AD97,MATCH(P$3,CHECK!$C$2:$AD$2,0)),$B98-SUM($D98:O98)))</f>
        <v>7.481934</v>
      </c>
      <c r="Q98" s="33">
        <f>MAX(0,MIN(INDEX(CHECK!$C97:$AD97,MATCH(Q$3,CHECK!$C$2:$AD$2,0)),$B98-SUM($D98:P98)))</f>
        <v>198.994695</v>
      </c>
      <c r="R98" s="33">
        <f>MAX(0,MIN(INDEX(CHECK!$C97:$AD97,MATCH(R$3,CHECK!$C$2:$AD$2,0)),$B98-SUM($D98:Q98)))</f>
        <v>71.021259</v>
      </c>
      <c r="S98" s="33">
        <f>MAX(0,MIN(INDEX(CHECK!$C97:$AD97,MATCH(S$3,CHECK!$C$2:$AD$2,0)),$B98-SUM($D98:R98)))</f>
        <v>280.896171</v>
      </c>
      <c r="T98" s="33">
        <f>MAX(0,MIN(INDEX(CHECK!$C97:$AD97,MATCH(T$3,CHECK!$C$2:$AD$2,0)),$B98-SUM($D98:S98)))</f>
        <v>44.0722000000001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0.156</v>
      </c>
      <c r="AJ98" s="40" cm="1">
        <f t="array" ref="AJ98">ROUND(IFERROR(SUMPRODUCT(--($D$2:$AE$2="C"),D98:AE98,$D$1:$AE$1)/(AI98*4000),0),3)</f>
        <v>3.463</v>
      </c>
      <c r="AK98" s="40">
        <f t="shared" si="16"/>
        <v>0.011</v>
      </c>
      <c r="AL98" s="40" cm="1">
        <f t="array" ref="AL98">ROUND(IFERROR(SUMPRODUCT(--($D$2:$AE$2="I"),D98:AE98,$D$1:$AE$1)/(AK98*4000),0),3)</f>
        <v>3.596</v>
      </c>
      <c r="AM98" s="40">
        <f t="shared" si="17"/>
        <v>3.47176047904192</v>
      </c>
      <c r="AN98" s="40">
        <f t="shared" si="18"/>
        <v>3.05315222187205</v>
      </c>
      <c r="AO98" s="44">
        <f t="shared" si="19"/>
        <v>666.29</v>
      </c>
      <c r="AP98" s="40">
        <f t="shared" si="20"/>
        <v>0.167</v>
      </c>
      <c r="AQ98" s="45">
        <f t="shared" si="21"/>
        <v>579784</v>
      </c>
      <c r="AR98" s="45">
        <f t="shared" si="22"/>
        <v>509876.421052632</v>
      </c>
      <c r="AS98" s="45">
        <f t="shared" si="23"/>
        <v>69907.5789473685</v>
      </c>
      <c r="AT98" s="46">
        <f t="shared" si="25"/>
        <v>0.13710690681292</v>
      </c>
      <c r="AW98" s="47">
        <v>664.28</v>
      </c>
      <c r="AY98" s="48">
        <f t="shared" si="24"/>
        <v>-2.00999999999999</v>
      </c>
    </row>
    <row r="99" ht="15.75" spans="1:51">
      <c r="A99" s="30">
        <v>96</v>
      </c>
      <c r="B99" s="31">
        <f>IF('BD&amp;LR'!M98&gt;0,'BD&amp;LR'!M98,0)</f>
        <v>571.1</v>
      </c>
      <c r="C99" s="32">
        <f>('BD&amp;LR'!N98*(1/(1-GEN_MASTER!J$8))+0.024)</f>
        <v>3.02089042966698</v>
      </c>
      <c r="D99" s="33">
        <f>MIN(INDEX(CHECK!$C98:$AD98,MATCH(D$3,CHECK!$C$2:$AD$2,0)),$B99)</f>
        <v>0.00303199999999038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0.000544999999988249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0.00368000000000013</v>
      </c>
      <c r="K99" s="33">
        <f>MAX(0,MIN(INDEX(CHECK!$C98:$AD98,MATCH(K$3,CHECK!$C$2:$AD$2,0)),$B99-SUM($D99:J99)))</f>
        <v>0.00110800000000211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28.376139</v>
      </c>
      <c r="O99" s="33">
        <f>MAX(0,MIN(INDEX(CHECK!$C98:$AD98,MATCH(O$3,CHECK!$C$2:$AD$2,0)),$B99-SUM($D99:N99)))</f>
        <v>35.439237</v>
      </c>
      <c r="P99" s="33">
        <f>MAX(0,MIN(INDEX(CHECK!$C98:$AD98,MATCH(P$3,CHECK!$C$2:$AD$2,0)),$B99-SUM($D99:O99)))</f>
        <v>7.481934</v>
      </c>
      <c r="Q99" s="33">
        <f>MAX(0,MIN(INDEX(CHECK!$C98:$AD98,MATCH(Q$3,CHECK!$C$2:$AD$2,0)),$B99-SUM($D99:P99)))</f>
        <v>198.994695</v>
      </c>
      <c r="R99" s="33">
        <f>MAX(0,MIN(INDEX(CHECK!$C98:$AD98,MATCH(R$3,CHECK!$C$2:$AD$2,0)),$B99-SUM($D99:Q99)))</f>
        <v>71.021259</v>
      </c>
      <c r="S99" s="33">
        <f>MAX(0,MIN(INDEX(CHECK!$C98:$AD98,MATCH(S$3,CHECK!$C$2:$AD$2,0)),$B99-SUM($D99:R99)))</f>
        <v>229.778371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0.143</v>
      </c>
      <c r="AJ99" s="40" cm="1">
        <f t="array" ref="AJ99">ROUND(IFERROR(SUMPRODUCT(--($D$2:$AE$2="C"),D99:AE99,$D$1:$AE$1)/(AI99*4000),0),3)</f>
        <v>3.462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3.462</v>
      </c>
      <c r="AN99" s="40">
        <f t="shared" si="18"/>
        <v>3.02089042966698</v>
      </c>
      <c r="AO99" s="44">
        <f t="shared" si="19"/>
        <v>571.1</v>
      </c>
      <c r="AP99" s="40">
        <f t="shared" si="20"/>
        <v>0.143</v>
      </c>
      <c r="AQ99" s="45">
        <f t="shared" si="21"/>
        <v>495066</v>
      </c>
      <c r="AR99" s="45">
        <f t="shared" si="22"/>
        <v>431987.331442378</v>
      </c>
      <c r="AS99" s="45">
        <f t="shared" si="23"/>
        <v>63078.6685576217</v>
      </c>
      <c r="AT99" s="46">
        <f t="shared" si="25"/>
        <v>0.1460197185575</v>
      </c>
      <c r="AW99" s="47">
        <v>569.38</v>
      </c>
      <c r="AY99" s="48">
        <f t="shared" si="24"/>
        <v>-1.72000000000003</v>
      </c>
    </row>
    <row r="100" spans="33:46">
      <c r="AG100" s="50">
        <f>SUM(AG4:AG99)</f>
        <v>3.061</v>
      </c>
      <c r="AH100" s="51">
        <f>SUMPRODUCT(AG4:AG99,AH4:AH99)/SUM(AG4:AG99)</f>
        <v>3.9141675922901</v>
      </c>
      <c r="AI100" s="50">
        <f>SUM(AI4:AI99)</f>
        <v>4.188</v>
      </c>
      <c r="AJ100" s="51">
        <f>SUMPRODUCT(AI4:AI99,AJ4:AJ99)/SUM(AI4:AI99)</f>
        <v>3.54649785100287</v>
      </c>
      <c r="AK100" s="50">
        <f>SUM(AK4:AK99)</f>
        <v>1.16</v>
      </c>
      <c r="AL100" s="51">
        <f>SUMPRODUCT(AK4:AK99,AL4:AL99)/SUM(AK4:AK99)</f>
        <v>3.14205344827586</v>
      </c>
      <c r="AM100" s="52">
        <f>SUMPRODUCT(AM4:AM99,AP4:AP99)/SUM(AP4:AP99)</f>
        <v>3.62454298965394</v>
      </c>
      <c r="AN100" s="53">
        <f>SUMPRODUCT(AN4:AN99,AP4:AP99)/SUM(AP4:AP99)</f>
        <v>2.92612282372059</v>
      </c>
      <c r="AO100" s="54"/>
      <c r="AP100" s="50">
        <f>SUM(AP4:AP99)</f>
        <v>8.409</v>
      </c>
      <c r="AQ100" s="55">
        <f>SUM(AQ4:AQ99)</f>
        <v>30478782</v>
      </c>
      <c r="AR100" s="56">
        <f t="shared" ref="AR100:AS100" si="26">SUM(AR4:AR99)</f>
        <v>24605766.8246665</v>
      </c>
      <c r="AS100" s="57">
        <f t="shared" si="26"/>
        <v>5873015.17533354</v>
      </c>
      <c r="AT100" s="58">
        <f>AS100/AR100</f>
        <v>0.238684500962028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selection activeCell="F3" sqref="F3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">
        <v>660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661</v>
      </c>
      <c r="C2" s="15" t="s">
        <v>662</v>
      </c>
      <c r="D2" s="14" t="s">
        <v>663</v>
      </c>
      <c r="E2" s="14" t="s">
        <v>664</v>
      </c>
      <c r="F2" s="14" t="s">
        <v>665</v>
      </c>
      <c r="G2" s="14" t="s">
        <v>666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2430.982762</v>
      </c>
      <c r="D3" s="19">
        <f>IF(C3=0,0,SUM(The_Saving!D4:AE4))</f>
        <v>761.51</v>
      </c>
      <c r="E3" s="19">
        <f>IF(D3=0,0,The_Saving!AR4)</f>
        <v>568528.605525791</v>
      </c>
      <c r="F3" s="19">
        <f>IF(D3=0,0,The_Saving!AQ4)</f>
        <v>665880</v>
      </c>
      <c r="G3" s="19">
        <f>F3-E3</f>
        <v>97351.3944742094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2439.002762</v>
      </c>
      <c r="D4" s="19">
        <f>IF(C4=0,0,SUM(The_Saving!D5:AE5))</f>
        <v>856.7</v>
      </c>
      <c r="E4" s="19">
        <f>IF(D4=0,0,The_Saving!AR5)</f>
        <v>587706.543124278</v>
      </c>
      <c r="F4" s="19">
        <f>IF(D4=0,0,The_Saving!AQ5)</f>
        <v>752846</v>
      </c>
      <c r="G4" s="19">
        <f t="shared" ref="G4:G35" si="0">F4-E4</f>
        <v>165139.456875722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2462.432762</v>
      </c>
      <c r="D5" s="19">
        <f>IF(C5=0,0,SUM(The_Saving!D6:AE6))</f>
        <v>1047.08</v>
      </c>
      <c r="E5" s="19">
        <f>IF(D5=0,0,The_Saving!AR6)</f>
        <v>691842.096438702</v>
      </c>
      <c r="F5" s="19">
        <f>IF(D5=0,0,The_Saving!AQ6)</f>
        <v>934021</v>
      </c>
      <c r="G5" s="19">
        <f t="shared" si="0"/>
        <v>242178.903561299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2468.652762</v>
      </c>
      <c r="D6" s="19">
        <f>IF(C6=0,0,SUM(The_Saving!D7:AE7))</f>
        <v>951.89</v>
      </c>
      <c r="E6" s="19">
        <f>IF(D6=0,0,The_Saving!AR7)</f>
        <v>630590.138459922</v>
      </c>
      <c r="F6" s="19">
        <f>IF(D6=0,0,The_Saving!AQ7)</f>
        <v>843178</v>
      </c>
      <c r="G6" s="19">
        <f t="shared" si="0"/>
        <v>212587.861540078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2469.892762</v>
      </c>
      <c r="D7" s="19">
        <f>IF(C7=0,0,SUM(The_Saving!D8:AE8))</f>
        <v>856.68</v>
      </c>
      <c r="E7" s="19">
        <f>IF(D7=0,0,The_Saving!AR8)</f>
        <v>467957.720348776</v>
      </c>
      <c r="F7" s="19">
        <f>IF(D7=0,0,The_Saving!AQ8)</f>
        <v>752732</v>
      </c>
      <c r="G7" s="19">
        <f t="shared" si="0"/>
        <v>284774.279651224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2524.102762</v>
      </c>
      <c r="D8" s="19">
        <f>IF(C8=0,0,SUM(The_Saving!D9:AE9))</f>
        <v>761.48</v>
      </c>
      <c r="E8" s="19">
        <f>IF(D8=0,0,The_Saving!AR9)</f>
        <v>387585.250131316</v>
      </c>
      <c r="F8" s="19">
        <f>IF(D8=0,0,The_Saving!AQ9)</f>
        <v>653264</v>
      </c>
      <c r="G8" s="19">
        <f t="shared" si="0"/>
        <v>265678.749868684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2941.822079</v>
      </c>
      <c r="D9" s="19">
        <f>IF(C9=0,0,SUM(The_Saving!D10:AE10))</f>
        <v>856.68</v>
      </c>
      <c r="E9" s="19">
        <f>IF(D9=0,0,The_Saving!AR10)</f>
        <v>461321.834226284</v>
      </c>
      <c r="F9" s="19">
        <f>IF(D9=0,0,The_Saving!AQ10)</f>
        <v>693601</v>
      </c>
      <c r="G9" s="19">
        <f t="shared" si="0"/>
        <v>232279.165773716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3015.662079</v>
      </c>
      <c r="D10" s="19">
        <f>IF(C10=0,0,SUM(The_Saving!D11:AE11))</f>
        <v>856.67</v>
      </c>
      <c r="E10" s="19">
        <f>IF(D10=0,0,The_Saving!AR11)</f>
        <v>434624.265574115</v>
      </c>
      <c r="F10" s="19">
        <f>IF(D10=0,0,The_Saving!AQ11)</f>
        <v>680900</v>
      </c>
      <c r="G10" s="19">
        <f t="shared" si="0"/>
        <v>246275.734425885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3017.392079</v>
      </c>
      <c r="D11" s="19">
        <f>IF(C11=0,0,SUM(The_Saving!D12:AE12))</f>
        <v>951.86</v>
      </c>
      <c r="E11" s="19">
        <f>IF(D11=0,0,The_Saving!AR12)</f>
        <v>482917.126588927</v>
      </c>
      <c r="F11" s="19">
        <f>IF(D11=0,0,The_Saving!AQ12)</f>
        <v>763221</v>
      </c>
      <c r="G11" s="19">
        <f t="shared" si="0"/>
        <v>280303.873411073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3010.462079</v>
      </c>
      <c r="D12" s="19">
        <f>IF(C12=0,0,SUM(The_Saving!D13:AE13))</f>
        <v>951.86</v>
      </c>
      <c r="E12" s="19">
        <f>IF(D12=0,0,The_Saving!AR13)</f>
        <v>482837.118184683</v>
      </c>
      <c r="F12" s="19">
        <f>IF(D12=0,0,The_Saving!AQ13)</f>
        <v>763795</v>
      </c>
      <c r="G12" s="19">
        <f t="shared" si="0"/>
        <v>280957.881815317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3001.102079</v>
      </c>
      <c r="D13" s="19">
        <f>IF(C13=0,0,SUM(The_Saving!D14:AE14))</f>
        <v>951.86</v>
      </c>
      <c r="E13" s="19">
        <f>IF(D13=0,0,The_Saving!AR14)</f>
        <v>480781.003466751</v>
      </c>
      <c r="F13" s="19">
        <f>IF(D13=0,0,The_Saving!AQ14)</f>
        <v>764321</v>
      </c>
      <c r="G13" s="19">
        <f t="shared" si="0"/>
        <v>283539.996533249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3004.702079</v>
      </c>
      <c r="D14" s="19">
        <f>IF(C14=0,0,SUM(The_Saving!D15:AE15))</f>
        <v>951.85</v>
      </c>
      <c r="E14" s="19">
        <f>IF(D14=0,0,The_Saving!AR15)</f>
        <v>480594.382603215</v>
      </c>
      <c r="F14" s="19">
        <f>IF(D14=0,0,The_Saving!AQ15)</f>
        <v>763916</v>
      </c>
      <c r="G14" s="19">
        <f t="shared" si="0"/>
        <v>283321.617396785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3007.252079</v>
      </c>
      <c r="D15" s="19">
        <f>IF(C15=0,0,SUM(The_Saving!D16:AE16))</f>
        <v>1047.05</v>
      </c>
      <c r="E15" s="19">
        <f>IF(D15=0,0,The_Saving!AR16)</f>
        <v>531675.204538292</v>
      </c>
      <c r="F15" s="19">
        <f>IF(D15=0,0,The_Saving!AQ16)</f>
        <v>847800</v>
      </c>
      <c r="G15" s="19">
        <f t="shared" si="0"/>
        <v>316124.795461708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2983.112079</v>
      </c>
      <c r="D16" s="19">
        <f>IF(C16=0,0,SUM(The_Saving!D17:AE17))</f>
        <v>1142.24</v>
      </c>
      <c r="E16" s="19">
        <f>IF(D16=0,0,The_Saving!AR17)</f>
        <v>611546.586826347</v>
      </c>
      <c r="F16" s="19">
        <f>IF(D16=0,0,The_Saving!AQ17)</f>
        <v>933814</v>
      </c>
      <c r="G16" s="19">
        <f t="shared" si="0"/>
        <v>322267.413173653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2970.211497</v>
      </c>
      <c r="D17" s="19">
        <f>IF(C17=0,0,SUM(The_Saving!D18:AE18))</f>
        <v>1047.06</v>
      </c>
      <c r="E17" s="19">
        <f>IF(D17=0,0,The_Saving!AR18)</f>
        <v>574086.376300032</v>
      </c>
      <c r="F17" s="19">
        <f>IF(D17=0,0,The_Saving!AQ18)</f>
        <v>851364</v>
      </c>
      <c r="G17" s="19">
        <f t="shared" si="0"/>
        <v>277277.623699968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2797.671497</v>
      </c>
      <c r="D18" s="19">
        <f>IF(C18=0,0,SUM(The_Saving!D19:AE19))</f>
        <v>1047.06</v>
      </c>
      <c r="E18" s="19">
        <f>IF(D18=0,0,The_Saving!AR19)</f>
        <v>612515.649963232</v>
      </c>
      <c r="F18" s="19">
        <f>IF(D18=0,0,The_Saving!AQ19)</f>
        <v>892526</v>
      </c>
      <c r="G18" s="19">
        <f t="shared" si="0"/>
        <v>280010.350036768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2712.471497</v>
      </c>
      <c r="D19" s="19">
        <f>IF(C19=0,0,SUM(The_Saving!D20:AE20))</f>
        <v>1047.06</v>
      </c>
      <c r="E19" s="19">
        <f>IF(D19=0,0,The_Saving!AR20)</f>
        <v>638335.820149175</v>
      </c>
      <c r="F19" s="19">
        <f>IF(D19=0,0,The_Saving!AQ20)</f>
        <v>907206</v>
      </c>
      <c r="G19" s="19">
        <f t="shared" si="0"/>
        <v>268870.179850825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2480.541497</v>
      </c>
      <c r="D20" s="19">
        <f>IF(C20=0,0,SUM(The_Saving!D21:AE21))</f>
        <v>1142.27</v>
      </c>
      <c r="E20" s="19">
        <f>IF(D20=0,0,The_Saving!AR21)</f>
        <v>740570.538922156</v>
      </c>
      <c r="F20" s="19">
        <f>IF(D20=0,0,The_Saving!AQ21)</f>
        <v>1025051</v>
      </c>
      <c r="G20" s="19">
        <f t="shared" si="0"/>
        <v>284480.461077844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2105.361497</v>
      </c>
      <c r="D21" s="19">
        <f>IF(C21=0,0,SUM(The_Saving!D22:AE22))</f>
        <v>1142.28</v>
      </c>
      <c r="E21" s="19">
        <f>IF(D21=0,0,The_Saving!AR22)</f>
        <v>755423.832335329</v>
      </c>
      <c r="F21" s="19">
        <f>IF(D21=0,0,The_Saving!AQ22)</f>
        <v>1058604</v>
      </c>
      <c r="G21" s="19">
        <f t="shared" si="0"/>
        <v>303180.16766467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2054.896488</v>
      </c>
      <c r="D22" s="19">
        <f>IF(C22=0,0,SUM(The_Saving!D23:AE23))</f>
        <v>1142.28</v>
      </c>
      <c r="E22" s="19">
        <f>IF(D22=0,0,The_Saving!AR23)</f>
        <v>785544.743775607</v>
      </c>
      <c r="F22" s="19">
        <f>IF(D22=0,0,The_Saving!AQ23)</f>
        <v>1065324</v>
      </c>
      <c r="G22" s="19">
        <f t="shared" si="0"/>
        <v>279779.256224393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1845.906488</v>
      </c>
      <c r="D23" s="19">
        <f>IF(C23=0,0,SUM(The_Saving!D24:AE24))</f>
        <v>970.93</v>
      </c>
      <c r="E23" s="19">
        <f>IF(D23=0,0,The_Saving!AR24)</f>
        <v>769062.349826663</v>
      </c>
      <c r="F23" s="19">
        <f>IF(D23=0,0,The_Saving!AQ24)</f>
        <v>899528</v>
      </c>
      <c r="G23" s="19">
        <f t="shared" si="0"/>
        <v>130465.650173337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1010.206488</v>
      </c>
      <c r="D24" s="19">
        <f>IF(C24=0,0,SUM(The_Saving!D25:AE25))</f>
        <v>894.78</v>
      </c>
      <c r="E24" s="19">
        <f>IF(D24=0,0,The_Saving!AR25)</f>
        <v>674190.354869209</v>
      </c>
      <c r="F24" s="19">
        <f>IF(D24=0,0,The_Saving!AQ25)</f>
        <v>911412</v>
      </c>
      <c r="G24" s="19">
        <f t="shared" si="0"/>
        <v>237221.645130791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804.570317</v>
      </c>
      <c r="D25" s="19">
        <f>IF(C25=0,0,SUM(The_Saving!D26:AE26))</f>
        <v>609.22</v>
      </c>
      <c r="E25" s="19">
        <f>IF(D25=0,0,The_Saving!AR26)</f>
        <v>566205.375354554</v>
      </c>
      <c r="F25" s="19">
        <f>IF(D25=0,0,The_Saving!AQ26)</f>
        <v>632864</v>
      </c>
      <c r="G25" s="19">
        <f t="shared" si="0"/>
        <v>66658.624645446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768.197582</v>
      </c>
      <c r="D26" s="19">
        <f>IF(C26=0,0,SUM(The_Saving!D27:AE27))</f>
        <v>281.14</v>
      </c>
      <c r="E26" s="19">
        <f>IF(D26=0,0,The_Saving!AR27)</f>
        <v>273021.113142137</v>
      </c>
      <c r="F26" s="19">
        <f>IF(D26=0,0,The_Saving!AQ27)</f>
        <v>282245</v>
      </c>
      <c r="G26" s="19">
        <f t="shared" si="0"/>
        <v>9223.88685786317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658.597582</v>
      </c>
      <c r="D27" s="19">
        <f>IF(C27=0,0,SUM(The_Saving!D28:AE28))</f>
        <v>380.71</v>
      </c>
      <c r="E27" s="19">
        <f>IF(D27=0,0,The_Saving!AR28)</f>
        <v>369618.323353293</v>
      </c>
      <c r="F27" s="19">
        <f>IF(D27=0,0,The_Saving!AQ28)</f>
        <v>389352</v>
      </c>
      <c r="G27" s="19">
        <f t="shared" si="0"/>
        <v>19733.6766467065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303.52</v>
      </c>
      <c r="D28" s="19">
        <f>IF(C28=0,0,SUM(The_Saving!D29:AE29))</f>
        <v>190.37</v>
      </c>
      <c r="E28" s="19">
        <f>IF(D28=0,0,The_Saving!AR29)</f>
        <v>202882.097699338</v>
      </c>
      <c r="F28" s="19">
        <f>IF(D28=0,0,The_Saving!AQ29)</f>
        <v>211056</v>
      </c>
      <c r="G28" s="19">
        <f t="shared" si="0"/>
        <v>8173.90230066184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301.06</v>
      </c>
      <c r="D29" s="19">
        <f>IF(C29=0,0,SUM(The_Saving!D30:AE30))</f>
        <v>277.46</v>
      </c>
      <c r="E29" s="19">
        <f>IF(D29=0,0,The_Saving!AR30)</f>
        <v>353275.476835802</v>
      </c>
      <c r="F29" s="19">
        <f>IF(D29=0,0,The_Saving!AQ30)</f>
        <v>307602</v>
      </c>
      <c r="G29" s="19">
        <f t="shared" si="0"/>
        <v>-45673.476835802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359.08</v>
      </c>
      <c r="D30" s="19">
        <f>IF(C30=0,0,SUM(The_Saving!D31:AE31))</f>
        <v>359.11229</v>
      </c>
      <c r="E30" s="19">
        <f>IF(D30=0,0,The_Saving!AR31)</f>
        <v>499581.367790734</v>
      </c>
      <c r="F30" s="19">
        <f>IF(D30=0,0,The_Saving!AQ31)</f>
        <v>392490</v>
      </c>
      <c r="G30" s="19">
        <f t="shared" si="0"/>
        <v>-107091.367790734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506.85</v>
      </c>
      <c r="D31" s="19">
        <f>IF(C31=0,0,SUM(The_Saving!D32:AE32))</f>
        <v>281.65</v>
      </c>
      <c r="E31" s="19">
        <f>IF(D31=0,0,The_Saving!AR32)</f>
        <v>430027.20033617</v>
      </c>
      <c r="F31" s="19">
        <f>IF(D31=0,0,The_Saving!AQ32)</f>
        <v>294840</v>
      </c>
      <c r="G31" s="19">
        <f t="shared" si="0"/>
        <v>-135187.20033617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622.69</v>
      </c>
      <c r="D32" s="19">
        <f>IF(C32=0,0,SUM(The_Saving!D33:AE33))</f>
        <v>373.62</v>
      </c>
      <c r="E32" s="19">
        <f>IF(D32=0,0,The_Saving!AR33)</f>
        <v>637252.296249606</v>
      </c>
      <c r="F32" s="19">
        <f>IF(D32=0,0,The_Saving!AQ33)</f>
        <v>385857</v>
      </c>
      <c r="G32" s="19">
        <f t="shared" si="0"/>
        <v>-251395.296249606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685.14</v>
      </c>
      <c r="D33" s="19">
        <f>IF(C33=0,0,SUM(The_Saving!D34:AE34))</f>
        <v>257.93</v>
      </c>
      <c r="E33" s="19">
        <f>IF(D33=0,0,The_Saving!AR34)</f>
        <v>673875.531463389</v>
      </c>
      <c r="F33" s="19">
        <f>IF(D33=0,0,The_Saving!AQ34)</f>
        <v>257472</v>
      </c>
      <c r="G33" s="19">
        <f t="shared" si="0"/>
        <v>-416403.531463389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280.82</v>
      </c>
      <c r="D34" s="19">
        <f>IF(C34=0,0,SUM(The_Saving!D35:AE35))</f>
        <v>156.74</v>
      </c>
      <c r="E34" s="19">
        <f>IF(D34=0,0,The_Saving!AR35)</f>
        <v>410642.901985503</v>
      </c>
      <c r="F34" s="19">
        <f>IF(D34=0,0,The_Saving!AQ35)</f>
        <v>172029</v>
      </c>
      <c r="G34" s="19">
        <f t="shared" si="0"/>
        <v>-238613.901985503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0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0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0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0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78.6</v>
      </c>
      <c r="D41" s="19">
        <f>IF(C41=0,0,SUM(The_Saving!D42:AE42))</f>
        <v>78.629027</v>
      </c>
      <c r="E41" s="19">
        <f>IF(D41=0,0,The_Saving!AR42)</f>
        <v>137034.25990125</v>
      </c>
      <c r="F41" s="19">
        <f>IF(D41=0,0,The_Saving!AQ42)</f>
        <v>86020</v>
      </c>
      <c r="G41" s="19">
        <f t="shared" si="1"/>
        <v>-51014.2599012502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256.07</v>
      </c>
      <c r="D42" s="19">
        <f>IF(C42=0,0,SUM(The_Saving!D43:AE43))</f>
        <v>95.18</v>
      </c>
      <c r="E42" s="19">
        <f>IF(D42=0,0,The_Saving!AR43)</f>
        <v>129144.547116294</v>
      </c>
      <c r="F42" s="19">
        <f>IF(D42=0,0,The_Saving!AQ43)</f>
        <v>98112</v>
      </c>
      <c r="G42" s="19">
        <f t="shared" si="1"/>
        <v>-31032.5471162937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405.47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504.09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535.7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579.43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900.653778</v>
      </c>
      <c r="D47" s="19">
        <f>IF(C47=0,0,SUM(The_Saving!D48:AE48))</f>
        <v>0</v>
      </c>
      <c r="E47" s="19">
        <f>IF(D47=0,0,The_Saving!AR48)</f>
        <v>0</v>
      </c>
      <c r="F47" s="19">
        <f>IF(D47=0,0,The_Saving!AQ48)</f>
        <v>0</v>
      </c>
      <c r="G47" s="19">
        <f t="shared" si="1"/>
        <v>0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1229.293778</v>
      </c>
      <c r="D48" s="19">
        <f>IF(C48=0,0,SUM(The_Saving!D49:AE49))</f>
        <v>0</v>
      </c>
      <c r="E48" s="19">
        <f>IF(D48=0,0,The_Saving!AR49)</f>
        <v>0</v>
      </c>
      <c r="F48" s="19">
        <f>IF(D48=0,0,The_Saving!AQ49)</f>
        <v>0</v>
      </c>
      <c r="G48" s="19">
        <f t="shared" si="1"/>
        <v>0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1476.043778</v>
      </c>
      <c r="D49" s="19">
        <f>IF(C49=0,0,SUM(The_Saving!D50:AE50))</f>
        <v>0</v>
      </c>
      <c r="E49" s="19">
        <f>IF(D49=0,0,The_Saving!AR50)</f>
        <v>0</v>
      </c>
      <c r="F49" s="19">
        <f>IF(D49=0,0,The_Saving!AQ50)</f>
        <v>0</v>
      </c>
      <c r="G49" s="19">
        <f t="shared" si="1"/>
        <v>0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1562.323778</v>
      </c>
      <c r="D50" s="19">
        <f>IF(C50=0,0,SUM(The_Saving!D51:AE51))</f>
        <v>0</v>
      </c>
      <c r="E50" s="19">
        <f>IF(D50=0,0,The_Saving!AR51)</f>
        <v>0</v>
      </c>
      <c r="F50" s="19">
        <f>IF(D50=0,0,The_Saving!AQ51)</f>
        <v>0</v>
      </c>
      <c r="G50" s="19">
        <f t="shared" si="1"/>
        <v>0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959.673778</v>
      </c>
      <c r="D51" s="19">
        <f>IF(C51=0,0,SUM(The_Saving!D52:AE52))</f>
        <v>0</v>
      </c>
      <c r="E51" s="19">
        <f>IF(D51=0,0,The_Saving!AR52)</f>
        <v>0</v>
      </c>
      <c r="F51" s="19">
        <f>IF(D51=0,0,The_Saving!AQ52)</f>
        <v>0</v>
      </c>
      <c r="G51" s="19">
        <f t="shared" si="1"/>
        <v>0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960.843778</v>
      </c>
      <c r="D52" s="19">
        <f>IF(C52=0,0,SUM(The_Saving!D53:AE53))</f>
        <v>0</v>
      </c>
      <c r="E52" s="19">
        <f>IF(D52=0,0,The_Saving!AR53)</f>
        <v>0</v>
      </c>
      <c r="F52" s="19">
        <f>IF(D52=0,0,The_Saving!AQ53)</f>
        <v>0</v>
      </c>
      <c r="G52" s="19">
        <f t="shared" si="1"/>
        <v>0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965.875625</v>
      </c>
      <c r="D53" s="19">
        <f>IF(C53=0,0,SUM(The_Saving!D54:AE54))</f>
        <v>285.56</v>
      </c>
      <c r="E53" s="19">
        <f>IF(D53=0,0,The_Saving!AR54)</f>
        <v>225474.459081836</v>
      </c>
      <c r="F53" s="19">
        <f>IF(D53=0,0,The_Saving!AQ54)</f>
        <v>287124</v>
      </c>
      <c r="G53" s="19">
        <f t="shared" si="1"/>
        <v>61649.5409181636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1337.748121</v>
      </c>
      <c r="D54" s="19">
        <f>IF(C54=0,0,SUM(The_Saving!D55:AE55))</f>
        <v>571.13</v>
      </c>
      <c r="E54" s="19">
        <f>IF(D54=0,0,The_Saving!AR55)</f>
        <v>455374.49395945</v>
      </c>
      <c r="F54" s="19">
        <f>IF(D54=0,0,The_Saving!AQ55)</f>
        <v>526859</v>
      </c>
      <c r="G54" s="19">
        <f t="shared" si="1"/>
        <v>71484.5060405505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1556.078121</v>
      </c>
      <c r="D55" s="19">
        <f>IF(C55=0,0,SUM(The_Saving!D56:AE56))</f>
        <v>761.5</v>
      </c>
      <c r="E55" s="19">
        <f>IF(D55=0,0,The_Saving!AR56)</f>
        <v>589029.15180166</v>
      </c>
      <c r="F55" s="19">
        <f>IF(D55=0,0,The_Saving!AQ56)</f>
        <v>687461</v>
      </c>
      <c r="G55" s="19">
        <f t="shared" si="1"/>
        <v>98431.84819834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1654.238121</v>
      </c>
      <c r="D56" s="19">
        <f>IF(C56=0,0,SUM(The_Saving!D57:AE57))</f>
        <v>951.89</v>
      </c>
      <c r="E56" s="19">
        <f>IF(D56=0,0,The_Saving!AR57)</f>
        <v>701177.553104318</v>
      </c>
      <c r="F56" s="19">
        <f>IF(D56=0,0,The_Saving!AQ57)</f>
        <v>866361</v>
      </c>
      <c r="G56" s="19">
        <f t="shared" si="1"/>
        <v>165183.446895682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1533.738121</v>
      </c>
      <c r="D57" s="19">
        <f>IF(C57=0,0,SUM(The_Saving!D58:AE58))</f>
        <v>571.12</v>
      </c>
      <c r="E57" s="19">
        <f>IF(D57=0,0,The_Saving!AR58)</f>
        <v>432090.987288581</v>
      </c>
      <c r="F57" s="19">
        <f>IF(D57=0,0,The_Saving!AQ58)</f>
        <v>500643</v>
      </c>
      <c r="G57" s="19">
        <f t="shared" si="1"/>
        <v>68552.0127114193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1324.218121</v>
      </c>
      <c r="D58" s="19">
        <f>IF(C58=0,0,SUM(The_Saving!D59:AE59))</f>
        <v>666.31</v>
      </c>
      <c r="E58" s="19">
        <f>IF(D58=0,0,The_Saving!AR59)</f>
        <v>511589.29467381</v>
      </c>
      <c r="F58" s="19">
        <f>IF(D58=0,0,The_Saving!AQ59)</f>
        <v>623336</v>
      </c>
      <c r="G58" s="19">
        <f t="shared" si="1"/>
        <v>111746.70532619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1457.42195</v>
      </c>
      <c r="D59" s="19">
        <f>IF(C59=0,0,SUM(The_Saving!D60:AE60))</f>
        <v>380.74</v>
      </c>
      <c r="E59" s="19">
        <f>IF(D59=0,0,The_Saving!AR60)</f>
        <v>279905.748502994</v>
      </c>
      <c r="F59" s="19">
        <f>IF(D59=0,0,The_Saving!AQ60)</f>
        <v>359655</v>
      </c>
      <c r="G59" s="19">
        <f t="shared" si="1"/>
        <v>79749.251497006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1462.34195</v>
      </c>
      <c r="D60" s="19">
        <f>IF(C60=0,0,SUM(The_Saving!D61:AE61))</f>
        <v>475.93</v>
      </c>
      <c r="E60" s="19">
        <f>IF(D60=0,0,The_Saving!AR61)</f>
        <v>359524.715201177</v>
      </c>
      <c r="F60" s="19">
        <f>IF(D60=0,0,The_Saving!AQ61)</f>
        <v>454699</v>
      </c>
      <c r="G60" s="19">
        <f t="shared" si="1"/>
        <v>95174.2847988234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674.42195</v>
      </c>
      <c r="D61" s="19">
        <f>IF(C61=0,0,SUM(The_Saving!D62:AE62))</f>
        <v>571.13</v>
      </c>
      <c r="E61" s="19">
        <f>IF(D61=0,0,The_Saving!AR62)</f>
        <v>493967.518436811</v>
      </c>
      <c r="F61" s="19">
        <f>IF(D61=0,0,The_Saving!AQ62)</f>
        <v>622752</v>
      </c>
      <c r="G61" s="19">
        <f t="shared" si="1"/>
        <v>128784.481563189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271.56</v>
      </c>
      <c r="D62" s="19">
        <f>IF(C62=0,0,SUM(The_Saving!D63:AE63))</f>
        <v>271.590874</v>
      </c>
      <c r="E62" s="19">
        <f>IF(D62=0,0,The_Saving!AR63)</f>
        <v>238990.504044543</v>
      </c>
      <c r="F62" s="19">
        <f>IF(D62=0,0,The_Saving!AQ63)</f>
        <v>301104</v>
      </c>
      <c r="G62" s="19">
        <f t="shared" si="1"/>
        <v>62113.4959554575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302.693622</v>
      </c>
      <c r="D63" s="19">
        <f>IF(C63=0,0,SUM(The_Saving!D64:AE64))</f>
        <v>285.55</v>
      </c>
      <c r="E63" s="19">
        <f>IF(D63=0,0,The_Saving!AR64)</f>
        <v>246367.210421263</v>
      </c>
      <c r="F63" s="19">
        <f>IF(D63=0,0,The_Saving!AQ64)</f>
        <v>315973</v>
      </c>
      <c r="G63" s="19">
        <f t="shared" si="1"/>
        <v>69605.7895787373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370.813622</v>
      </c>
      <c r="D64" s="19">
        <f>IF(C64=0,0,SUM(The_Saving!D65:AE65))</f>
        <v>370.810874</v>
      </c>
      <c r="E64" s="19">
        <f>IF(D64=0,0,The_Saving!AR65)</f>
        <v>321233.040025213</v>
      </c>
      <c r="F64" s="19">
        <f>IF(D64=0,0,The_Saving!AQ65)</f>
        <v>410214</v>
      </c>
      <c r="G64" s="19">
        <f t="shared" si="1"/>
        <v>88980.9599747873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356.973622</v>
      </c>
      <c r="D65" s="19">
        <f>IF(C65=0,0,SUM(The_Saving!D66:AE66))</f>
        <v>356.970874</v>
      </c>
      <c r="E65" s="19">
        <f>IF(D65=0,0,The_Saving!AR66)</f>
        <v>310699.252442483</v>
      </c>
      <c r="F65" s="19">
        <f>IF(D65=0,0,The_Saving!AQ66)</f>
        <v>395225</v>
      </c>
      <c r="G65" s="19">
        <f t="shared" si="1"/>
        <v>84525.7475575165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103.383622</v>
      </c>
      <c r="D66" s="19">
        <f>IF(C66=0,0,SUM(The_Saving!D67:AE67))</f>
        <v>103.380874</v>
      </c>
      <c r="E66" s="19">
        <f>IF(D66=0,0,The_Saving!AR67)</f>
        <v>93504.2815421788</v>
      </c>
      <c r="F66" s="19">
        <f>IF(D66=0,0,The_Saving!AQ67)</f>
        <v>114556</v>
      </c>
      <c r="G66" s="19">
        <f t="shared" si="1"/>
        <v>21051.7184578212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85.8136220000002</v>
      </c>
      <c r="D67" s="19">
        <f>IF(C67=0,0,SUM(The_Saving!D68:AE68))</f>
        <v>85.810874</v>
      </c>
      <c r="E67" s="19">
        <f>IF(D67=0,0,The_Saving!AR68)</f>
        <v>66679.4806177119</v>
      </c>
      <c r="F67" s="19">
        <f>IF(D67=0,0,The_Saving!AQ68)</f>
        <v>95088</v>
      </c>
      <c r="G67" s="19">
        <f t="shared" si="1"/>
        <v>28408.519382288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100.533622</v>
      </c>
      <c r="D68" s="19">
        <f>IF(C68=0,0,SUM(The_Saving!D69:AE69))</f>
        <v>100.530874</v>
      </c>
      <c r="E68" s="19">
        <f>IF(D68=0,0,The_Saving!AR69)</f>
        <v>85186.3536085723</v>
      </c>
      <c r="F68" s="19">
        <f>IF(D68=0,0,The_Saving!AQ69)</f>
        <v>111400</v>
      </c>
      <c r="G68" s="19">
        <f t="shared" ref="G68:G98" si="2">F68-E68</f>
        <v>26213.6463914277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100.533622</v>
      </c>
      <c r="D69" s="19">
        <f>IF(C69=0,0,SUM(The_Saving!D70:AE70))</f>
        <v>100.530874</v>
      </c>
      <c r="E69" s="19">
        <f>IF(D69=0,0,The_Saving!AR70)</f>
        <v>93771.026368316</v>
      </c>
      <c r="F69" s="19">
        <f>IF(D69=0,0,The_Saving!AQ70)</f>
        <v>111400</v>
      </c>
      <c r="G69" s="19">
        <f t="shared" si="2"/>
        <v>17628.973631684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100.533622</v>
      </c>
      <c r="D70" s="19">
        <f>IF(C70=0,0,SUM(The_Saving!D71:AE71))</f>
        <v>100.530874</v>
      </c>
      <c r="E70" s="19">
        <f>IF(D70=0,0,The_Saving!AR71)</f>
        <v>118798.077529152</v>
      </c>
      <c r="F70" s="19">
        <f>IF(D70=0,0,The_Saving!AQ71)</f>
        <v>111400</v>
      </c>
      <c r="G70" s="19">
        <f t="shared" si="2"/>
        <v>-7398.07752915223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0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0</v>
      </c>
      <c r="D72" s="19">
        <f>IF(C72=0,0,SUM(The_Saving!D73:AE73))</f>
        <v>0</v>
      </c>
      <c r="E72" s="19">
        <f>IF(D72=0,0,The_Saving!AR73)</f>
        <v>0</v>
      </c>
      <c r="F72" s="19">
        <f>IF(D72=0,0,The_Saving!AQ73)</f>
        <v>0</v>
      </c>
      <c r="G72" s="19">
        <f t="shared" si="2"/>
        <v>0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0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0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0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0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0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0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0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0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0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0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0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0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90.0502069999999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264.380207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370.620207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447.670207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528.058389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836.908389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1146.247785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1292.487785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1288.227785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1366.20052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1783.661171</v>
      </c>
      <c r="D95" s="19">
        <f>IF(C95=0,0,SUM(The_Saving!D96:AE96))</f>
        <v>190.33</v>
      </c>
      <c r="E95" s="19">
        <f>IF(D95=0,0,The_Saving!AR96)</f>
        <v>142374.061140876</v>
      </c>
      <c r="F95" s="19">
        <f>IF(D95=0,0,The_Saving!AQ96)</f>
        <v>163056</v>
      </c>
      <c r="G95" s="19">
        <f t="shared" si="2"/>
        <v>20681.9388591238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2193.415933</v>
      </c>
      <c r="D96" s="19">
        <f>IF(C96=0,0,SUM(The_Saving!D97:AE97))</f>
        <v>475.91</v>
      </c>
      <c r="E96" s="19">
        <f>IF(D96=0,0,The_Saving!AR97)</f>
        <v>365367.828973632</v>
      </c>
      <c r="F96" s="19">
        <f>IF(D96=0,0,The_Saving!AQ97)</f>
        <v>411383</v>
      </c>
      <c r="G96" s="19">
        <f t="shared" si="2"/>
        <v>46015.1710263683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2296.216476</v>
      </c>
      <c r="D97" s="19">
        <f>IF(C97=0,0,SUM(The_Saving!D98:AE98))</f>
        <v>666.29</v>
      </c>
      <c r="E97" s="19">
        <f>IF(D97=0,0,The_Saving!AR98)</f>
        <v>509876.421052632</v>
      </c>
      <c r="F97" s="19">
        <f>IF(D97=0,0,The_Saving!AQ98)</f>
        <v>579784</v>
      </c>
      <c r="G97" s="19">
        <f t="shared" si="2"/>
        <v>69907.5789473685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2295.456476</v>
      </c>
      <c r="D98" s="19">
        <f>IF(C98=0,0,SUM(The_Saving!D99:AE99))</f>
        <v>571.1</v>
      </c>
      <c r="E98" s="19">
        <f>IF(D98=0,0,The_Saving!AR99)</f>
        <v>431987.331442378</v>
      </c>
      <c r="F98" s="19">
        <f>IF(D98=0,0,The_Saving!AQ99)</f>
        <v>495066</v>
      </c>
      <c r="G98" s="19">
        <f t="shared" si="2"/>
        <v>63078.6685576217</v>
      </c>
    </row>
    <row r="99" s="13" customFormat="1" ht="18.75" spans="1:7">
      <c r="A99" s="17"/>
      <c r="B99" s="20" t="s">
        <v>667</v>
      </c>
      <c r="C99" s="21">
        <f t="array" ref="C99">SUM(C3:C98/4000)</f>
        <v>25.36277022375</v>
      </c>
      <c r="D99" s="21">
        <f t="array" ref="D99">SUM(D3:D98/4000)</f>
        <v>8.40888457725</v>
      </c>
      <c r="E99" s="22">
        <f t="shared" ref="E99:G99" si="3">SUM(E3:E98)/10^7</f>
        <v>2.46057668246665</v>
      </c>
      <c r="F99" s="22">
        <f t="shared" si="3"/>
        <v>3.0478782</v>
      </c>
      <c r="G99" s="23">
        <f t="shared" si="3"/>
        <v>0.587301517533354</v>
      </c>
    </row>
  </sheetData>
  <mergeCells count="1">
    <mergeCell ref="A1:G1"/>
  </mergeCells>
  <printOptions horizontalCentered="1"/>
  <pageMargins left="0.751388888888889" right="0.751388888888889" top="1" bottom="1" header="0.5" footer="0.5"/>
  <pageSetup paperSize="9" scale="85" orientation="portrait" horizontalDpi="6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669</v>
      </c>
      <c r="B2" s="3" t="s">
        <v>670</v>
      </c>
      <c r="C2" s="3" t="s">
        <v>671</v>
      </c>
      <c r="D2" s="4" t="s">
        <v>672</v>
      </c>
      <c r="E2" s="5" t="s">
        <v>673</v>
      </c>
      <c r="F2" s="5"/>
      <c r="G2" s="5"/>
      <c r="H2" s="5"/>
      <c r="I2" s="5" t="s">
        <v>674</v>
      </c>
      <c r="J2" s="5"/>
      <c r="K2" s="5"/>
      <c r="L2" s="5"/>
      <c r="M2" s="5" t="s">
        <v>675</v>
      </c>
      <c r="N2" s="5"/>
      <c r="O2" s="5"/>
      <c r="P2" s="5"/>
      <c r="Q2" s="5" t="s">
        <v>676</v>
      </c>
      <c r="R2" s="5"/>
      <c r="S2" s="5"/>
      <c r="T2" s="5"/>
    </row>
    <row r="3" ht="18.75" spans="1:20">
      <c r="A3" s="6"/>
      <c r="B3" s="6"/>
      <c r="C3" s="6"/>
      <c r="D3" s="6"/>
      <c r="E3" s="7" t="s">
        <v>677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678</v>
      </c>
      <c r="F4" s="8"/>
      <c r="G4" s="8" t="s">
        <v>679</v>
      </c>
      <c r="H4" s="8"/>
      <c r="I4" s="8" t="s">
        <v>678</v>
      </c>
      <c r="J4" s="8"/>
      <c r="K4" s="8" t="s">
        <v>679</v>
      </c>
      <c r="L4" s="8"/>
      <c r="M4" s="8" t="s">
        <v>678</v>
      </c>
      <c r="N4" s="8"/>
      <c r="O4" s="8" t="s">
        <v>679</v>
      </c>
      <c r="P4" s="8"/>
      <c r="Q4" s="8" t="s">
        <v>678</v>
      </c>
      <c r="R4" s="8"/>
      <c r="S4" s="8" t="s">
        <v>679</v>
      </c>
      <c r="T4" s="8"/>
      <c r="U4" s="11"/>
      <c r="V4" s="12"/>
    </row>
    <row r="5" ht="15.75" spans="1:22">
      <c r="A5" s="6"/>
      <c r="B5" s="6"/>
      <c r="C5" s="6"/>
      <c r="D5" s="6"/>
      <c r="E5" s="8" t="s">
        <v>680</v>
      </c>
      <c r="F5" s="8" t="s">
        <v>681</v>
      </c>
      <c r="G5" s="8" t="s">
        <v>680</v>
      </c>
      <c r="H5" s="8" t="s">
        <v>681</v>
      </c>
      <c r="I5" s="8" t="s">
        <v>680</v>
      </c>
      <c r="J5" s="8" t="s">
        <v>681</v>
      </c>
      <c r="K5" s="8" t="s">
        <v>680</v>
      </c>
      <c r="L5" s="8" t="s">
        <v>681</v>
      </c>
      <c r="M5" s="8" t="s">
        <v>680</v>
      </c>
      <c r="N5" s="8" t="s">
        <v>681</v>
      </c>
      <c r="O5" s="8" t="s">
        <v>680</v>
      </c>
      <c r="P5" s="8" t="s">
        <v>681</v>
      </c>
      <c r="Q5" s="8" t="s">
        <v>680</v>
      </c>
      <c r="R5" s="8" t="s">
        <v>681</v>
      </c>
      <c r="S5" s="8" t="s">
        <v>680</v>
      </c>
      <c r="T5" s="8" t="s">
        <v>681</v>
      </c>
      <c r="U5" s="11"/>
      <c r="V5" s="12"/>
    </row>
    <row r="6" ht="24.75" customHeight="1" spans="1:4">
      <c r="A6" s="9">
        <v>1</v>
      </c>
      <c r="B6" s="10" t="s">
        <v>682</v>
      </c>
      <c r="C6" s="9" t="s">
        <v>683</v>
      </c>
      <c r="D6" s="9">
        <v>7.2</v>
      </c>
    </row>
    <row r="7" ht="24.75" customHeight="1" spans="1:4">
      <c r="A7" s="9">
        <v>2</v>
      </c>
      <c r="B7" s="10" t="s">
        <v>684</v>
      </c>
      <c r="C7" s="9" t="s">
        <v>685</v>
      </c>
      <c r="D7" s="9">
        <v>7.2</v>
      </c>
    </row>
    <row r="8" ht="24.75" customHeight="1" spans="1:4">
      <c r="A8" s="9">
        <v>3</v>
      </c>
      <c r="B8" s="10" t="s">
        <v>686</v>
      </c>
      <c r="C8" s="9" t="s">
        <v>687</v>
      </c>
      <c r="D8" s="9">
        <v>7.2</v>
      </c>
    </row>
    <row r="9" ht="24.75" customHeight="1" spans="1:4">
      <c r="A9" s="9">
        <v>4</v>
      </c>
      <c r="B9" s="10"/>
      <c r="C9" s="9" t="s">
        <v>687</v>
      </c>
      <c r="D9" s="9">
        <v>7.2</v>
      </c>
    </row>
    <row r="10" ht="24.75" customHeight="1" spans="1:4">
      <c r="A10" s="9">
        <v>4</v>
      </c>
      <c r="B10" s="10" t="s">
        <v>688</v>
      </c>
      <c r="C10" s="9" t="s">
        <v>689</v>
      </c>
      <c r="D10" s="9">
        <v>7.2</v>
      </c>
    </row>
    <row r="11" ht="24.75" customHeight="1" spans="1:4">
      <c r="A11" s="9">
        <v>6</v>
      </c>
      <c r="B11" s="10"/>
      <c r="C11" s="9" t="s">
        <v>689</v>
      </c>
      <c r="D11" s="9">
        <v>7.2</v>
      </c>
    </row>
    <row r="12" ht="24.75" customHeight="1" spans="1:4">
      <c r="A12" s="9">
        <v>5</v>
      </c>
      <c r="B12" s="10" t="s">
        <v>690</v>
      </c>
      <c r="C12" s="9" t="s">
        <v>685</v>
      </c>
      <c r="D12" s="9">
        <v>7.2</v>
      </c>
    </row>
    <row r="13" ht="24.75" customHeight="1" spans="1:4">
      <c r="A13" s="9"/>
      <c r="B13" s="10"/>
      <c r="C13" s="9" t="s">
        <v>685</v>
      </c>
      <c r="D13" s="9">
        <v>7.2</v>
      </c>
    </row>
    <row r="14" ht="24.75" customHeight="1" spans="1:4">
      <c r="A14" s="9">
        <v>6</v>
      </c>
      <c r="B14" s="10" t="s">
        <v>691</v>
      </c>
      <c r="C14" s="9" t="s">
        <v>692</v>
      </c>
      <c r="D14" s="9">
        <v>7.2</v>
      </c>
    </row>
    <row r="15" ht="24.75" customHeight="1" spans="1:4">
      <c r="A15" s="9">
        <v>7</v>
      </c>
      <c r="B15" s="10" t="s">
        <v>693</v>
      </c>
      <c r="C15" s="9" t="s">
        <v>683</v>
      </c>
      <c r="D15" s="9">
        <v>7.2</v>
      </c>
    </row>
    <row r="16" ht="24.75" customHeight="1" spans="1:4">
      <c r="A16" s="9">
        <v>11</v>
      </c>
      <c r="B16" s="10"/>
      <c r="C16" s="9" t="s">
        <v>683</v>
      </c>
      <c r="D16" s="9">
        <v>7.2</v>
      </c>
    </row>
    <row r="17" ht="24.75" customHeight="1" spans="1:4">
      <c r="A17" s="9">
        <v>8</v>
      </c>
      <c r="B17" s="10" t="s">
        <v>694</v>
      </c>
      <c r="C17" s="9" t="s">
        <v>695</v>
      </c>
      <c r="D17" s="9">
        <v>6.1</v>
      </c>
    </row>
    <row r="18" ht="24.75" customHeight="1" spans="1:4">
      <c r="A18" s="9">
        <v>9</v>
      </c>
      <c r="B18" s="10" t="s">
        <v>696</v>
      </c>
      <c r="C18" s="9" t="s">
        <v>697</v>
      </c>
      <c r="D18" s="9">
        <v>2.5</v>
      </c>
    </row>
    <row r="19" ht="24.75" customHeight="1" spans="1:4">
      <c r="A19" s="9">
        <v>14</v>
      </c>
      <c r="B19" s="10"/>
      <c r="C19" s="9" t="s">
        <v>697</v>
      </c>
      <c r="D19" s="9">
        <v>7.2</v>
      </c>
    </row>
    <row r="20" ht="24.75" customHeight="1" spans="1:4">
      <c r="A20" s="9">
        <v>10</v>
      </c>
      <c r="B20" s="10" t="s">
        <v>698</v>
      </c>
      <c r="C20" s="9" t="s">
        <v>689</v>
      </c>
      <c r="D20" s="9">
        <v>6</v>
      </c>
    </row>
    <row r="21" ht="24.75" customHeight="1" spans="1:4">
      <c r="A21" s="9">
        <v>11</v>
      </c>
      <c r="B21" s="10" t="s">
        <v>699</v>
      </c>
      <c r="C21" s="9" t="s">
        <v>689</v>
      </c>
      <c r="D21" s="9">
        <v>7.2</v>
      </c>
    </row>
    <row r="22" ht="24.75" customHeight="1" spans="1:4">
      <c r="A22" s="9">
        <v>17</v>
      </c>
      <c r="B22" s="10"/>
      <c r="C22" s="9" t="s">
        <v>689</v>
      </c>
      <c r="D22" s="9">
        <v>5</v>
      </c>
    </row>
    <row r="23" ht="24.75" customHeight="1" spans="1:4">
      <c r="A23" s="9">
        <v>12</v>
      </c>
      <c r="B23" s="10" t="s">
        <v>700</v>
      </c>
      <c r="C23" s="9" t="s">
        <v>685</v>
      </c>
      <c r="D23" s="9">
        <v>7.2</v>
      </c>
    </row>
    <row r="24" ht="24.75" customHeight="1" spans="1:4">
      <c r="A24" s="9">
        <v>19</v>
      </c>
      <c r="B24" s="10"/>
      <c r="C24" s="9" t="s">
        <v>685</v>
      </c>
      <c r="D24" s="9">
        <v>5</v>
      </c>
    </row>
    <row r="25" ht="24.75" customHeight="1" spans="1:4">
      <c r="A25" s="9">
        <v>13</v>
      </c>
      <c r="B25" s="10" t="s">
        <v>701</v>
      </c>
      <c r="C25" s="9" t="s">
        <v>702</v>
      </c>
      <c r="D25" s="9">
        <v>7.2</v>
      </c>
    </row>
    <row r="26" ht="24.75" customHeight="1" spans="1:4">
      <c r="A26" s="9">
        <v>21</v>
      </c>
      <c r="B26" s="10"/>
      <c r="C26" s="9" t="s">
        <v>702</v>
      </c>
      <c r="D26" s="9">
        <v>7.2</v>
      </c>
    </row>
    <row r="27" ht="24.75" customHeight="1" spans="1:4">
      <c r="A27" s="9">
        <v>14</v>
      </c>
      <c r="B27" s="10" t="s">
        <v>703</v>
      </c>
      <c r="C27" s="9" t="s">
        <v>702</v>
      </c>
      <c r="D27" s="9">
        <v>7.2</v>
      </c>
    </row>
    <row r="28" ht="24.75" customHeight="1" spans="1:4">
      <c r="A28" s="9">
        <v>23</v>
      </c>
      <c r="B28" s="10"/>
      <c r="C28" s="9" t="s">
        <v>702</v>
      </c>
      <c r="D28" s="9">
        <v>7.2</v>
      </c>
    </row>
    <row r="29" ht="24.75" customHeight="1" spans="1:4">
      <c r="A29" s="9">
        <v>15</v>
      </c>
      <c r="B29" s="10" t="s">
        <v>704</v>
      </c>
      <c r="C29" s="9" t="s">
        <v>702</v>
      </c>
      <c r="D29" s="9">
        <v>7.2</v>
      </c>
    </row>
    <row r="30" ht="24.75" customHeight="1" spans="1:4">
      <c r="A30" s="9">
        <v>25</v>
      </c>
      <c r="B30" s="10"/>
      <c r="C30" s="9" t="s">
        <v>702</v>
      </c>
      <c r="D30" s="9">
        <v>7.2</v>
      </c>
    </row>
    <row r="31" ht="24.75" customHeight="1" spans="1:4">
      <c r="A31" s="9">
        <v>16</v>
      </c>
      <c r="B31" s="10" t="s">
        <v>705</v>
      </c>
      <c r="C31" s="9" t="s">
        <v>706</v>
      </c>
      <c r="D31" s="9">
        <v>7.2</v>
      </c>
    </row>
    <row r="32" ht="24.75" customHeight="1" spans="1:4">
      <c r="A32" s="9">
        <v>17</v>
      </c>
      <c r="B32" s="10" t="s">
        <v>707</v>
      </c>
      <c r="C32" s="9" t="s">
        <v>708</v>
      </c>
      <c r="D32" s="9">
        <v>2.6</v>
      </c>
    </row>
    <row r="33" ht="24.75" customHeight="1" spans="1:4">
      <c r="A33" s="9">
        <v>28</v>
      </c>
      <c r="B33" s="10"/>
      <c r="C33" s="9" t="s">
        <v>708</v>
      </c>
      <c r="D33" s="9">
        <v>1.625</v>
      </c>
    </row>
    <row r="34" ht="24.75" customHeight="1" spans="1:4">
      <c r="A34" s="9">
        <v>18</v>
      </c>
      <c r="B34" s="10" t="s">
        <v>709</v>
      </c>
      <c r="C34" s="9" t="s">
        <v>710</v>
      </c>
      <c r="D34" s="9">
        <v>7.2</v>
      </c>
    </row>
    <row r="35" ht="24.75" customHeight="1" spans="1:4">
      <c r="A35" s="9">
        <v>30</v>
      </c>
      <c r="B35" s="10"/>
      <c r="C35" s="9" t="s">
        <v>710</v>
      </c>
      <c r="D35" s="9">
        <v>5</v>
      </c>
    </row>
    <row r="36" ht="24.75" customHeight="1" spans="1:4">
      <c r="A36" s="9">
        <v>19</v>
      </c>
      <c r="B36" s="10" t="s">
        <v>711</v>
      </c>
      <c r="C36" s="9" t="s">
        <v>710</v>
      </c>
      <c r="D36" s="9">
        <v>6</v>
      </c>
    </row>
    <row r="37" ht="24.75" customHeight="1" spans="1:4">
      <c r="A37" s="9">
        <v>20</v>
      </c>
      <c r="B37" s="10" t="s">
        <v>712</v>
      </c>
      <c r="C37" s="9" t="s">
        <v>713</v>
      </c>
      <c r="D37" s="9">
        <v>7.2</v>
      </c>
    </row>
    <row r="38" ht="24.75" customHeight="1" spans="1:4">
      <c r="A38" s="9">
        <v>21</v>
      </c>
      <c r="B38" s="10" t="s">
        <v>714</v>
      </c>
      <c r="C38" s="9" t="s">
        <v>713</v>
      </c>
      <c r="D38" s="9">
        <v>7.2</v>
      </c>
    </row>
    <row r="39" ht="24.75" customHeight="1" spans="1:4">
      <c r="A39" s="9">
        <v>22</v>
      </c>
      <c r="B39" s="10" t="s">
        <v>715</v>
      </c>
      <c r="C39" s="9" t="s">
        <v>702</v>
      </c>
      <c r="D39" s="9">
        <v>7.2</v>
      </c>
    </row>
    <row r="40" ht="24.75" customHeight="1" spans="1:4">
      <c r="A40" s="9">
        <v>23</v>
      </c>
      <c r="B40" s="10" t="s">
        <v>716</v>
      </c>
      <c r="C40" s="9" t="s">
        <v>687</v>
      </c>
      <c r="D40" s="9">
        <v>7.2</v>
      </c>
    </row>
    <row r="41" ht="24.75" customHeight="1" spans="1:4">
      <c r="A41" s="9">
        <v>24</v>
      </c>
      <c r="B41" s="10" t="s">
        <v>717</v>
      </c>
      <c r="C41" s="9" t="s">
        <v>718</v>
      </c>
      <c r="D41" s="9">
        <v>7.2</v>
      </c>
    </row>
    <row r="42" ht="24.75" customHeight="1" spans="1:4">
      <c r="A42" s="9">
        <v>25</v>
      </c>
      <c r="B42" s="10" t="s">
        <v>719</v>
      </c>
      <c r="C42" s="9" t="s">
        <v>687</v>
      </c>
      <c r="D42" s="9">
        <v>7.2</v>
      </c>
    </row>
    <row r="43" ht="24.75" customHeight="1" spans="1:4">
      <c r="A43" s="9">
        <v>26</v>
      </c>
      <c r="B43" s="10" t="s">
        <v>720</v>
      </c>
      <c r="C43" s="9" t="s">
        <v>706</v>
      </c>
      <c r="D43" s="9">
        <v>7.2</v>
      </c>
    </row>
    <row r="44" ht="24.75" customHeight="1" spans="1:4">
      <c r="A44" s="9">
        <v>27</v>
      </c>
      <c r="B44" s="10" t="s">
        <v>721</v>
      </c>
      <c r="C44" s="9" t="s">
        <v>685</v>
      </c>
      <c r="D44" s="9">
        <v>7.2</v>
      </c>
    </row>
    <row r="45" ht="24.75" customHeight="1" spans="1:4">
      <c r="A45" s="9">
        <v>28</v>
      </c>
      <c r="B45" s="10" t="s">
        <v>722</v>
      </c>
      <c r="C45" s="9" t="s">
        <v>687</v>
      </c>
      <c r="D45" s="9">
        <v>7.2</v>
      </c>
    </row>
    <row r="46" ht="24.75" customHeight="1" spans="1:4">
      <c r="A46" s="9">
        <v>41</v>
      </c>
      <c r="B46" s="10"/>
      <c r="C46" s="9" t="s">
        <v>687</v>
      </c>
      <c r="D46" s="9">
        <v>14.4</v>
      </c>
    </row>
    <row r="47" ht="24.75" customHeight="1" spans="1:4">
      <c r="A47" s="9">
        <v>29</v>
      </c>
      <c r="B47" s="10" t="s">
        <v>723</v>
      </c>
      <c r="C47" s="9" t="s">
        <v>710</v>
      </c>
      <c r="D47" s="9">
        <v>7.2</v>
      </c>
    </row>
    <row r="48" ht="24.75" customHeight="1" spans="1:4">
      <c r="A48" s="9">
        <v>30</v>
      </c>
      <c r="B48" s="10" t="s">
        <v>724</v>
      </c>
      <c r="C48" s="9" t="s">
        <v>683</v>
      </c>
      <c r="D48" s="9">
        <v>7.2</v>
      </c>
    </row>
    <row r="49" ht="24.75" customHeight="1" spans="1:4">
      <c r="A49" s="9">
        <v>44</v>
      </c>
      <c r="B49" s="10"/>
      <c r="C49" s="9" t="s">
        <v>683</v>
      </c>
      <c r="D49" s="9">
        <v>5</v>
      </c>
    </row>
    <row r="50" ht="24.75" customHeight="1" spans="1:4">
      <c r="A50" s="9">
        <v>31</v>
      </c>
      <c r="B50" s="10" t="s">
        <v>725</v>
      </c>
      <c r="C50" s="9" t="s">
        <v>687</v>
      </c>
      <c r="D50" s="9">
        <v>30</v>
      </c>
    </row>
    <row r="51" ht="24.75" customHeight="1" spans="1:4">
      <c r="A51" s="9">
        <v>46</v>
      </c>
      <c r="B51" s="10"/>
      <c r="C51" s="9" t="s">
        <v>687</v>
      </c>
      <c r="D51" s="9">
        <v>5</v>
      </c>
    </row>
    <row r="52" ht="24.75" customHeight="1" spans="1:4">
      <c r="A52" s="9">
        <v>47</v>
      </c>
      <c r="B52" s="10"/>
      <c r="C52" s="9" t="s">
        <v>687</v>
      </c>
      <c r="D52" s="9">
        <v>5</v>
      </c>
    </row>
    <row r="53" ht="24.75" customHeight="1" spans="1:4">
      <c r="A53" s="9">
        <v>48</v>
      </c>
      <c r="B53" s="10"/>
      <c r="C53" s="9" t="s">
        <v>687</v>
      </c>
      <c r="D53" s="9">
        <v>5</v>
      </c>
    </row>
    <row r="54" ht="24.75" customHeight="1" spans="1:4">
      <c r="A54" s="9">
        <v>49</v>
      </c>
      <c r="B54" s="10"/>
      <c r="C54" s="9" t="s">
        <v>687</v>
      </c>
      <c r="D54" s="9">
        <v>14.4</v>
      </c>
    </row>
    <row r="55" ht="24.75" customHeight="1" spans="1:4">
      <c r="A55" s="9">
        <v>32</v>
      </c>
      <c r="B55" s="10" t="s">
        <v>726</v>
      </c>
      <c r="C55" s="9" t="s">
        <v>727</v>
      </c>
      <c r="D55" s="9">
        <v>7.2</v>
      </c>
    </row>
    <row r="56" ht="24.75" customHeight="1" spans="1:4">
      <c r="A56" s="9">
        <v>33</v>
      </c>
      <c r="B56" s="10" t="s">
        <v>728</v>
      </c>
      <c r="C56" s="9" t="s">
        <v>689</v>
      </c>
      <c r="D56" s="9">
        <v>5</v>
      </c>
    </row>
    <row r="57" ht="24.75" customHeight="1" spans="1:4">
      <c r="A57" s="9">
        <v>52</v>
      </c>
      <c r="B57" s="10"/>
      <c r="C57" s="9" t="s">
        <v>689</v>
      </c>
      <c r="D57" s="9">
        <v>5</v>
      </c>
    </row>
    <row r="58" ht="24.75" customHeight="1" spans="1:4">
      <c r="A58" s="9">
        <v>34</v>
      </c>
      <c r="B58" s="10" t="s">
        <v>729</v>
      </c>
      <c r="C58" s="9" t="s">
        <v>727</v>
      </c>
      <c r="D58" s="9">
        <v>14.4</v>
      </c>
    </row>
    <row r="59" ht="24.75" customHeight="1" spans="1:4">
      <c r="A59" s="9">
        <v>35</v>
      </c>
      <c r="B59" s="10" t="s">
        <v>730</v>
      </c>
      <c r="C59" s="9" t="s">
        <v>683</v>
      </c>
      <c r="D59" s="9">
        <v>7.5</v>
      </c>
    </row>
    <row r="60" ht="24.75" customHeight="1" spans="1:4">
      <c r="A60" s="9">
        <v>36</v>
      </c>
      <c r="B60" s="10" t="s">
        <v>731</v>
      </c>
      <c r="C60" s="9" t="s">
        <v>710</v>
      </c>
      <c r="D60" s="9">
        <v>7.2</v>
      </c>
    </row>
    <row r="61" ht="24.75" customHeight="1" spans="1:4">
      <c r="A61" s="9">
        <v>37</v>
      </c>
      <c r="B61" s="10" t="s">
        <v>732</v>
      </c>
      <c r="C61" s="9" t="s">
        <v>683</v>
      </c>
      <c r="D61" s="9">
        <v>5</v>
      </c>
    </row>
    <row r="62" ht="24.75" customHeight="1" spans="1:4">
      <c r="A62" s="9">
        <v>57</v>
      </c>
      <c r="B62" s="10"/>
      <c r="C62" s="9" t="s">
        <v>683</v>
      </c>
      <c r="D62" s="9">
        <v>7.2</v>
      </c>
    </row>
    <row r="63" ht="24.75" customHeight="1" spans="1:4">
      <c r="A63" s="9">
        <v>38</v>
      </c>
      <c r="B63" s="10" t="s">
        <v>733</v>
      </c>
      <c r="C63" s="9" t="s">
        <v>685</v>
      </c>
      <c r="D63" s="9">
        <v>7.2</v>
      </c>
    </row>
    <row r="64" ht="24.75" customHeight="1" spans="1:4">
      <c r="A64" s="9">
        <v>39</v>
      </c>
      <c r="B64" s="10" t="s">
        <v>734</v>
      </c>
      <c r="C64" s="9" t="s">
        <v>697</v>
      </c>
      <c r="D64" s="9">
        <v>7.2</v>
      </c>
    </row>
    <row r="65" ht="24.75" customHeight="1" spans="1:4">
      <c r="A65" s="9">
        <v>40</v>
      </c>
      <c r="B65" s="10" t="s">
        <v>735</v>
      </c>
      <c r="C65" s="9" t="s">
        <v>685</v>
      </c>
      <c r="D65" s="9">
        <v>7.2</v>
      </c>
    </row>
    <row r="66" ht="24.75" customHeight="1" spans="1:4">
      <c r="A66" s="9">
        <v>61</v>
      </c>
      <c r="B66" s="10"/>
      <c r="C66" s="9" t="s">
        <v>685</v>
      </c>
      <c r="D66" s="9">
        <v>5</v>
      </c>
    </row>
    <row r="67" ht="24.75" customHeight="1" spans="1:4">
      <c r="A67" s="9">
        <v>41</v>
      </c>
      <c r="B67" s="10" t="s">
        <v>736</v>
      </c>
      <c r="C67" s="9" t="s">
        <v>689</v>
      </c>
      <c r="D67" s="9">
        <v>7.2</v>
      </c>
    </row>
    <row r="68" ht="24.75" customHeight="1" spans="1:4">
      <c r="A68" s="9">
        <v>42</v>
      </c>
      <c r="B68" s="10" t="s">
        <v>737</v>
      </c>
      <c r="C68" s="9" t="s">
        <v>697</v>
      </c>
      <c r="D68" s="9">
        <v>5</v>
      </c>
    </row>
    <row r="69" ht="24.75" customHeight="1" spans="1:4">
      <c r="A69" s="9">
        <v>64</v>
      </c>
      <c r="B69" s="10"/>
      <c r="C69" s="9" t="s">
        <v>697</v>
      </c>
      <c r="D69" s="9">
        <v>7</v>
      </c>
    </row>
    <row r="70" ht="24.75" customHeight="1" spans="1:4">
      <c r="A70" s="9">
        <v>43</v>
      </c>
      <c r="B70" s="10" t="s">
        <v>738</v>
      </c>
      <c r="C70" s="9" t="s">
        <v>708</v>
      </c>
      <c r="D70" s="9">
        <v>5.8</v>
      </c>
    </row>
    <row r="71" ht="24.75" customHeight="1" spans="1:4">
      <c r="A71" s="9">
        <v>44</v>
      </c>
      <c r="B71" s="10" t="s">
        <v>739</v>
      </c>
      <c r="C71" s="9" t="s">
        <v>713</v>
      </c>
      <c r="D71" s="9">
        <v>6.3</v>
      </c>
    </row>
    <row r="72" ht="24.75" customHeight="1" spans="1:4">
      <c r="A72" s="9">
        <v>45</v>
      </c>
      <c r="B72" s="10" t="s">
        <v>740</v>
      </c>
      <c r="C72" s="9" t="s">
        <v>708</v>
      </c>
      <c r="D72" s="9">
        <v>7.2</v>
      </c>
    </row>
    <row r="73" ht="24.75" customHeight="1" spans="1:4">
      <c r="A73" s="9">
        <v>46</v>
      </c>
      <c r="B73" s="10" t="s">
        <v>741</v>
      </c>
      <c r="C73" s="9" t="s">
        <v>687</v>
      </c>
      <c r="D73" s="9">
        <v>7.2</v>
      </c>
    </row>
    <row r="74" ht="24.75" customHeight="1" spans="1:4">
      <c r="A74" s="9">
        <v>47</v>
      </c>
      <c r="B74" s="10" t="s">
        <v>742</v>
      </c>
      <c r="C74" s="9" t="s">
        <v>697</v>
      </c>
      <c r="D74" s="9">
        <v>2.5</v>
      </c>
    </row>
    <row r="75" ht="24.75" customHeight="1" spans="1:4">
      <c r="A75" s="9">
        <v>70</v>
      </c>
      <c r="B75" s="10"/>
      <c r="C75" s="9" t="s">
        <v>697</v>
      </c>
      <c r="D75" s="9">
        <v>7.2</v>
      </c>
    </row>
    <row r="76" ht="24.75" customHeight="1" spans="1:4">
      <c r="A76" s="9">
        <v>48</v>
      </c>
      <c r="B76" s="10" t="s">
        <v>743</v>
      </c>
      <c r="C76" s="9" t="s">
        <v>687</v>
      </c>
      <c r="D76" s="9">
        <v>14.4</v>
      </c>
    </row>
    <row r="77" ht="24.75" customHeight="1" spans="1:4">
      <c r="A77" s="9">
        <v>49</v>
      </c>
      <c r="B77" s="10" t="s">
        <v>744</v>
      </c>
      <c r="C77" s="9" t="s">
        <v>745</v>
      </c>
      <c r="D77" s="9">
        <v>5.8</v>
      </c>
    </row>
    <row r="78" ht="24.75" customHeight="1" spans="1:4">
      <c r="A78" s="9">
        <v>50</v>
      </c>
      <c r="B78" s="10" t="s">
        <v>746</v>
      </c>
      <c r="C78" s="9" t="s">
        <v>697</v>
      </c>
      <c r="D78" s="9">
        <v>7.2</v>
      </c>
    </row>
    <row r="79" ht="24.75" customHeight="1" spans="1:4">
      <c r="A79" s="9">
        <v>74</v>
      </c>
      <c r="B79" s="10"/>
      <c r="C79" s="9" t="s">
        <v>697</v>
      </c>
      <c r="D79" s="9">
        <v>7.2</v>
      </c>
    </row>
    <row r="80" ht="24.75" customHeight="1" spans="1:4">
      <c r="A80" s="9">
        <v>51</v>
      </c>
      <c r="B80" s="10" t="s">
        <v>747</v>
      </c>
      <c r="C80" s="9" t="s">
        <v>702</v>
      </c>
      <c r="D80" s="9">
        <v>7.2</v>
      </c>
    </row>
    <row r="81" ht="24.75" customHeight="1" spans="1:4">
      <c r="A81" s="9">
        <v>52</v>
      </c>
      <c r="B81" s="10" t="s">
        <v>748</v>
      </c>
      <c r="C81" s="9" t="s">
        <v>710</v>
      </c>
      <c r="D81" s="9">
        <v>7.2</v>
      </c>
    </row>
    <row r="82" ht="24.75" customHeight="1" spans="1:4">
      <c r="A82" s="9">
        <v>77</v>
      </c>
      <c r="B82" s="10"/>
      <c r="C82" s="9" t="s">
        <v>710</v>
      </c>
      <c r="D82" s="9">
        <v>6</v>
      </c>
    </row>
    <row r="83" ht="24.75" customHeight="1" spans="1:4">
      <c r="A83" s="9">
        <v>53</v>
      </c>
      <c r="B83" s="10" t="s">
        <v>749</v>
      </c>
      <c r="C83" s="9" t="s">
        <v>702</v>
      </c>
      <c r="D83" s="9">
        <v>7.2</v>
      </c>
    </row>
    <row r="84" ht="24.75" customHeight="1" spans="1:4">
      <c r="A84" s="9">
        <v>79</v>
      </c>
      <c r="B84" s="10"/>
      <c r="C84" s="9" t="s">
        <v>702</v>
      </c>
      <c r="D84" s="9">
        <v>7.2</v>
      </c>
    </row>
    <row r="85" ht="24.75" customHeight="1" spans="1:4">
      <c r="A85" s="9">
        <v>54</v>
      </c>
      <c r="B85" s="10" t="s">
        <v>750</v>
      </c>
      <c r="C85" s="9" t="s">
        <v>697</v>
      </c>
      <c r="D85" s="9">
        <v>7.2</v>
      </c>
    </row>
    <row r="86" ht="24.75" customHeight="1" spans="1:4">
      <c r="A86" s="9">
        <v>81</v>
      </c>
      <c r="B86" s="10"/>
      <c r="C86" s="9" t="s">
        <v>697</v>
      </c>
      <c r="D86" s="9">
        <v>7.2</v>
      </c>
    </row>
    <row r="87" ht="24.75" customHeight="1" spans="1:4">
      <c r="A87" s="9">
        <v>82</v>
      </c>
      <c r="B87" s="10"/>
      <c r="C87" s="9" t="s">
        <v>697</v>
      </c>
      <c r="D87" s="9">
        <v>7.2</v>
      </c>
    </row>
    <row r="88" ht="24.75" customHeight="1" spans="1:4">
      <c r="A88" s="9">
        <v>55</v>
      </c>
      <c r="B88" s="10" t="s">
        <v>751</v>
      </c>
      <c r="C88" s="9" t="s">
        <v>710</v>
      </c>
      <c r="D88" s="9">
        <v>7.2</v>
      </c>
    </row>
    <row r="89" ht="24.75" customHeight="1" spans="1:4">
      <c r="A89" s="9">
        <v>84</v>
      </c>
      <c r="B89" s="10"/>
      <c r="C89" s="9" t="s">
        <v>710</v>
      </c>
      <c r="D89" s="9">
        <v>7.2</v>
      </c>
    </row>
    <row r="90" ht="24.75" customHeight="1" spans="1:4">
      <c r="A90" s="9">
        <v>85</v>
      </c>
      <c r="B90" s="10"/>
      <c r="C90" s="9" t="s">
        <v>710</v>
      </c>
      <c r="D90" s="9">
        <v>5</v>
      </c>
    </row>
    <row r="91" ht="24.75" customHeight="1" spans="1:4">
      <c r="A91" s="9">
        <v>56</v>
      </c>
      <c r="B91" s="10" t="s">
        <v>752</v>
      </c>
      <c r="C91" s="9" t="s">
        <v>683</v>
      </c>
      <c r="D91" s="9">
        <v>7.2</v>
      </c>
    </row>
    <row r="92" ht="24.75" customHeight="1" spans="1:4">
      <c r="A92" s="9">
        <v>57</v>
      </c>
      <c r="B92" s="10" t="s">
        <v>753</v>
      </c>
      <c r="C92" s="9" t="s">
        <v>683</v>
      </c>
      <c r="D92" s="9">
        <v>5</v>
      </c>
    </row>
    <row r="93" ht="24.75" customHeight="1" spans="1:4">
      <c r="A93" s="9">
        <v>58</v>
      </c>
      <c r="B93" s="10" t="s">
        <v>754</v>
      </c>
      <c r="C93" s="9" t="s">
        <v>708</v>
      </c>
      <c r="D93" s="9">
        <v>7.2</v>
      </c>
    </row>
    <row r="94" ht="24.75" customHeight="1" spans="1:4">
      <c r="A94" s="9">
        <v>59</v>
      </c>
      <c r="B94" s="10" t="s">
        <v>755</v>
      </c>
      <c r="C94" s="9" t="s">
        <v>687</v>
      </c>
      <c r="D94" s="9">
        <v>5</v>
      </c>
    </row>
    <row r="95" ht="24.75" customHeight="1" spans="1:4">
      <c r="A95" s="9">
        <v>90</v>
      </c>
      <c r="B95" s="10"/>
      <c r="C95" s="9" t="s">
        <v>687</v>
      </c>
      <c r="D95" s="9">
        <v>5</v>
      </c>
    </row>
    <row r="96" ht="24.75" customHeight="1" spans="1:4">
      <c r="A96" s="9">
        <v>60</v>
      </c>
      <c r="B96" s="10" t="s">
        <v>756</v>
      </c>
      <c r="C96" s="9" t="s">
        <v>727</v>
      </c>
      <c r="D96" s="9">
        <v>7.2</v>
      </c>
    </row>
    <row r="97" ht="24.75" customHeight="1" spans="1:4">
      <c r="A97" s="9">
        <v>61</v>
      </c>
      <c r="B97" s="10" t="s">
        <v>757</v>
      </c>
      <c r="C97" s="9" t="s">
        <v>685</v>
      </c>
      <c r="D97" s="9">
        <v>5</v>
      </c>
    </row>
    <row r="98" ht="24.75" customHeight="1" spans="1:4">
      <c r="A98" s="9">
        <v>93</v>
      </c>
      <c r="B98" s="10"/>
      <c r="C98" s="9" t="s">
        <v>685</v>
      </c>
      <c r="D98" s="9">
        <v>7.2</v>
      </c>
    </row>
    <row r="99" ht="24.75" customHeight="1" spans="1:4">
      <c r="A99" s="9">
        <v>62</v>
      </c>
      <c r="B99" s="10" t="s">
        <v>758</v>
      </c>
      <c r="C99" s="9" t="s">
        <v>727</v>
      </c>
      <c r="D99" s="9">
        <v>7.2</v>
      </c>
    </row>
    <row r="100" ht="24.75" customHeight="1" spans="1:4">
      <c r="A100" s="9">
        <v>63</v>
      </c>
      <c r="B100" s="10" t="s">
        <v>759</v>
      </c>
      <c r="C100" s="9" t="s">
        <v>687</v>
      </c>
      <c r="D100" s="9">
        <v>7.2</v>
      </c>
    </row>
    <row r="101" ht="24.75" customHeight="1" spans="1:4">
      <c r="A101" s="9">
        <v>96</v>
      </c>
      <c r="B101" s="10"/>
      <c r="C101" s="9" t="s">
        <v>687</v>
      </c>
      <c r="D101" s="9">
        <v>14.4</v>
      </c>
    </row>
    <row r="102" ht="24.75" customHeight="1" spans="1:4">
      <c r="A102" s="9">
        <v>64</v>
      </c>
      <c r="B102" s="10" t="s">
        <v>760</v>
      </c>
      <c r="C102" s="9" t="s">
        <v>710</v>
      </c>
      <c r="D102" s="9">
        <v>7.2</v>
      </c>
    </row>
    <row r="103" ht="24.75" customHeight="1" spans="1:4">
      <c r="A103" s="9">
        <v>65</v>
      </c>
      <c r="B103" s="10" t="s">
        <v>761</v>
      </c>
      <c r="C103" s="9" t="s">
        <v>687</v>
      </c>
      <c r="D103" s="9">
        <v>7.2</v>
      </c>
    </row>
    <row r="104" ht="24.75" customHeight="1" spans="1:4">
      <c r="A104" s="9">
        <v>99</v>
      </c>
      <c r="B104" s="10"/>
      <c r="C104" s="9" t="s">
        <v>687</v>
      </c>
      <c r="D104" s="9">
        <v>7.2</v>
      </c>
    </row>
    <row r="105" ht="24.75" customHeight="1" spans="1:4">
      <c r="A105" s="9">
        <v>66</v>
      </c>
      <c r="B105" s="10" t="s">
        <v>762</v>
      </c>
      <c r="C105" s="9" t="s">
        <v>689</v>
      </c>
      <c r="D105" s="9">
        <v>7.2</v>
      </c>
    </row>
    <row r="106" ht="24.75" customHeight="1" spans="1:4">
      <c r="A106" s="9">
        <v>101</v>
      </c>
      <c r="B106" s="10"/>
      <c r="C106" s="9" t="s">
        <v>689</v>
      </c>
      <c r="D106" s="9">
        <v>7.2</v>
      </c>
    </row>
    <row r="107" ht="24.75" customHeight="1" spans="1:4">
      <c r="A107" s="9">
        <v>102</v>
      </c>
      <c r="B107" s="10"/>
      <c r="C107" s="9" t="s">
        <v>689</v>
      </c>
      <c r="D107" s="9">
        <v>7.2</v>
      </c>
    </row>
    <row r="108" ht="24.75" customHeight="1" spans="1:4">
      <c r="A108" s="9">
        <v>67</v>
      </c>
      <c r="B108" s="10" t="s">
        <v>763</v>
      </c>
      <c r="C108" s="9" t="s">
        <v>706</v>
      </c>
      <c r="D108" s="9">
        <v>7.2</v>
      </c>
    </row>
    <row r="109" ht="24.75" customHeight="1" spans="1:4">
      <c r="A109" s="9">
        <v>68</v>
      </c>
      <c r="B109" s="10" t="s">
        <v>764</v>
      </c>
      <c r="C109" s="9" t="s">
        <v>687</v>
      </c>
      <c r="D109" s="9">
        <v>7.2</v>
      </c>
    </row>
    <row r="110" ht="24.75" customHeight="1" spans="1:4">
      <c r="A110" s="9">
        <v>105</v>
      </c>
      <c r="B110" s="10"/>
      <c r="C110" s="9" t="s">
        <v>687</v>
      </c>
      <c r="D110" s="9">
        <v>7.2</v>
      </c>
    </row>
    <row r="111" ht="24.75" customHeight="1" spans="1:4">
      <c r="A111" s="9">
        <v>69</v>
      </c>
      <c r="B111" s="10" t="s">
        <v>765</v>
      </c>
      <c r="C111" s="9" t="s">
        <v>689</v>
      </c>
      <c r="D111" s="9">
        <v>10.9</v>
      </c>
    </row>
    <row r="112" ht="24.75" customHeight="1" spans="1:4">
      <c r="A112" s="9">
        <v>70</v>
      </c>
      <c r="B112" s="10" t="s">
        <v>766</v>
      </c>
      <c r="C112" s="9" t="s">
        <v>692</v>
      </c>
      <c r="D112" s="9">
        <v>7.2</v>
      </c>
    </row>
    <row r="113" ht="24.75" customHeight="1" spans="1:4">
      <c r="A113" s="9">
        <v>71</v>
      </c>
      <c r="B113" s="10" t="s">
        <v>767</v>
      </c>
      <c r="C113" s="9" t="s">
        <v>683</v>
      </c>
      <c r="D113" s="9">
        <v>5</v>
      </c>
    </row>
    <row r="114" ht="24.75" customHeight="1" spans="1:4">
      <c r="A114" s="9">
        <v>109</v>
      </c>
      <c r="B114" s="10"/>
      <c r="C114" s="9" t="s">
        <v>683</v>
      </c>
      <c r="D114" s="9">
        <v>5</v>
      </c>
    </row>
    <row r="115" ht="24.75" customHeight="1" spans="1:4">
      <c r="A115" s="9">
        <v>72</v>
      </c>
      <c r="B115" s="10" t="s">
        <v>768</v>
      </c>
      <c r="C115" s="9" t="s">
        <v>685</v>
      </c>
      <c r="D115" s="9">
        <v>7.2</v>
      </c>
    </row>
    <row r="116" ht="24.75" customHeight="1" spans="1:4">
      <c r="A116" s="9">
        <v>73</v>
      </c>
      <c r="B116" s="10" t="s">
        <v>769</v>
      </c>
      <c r="C116" s="9" t="s">
        <v>702</v>
      </c>
      <c r="D116" s="9">
        <v>7.2</v>
      </c>
    </row>
    <row r="117" ht="24.75" customHeight="1" spans="1:4">
      <c r="A117" s="9">
        <v>112</v>
      </c>
      <c r="B117" s="10"/>
      <c r="C117" s="9" t="s">
        <v>702</v>
      </c>
      <c r="D117" s="9">
        <v>7.2</v>
      </c>
    </row>
    <row r="118" ht="24.75" customHeight="1" spans="1:4">
      <c r="A118" s="9">
        <v>74</v>
      </c>
      <c r="B118" s="10" t="s">
        <v>770</v>
      </c>
      <c r="C118" s="9" t="s">
        <v>687</v>
      </c>
      <c r="D118" s="9">
        <v>7.2</v>
      </c>
    </row>
    <row r="119" ht="24.75" customHeight="1" spans="1:4">
      <c r="A119" s="9">
        <v>75</v>
      </c>
      <c r="B119" s="10" t="s">
        <v>771</v>
      </c>
      <c r="C119" s="9" t="s">
        <v>727</v>
      </c>
      <c r="D119" s="9">
        <v>7.2</v>
      </c>
    </row>
    <row r="120" ht="24.75" customHeight="1" spans="1:4">
      <c r="A120" s="9">
        <v>76</v>
      </c>
      <c r="B120" s="10" t="s">
        <v>772</v>
      </c>
      <c r="C120" s="9" t="s">
        <v>710</v>
      </c>
      <c r="D120" s="9">
        <v>7.2</v>
      </c>
    </row>
    <row r="121" ht="24.75" customHeight="1" spans="1:4">
      <c r="A121" s="9">
        <v>77</v>
      </c>
      <c r="B121" s="10" t="s">
        <v>773</v>
      </c>
      <c r="C121" s="9" t="s">
        <v>689</v>
      </c>
      <c r="D121" s="9">
        <v>7.2</v>
      </c>
    </row>
    <row r="122" ht="24.75" customHeight="1" spans="1:4">
      <c r="A122" s="9">
        <v>117</v>
      </c>
      <c r="B122" s="10"/>
      <c r="C122" s="9" t="s">
        <v>689</v>
      </c>
      <c r="D122" s="9">
        <v>7.2</v>
      </c>
    </row>
    <row r="123" ht="24.75" customHeight="1" spans="1:4">
      <c r="A123" s="9">
        <v>118</v>
      </c>
      <c r="B123" s="10"/>
      <c r="C123" s="9" t="s">
        <v>689</v>
      </c>
      <c r="D123" s="9">
        <v>7.2</v>
      </c>
    </row>
    <row r="124" ht="24.75" customHeight="1" spans="1:4">
      <c r="A124" s="9">
        <v>78</v>
      </c>
      <c r="B124" s="10" t="s">
        <v>774</v>
      </c>
      <c r="C124" s="9" t="s">
        <v>685</v>
      </c>
      <c r="D124" s="9">
        <v>7.2</v>
      </c>
    </row>
    <row r="125" ht="24.75" customHeight="1" spans="1:4">
      <c r="A125" s="9">
        <v>79</v>
      </c>
      <c r="B125" s="10" t="s">
        <v>775</v>
      </c>
      <c r="C125" s="9" t="s">
        <v>727</v>
      </c>
      <c r="D125" s="9">
        <v>7.2</v>
      </c>
    </row>
    <row r="126" ht="24.75" customHeight="1" spans="1:4">
      <c r="A126" s="9">
        <v>80</v>
      </c>
      <c r="B126" s="10" t="s">
        <v>776</v>
      </c>
      <c r="C126" s="9" t="s">
        <v>710</v>
      </c>
      <c r="D126" s="9">
        <v>7.2</v>
      </c>
    </row>
    <row r="127" ht="24.75" customHeight="1" spans="1:4">
      <c r="A127" s="9">
        <v>81</v>
      </c>
      <c r="B127" s="10" t="s">
        <v>777</v>
      </c>
      <c r="C127" s="9" t="s">
        <v>685</v>
      </c>
      <c r="D127" s="9">
        <v>5</v>
      </c>
    </row>
    <row r="128" ht="24.75" customHeight="1" spans="1:4">
      <c r="A128" s="9">
        <v>123</v>
      </c>
      <c r="B128" s="10"/>
      <c r="C128" s="9" t="s">
        <v>685</v>
      </c>
      <c r="D128" s="9">
        <v>7.2</v>
      </c>
    </row>
    <row r="129" ht="24.75" customHeight="1" spans="1:4">
      <c r="A129" s="9">
        <v>82</v>
      </c>
      <c r="B129" s="10" t="s">
        <v>778</v>
      </c>
      <c r="C129" s="9" t="s">
        <v>685</v>
      </c>
      <c r="D129" s="9">
        <v>7.2</v>
      </c>
    </row>
    <row r="130" ht="24.75" customHeight="1" spans="1:4">
      <c r="A130" s="9">
        <v>125</v>
      </c>
      <c r="B130" s="10"/>
      <c r="C130" s="9" t="s">
        <v>685</v>
      </c>
      <c r="D130" s="9">
        <v>7.2</v>
      </c>
    </row>
    <row r="131" ht="24.75" customHeight="1" spans="1:4">
      <c r="A131" s="9">
        <v>83</v>
      </c>
      <c r="B131" s="10" t="s">
        <v>779</v>
      </c>
      <c r="C131" s="9" t="s">
        <v>710</v>
      </c>
      <c r="D131" s="9">
        <v>7.2</v>
      </c>
    </row>
    <row r="132" ht="24.75" customHeight="1" spans="1:4">
      <c r="A132" s="9">
        <v>127</v>
      </c>
      <c r="B132" s="10"/>
      <c r="C132" s="9" t="s">
        <v>710</v>
      </c>
      <c r="D132" s="9">
        <v>6</v>
      </c>
    </row>
    <row r="133" ht="24.75" customHeight="1" spans="1:4">
      <c r="A133" s="9">
        <v>84</v>
      </c>
      <c r="B133" s="10" t="s">
        <v>780</v>
      </c>
      <c r="C133" s="9" t="s">
        <v>685</v>
      </c>
      <c r="D133" s="9">
        <v>7.2</v>
      </c>
    </row>
    <row r="134" ht="24.75" customHeight="1" spans="1:4">
      <c r="A134" s="9">
        <v>85</v>
      </c>
      <c r="B134" s="10" t="s">
        <v>781</v>
      </c>
      <c r="C134" s="9" t="s">
        <v>687</v>
      </c>
      <c r="D134" s="9">
        <v>7.2</v>
      </c>
    </row>
    <row r="135" ht="24.75" customHeight="1" spans="1:4">
      <c r="A135" s="9">
        <v>86</v>
      </c>
      <c r="B135" s="10" t="s">
        <v>782</v>
      </c>
      <c r="C135" s="9" t="s">
        <v>708</v>
      </c>
      <c r="D135" s="9">
        <v>7.2</v>
      </c>
    </row>
    <row r="136" ht="24.75" customHeight="1" spans="1:4">
      <c r="A136" s="9">
        <v>87</v>
      </c>
      <c r="B136" s="10" t="s">
        <v>783</v>
      </c>
      <c r="C136" s="9" t="s">
        <v>683</v>
      </c>
      <c r="D136" s="9">
        <v>5</v>
      </c>
    </row>
    <row r="137" ht="24.75" customHeight="1" spans="1:4">
      <c r="A137" s="9">
        <v>88</v>
      </c>
      <c r="B137" s="10" t="s">
        <v>784</v>
      </c>
      <c r="C137" s="9" t="s">
        <v>745</v>
      </c>
      <c r="D137" s="9">
        <v>5</v>
      </c>
    </row>
    <row r="138" ht="24.75" customHeight="1" spans="1:4">
      <c r="A138" s="9">
        <v>89</v>
      </c>
      <c r="B138" s="10" t="s">
        <v>785</v>
      </c>
      <c r="C138" s="9" t="s">
        <v>708</v>
      </c>
      <c r="D138" s="9">
        <v>7.2</v>
      </c>
    </row>
    <row r="139" ht="24.75" customHeight="1" spans="1:4">
      <c r="A139" s="9">
        <v>134</v>
      </c>
      <c r="B139" s="10"/>
      <c r="C139" s="9" t="s">
        <v>708</v>
      </c>
      <c r="D139" s="9">
        <v>6</v>
      </c>
    </row>
    <row r="140" ht="24.75" customHeight="1" spans="1:4">
      <c r="A140" s="9">
        <v>90</v>
      </c>
      <c r="B140" s="10" t="s">
        <v>786</v>
      </c>
      <c r="C140" s="9" t="s">
        <v>683</v>
      </c>
      <c r="D140" s="9">
        <v>7.2</v>
      </c>
    </row>
    <row r="141" ht="24.75" customHeight="1" spans="1:4">
      <c r="A141" s="9">
        <v>91</v>
      </c>
      <c r="B141" s="10" t="s">
        <v>787</v>
      </c>
      <c r="C141" s="9" t="s">
        <v>745</v>
      </c>
      <c r="D141" s="9">
        <v>7.2</v>
      </c>
    </row>
    <row r="142" ht="24.75" customHeight="1" spans="1:4">
      <c r="A142" s="9">
        <v>92</v>
      </c>
      <c r="B142" s="10" t="s">
        <v>788</v>
      </c>
      <c r="C142" s="9" t="s">
        <v>727</v>
      </c>
      <c r="D142" s="9">
        <v>7.2</v>
      </c>
    </row>
    <row r="143" ht="24.75" customHeight="1" spans="1:4">
      <c r="A143" s="9">
        <v>93</v>
      </c>
      <c r="B143" s="10" t="s">
        <v>789</v>
      </c>
      <c r="C143" s="9" t="s">
        <v>710</v>
      </c>
      <c r="D143" s="9">
        <v>7.2</v>
      </c>
    </row>
    <row r="144" ht="24.75" customHeight="1" spans="1:4">
      <c r="A144" s="9">
        <v>94</v>
      </c>
      <c r="B144" s="10" t="s">
        <v>790</v>
      </c>
      <c r="C144" s="9" t="s">
        <v>710</v>
      </c>
      <c r="D144" s="9">
        <v>7.2</v>
      </c>
    </row>
    <row r="145" ht="24.75" customHeight="1" spans="1:4">
      <c r="A145" s="9">
        <v>95</v>
      </c>
      <c r="B145" s="10" t="s">
        <v>791</v>
      </c>
      <c r="C145" s="9" t="s">
        <v>706</v>
      </c>
      <c r="D145" s="9">
        <v>5</v>
      </c>
    </row>
    <row r="146" ht="24.75" customHeight="1" spans="1:4">
      <c r="A146" s="9">
        <v>96</v>
      </c>
      <c r="B146" s="10" t="s">
        <v>792</v>
      </c>
      <c r="C146" s="9" t="s">
        <v>692</v>
      </c>
      <c r="D146" s="9">
        <v>7.2</v>
      </c>
    </row>
    <row r="147" ht="24.75" customHeight="1" spans="1:4">
      <c r="A147" s="9">
        <v>97</v>
      </c>
      <c r="B147" s="10" t="s">
        <v>793</v>
      </c>
      <c r="C147" s="9" t="s">
        <v>702</v>
      </c>
      <c r="D147" s="9">
        <v>7.2</v>
      </c>
    </row>
    <row r="148" ht="24.75" customHeight="1" spans="1:4">
      <c r="A148" s="9">
        <v>143</v>
      </c>
      <c r="B148" s="10"/>
      <c r="C148" s="9" t="s">
        <v>702</v>
      </c>
      <c r="D148" s="9">
        <v>7.2</v>
      </c>
    </row>
    <row r="149" ht="24.75" customHeight="1" spans="1:4">
      <c r="A149" s="9">
        <v>98</v>
      </c>
      <c r="B149" s="10" t="s">
        <v>794</v>
      </c>
      <c r="C149" s="9" t="s">
        <v>692</v>
      </c>
      <c r="D149" s="9">
        <v>7.2</v>
      </c>
    </row>
    <row r="150" ht="24.75" customHeight="1" spans="1:4">
      <c r="A150" s="9">
        <v>99</v>
      </c>
      <c r="B150" s="10" t="s">
        <v>795</v>
      </c>
      <c r="C150" s="9" t="s">
        <v>718</v>
      </c>
      <c r="D150" s="9">
        <v>7.2</v>
      </c>
    </row>
    <row r="151" ht="24.75" customHeight="1" spans="1:4">
      <c r="A151" s="9">
        <v>100</v>
      </c>
      <c r="B151" s="10" t="s">
        <v>796</v>
      </c>
      <c r="C151" s="9" t="s">
        <v>702</v>
      </c>
      <c r="D151" s="9">
        <v>7.2</v>
      </c>
    </row>
    <row r="152" ht="24.75" customHeight="1" spans="1:4">
      <c r="A152" s="9">
        <v>147</v>
      </c>
      <c r="B152" s="10"/>
      <c r="C152" s="9" t="s">
        <v>702</v>
      </c>
      <c r="D152" s="9">
        <v>7.2</v>
      </c>
    </row>
    <row r="153" ht="24.75" customHeight="1" spans="1:4">
      <c r="A153" s="9">
        <v>101</v>
      </c>
      <c r="B153" s="10" t="s">
        <v>797</v>
      </c>
      <c r="C153" s="9" t="s">
        <v>687</v>
      </c>
      <c r="D153" s="9">
        <v>7.2</v>
      </c>
    </row>
    <row r="154" ht="24.75" customHeight="1" spans="1:4">
      <c r="A154" s="9">
        <v>102</v>
      </c>
      <c r="B154" s="10" t="s">
        <v>798</v>
      </c>
      <c r="C154" s="9" t="s">
        <v>697</v>
      </c>
      <c r="D154" s="9">
        <v>7.2</v>
      </c>
    </row>
    <row r="155" ht="24.75" customHeight="1" spans="1:4">
      <c r="A155" s="9">
        <v>150</v>
      </c>
      <c r="B155" s="10"/>
      <c r="C155" s="9" t="s">
        <v>697</v>
      </c>
      <c r="D155" s="9">
        <v>7.2</v>
      </c>
    </row>
    <row r="156" ht="24.75" customHeight="1" spans="1:4">
      <c r="A156" s="9">
        <v>103</v>
      </c>
      <c r="B156" s="10" t="s">
        <v>799</v>
      </c>
      <c r="C156" s="9" t="s">
        <v>687</v>
      </c>
      <c r="D156" s="9">
        <v>7.2</v>
      </c>
    </row>
    <row r="157" ht="24.75" customHeight="1" spans="1:4">
      <c r="A157" s="9">
        <v>152</v>
      </c>
      <c r="B157" s="10"/>
      <c r="C157" s="9" t="s">
        <v>687</v>
      </c>
      <c r="D157" s="9">
        <v>14.4</v>
      </c>
    </row>
    <row r="158" ht="24.75" customHeight="1" spans="1:4">
      <c r="A158" s="9">
        <v>104</v>
      </c>
      <c r="B158" s="10" t="s">
        <v>800</v>
      </c>
      <c r="C158" s="9" t="s">
        <v>702</v>
      </c>
      <c r="D158" s="9">
        <v>7.2</v>
      </c>
    </row>
    <row r="159" ht="24.75" customHeight="1" spans="1:4">
      <c r="A159" s="9">
        <v>154</v>
      </c>
      <c r="B159" s="10"/>
      <c r="C159" s="9" t="s">
        <v>702</v>
      </c>
      <c r="D159" s="9">
        <v>7.2</v>
      </c>
    </row>
    <row r="160" ht="24.75" customHeight="1" spans="1:4">
      <c r="A160" s="9">
        <v>105</v>
      </c>
      <c r="B160" s="10" t="s">
        <v>801</v>
      </c>
      <c r="C160" s="9" t="s">
        <v>692</v>
      </c>
      <c r="D160" s="9">
        <v>7.2</v>
      </c>
    </row>
    <row r="161" ht="24.75" customHeight="1" spans="1:4">
      <c r="A161" s="9">
        <v>106</v>
      </c>
      <c r="B161" s="10" t="s">
        <v>802</v>
      </c>
      <c r="C161" s="9" t="s">
        <v>692</v>
      </c>
      <c r="D161" s="9">
        <v>7.2</v>
      </c>
    </row>
    <row r="162" ht="24.75" customHeight="1" spans="1:4">
      <c r="A162" s="9">
        <v>107</v>
      </c>
      <c r="B162" s="10" t="s">
        <v>803</v>
      </c>
      <c r="C162" s="9" t="s">
        <v>692</v>
      </c>
      <c r="D162" s="9">
        <v>7.2</v>
      </c>
    </row>
    <row r="163" ht="24.75" customHeight="1" spans="1:4">
      <c r="A163" s="9">
        <v>108</v>
      </c>
      <c r="B163" s="10" t="s">
        <v>804</v>
      </c>
      <c r="C163" s="9" t="s">
        <v>687</v>
      </c>
      <c r="D163" s="9">
        <v>2.5</v>
      </c>
    </row>
    <row r="164" ht="24.75" customHeight="1" spans="1:4">
      <c r="A164" s="9">
        <v>159</v>
      </c>
      <c r="B164" s="10"/>
      <c r="C164" s="9" t="s">
        <v>687</v>
      </c>
      <c r="D164" s="9">
        <v>7.2</v>
      </c>
    </row>
    <row r="165" ht="24.75" customHeight="1" spans="1:4">
      <c r="A165" s="9">
        <v>109</v>
      </c>
      <c r="B165" s="10" t="s">
        <v>805</v>
      </c>
      <c r="C165" s="9" t="s">
        <v>706</v>
      </c>
      <c r="D165" s="9">
        <v>7.2</v>
      </c>
    </row>
    <row r="166" ht="24.75" customHeight="1" spans="1:4">
      <c r="A166" s="9">
        <v>110</v>
      </c>
      <c r="B166" s="10" t="s">
        <v>806</v>
      </c>
      <c r="C166" s="9" t="s">
        <v>687</v>
      </c>
      <c r="D166" s="9">
        <v>7.2</v>
      </c>
    </row>
    <row r="167" ht="24.75" customHeight="1" spans="1:4">
      <c r="A167" s="9">
        <v>111</v>
      </c>
      <c r="B167" s="10" t="s">
        <v>807</v>
      </c>
      <c r="C167" s="9" t="s">
        <v>710</v>
      </c>
      <c r="D167" s="9">
        <v>7.2</v>
      </c>
    </row>
    <row r="168" ht="24.75" customHeight="1" spans="1:4">
      <c r="A168" s="9">
        <v>112</v>
      </c>
      <c r="B168" s="10" t="s">
        <v>808</v>
      </c>
      <c r="C168" s="9" t="s">
        <v>702</v>
      </c>
      <c r="D168" s="9">
        <v>7.2</v>
      </c>
    </row>
    <row r="169" ht="24.75" customHeight="1" spans="1:4">
      <c r="A169" s="9">
        <v>113</v>
      </c>
      <c r="B169" s="10" t="s">
        <v>809</v>
      </c>
      <c r="C169" s="9" t="s">
        <v>687</v>
      </c>
      <c r="D169" s="9">
        <v>7.2</v>
      </c>
    </row>
    <row r="170" ht="24.75" customHeight="1" spans="1:4">
      <c r="A170" s="9">
        <v>165</v>
      </c>
      <c r="B170" s="10"/>
      <c r="C170" s="9" t="s">
        <v>687</v>
      </c>
      <c r="D170" s="9">
        <v>7.2</v>
      </c>
    </row>
    <row r="171" ht="24.75" customHeight="1" spans="1:4">
      <c r="A171" s="9">
        <v>114</v>
      </c>
      <c r="B171" s="10" t="s">
        <v>810</v>
      </c>
      <c r="C171" s="9" t="s">
        <v>727</v>
      </c>
      <c r="D171" s="9">
        <v>5</v>
      </c>
    </row>
    <row r="172" ht="24.75" customHeight="1" spans="1:4">
      <c r="A172" s="9">
        <v>115</v>
      </c>
      <c r="B172" s="10" t="s">
        <v>811</v>
      </c>
      <c r="C172" s="9" t="s">
        <v>687</v>
      </c>
      <c r="D172" s="9">
        <v>7.2</v>
      </c>
    </row>
    <row r="173" ht="24.75" customHeight="1" spans="1:4">
      <c r="A173" s="9">
        <v>116</v>
      </c>
      <c r="B173" s="10" t="s">
        <v>812</v>
      </c>
      <c r="C173" s="9" t="s">
        <v>687</v>
      </c>
      <c r="D173" s="9">
        <v>7.2</v>
      </c>
    </row>
    <row r="174" ht="24.75" customHeight="1" spans="1:4">
      <c r="A174" s="9">
        <v>117</v>
      </c>
      <c r="B174" s="10" t="s">
        <v>813</v>
      </c>
      <c r="C174" s="9" t="s">
        <v>689</v>
      </c>
      <c r="D174" s="9">
        <v>7.2</v>
      </c>
    </row>
    <row r="175" ht="24.75" customHeight="1" spans="1:4">
      <c r="A175" s="9">
        <v>170</v>
      </c>
      <c r="B175" s="10"/>
      <c r="C175" s="9" t="s">
        <v>689</v>
      </c>
      <c r="D175" s="9">
        <v>7.2</v>
      </c>
    </row>
    <row r="176" ht="24.75" customHeight="1" spans="1:4">
      <c r="A176" s="9">
        <v>118</v>
      </c>
      <c r="B176" s="10" t="s">
        <v>814</v>
      </c>
      <c r="C176" s="9" t="s">
        <v>685</v>
      </c>
      <c r="D176" s="9">
        <v>5</v>
      </c>
    </row>
    <row r="177" ht="24.75" customHeight="1" spans="1:4">
      <c r="A177" s="9">
        <v>172</v>
      </c>
      <c r="B177" s="10"/>
      <c r="C177" s="9" t="s">
        <v>685</v>
      </c>
      <c r="D177" s="9">
        <v>7.2</v>
      </c>
    </row>
    <row r="178" ht="24.75" customHeight="1" spans="1:4">
      <c r="A178" s="9">
        <v>119</v>
      </c>
      <c r="B178" s="10" t="s">
        <v>815</v>
      </c>
      <c r="C178" s="9" t="s">
        <v>713</v>
      </c>
      <c r="D178" s="9">
        <v>5</v>
      </c>
    </row>
    <row r="179" ht="24.75" customHeight="1" spans="1:4">
      <c r="A179" s="9">
        <v>120</v>
      </c>
      <c r="B179" s="10" t="s">
        <v>816</v>
      </c>
      <c r="C179" s="9" t="s">
        <v>706</v>
      </c>
      <c r="D179" s="9">
        <v>7.2</v>
      </c>
    </row>
    <row r="180" ht="24.75" customHeight="1" spans="1:4">
      <c r="A180" s="9">
        <v>121</v>
      </c>
      <c r="B180" s="10" t="s">
        <v>817</v>
      </c>
      <c r="C180" s="9" t="s">
        <v>697</v>
      </c>
      <c r="D180" s="9">
        <v>7.2</v>
      </c>
    </row>
    <row r="181" ht="24.75" customHeight="1" spans="1:4">
      <c r="A181" s="9">
        <v>122</v>
      </c>
      <c r="B181" s="10" t="s">
        <v>818</v>
      </c>
      <c r="C181" s="9" t="s">
        <v>697</v>
      </c>
      <c r="D181" s="9">
        <v>2.5</v>
      </c>
    </row>
    <row r="182" ht="24.75" customHeight="1" spans="1:4">
      <c r="A182" s="9">
        <v>177</v>
      </c>
      <c r="B182" s="10"/>
      <c r="C182" s="9" t="s">
        <v>697</v>
      </c>
      <c r="D182" s="9">
        <v>7.2</v>
      </c>
    </row>
    <row r="183" ht="24.75" customHeight="1" spans="1:4">
      <c r="A183" s="9">
        <v>123</v>
      </c>
      <c r="B183" s="10" t="s">
        <v>819</v>
      </c>
      <c r="C183" s="9" t="s">
        <v>706</v>
      </c>
      <c r="D183" s="9">
        <v>14.4</v>
      </c>
    </row>
    <row r="184" ht="24.75" customHeight="1" spans="1:4">
      <c r="A184" s="9">
        <v>124</v>
      </c>
      <c r="B184" s="10" t="s">
        <v>820</v>
      </c>
      <c r="C184" s="9" t="s">
        <v>710</v>
      </c>
      <c r="D184" s="9">
        <v>7.2</v>
      </c>
    </row>
    <row r="185" ht="24.75" customHeight="1" spans="1:4">
      <c r="A185" s="9">
        <v>125</v>
      </c>
      <c r="B185" s="10" t="s">
        <v>821</v>
      </c>
      <c r="C185" s="9" t="s">
        <v>702</v>
      </c>
      <c r="D185" s="9">
        <v>5</v>
      </c>
    </row>
    <row r="186" ht="24.75" customHeight="1" spans="1:4">
      <c r="A186" s="9">
        <v>126</v>
      </c>
      <c r="B186" s="10" t="s">
        <v>822</v>
      </c>
      <c r="C186" s="9" t="s">
        <v>685</v>
      </c>
      <c r="D186" s="9">
        <v>7.2</v>
      </c>
    </row>
    <row r="187" ht="24.75" customHeight="1" spans="1:4">
      <c r="A187" s="9">
        <v>127</v>
      </c>
      <c r="B187" s="10" t="s">
        <v>823</v>
      </c>
      <c r="C187" s="9" t="s">
        <v>702</v>
      </c>
      <c r="D187" s="9">
        <v>7.2</v>
      </c>
    </row>
    <row r="188" ht="24.75" customHeight="1" spans="1:4">
      <c r="A188" s="9">
        <v>128</v>
      </c>
      <c r="B188" s="10" t="s">
        <v>824</v>
      </c>
      <c r="C188" s="9" t="s">
        <v>685</v>
      </c>
      <c r="D188" s="9">
        <v>7.2</v>
      </c>
    </row>
    <row r="189" ht="24.75" customHeight="1" spans="1:4">
      <c r="A189" s="9">
        <v>129</v>
      </c>
      <c r="B189" s="10" t="s">
        <v>825</v>
      </c>
      <c r="C189" s="9" t="s">
        <v>706</v>
      </c>
      <c r="D189" s="9">
        <v>5</v>
      </c>
    </row>
    <row r="190" ht="24.75" customHeight="1" spans="1:4">
      <c r="A190" s="9">
        <v>130</v>
      </c>
      <c r="B190" s="10" t="s">
        <v>826</v>
      </c>
      <c r="C190" s="9" t="s">
        <v>702</v>
      </c>
      <c r="D190" s="9">
        <v>5</v>
      </c>
    </row>
    <row r="191" ht="24.75" customHeight="1" spans="1:4">
      <c r="A191" s="9">
        <v>131</v>
      </c>
      <c r="B191" s="10" t="s">
        <v>827</v>
      </c>
      <c r="C191" s="9" t="s">
        <v>713</v>
      </c>
      <c r="D191" s="9">
        <v>5</v>
      </c>
    </row>
    <row r="192" ht="24.75" customHeight="1" spans="1:4">
      <c r="A192" s="9">
        <v>132</v>
      </c>
      <c r="B192" s="10" t="s">
        <v>828</v>
      </c>
      <c r="C192" s="9" t="s">
        <v>710</v>
      </c>
      <c r="D192" s="9">
        <v>5</v>
      </c>
    </row>
    <row r="193" ht="24.75" customHeight="1" spans="1:4">
      <c r="A193" s="9">
        <v>188</v>
      </c>
      <c r="B193" s="10"/>
      <c r="C193" s="9" t="s">
        <v>710</v>
      </c>
      <c r="D193" s="9">
        <v>7.2</v>
      </c>
    </row>
    <row r="194" ht="24.75" customHeight="1" spans="1:4">
      <c r="A194" s="9">
        <v>133</v>
      </c>
      <c r="B194" s="10" t="s">
        <v>829</v>
      </c>
      <c r="C194" s="9" t="s">
        <v>689</v>
      </c>
      <c r="D194" s="9">
        <v>7.2</v>
      </c>
    </row>
    <row r="195" ht="24.75" customHeight="1" spans="1:4">
      <c r="A195" s="9">
        <v>134</v>
      </c>
      <c r="B195" s="10" t="s">
        <v>830</v>
      </c>
      <c r="C195" s="9" t="s">
        <v>683</v>
      </c>
      <c r="D195" s="9">
        <v>5</v>
      </c>
    </row>
    <row r="196" ht="24.75" customHeight="1" spans="1:4">
      <c r="A196" s="9">
        <v>191</v>
      </c>
      <c r="B196" s="10"/>
      <c r="C196" s="9" t="s">
        <v>683</v>
      </c>
      <c r="D196" s="9">
        <v>7.2</v>
      </c>
    </row>
    <row r="197" ht="24.75" customHeight="1" spans="1:4">
      <c r="A197" s="9">
        <v>135</v>
      </c>
      <c r="B197" s="10" t="s">
        <v>831</v>
      </c>
      <c r="C197" s="9" t="s">
        <v>702</v>
      </c>
      <c r="D197" s="9">
        <v>30</v>
      </c>
    </row>
    <row r="198" hidden="1" spans="1:4">
      <c r="A198" s="1">
        <v>193</v>
      </c>
      <c r="B198" s="1" t="s">
        <v>832</v>
      </c>
      <c r="C198" s="1" t="s">
        <v>702</v>
      </c>
      <c r="D198" s="1">
        <v>7.2</v>
      </c>
    </row>
    <row r="199" hidden="1" spans="1:4">
      <c r="A199" s="1">
        <v>194</v>
      </c>
      <c r="B199" s="1" t="s">
        <v>833</v>
      </c>
      <c r="C199" s="1" t="s">
        <v>702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1_1" rangeCreator="" othersAccessPermission="edit"/>
    <arrUserId title="Range1_1_1" rangeCreator="" othersAccessPermission="edit"/>
    <arrUserId title="Range1" rangeCreator="" othersAccessPermission="edit"/>
    <arrUserId title="Range1_1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2026-01-13T04:15:23Z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D5B10A2AA75543A5B4E4233DF39FB2F2_13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