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 tabRatio="711"/>
  </bookViews>
  <sheets>
    <sheet name="New method" sheetId="4" r:id="rId1"/>
    <sheet name="Sheet1" sheetId="6" r:id="rId2"/>
    <sheet name="Sheet2" sheetId="7" r:id="rId3"/>
  </sheets>
  <definedNames>
    <definedName name="_xlnm._FilterDatabase" localSheetId="0" hidden="1">'New method'!$A$4:$Q$798</definedName>
    <definedName name="_xlnm.Print_Area" localSheetId="0">'New method'!$A$1:$N$1694</definedName>
    <definedName name="_xlnm.Print_Area" localSheetId="1">Sheet1!$G$2:$I$35</definedName>
  </definedNames>
  <calcPr calcId="12451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3" i="4"/>
  <c r="J148"/>
  <c r="J102"/>
  <c r="J29"/>
  <c r="K25"/>
  <c r="L25" s="1"/>
  <c r="K26"/>
  <c r="L26" s="1"/>
  <c r="K27"/>
  <c r="L27"/>
  <c r="G25"/>
  <c r="H25"/>
  <c r="G26"/>
  <c r="H26" s="1"/>
  <c r="G27"/>
  <c r="G24"/>
  <c r="H24" s="1"/>
  <c r="J737"/>
  <c r="K737" s="1"/>
  <c r="L737" s="1"/>
  <c r="J736"/>
  <c r="G737"/>
  <c r="H737" s="1"/>
  <c r="G738"/>
  <c r="K736"/>
  <c r="L736" s="1"/>
  <c r="K738"/>
  <c r="L738" s="1"/>
  <c r="K735"/>
  <c r="G736"/>
  <c r="H736" s="1"/>
  <c r="J869" l="1"/>
  <c r="J870" s="1"/>
  <c r="J196"/>
  <c r="J197" s="1"/>
  <c r="J198" s="1"/>
  <c r="J199" s="1"/>
  <c r="J200" s="1"/>
  <c r="J189"/>
  <c r="J190" s="1"/>
  <c r="J191" s="1"/>
  <c r="J192" s="1"/>
  <c r="J193" s="1"/>
  <c r="J194" s="1"/>
  <c r="K125"/>
  <c r="K136"/>
  <c r="K176"/>
  <c r="K186"/>
  <c r="G1142"/>
  <c r="K1150"/>
  <c r="K1151"/>
  <c r="K1152"/>
  <c r="K1153"/>
  <c r="K1154"/>
  <c r="K1155"/>
  <c r="K1584"/>
  <c r="K1585"/>
  <c r="K1586"/>
  <c r="K1587"/>
  <c r="K1588"/>
  <c r="K1589"/>
  <c r="K1576"/>
  <c r="K1577"/>
  <c r="K1578"/>
  <c r="K1579"/>
  <c r="K1580"/>
  <c r="K1581"/>
  <c r="K1582"/>
  <c r="K1583"/>
  <c r="J1676"/>
  <c r="J1677" s="1"/>
  <c r="J1678" s="1"/>
  <c r="J1679" s="1"/>
  <c r="J1680" s="1"/>
  <c r="J1670"/>
  <c r="J1671" s="1"/>
  <c r="J1672" s="1"/>
  <c r="J1673" s="1"/>
  <c r="J1674" s="1"/>
  <c r="K1674" s="1"/>
  <c r="J1645"/>
  <c r="J1646" s="1"/>
  <c r="J1647" s="1"/>
  <c r="J1648" s="1"/>
  <c r="J1649" s="1"/>
  <c r="K1643"/>
  <c r="G1643"/>
  <c r="J1638"/>
  <c r="J1639" s="1"/>
  <c r="J1640" s="1"/>
  <c r="J1641" s="1"/>
  <c r="J1642" s="1"/>
  <c r="J1599"/>
  <c r="J1600" s="1"/>
  <c r="J1601" s="1"/>
  <c r="J1602" s="1"/>
  <c r="J1603" s="1"/>
  <c r="K1597"/>
  <c r="G1597"/>
  <c r="J1592"/>
  <c r="J1593" s="1"/>
  <c r="J1594" s="1"/>
  <c r="J1595" s="1"/>
  <c r="J1596" s="1"/>
  <c r="G1585"/>
  <c r="H1585" s="1"/>
  <c r="J1571"/>
  <c r="J1572" s="1"/>
  <c r="J1573" s="1"/>
  <c r="J1574" s="1"/>
  <c r="J1575" s="1"/>
  <c r="K1575" s="1"/>
  <c r="K1569"/>
  <c r="J1564"/>
  <c r="J1565" s="1"/>
  <c r="J1566" s="1"/>
  <c r="J1567" s="1"/>
  <c r="J1568" s="1"/>
  <c r="K1568" s="1"/>
  <c r="K1572" l="1"/>
  <c r="K1573"/>
  <c r="K1574"/>
  <c r="L1643"/>
  <c r="K1670"/>
  <c r="K1671"/>
  <c r="K1672"/>
  <c r="K1673"/>
  <c r="K1639"/>
  <c r="K1638"/>
  <c r="K1640"/>
  <c r="K1641"/>
  <c r="K1642"/>
  <c r="L1597"/>
  <c r="K1594"/>
  <c r="K1595"/>
  <c r="K1592"/>
  <c r="K1593"/>
  <c r="K1596"/>
  <c r="L1585"/>
  <c r="K1564"/>
  <c r="K1566"/>
  <c r="K1567"/>
  <c r="K1565"/>
  <c r="J1524" l="1"/>
  <c r="J1525" s="1"/>
  <c r="G1522"/>
  <c r="K1522"/>
  <c r="L1522" s="1"/>
  <c r="J1517"/>
  <c r="J1518" s="1"/>
  <c r="J1519" s="1"/>
  <c r="J1520" s="1"/>
  <c r="J1521" s="1"/>
  <c r="K1521" s="1"/>
  <c r="J1496"/>
  <c r="J1497" s="1"/>
  <c r="J1498" s="1"/>
  <c r="J1499" s="1"/>
  <c r="J1500" s="1"/>
  <c r="K1494"/>
  <c r="K1517" l="1"/>
  <c r="K1519"/>
  <c r="K1520"/>
  <c r="K1518"/>
  <c r="G1494"/>
  <c r="J1488"/>
  <c r="J1452"/>
  <c r="J1453" s="1"/>
  <c r="J1454" s="1"/>
  <c r="J1455" s="1"/>
  <c r="J1456" s="1"/>
  <c r="J1457" s="1"/>
  <c r="J1446"/>
  <c r="J1447" s="1"/>
  <c r="J1448" s="1"/>
  <c r="J1449" s="1"/>
  <c r="K1449" l="1"/>
  <c r="L1449" s="1"/>
  <c r="J1450"/>
  <c r="K1450" s="1"/>
  <c r="L1450" s="1"/>
  <c r="J1489"/>
  <c r="K1488"/>
  <c r="L1488" s="1"/>
  <c r="K1447"/>
  <c r="L1447" s="1"/>
  <c r="K1448"/>
  <c r="L1448" s="1"/>
  <c r="K1446"/>
  <c r="L1446" s="1"/>
  <c r="K1422"/>
  <c r="J1424"/>
  <c r="K1424" s="1"/>
  <c r="J1418"/>
  <c r="J1419" s="1"/>
  <c r="K1419" s="1"/>
  <c r="K1394"/>
  <c r="J1376"/>
  <c r="K1376" s="1"/>
  <c r="K1374"/>
  <c r="J1370"/>
  <c r="J1371" s="1"/>
  <c r="K1371" s="1"/>
  <c r="J1353"/>
  <c r="K1353" s="1"/>
  <c r="K1351"/>
  <c r="J1347"/>
  <c r="J1348" s="1"/>
  <c r="K1348" s="1"/>
  <c r="K1322"/>
  <c r="J1277"/>
  <c r="K1277" s="1"/>
  <c r="K1275"/>
  <c r="J1271"/>
  <c r="K1271" s="1"/>
  <c r="K1251"/>
  <c r="J1195"/>
  <c r="K1195" s="1"/>
  <c r="K1193"/>
  <c r="J1188"/>
  <c r="K1188" s="1"/>
  <c r="K1165"/>
  <c r="L1165" s="1"/>
  <c r="J1156"/>
  <c r="K1156" s="1"/>
  <c r="J1144"/>
  <c r="K1144" s="1"/>
  <c r="J1136"/>
  <c r="K1136" s="1"/>
  <c r="J1129"/>
  <c r="K1129" s="1"/>
  <c r="K1126"/>
  <c r="J1123"/>
  <c r="K1123" s="1"/>
  <c r="K1102"/>
  <c r="J1084"/>
  <c r="K1084" s="1"/>
  <c r="K1082"/>
  <c r="J1079"/>
  <c r="J1080" s="1"/>
  <c r="K1080" s="1"/>
  <c r="J1049"/>
  <c r="K1049" s="1"/>
  <c r="K1047"/>
  <c r="J1044"/>
  <c r="K1044" s="1"/>
  <c r="K1019"/>
  <c r="L1019" s="1"/>
  <c r="J1002"/>
  <c r="K1002" s="1"/>
  <c r="K1000"/>
  <c r="J996"/>
  <c r="J997" s="1"/>
  <c r="K997" s="1"/>
  <c r="L997" s="1"/>
  <c r="J992"/>
  <c r="J984"/>
  <c r="K984" s="1"/>
  <c r="K982"/>
  <c r="J979"/>
  <c r="K979" s="1"/>
  <c r="L979" s="1"/>
  <c r="K959"/>
  <c r="J946"/>
  <c r="J947" s="1"/>
  <c r="K944"/>
  <c r="J942"/>
  <c r="K942" s="1"/>
  <c r="J924"/>
  <c r="K924" s="1"/>
  <c r="K922"/>
  <c r="J920"/>
  <c r="K920" s="1"/>
  <c r="K900"/>
  <c r="J883"/>
  <c r="K883" s="1"/>
  <c r="K881"/>
  <c r="J879"/>
  <c r="K879" s="1"/>
  <c r="K867"/>
  <c r="J865"/>
  <c r="K865" s="1"/>
  <c r="K849"/>
  <c r="J834"/>
  <c r="K834" s="1"/>
  <c r="K832"/>
  <c r="K819"/>
  <c r="J830"/>
  <c r="K830" s="1"/>
  <c r="J821"/>
  <c r="J822" s="1"/>
  <c r="K822" s="1"/>
  <c r="L822" s="1"/>
  <c r="J817"/>
  <c r="K817" s="1"/>
  <c r="K803"/>
  <c r="J788"/>
  <c r="J789" s="1"/>
  <c r="K786"/>
  <c r="J784"/>
  <c r="K784" s="1"/>
  <c r="J761"/>
  <c r="J762" s="1"/>
  <c r="K759"/>
  <c r="J757"/>
  <c r="K757" s="1"/>
  <c r="J740"/>
  <c r="K740" s="1"/>
  <c r="J724"/>
  <c r="K724" s="1"/>
  <c r="K722"/>
  <c r="J720"/>
  <c r="J721" s="1"/>
  <c r="K721" s="1"/>
  <c r="J707"/>
  <c r="K707" s="1"/>
  <c r="K705"/>
  <c r="J703"/>
  <c r="J704" s="1"/>
  <c r="K704" s="1"/>
  <c r="K683"/>
  <c r="J677"/>
  <c r="J678" s="1"/>
  <c r="K675"/>
  <c r="J673"/>
  <c r="J674" s="1"/>
  <c r="J669"/>
  <c r="K669" s="1"/>
  <c r="K667"/>
  <c r="J665"/>
  <c r="K665" s="1"/>
  <c r="J643"/>
  <c r="K643" s="1"/>
  <c r="K641"/>
  <c r="J639"/>
  <c r="K639" s="1"/>
  <c r="K619"/>
  <c r="J605"/>
  <c r="K605" s="1"/>
  <c r="K603"/>
  <c r="J601"/>
  <c r="K601" s="1"/>
  <c r="J570"/>
  <c r="J571" s="1"/>
  <c r="K571" s="1"/>
  <c r="K568"/>
  <c r="L568" s="1"/>
  <c r="J566"/>
  <c r="K566" s="1"/>
  <c r="L566" s="1"/>
  <c r="K546"/>
  <c r="J541"/>
  <c r="J542" s="1"/>
  <c r="K542" s="1"/>
  <c r="K539"/>
  <c r="J536"/>
  <c r="J537" s="1"/>
  <c r="K537" s="1"/>
  <c r="J533"/>
  <c r="J534" s="1"/>
  <c r="K534" s="1"/>
  <c r="K531"/>
  <c r="J529"/>
  <c r="K529" s="1"/>
  <c r="J516"/>
  <c r="J517" s="1"/>
  <c r="K517" s="1"/>
  <c r="K514"/>
  <c r="J512"/>
  <c r="J513" s="1"/>
  <c r="K513" s="1"/>
  <c r="K493"/>
  <c r="J490"/>
  <c r="K490" s="1"/>
  <c r="J486"/>
  <c r="K486" s="1"/>
  <c r="J481"/>
  <c r="J482" s="1"/>
  <c r="K479"/>
  <c r="J477"/>
  <c r="K477" s="1"/>
  <c r="K458"/>
  <c r="J451"/>
  <c r="K451" s="1"/>
  <c r="K449"/>
  <c r="J446"/>
  <c r="J447" s="1"/>
  <c r="K447" s="1"/>
  <c r="K426"/>
  <c r="J418"/>
  <c r="K418" s="1"/>
  <c r="K416"/>
  <c r="J414"/>
  <c r="J415" s="1"/>
  <c r="K415" s="1"/>
  <c r="J405"/>
  <c r="K405" s="1"/>
  <c r="K403"/>
  <c r="J401"/>
  <c r="K401" s="1"/>
  <c r="K383"/>
  <c r="J369"/>
  <c r="J370" s="1"/>
  <c r="K367"/>
  <c r="L367" s="1"/>
  <c r="J364"/>
  <c r="K364" s="1"/>
  <c r="J360"/>
  <c r="K360" s="1"/>
  <c r="K340"/>
  <c r="J335"/>
  <c r="K335" s="1"/>
  <c r="K333"/>
  <c r="J331"/>
  <c r="K331" s="1"/>
  <c r="K311"/>
  <c r="J301"/>
  <c r="K301" s="1"/>
  <c r="J297"/>
  <c r="K297" s="1"/>
  <c r="J258"/>
  <c r="K258" s="1"/>
  <c r="K256"/>
  <c r="J254"/>
  <c r="K254" s="1"/>
  <c r="J246"/>
  <c r="J243"/>
  <c r="K243" s="1"/>
  <c r="L243" s="1"/>
  <c r="K224"/>
  <c r="J217"/>
  <c r="J218" s="1"/>
  <c r="K218" s="1"/>
  <c r="J214"/>
  <c r="K214" s="1"/>
  <c r="J202"/>
  <c r="K202" s="1"/>
  <c r="K196"/>
  <c r="K197"/>
  <c r="K198"/>
  <c r="K199"/>
  <c r="K200"/>
  <c r="K195"/>
  <c r="L195" s="1"/>
  <c r="G186"/>
  <c r="J178"/>
  <c r="J169"/>
  <c r="K169" s="1"/>
  <c r="J163"/>
  <c r="K149"/>
  <c r="J138"/>
  <c r="J139" s="1"/>
  <c r="K139" s="1"/>
  <c r="J127"/>
  <c r="J128" s="1"/>
  <c r="J120"/>
  <c r="J121" s="1"/>
  <c r="J122" s="1"/>
  <c r="G120"/>
  <c r="H120" s="1"/>
  <c r="K1691"/>
  <c r="L1691" s="1"/>
  <c r="K154"/>
  <c r="K155"/>
  <c r="K156"/>
  <c r="K157"/>
  <c r="K158"/>
  <c r="K159"/>
  <c r="K160"/>
  <c r="K161"/>
  <c r="K162"/>
  <c r="K189"/>
  <c r="K190"/>
  <c r="K191"/>
  <c r="K192"/>
  <c r="K193"/>
  <c r="K194"/>
  <c r="K219"/>
  <c r="K220"/>
  <c r="K221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9"/>
  <c r="K250"/>
  <c r="K251"/>
  <c r="K252"/>
  <c r="K253"/>
  <c r="K260"/>
  <c r="K261"/>
  <c r="K262"/>
  <c r="K263"/>
  <c r="K264"/>
  <c r="K265"/>
  <c r="K266"/>
  <c r="K267"/>
  <c r="K268"/>
  <c r="K269"/>
  <c r="L269" s="1"/>
  <c r="K270"/>
  <c r="L270" s="1"/>
  <c r="K271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305"/>
  <c r="K306"/>
  <c r="K307"/>
  <c r="K308"/>
  <c r="K309"/>
  <c r="K314"/>
  <c r="K315"/>
  <c r="L315" s="1"/>
  <c r="K316"/>
  <c r="K317"/>
  <c r="K318"/>
  <c r="K319"/>
  <c r="K320"/>
  <c r="K321"/>
  <c r="K322"/>
  <c r="K323"/>
  <c r="K324"/>
  <c r="K325"/>
  <c r="K326"/>
  <c r="L326" s="1"/>
  <c r="K327"/>
  <c r="K328"/>
  <c r="K329"/>
  <c r="K330"/>
  <c r="K343"/>
  <c r="K344"/>
  <c r="K345"/>
  <c r="K346"/>
  <c r="L346" s="1"/>
  <c r="K347"/>
  <c r="K348"/>
  <c r="K349"/>
  <c r="K350"/>
  <c r="K351"/>
  <c r="K352"/>
  <c r="K353"/>
  <c r="K354"/>
  <c r="K355"/>
  <c r="K356"/>
  <c r="K357"/>
  <c r="K358"/>
  <c r="K359"/>
  <c r="K372"/>
  <c r="K373"/>
  <c r="K374"/>
  <c r="K375"/>
  <c r="K376"/>
  <c r="K377"/>
  <c r="K378"/>
  <c r="K379"/>
  <c r="K380"/>
  <c r="K385"/>
  <c r="K386"/>
  <c r="K387"/>
  <c r="K388"/>
  <c r="K389"/>
  <c r="K390"/>
  <c r="K391"/>
  <c r="K392"/>
  <c r="K393"/>
  <c r="K394"/>
  <c r="K395"/>
  <c r="L395" s="1"/>
  <c r="K396"/>
  <c r="K397"/>
  <c r="K398"/>
  <c r="K399"/>
  <c r="K400"/>
  <c r="K409"/>
  <c r="K410"/>
  <c r="K411"/>
  <c r="K412"/>
  <c r="K413"/>
  <c r="K421"/>
  <c r="K422"/>
  <c r="K423"/>
  <c r="K424"/>
  <c r="K430"/>
  <c r="K431"/>
  <c r="K432"/>
  <c r="K433"/>
  <c r="K434"/>
  <c r="K435"/>
  <c r="K436"/>
  <c r="K437"/>
  <c r="K438"/>
  <c r="K439"/>
  <c r="K440"/>
  <c r="L440" s="1"/>
  <c r="K441"/>
  <c r="K442"/>
  <c r="K443"/>
  <c r="K444"/>
  <c r="K445"/>
  <c r="K461"/>
  <c r="K462"/>
  <c r="K463"/>
  <c r="K464"/>
  <c r="K465"/>
  <c r="L465" s="1"/>
  <c r="K466"/>
  <c r="K467"/>
  <c r="K468"/>
  <c r="K469"/>
  <c r="K470"/>
  <c r="K471"/>
  <c r="K472"/>
  <c r="L472" s="1"/>
  <c r="K473"/>
  <c r="K474"/>
  <c r="K475"/>
  <c r="K476"/>
  <c r="K485"/>
  <c r="K496"/>
  <c r="K497"/>
  <c r="K498"/>
  <c r="K499"/>
  <c r="K500"/>
  <c r="K501"/>
  <c r="K502"/>
  <c r="K503"/>
  <c r="K504"/>
  <c r="K505"/>
  <c r="K506"/>
  <c r="K507"/>
  <c r="K508"/>
  <c r="L508" s="1"/>
  <c r="K509"/>
  <c r="K510"/>
  <c r="K511"/>
  <c r="K518"/>
  <c r="K519"/>
  <c r="K520"/>
  <c r="K521"/>
  <c r="K522"/>
  <c r="K523"/>
  <c r="K524"/>
  <c r="K525"/>
  <c r="K526"/>
  <c r="L526" s="1"/>
  <c r="K527"/>
  <c r="L527" s="1"/>
  <c r="K528"/>
  <c r="K574"/>
  <c r="K575"/>
  <c r="K576"/>
  <c r="K577"/>
  <c r="K578"/>
  <c r="K579"/>
  <c r="K580"/>
  <c r="K581"/>
  <c r="L581" s="1"/>
  <c r="K582"/>
  <c r="K583"/>
  <c r="K584"/>
  <c r="K585"/>
  <c r="K586"/>
  <c r="K587"/>
  <c r="K588"/>
  <c r="K589"/>
  <c r="K590"/>
  <c r="K591"/>
  <c r="L591" s="1"/>
  <c r="K592"/>
  <c r="K593"/>
  <c r="K594"/>
  <c r="K595"/>
  <c r="K596"/>
  <c r="K597"/>
  <c r="K598"/>
  <c r="K599"/>
  <c r="K600"/>
  <c r="K615"/>
  <c r="K616"/>
  <c r="K617"/>
  <c r="K622"/>
  <c r="K623"/>
  <c r="K624"/>
  <c r="K625"/>
  <c r="K626"/>
  <c r="K627"/>
  <c r="K628"/>
  <c r="K629"/>
  <c r="L629" s="1"/>
  <c r="K630"/>
  <c r="K631"/>
  <c r="K632"/>
  <c r="K633"/>
  <c r="K634"/>
  <c r="K635"/>
  <c r="K636"/>
  <c r="K637"/>
  <c r="K638"/>
  <c r="K648"/>
  <c r="K649"/>
  <c r="K650"/>
  <c r="K651"/>
  <c r="K652"/>
  <c r="K653"/>
  <c r="K654"/>
  <c r="K655"/>
  <c r="K656"/>
  <c r="K657"/>
  <c r="K658"/>
  <c r="K659"/>
  <c r="K660"/>
  <c r="K661"/>
  <c r="K662"/>
  <c r="L662" s="1"/>
  <c r="K663"/>
  <c r="K664"/>
  <c r="K680"/>
  <c r="K681"/>
  <c r="K687"/>
  <c r="K688"/>
  <c r="K689"/>
  <c r="K690"/>
  <c r="K691"/>
  <c r="K692"/>
  <c r="K693"/>
  <c r="K694"/>
  <c r="K695"/>
  <c r="K696"/>
  <c r="K697"/>
  <c r="K698"/>
  <c r="K699"/>
  <c r="K700"/>
  <c r="L700" s="1"/>
  <c r="K701"/>
  <c r="K702"/>
  <c r="K710"/>
  <c r="K711"/>
  <c r="K712"/>
  <c r="K713"/>
  <c r="L713" s="1"/>
  <c r="K714"/>
  <c r="K715"/>
  <c r="K716"/>
  <c r="K717"/>
  <c r="K718"/>
  <c r="K719"/>
  <c r="K728"/>
  <c r="L728" s="1"/>
  <c r="K729"/>
  <c r="K730"/>
  <c r="K731"/>
  <c r="K732"/>
  <c r="K733"/>
  <c r="K746"/>
  <c r="L746" s="1"/>
  <c r="K747"/>
  <c r="K748"/>
  <c r="K749"/>
  <c r="K750"/>
  <c r="K751"/>
  <c r="K752"/>
  <c r="K753"/>
  <c r="K754"/>
  <c r="K755"/>
  <c r="K756"/>
  <c r="K764"/>
  <c r="K765"/>
  <c r="L765" s="1"/>
  <c r="K766"/>
  <c r="K767"/>
  <c r="K768"/>
  <c r="K769"/>
  <c r="K770"/>
  <c r="K771"/>
  <c r="K772"/>
  <c r="K773"/>
  <c r="K774"/>
  <c r="K775"/>
  <c r="K776"/>
  <c r="K777"/>
  <c r="K778"/>
  <c r="K779"/>
  <c r="K780"/>
  <c r="K781"/>
  <c r="L781" s="1"/>
  <c r="K782"/>
  <c r="K783"/>
  <c r="K794"/>
  <c r="K795"/>
  <c r="K796"/>
  <c r="K797"/>
  <c r="K798"/>
  <c r="K799"/>
  <c r="L799" s="1"/>
  <c r="K800"/>
  <c r="L800" s="1"/>
  <c r="K801"/>
  <c r="L801" s="1"/>
  <c r="K805"/>
  <c r="L805" s="1"/>
  <c r="K806"/>
  <c r="L806" s="1"/>
  <c r="K807"/>
  <c r="L807" s="1"/>
  <c r="K808"/>
  <c r="L808" s="1"/>
  <c r="K809"/>
  <c r="L809" s="1"/>
  <c r="K810"/>
  <c r="L810" s="1"/>
  <c r="K811"/>
  <c r="L811" s="1"/>
  <c r="K812"/>
  <c r="L812" s="1"/>
  <c r="K813"/>
  <c r="L813" s="1"/>
  <c r="K814"/>
  <c r="L814" s="1"/>
  <c r="K815"/>
  <c r="L815" s="1"/>
  <c r="K816"/>
  <c r="L816" s="1"/>
  <c r="K826"/>
  <c r="L826" s="1"/>
  <c r="K827"/>
  <c r="L827" s="1"/>
  <c r="K828"/>
  <c r="L828" s="1"/>
  <c r="K829"/>
  <c r="L829" s="1"/>
  <c r="K837"/>
  <c r="L837" s="1"/>
  <c r="K838"/>
  <c r="L838" s="1"/>
  <c r="K839"/>
  <c r="L839" s="1"/>
  <c r="K840"/>
  <c r="L840" s="1"/>
  <c r="K841"/>
  <c r="L841" s="1"/>
  <c r="K842"/>
  <c r="L842" s="1"/>
  <c r="K843"/>
  <c r="L843" s="1"/>
  <c r="K844"/>
  <c r="L844" s="1"/>
  <c r="K845"/>
  <c r="L845" s="1"/>
  <c r="K846"/>
  <c r="L846" s="1"/>
  <c r="K847"/>
  <c r="L847" s="1"/>
  <c r="K857"/>
  <c r="L857" s="1"/>
  <c r="K858"/>
  <c r="L858" s="1"/>
  <c r="K859"/>
  <c r="L859" s="1"/>
  <c r="K860"/>
  <c r="L860" s="1"/>
  <c r="K861"/>
  <c r="L861" s="1"/>
  <c r="K862"/>
  <c r="L862" s="1"/>
  <c r="K863"/>
  <c r="L863" s="1"/>
  <c r="K864"/>
  <c r="L864" s="1"/>
  <c r="K869"/>
  <c r="K870"/>
  <c r="L870" s="1"/>
  <c r="K871"/>
  <c r="L871" s="1"/>
  <c r="K872"/>
  <c r="L872" s="1"/>
  <c r="K873"/>
  <c r="L873" s="1"/>
  <c r="K874"/>
  <c r="L874" s="1"/>
  <c r="K875"/>
  <c r="L875" s="1"/>
  <c r="K876"/>
  <c r="L876" s="1"/>
  <c r="K877"/>
  <c r="L877" s="1"/>
  <c r="K878"/>
  <c r="L878" s="1"/>
  <c r="K886"/>
  <c r="L886" s="1"/>
  <c r="K887"/>
  <c r="L887" s="1"/>
  <c r="K888"/>
  <c r="L888" s="1"/>
  <c r="K889"/>
  <c r="L889" s="1"/>
  <c r="K890"/>
  <c r="L890" s="1"/>
  <c r="K891"/>
  <c r="L891" s="1"/>
  <c r="K892"/>
  <c r="L892" s="1"/>
  <c r="K893"/>
  <c r="L893" s="1"/>
  <c r="K894"/>
  <c r="L894" s="1"/>
  <c r="K895"/>
  <c r="L895" s="1"/>
  <c r="K896"/>
  <c r="L896" s="1"/>
  <c r="K897"/>
  <c r="L897" s="1"/>
  <c r="K898"/>
  <c r="L898" s="1"/>
  <c r="K902"/>
  <c r="L902" s="1"/>
  <c r="K903"/>
  <c r="L903" s="1"/>
  <c r="K904"/>
  <c r="L904" s="1"/>
  <c r="K905"/>
  <c r="L905" s="1"/>
  <c r="K906"/>
  <c r="L906" s="1"/>
  <c r="K907"/>
  <c r="L907" s="1"/>
  <c r="K908"/>
  <c r="L908" s="1"/>
  <c r="K909"/>
  <c r="L909" s="1"/>
  <c r="K910"/>
  <c r="L910" s="1"/>
  <c r="K911"/>
  <c r="L911" s="1"/>
  <c r="K912"/>
  <c r="L912" s="1"/>
  <c r="K913"/>
  <c r="L913" s="1"/>
  <c r="K914"/>
  <c r="L914" s="1"/>
  <c r="K915"/>
  <c r="L915" s="1"/>
  <c r="K916"/>
  <c r="L916" s="1"/>
  <c r="K917"/>
  <c r="L917" s="1"/>
  <c r="K918"/>
  <c r="L918" s="1"/>
  <c r="K919"/>
  <c r="L919" s="1"/>
  <c r="K926"/>
  <c r="L926" s="1"/>
  <c r="K927"/>
  <c r="L927" s="1"/>
  <c r="K928"/>
  <c r="L928" s="1"/>
  <c r="K929"/>
  <c r="L929" s="1"/>
  <c r="K930"/>
  <c r="L930" s="1"/>
  <c r="K931"/>
  <c r="L931" s="1"/>
  <c r="K932"/>
  <c r="L932" s="1"/>
  <c r="K933"/>
  <c r="L933" s="1"/>
  <c r="K934"/>
  <c r="L934" s="1"/>
  <c r="K935"/>
  <c r="L935" s="1"/>
  <c r="K936"/>
  <c r="L936" s="1"/>
  <c r="K937"/>
  <c r="L937" s="1"/>
  <c r="K938"/>
  <c r="L938" s="1"/>
  <c r="K939"/>
  <c r="L939" s="1"/>
  <c r="K940"/>
  <c r="L940" s="1"/>
  <c r="K941"/>
  <c r="L941" s="1"/>
  <c r="K949"/>
  <c r="L949" s="1"/>
  <c r="K950"/>
  <c r="L950" s="1"/>
  <c r="K951"/>
  <c r="L951" s="1"/>
  <c r="K952"/>
  <c r="L952" s="1"/>
  <c r="K953"/>
  <c r="L953" s="1"/>
  <c r="K954"/>
  <c r="L954" s="1"/>
  <c r="K955"/>
  <c r="L955" s="1"/>
  <c r="K956"/>
  <c r="L956" s="1"/>
  <c r="K957"/>
  <c r="L957" s="1"/>
  <c r="K966"/>
  <c r="L966" s="1"/>
  <c r="K967"/>
  <c r="L967" s="1"/>
  <c r="K968"/>
  <c r="L968" s="1"/>
  <c r="K969"/>
  <c r="L969" s="1"/>
  <c r="K970"/>
  <c r="L970" s="1"/>
  <c r="K971"/>
  <c r="L971" s="1"/>
  <c r="K972"/>
  <c r="L972" s="1"/>
  <c r="K973"/>
  <c r="L973" s="1"/>
  <c r="K974"/>
  <c r="L974" s="1"/>
  <c r="K975"/>
  <c r="L975" s="1"/>
  <c r="K976"/>
  <c r="L976" s="1"/>
  <c r="K977"/>
  <c r="L977" s="1"/>
  <c r="K978"/>
  <c r="L978" s="1"/>
  <c r="K987"/>
  <c r="L987" s="1"/>
  <c r="K988"/>
  <c r="L988" s="1"/>
  <c r="K989"/>
  <c r="L989" s="1"/>
  <c r="K990"/>
  <c r="L990" s="1"/>
  <c r="K991"/>
  <c r="L991" s="1"/>
  <c r="K1023"/>
  <c r="L1023" s="1"/>
  <c r="K1024"/>
  <c r="L1024" s="1"/>
  <c r="K1025"/>
  <c r="L1025" s="1"/>
  <c r="K1026"/>
  <c r="L1026" s="1"/>
  <c r="K1027"/>
  <c r="L1027" s="1"/>
  <c r="K1028"/>
  <c r="L1028" s="1"/>
  <c r="K1029"/>
  <c r="L1029" s="1"/>
  <c r="K1030"/>
  <c r="L1030" s="1"/>
  <c r="K1031"/>
  <c r="L1031" s="1"/>
  <c r="K1032"/>
  <c r="L1032" s="1"/>
  <c r="K1033"/>
  <c r="L1033" s="1"/>
  <c r="K1034"/>
  <c r="L1034" s="1"/>
  <c r="K1035"/>
  <c r="L1035" s="1"/>
  <c r="K1036"/>
  <c r="L1036" s="1"/>
  <c r="K1037"/>
  <c r="L1037" s="1"/>
  <c r="K1038"/>
  <c r="L1038" s="1"/>
  <c r="K1039"/>
  <c r="L1039" s="1"/>
  <c r="K1040"/>
  <c r="L1040" s="1"/>
  <c r="K1041"/>
  <c r="L1041" s="1"/>
  <c r="K1042"/>
  <c r="L1042" s="1"/>
  <c r="K1043"/>
  <c r="L1043" s="1"/>
  <c r="K1053"/>
  <c r="L1053" s="1"/>
  <c r="K1054"/>
  <c r="L1054" s="1"/>
  <c r="K1055"/>
  <c r="L1055" s="1"/>
  <c r="K1056"/>
  <c r="L1056" s="1"/>
  <c r="K1057"/>
  <c r="L1057" s="1"/>
  <c r="K1058"/>
  <c r="L1058" s="1"/>
  <c r="K1059"/>
  <c r="L1059" s="1"/>
  <c r="K1060"/>
  <c r="L1060" s="1"/>
  <c r="K1061"/>
  <c r="L1061" s="1"/>
  <c r="K1062"/>
  <c r="L1062" s="1"/>
  <c r="K1063"/>
  <c r="L1063" s="1"/>
  <c r="K1064"/>
  <c r="L1064" s="1"/>
  <c r="K1065"/>
  <c r="L1065" s="1"/>
  <c r="K1066"/>
  <c r="L1066" s="1"/>
  <c r="K1067"/>
  <c r="L1067" s="1"/>
  <c r="K1068"/>
  <c r="L1068" s="1"/>
  <c r="K1069"/>
  <c r="L1069" s="1"/>
  <c r="K1070"/>
  <c r="L1070" s="1"/>
  <c r="K1071"/>
  <c r="L1071" s="1"/>
  <c r="K1072"/>
  <c r="L1072" s="1"/>
  <c r="K1073"/>
  <c r="L1073" s="1"/>
  <c r="K1074"/>
  <c r="L1074" s="1"/>
  <c r="K1075"/>
  <c r="L1075" s="1"/>
  <c r="K1076"/>
  <c r="L1076" s="1"/>
  <c r="K1077"/>
  <c r="L1077" s="1"/>
  <c r="K1078"/>
  <c r="L1078" s="1"/>
  <c r="K1090"/>
  <c r="L1090" s="1"/>
  <c r="K1091"/>
  <c r="L1091" s="1"/>
  <c r="K1092"/>
  <c r="L1092" s="1"/>
  <c r="K1093"/>
  <c r="L1093" s="1"/>
  <c r="K1094"/>
  <c r="L1094" s="1"/>
  <c r="K1095"/>
  <c r="L1095" s="1"/>
  <c r="K1096"/>
  <c r="L1096" s="1"/>
  <c r="K1097"/>
  <c r="L1097" s="1"/>
  <c r="K1098"/>
  <c r="L1098" s="1"/>
  <c r="K1099"/>
  <c r="L1099" s="1"/>
  <c r="K1100"/>
  <c r="L1100" s="1"/>
  <c r="K1107"/>
  <c r="L1107" s="1"/>
  <c r="K1108"/>
  <c r="L1108" s="1"/>
  <c r="K1109"/>
  <c r="L1109" s="1"/>
  <c r="K1110"/>
  <c r="L1110" s="1"/>
  <c r="K1111"/>
  <c r="L1111" s="1"/>
  <c r="K1112"/>
  <c r="L1112" s="1"/>
  <c r="K1113"/>
  <c r="L1113" s="1"/>
  <c r="K1114"/>
  <c r="L1114" s="1"/>
  <c r="K1115"/>
  <c r="L1115" s="1"/>
  <c r="K1116"/>
  <c r="L1116" s="1"/>
  <c r="K1117"/>
  <c r="L1117" s="1"/>
  <c r="K1118"/>
  <c r="L1118" s="1"/>
  <c r="K1119"/>
  <c r="L1119" s="1"/>
  <c r="K1120"/>
  <c r="L1120" s="1"/>
  <c r="K1121"/>
  <c r="L1121" s="1"/>
  <c r="K1122"/>
  <c r="L1122" s="1"/>
  <c r="L1153"/>
  <c r="L1154"/>
  <c r="L1155"/>
  <c r="K1169"/>
  <c r="L1169" s="1"/>
  <c r="K1170"/>
  <c r="L1170" s="1"/>
  <c r="K1171"/>
  <c r="L1171" s="1"/>
  <c r="K1172"/>
  <c r="L1172" s="1"/>
  <c r="K1173"/>
  <c r="L1173" s="1"/>
  <c r="K1174"/>
  <c r="L1174" s="1"/>
  <c r="K1175"/>
  <c r="L1175" s="1"/>
  <c r="K1176"/>
  <c r="L1176" s="1"/>
  <c r="K1177"/>
  <c r="L1177" s="1"/>
  <c r="K1178"/>
  <c r="L1178" s="1"/>
  <c r="K1179"/>
  <c r="L1179" s="1"/>
  <c r="K1180"/>
  <c r="L1180" s="1"/>
  <c r="K1181"/>
  <c r="L1181" s="1"/>
  <c r="K1182"/>
  <c r="L1182" s="1"/>
  <c r="K1183"/>
  <c r="L1183" s="1"/>
  <c r="K1184"/>
  <c r="L1184" s="1"/>
  <c r="K1185"/>
  <c r="L1185" s="1"/>
  <c r="K1186"/>
  <c r="L1186" s="1"/>
  <c r="K1187"/>
  <c r="L1187" s="1"/>
  <c r="K1200"/>
  <c r="L1200" s="1"/>
  <c r="K1201"/>
  <c r="L1201" s="1"/>
  <c r="K1202"/>
  <c r="L1202" s="1"/>
  <c r="K1203"/>
  <c r="L1203" s="1"/>
  <c r="K1204"/>
  <c r="L1204" s="1"/>
  <c r="K1205"/>
  <c r="L1205" s="1"/>
  <c r="K1206"/>
  <c r="L1206" s="1"/>
  <c r="K1207"/>
  <c r="L1207" s="1"/>
  <c r="K1208"/>
  <c r="L1208" s="1"/>
  <c r="K1209"/>
  <c r="L1209" s="1"/>
  <c r="K1210"/>
  <c r="L1210" s="1"/>
  <c r="K1211"/>
  <c r="L1211" s="1"/>
  <c r="K1212"/>
  <c r="L1212" s="1"/>
  <c r="K1213"/>
  <c r="L1213" s="1"/>
  <c r="K1214"/>
  <c r="L1214" s="1"/>
  <c r="K1215"/>
  <c r="L1215" s="1"/>
  <c r="K1216"/>
  <c r="L1216" s="1"/>
  <c r="K1217"/>
  <c r="L1217" s="1"/>
  <c r="K1218"/>
  <c r="L1218" s="1"/>
  <c r="K1219"/>
  <c r="L1219" s="1"/>
  <c r="K1220"/>
  <c r="L1220" s="1"/>
  <c r="K1221"/>
  <c r="L1221" s="1"/>
  <c r="K1222"/>
  <c r="L1222" s="1"/>
  <c r="K1223"/>
  <c r="L1223" s="1"/>
  <c r="K1224"/>
  <c r="L1224" s="1"/>
  <c r="K1225"/>
  <c r="L1225" s="1"/>
  <c r="K1226"/>
  <c r="L1226" s="1"/>
  <c r="K1227"/>
  <c r="L1227" s="1"/>
  <c r="K1228"/>
  <c r="L1228" s="1"/>
  <c r="K1229"/>
  <c r="L1229" s="1"/>
  <c r="K1230"/>
  <c r="L1230" s="1"/>
  <c r="K1231"/>
  <c r="L1231" s="1"/>
  <c r="K1232"/>
  <c r="L1232" s="1"/>
  <c r="K1233"/>
  <c r="L1233" s="1"/>
  <c r="K1234"/>
  <c r="L1234" s="1"/>
  <c r="K1235"/>
  <c r="L1235" s="1"/>
  <c r="K1236"/>
  <c r="L1236" s="1"/>
  <c r="K1237"/>
  <c r="L1237" s="1"/>
  <c r="K1238"/>
  <c r="L1238" s="1"/>
  <c r="K1239"/>
  <c r="L1239" s="1"/>
  <c r="K1240"/>
  <c r="L1240" s="1"/>
  <c r="K1241"/>
  <c r="L1241" s="1"/>
  <c r="K1242"/>
  <c r="L1242" s="1"/>
  <c r="K1243"/>
  <c r="L1243" s="1"/>
  <c r="K1244"/>
  <c r="L1244" s="1"/>
  <c r="K1245"/>
  <c r="L1245" s="1"/>
  <c r="K1246"/>
  <c r="L1246" s="1"/>
  <c r="K1247"/>
  <c r="L1247" s="1"/>
  <c r="K1248"/>
  <c r="L1248" s="1"/>
  <c r="K1249"/>
  <c r="L1249" s="1"/>
  <c r="K1257"/>
  <c r="L1257" s="1"/>
  <c r="K1258"/>
  <c r="L1258" s="1"/>
  <c r="K1259"/>
  <c r="L1259" s="1"/>
  <c r="K1260"/>
  <c r="L1260" s="1"/>
  <c r="K1261"/>
  <c r="L1261" s="1"/>
  <c r="K1262"/>
  <c r="L1262" s="1"/>
  <c r="K1263"/>
  <c r="L1263" s="1"/>
  <c r="K1264"/>
  <c r="L1264" s="1"/>
  <c r="K1265"/>
  <c r="L1265" s="1"/>
  <c r="K1266"/>
  <c r="L1266" s="1"/>
  <c r="K1267"/>
  <c r="L1267" s="1"/>
  <c r="K1268"/>
  <c r="L1268" s="1"/>
  <c r="K1269"/>
  <c r="L1269" s="1"/>
  <c r="K1270"/>
  <c r="L1270" s="1"/>
  <c r="K1282"/>
  <c r="L1282" s="1"/>
  <c r="K1283"/>
  <c r="L1283" s="1"/>
  <c r="K1284"/>
  <c r="L1284" s="1"/>
  <c r="K1285"/>
  <c r="L1285" s="1"/>
  <c r="K1286"/>
  <c r="L1286" s="1"/>
  <c r="K1287"/>
  <c r="L1287" s="1"/>
  <c r="K1288"/>
  <c r="L1288" s="1"/>
  <c r="K1289"/>
  <c r="L1289" s="1"/>
  <c r="K1290"/>
  <c r="L1290" s="1"/>
  <c r="K1291"/>
  <c r="L1291" s="1"/>
  <c r="K1292"/>
  <c r="L1292" s="1"/>
  <c r="K1293"/>
  <c r="L1293" s="1"/>
  <c r="K1294"/>
  <c r="L1294" s="1"/>
  <c r="K1295"/>
  <c r="L1295" s="1"/>
  <c r="K1296"/>
  <c r="L1296" s="1"/>
  <c r="K1297"/>
  <c r="L1297" s="1"/>
  <c r="K1298"/>
  <c r="L1298" s="1"/>
  <c r="K1299"/>
  <c r="L1299" s="1"/>
  <c r="K1300"/>
  <c r="L1300" s="1"/>
  <c r="K1301"/>
  <c r="L1301" s="1"/>
  <c r="K1302"/>
  <c r="L1302" s="1"/>
  <c r="K1303"/>
  <c r="L1303" s="1"/>
  <c r="K1304"/>
  <c r="L1304" s="1"/>
  <c r="K1305"/>
  <c r="L1305" s="1"/>
  <c r="K1306"/>
  <c r="L1306" s="1"/>
  <c r="K1307"/>
  <c r="L1307" s="1"/>
  <c r="K1308"/>
  <c r="L1308" s="1"/>
  <c r="K1309"/>
  <c r="L1309" s="1"/>
  <c r="K1310"/>
  <c r="L1310" s="1"/>
  <c r="K1311"/>
  <c r="L1311" s="1"/>
  <c r="K1312"/>
  <c r="L1312" s="1"/>
  <c r="K1313"/>
  <c r="L1313" s="1"/>
  <c r="K1314"/>
  <c r="L1314" s="1"/>
  <c r="K1315"/>
  <c r="L1315" s="1"/>
  <c r="K1316"/>
  <c r="L1316" s="1"/>
  <c r="K1317"/>
  <c r="L1317" s="1"/>
  <c r="K1318"/>
  <c r="L1318" s="1"/>
  <c r="K1319"/>
  <c r="L1319" s="1"/>
  <c r="K1320"/>
  <c r="L1320" s="1"/>
  <c r="K1357"/>
  <c r="L1357" s="1"/>
  <c r="K1358"/>
  <c r="L1358" s="1"/>
  <c r="K1359"/>
  <c r="L1359" s="1"/>
  <c r="K1360"/>
  <c r="L1360" s="1"/>
  <c r="K1361"/>
  <c r="L1361" s="1"/>
  <c r="K1362"/>
  <c r="L1362" s="1"/>
  <c r="K1363"/>
  <c r="L1363" s="1"/>
  <c r="K1364"/>
  <c r="L1364" s="1"/>
  <c r="K1365"/>
  <c r="L1365" s="1"/>
  <c r="K1366"/>
  <c r="L1366" s="1"/>
  <c r="K1367"/>
  <c r="L1367" s="1"/>
  <c r="K1368"/>
  <c r="L1368" s="1"/>
  <c r="K1369"/>
  <c r="L1369" s="1"/>
  <c r="K1383"/>
  <c r="L1383" s="1"/>
  <c r="K1384"/>
  <c r="L1384" s="1"/>
  <c r="K1385"/>
  <c r="L1385" s="1"/>
  <c r="K1386"/>
  <c r="L1386" s="1"/>
  <c r="K1387"/>
  <c r="L1387" s="1"/>
  <c r="K1388"/>
  <c r="L1388" s="1"/>
  <c r="K1389"/>
  <c r="L1389" s="1"/>
  <c r="K1390"/>
  <c r="L1390" s="1"/>
  <c r="K1391"/>
  <c r="L1391" s="1"/>
  <c r="K1392"/>
  <c r="L1392" s="1"/>
  <c r="K1400"/>
  <c r="L1400" s="1"/>
  <c r="K1401"/>
  <c r="L1401" s="1"/>
  <c r="K1402"/>
  <c r="L1402" s="1"/>
  <c r="K1403"/>
  <c r="L1403" s="1"/>
  <c r="K1404"/>
  <c r="L1404" s="1"/>
  <c r="K1405"/>
  <c r="L1405" s="1"/>
  <c r="K1406"/>
  <c r="L1406" s="1"/>
  <c r="K1407"/>
  <c r="L1407" s="1"/>
  <c r="K1408"/>
  <c r="L1408" s="1"/>
  <c r="K1409"/>
  <c r="L1409" s="1"/>
  <c r="K1410"/>
  <c r="L1410" s="1"/>
  <c r="K1411"/>
  <c r="L1411" s="1"/>
  <c r="K1412"/>
  <c r="L1412" s="1"/>
  <c r="K1413"/>
  <c r="L1413" s="1"/>
  <c r="K1414"/>
  <c r="L1414" s="1"/>
  <c r="K1415"/>
  <c r="L1415" s="1"/>
  <c r="K1416"/>
  <c r="L1416" s="1"/>
  <c r="K1417"/>
  <c r="L1417" s="1"/>
  <c r="K1430"/>
  <c r="L1430" s="1"/>
  <c r="K1431"/>
  <c r="L1431" s="1"/>
  <c r="K1432"/>
  <c r="L1432" s="1"/>
  <c r="K1433"/>
  <c r="L1433" s="1"/>
  <c r="K1434"/>
  <c r="L1434" s="1"/>
  <c r="K1435"/>
  <c r="L1435" s="1"/>
  <c r="K1436"/>
  <c r="L1436" s="1"/>
  <c r="K1437"/>
  <c r="L1437" s="1"/>
  <c r="K1438"/>
  <c r="L1438" s="1"/>
  <c r="K1439"/>
  <c r="L1439" s="1"/>
  <c r="K1440"/>
  <c r="L1440" s="1"/>
  <c r="K1441"/>
  <c r="L1441" s="1"/>
  <c r="K1442"/>
  <c r="K1443"/>
  <c r="L1443" s="1"/>
  <c r="K1444"/>
  <c r="L1444" s="1"/>
  <c r="K1445"/>
  <c r="L1445" s="1"/>
  <c r="K1452"/>
  <c r="K1453"/>
  <c r="L1453" s="1"/>
  <c r="K1454"/>
  <c r="L1454" s="1"/>
  <c r="K1455"/>
  <c r="L1455" s="1"/>
  <c r="K1456"/>
  <c r="L1456" s="1"/>
  <c r="K1457"/>
  <c r="L1457" s="1"/>
  <c r="K1458"/>
  <c r="L1458" s="1"/>
  <c r="K1459"/>
  <c r="L1459" s="1"/>
  <c r="K1460"/>
  <c r="L1460" s="1"/>
  <c r="K1461"/>
  <c r="L1461" s="1"/>
  <c r="K1462"/>
  <c r="L1462" s="1"/>
  <c r="K1463"/>
  <c r="L1463" s="1"/>
  <c r="K1464"/>
  <c r="L1464" s="1"/>
  <c r="K1465"/>
  <c r="L1465" s="1"/>
  <c r="K1466"/>
  <c r="L1466" s="1"/>
  <c r="K1468"/>
  <c r="K1469"/>
  <c r="L1469" s="1"/>
  <c r="K1470"/>
  <c r="L1470" s="1"/>
  <c r="K1471"/>
  <c r="L1471" s="1"/>
  <c r="K1472"/>
  <c r="L1472" s="1"/>
  <c r="K1473"/>
  <c r="L1473" s="1"/>
  <c r="K1474"/>
  <c r="L1474" s="1"/>
  <c r="K1475"/>
  <c r="L1475" s="1"/>
  <c r="K1476"/>
  <c r="L1476" s="1"/>
  <c r="K1477"/>
  <c r="L1477" s="1"/>
  <c r="K1478"/>
  <c r="L1478" s="1"/>
  <c r="K1479"/>
  <c r="L1479" s="1"/>
  <c r="K1480"/>
  <c r="L1480" s="1"/>
  <c r="K1481"/>
  <c r="L1481" s="1"/>
  <c r="K1482"/>
  <c r="L1482" s="1"/>
  <c r="K1483"/>
  <c r="L1483" s="1"/>
  <c r="K1484"/>
  <c r="L1484" s="1"/>
  <c r="K1485"/>
  <c r="L1485" s="1"/>
  <c r="K1486"/>
  <c r="L1486" s="1"/>
  <c r="K1487"/>
  <c r="L1487" s="1"/>
  <c r="K1496"/>
  <c r="K1497"/>
  <c r="L1497" s="1"/>
  <c r="K1498"/>
  <c r="L1498" s="1"/>
  <c r="K1499"/>
  <c r="L1499" s="1"/>
  <c r="K1500"/>
  <c r="L1500" s="1"/>
  <c r="K1501"/>
  <c r="L1501" s="1"/>
  <c r="K1502"/>
  <c r="L1502" s="1"/>
  <c r="K1503"/>
  <c r="L1503" s="1"/>
  <c r="K1504"/>
  <c r="L1504" s="1"/>
  <c r="K1505"/>
  <c r="L1505" s="1"/>
  <c r="K1506"/>
  <c r="L1506" s="1"/>
  <c r="K1507"/>
  <c r="L1507" s="1"/>
  <c r="K1508"/>
  <c r="L1508" s="1"/>
  <c r="K1509"/>
  <c r="L1509" s="1"/>
  <c r="K1510"/>
  <c r="L1510" s="1"/>
  <c r="K1511"/>
  <c r="L1511" s="1"/>
  <c r="K1512"/>
  <c r="L1512" s="1"/>
  <c r="K1513"/>
  <c r="L1513" s="1"/>
  <c r="K1514"/>
  <c r="L1514" s="1"/>
  <c r="K1515"/>
  <c r="L1515" s="1"/>
  <c r="K1516"/>
  <c r="L1516" s="1"/>
  <c r="L1517"/>
  <c r="L1518"/>
  <c r="L1519"/>
  <c r="L1520"/>
  <c r="L1521"/>
  <c r="K1524"/>
  <c r="K1525"/>
  <c r="L1525" s="1"/>
  <c r="K1526"/>
  <c r="L1526" s="1"/>
  <c r="K1527"/>
  <c r="L1527" s="1"/>
  <c r="K1528"/>
  <c r="L1528" s="1"/>
  <c r="K1529"/>
  <c r="L1529" s="1"/>
  <c r="K1530"/>
  <c r="L1530" s="1"/>
  <c r="K1531"/>
  <c r="L1531" s="1"/>
  <c r="K1532"/>
  <c r="L1532" s="1"/>
  <c r="K1533"/>
  <c r="L1533" s="1"/>
  <c r="K1534"/>
  <c r="L1534" s="1"/>
  <c r="K1535"/>
  <c r="L1535" s="1"/>
  <c r="K1536"/>
  <c r="L1536" s="1"/>
  <c r="K1537"/>
  <c r="L1537" s="1"/>
  <c r="K1538"/>
  <c r="L1538" s="1"/>
  <c r="K1539"/>
  <c r="L1539" s="1"/>
  <c r="K1542"/>
  <c r="K1543"/>
  <c r="L1543" s="1"/>
  <c r="K1544"/>
  <c r="L1544" s="1"/>
  <c r="K1545"/>
  <c r="L1545" s="1"/>
  <c r="K1546"/>
  <c r="L1546" s="1"/>
  <c r="K1547"/>
  <c r="L1547" s="1"/>
  <c r="K1548"/>
  <c r="L1548" s="1"/>
  <c r="K1549"/>
  <c r="L1549" s="1"/>
  <c r="K1550"/>
  <c r="L1550" s="1"/>
  <c r="K1551"/>
  <c r="L1551" s="1"/>
  <c r="K1552"/>
  <c r="L1552" s="1"/>
  <c r="K1553"/>
  <c r="L1553" s="1"/>
  <c r="K1554"/>
  <c r="L1554" s="1"/>
  <c r="K1555"/>
  <c r="L1555" s="1"/>
  <c r="K1556"/>
  <c r="L1556" s="1"/>
  <c r="K1557"/>
  <c r="L1557" s="1"/>
  <c r="K1558"/>
  <c r="L1558" s="1"/>
  <c r="K1559"/>
  <c r="L1559" s="1"/>
  <c r="K1560"/>
  <c r="L1560" s="1"/>
  <c r="K1561"/>
  <c r="L1561" s="1"/>
  <c r="K1562"/>
  <c r="L1562" s="1"/>
  <c r="K1563"/>
  <c r="L1563" s="1"/>
  <c r="L1564"/>
  <c r="L1565"/>
  <c r="L1566"/>
  <c r="L1567"/>
  <c r="L1568"/>
  <c r="L1569"/>
  <c r="K1571"/>
  <c r="L1572"/>
  <c r="L1573"/>
  <c r="L1574"/>
  <c r="L1575"/>
  <c r="L1577"/>
  <c r="L1578"/>
  <c r="L1579"/>
  <c r="L1580"/>
  <c r="L1581"/>
  <c r="L1582"/>
  <c r="L1583"/>
  <c r="L1586"/>
  <c r="L1587"/>
  <c r="L1588"/>
  <c r="L1589"/>
  <c r="K1590"/>
  <c r="L1590" s="1"/>
  <c r="K1591"/>
  <c r="L1591" s="1"/>
  <c r="L1592"/>
  <c r="L1593"/>
  <c r="L1594"/>
  <c r="L1595"/>
  <c r="L1596"/>
  <c r="K1599"/>
  <c r="K1600"/>
  <c r="L1600" s="1"/>
  <c r="K1601"/>
  <c r="L1601" s="1"/>
  <c r="K1602"/>
  <c r="L1602" s="1"/>
  <c r="K1603"/>
  <c r="L1603" s="1"/>
  <c r="K1604"/>
  <c r="L1604" s="1"/>
  <c r="K1605"/>
  <c r="L1605" s="1"/>
  <c r="K1606"/>
  <c r="L1606" s="1"/>
  <c r="K1607"/>
  <c r="L1607" s="1"/>
  <c r="K1608"/>
  <c r="L1608" s="1"/>
  <c r="K1609"/>
  <c r="L1609" s="1"/>
  <c r="K1610"/>
  <c r="L1610" s="1"/>
  <c r="K1611"/>
  <c r="L1611" s="1"/>
  <c r="K1612"/>
  <c r="L1612" s="1"/>
  <c r="K1613"/>
  <c r="L1613" s="1"/>
  <c r="K1614"/>
  <c r="L1614" s="1"/>
  <c r="K1616"/>
  <c r="K1617"/>
  <c r="L1617" s="1"/>
  <c r="K1618"/>
  <c r="L1618" s="1"/>
  <c r="K1619"/>
  <c r="L1619" s="1"/>
  <c r="K1620"/>
  <c r="L1620" s="1"/>
  <c r="K1621"/>
  <c r="L1621" s="1"/>
  <c r="K1622"/>
  <c r="L1622" s="1"/>
  <c r="K1623"/>
  <c r="L1623" s="1"/>
  <c r="K1624"/>
  <c r="L1624" s="1"/>
  <c r="K1625"/>
  <c r="L1625" s="1"/>
  <c r="K1626"/>
  <c r="L1626" s="1"/>
  <c r="K1627"/>
  <c r="L1627" s="1"/>
  <c r="K1628"/>
  <c r="L1628" s="1"/>
  <c r="K1629"/>
  <c r="L1629" s="1"/>
  <c r="K1630"/>
  <c r="L1630" s="1"/>
  <c r="K1631"/>
  <c r="L1631" s="1"/>
  <c r="K1632"/>
  <c r="L1632" s="1"/>
  <c r="K1633"/>
  <c r="L1633" s="1"/>
  <c r="K1634"/>
  <c r="L1634" s="1"/>
  <c r="K1635"/>
  <c r="L1635" s="1"/>
  <c r="K1636"/>
  <c r="L1636" s="1"/>
  <c r="K1637"/>
  <c r="L1637" s="1"/>
  <c r="L1638"/>
  <c r="L1639"/>
  <c r="L1640"/>
  <c r="L1641"/>
  <c r="L1642"/>
  <c r="K1645"/>
  <c r="K1646"/>
  <c r="L1646" s="1"/>
  <c r="K1647"/>
  <c r="L1647" s="1"/>
  <c r="K1648"/>
  <c r="L1648" s="1"/>
  <c r="K1649"/>
  <c r="L1649" s="1"/>
  <c r="K1650"/>
  <c r="L1650" s="1"/>
  <c r="K1651"/>
  <c r="L1651" s="1"/>
  <c r="K1652"/>
  <c r="L1652" s="1"/>
  <c r="K1653"/>
  <c r="L1653" s="1"/>
  <c r="K1654"/>
  <c r="L1654" s="1"/>
  <c r="K1655"/>
  <c r="L1655" s="1"/>
  <c r="K1656"/>
  <c r="L1656" s="1"/>
  <c r="K1657"/>
  <c r="L1657" s="1"/>
  <c r="K1658"/>
  <c r="L1658" s="1"/>
  <c r="K1659"/>
  <c r="L1659" s="1"/>
  <c r="K1660"/>
  <c r="L1660" s="1"/>
  <c r="K1661"/>
  <c r="L1661" s="1"/>
  <c r="K1662"/>
  <c r="L1662" s="1"/>
  <c r="K1663"/>
  <c r="L1663" s="1"/>
  <c r="K1664"/>
  <c r="L1664" s="1"/>
  <c r="K1665"/>
  <c r="L1665" s="1"/>
  <c r="K1666"/>
  <c r="L1666" s="1"/>
  <c r="K1667"/>
  <c r="L1667" s="1"/>
  <c r="K1668"/>
  <c r="L1668" s="1"/>
  <c r="K1669"/>
  <c r="L1669" s="1"/>
  <c r="L1670"/>
  <c r="L1671"/>
  <c r="L1672"/>
  <c r="L1673"/>
  <c r="L1674"/>
  <c r="K1676"/>
  <c r="K1677"/>
  <c r="L1677" s="1"/>
  <c r="K1678"/>
  <c r="L1678" s="1"/>
  <c r="K1679"/>
  <c r="L1679" s="1"/>
  <c r="K1680"/>
  <c r="L1680" s="1"/>
  <c r="K1681"/>
  <c r="L1681" s="1"/>
  <c r="K1682"/>
  <c r="L1682" s="1"/>
  <c r="K1683"/>
  <c r="L1683" s="1"/>
  <c r="K1684"/>
  <c r="L1684" s="1"/>
  <c r="K1685"/>
  <c r="L1685" s="1"/>
  <c r="K1686"/>
  <c r="L1686" s="1"/>
  <c r="K1687"/>
  <c r="L1687" s="1"/>
  <c r="K1688"/>
  <c r="L1688" s="1"/>
  <c r="K1689"/>
  <c r="L1689" s="1"/>
  <c r="K1690"/>
  <c r="L1690" s="1"/>
  <c r="K118"/>
  <c r="K107"/>
  <c r="K108"/>
  <c r="K109"/>
  <c r="K110"/>
  <c r="K111"/>
  <c r="K112"/>
  <c r="K98"/>
  <c r="K99"/>
  <c r="L99" s="1"/>
  <c r="K100"/>
  <c r="K91"/>
  <c r="J113"/>
  <c r="J114" s="1"/>
  <c r="J93"/>
  <c r="K93" s="1"/>
  <c r="J88"/>
  <c r="K88" s="1"/>
  <c r="G88"/>
  <c r="H88" s="1"/>
  <c r="G89"/>
  <c r="H89" s="1"/>
  <c r="G90"/>
  <c r="H90" s="1"/>
  <c r="G91"/>
  <c r="G93"/>
  <c r="H93" s="1"/>
  <c r="G94"/>
  <c r="H94" s="1"/>
  <c r="G95"/>
  <c r="H95" s="1"/>
  <c r="G96"/>
  <c r="H96" s="1"/>
  <c r="G97"/>
  <c r="H97" s="1"/>
  <c r="G98"/>
  <c r="H98" s="1"/>
  <c r="G99"/>
  <c r="H99" s="1"/>
  <c r="G100"/>
  <c r="H100" s="1"/>
  <c r="G102"/>
  <c r="H102" s="1"/>
  <c r="G103"/>
  <c r="H103" s="1"/>
  <c r="G104"/>
  <c r="H104" s="1"/>
  <c r="G105"/>
  <c r="H105" s="1"/>
  <c r="G106"/>
  <c r="H106" s="1"/>
  <c r="G107"/>
  <c r="H107" s="1"/>
  <c r="G108"/>
  <c r="H108" s="1"/>
  <c r="G109"/>
  <c r="H109" s="1"/>
  <c r="G110"/>
  <c r="H110" s="1"/>
  <c r="G111"/>
  <c r="H111" s="1"/>
  <c r="G112"/>
  <c r="H112" s="1"/>
  <c r="G113"/>
  <c r="H113" s="1"/>
  <c r="G114"/>
  <c r="H114" s="1"/>
  <c r="G115"/>
  <c r="H115" s="1"/>
  <c r="G116"/>
  <c r="H116" s="1"/>
  <c r="G117"/>
  <c r="H117" s="1"/>
  <c r="G118"/>
  <c r="H118" s="1"/>
  <c r="G121"/>
  <c r="H121" s="1"/>
  <c r="G122"/>
  <c r="H122" s="1"/>
  <c r="G123"/>
  <c r="H123" s="1"/>
  <c r="G124"/>
  <c r="G125"/>
  <c r="G127"/>
  <c r="H127" s="1"/>
  <c r="G128"/>
  <c r="H128" s="1"/>
  <c r="G129"/>
  <c r="H129" s="1"/>
  <c r="G130"/>
  <c r="H130" s="1"/>
  <c r="G131"/>
  <c r="H131" s="1"/>
  <c r="G132"/>
  <c r="H132" s="1"/>
  <c r="G133"/>
  <c r="H133" s="1"/>
  <c r="G134"/>
  <c r="H134" s="1"/>
  <c r="G135"/>
  <c r="H135" s="1"/>
  <c r="G136"/>
  <c r="G138"/>
  <c r="G139"/>
  <c r="H139" s="1"/>
  <c r="G140"/>
  <c r="H140" s="1"/>
  <c r="G141"/>
  <c r="H141" s="1"/>
  <c r="G142"/>
  <c r="H142" s="1"/>
  <c r="G143"/>
  <c r="H143" s="1"/>
  <c r="G144"/>
  <c r="H144" s="1"/>
  <c r="G145"/>
  <c r="H145" s="1"/>
  <c r="G146"/>
  <c r="H146" s="1"/>
  <c r="G148"/>
  <c r="H148" s="1"/>
  <c r="G149"/>
  <c r="H149" s="1"/>
  <c r="G150"/>
  <c r="H150" s="1"/>
  <c r="G151"/>
  <c r="H151" s="1"/>
  <c r="G152"/>
  <c r="H152" s="1"/>
  <c r="G153"/>
  <c r="H153" s="1"/>
  <c r="G154"/>
  <c r="H154" s="1"/>
  <c r="G155"/>
  <c r="H155" s="1"/>
  <c r="G156"/>
  <c r="H156" s="1"/>
  <c r="G157"/>
  <c r="H157" s="1"/>
  <c r="G158"/>
  <c r="H158" s="1"/>
  <c r="G159"/>
  <c r="H159" s="1"/>
  <c r="G160"/>
  <c r="H160" s="1"/>
  <c r="G161"/>
  <c r="H161" s="1"/>
  <c r="G162"/>
  <c r="H162" s="1"/>
  <c r="G163"/>
  <c r="H163" s="1"/>
  <c r="G164"/>
  <c r="H164" s="1"/>
  <c r="G165"/>
  <c r="H165" s="1"/>
  <c r="G166"/>
  <c r="H166" s="1"/>
  <c r="G167"/>
  <c r="H167" s="1"/>
  <c r="G169"/>
  <c r="H169" s="1"/>
  <c r="G170"/>
  <c r="H170" s="1"/>
  <c r="G171"/>
  <c r="H171" s="1"/>
  <c r="G172"/>
  <c r="H172" s="1"/>
  <c r="G173"/>
  <c r="H173" s="1"/>
  <c r="G174"/>
  <c r="H174" s="1"/>
  <c r="G175"/>
  <c r="H175" s="1"/>
  <c r="G176"/>
  <c r="H176" s="1"/>
  <c r="G178"/>
  <c r="H178" s="1"/>
  <c r="G179"/>
  <c r="H179" s="1"/>
  <c r="G180"/>
  <c r="H180" s="1"/>
  <c r="G181"/>
  <c r="H181" s="1"/>
  <c r="G182"/>
  <c r="H182" s="1"/>
  <c r="G183"/>
  <c r="H183" s="1"/>
  <c r="G184"/>
  <c r="H184" s="1"/>
  <c r="G185"/>
  <c r="H185" s="1"/>
  <c r="G189"/>
  <c r="G190"/>
  <c r="H190" s="1"/>
  <c r="G191"/>
  <c r="H191" s="1"/>
  <c r="G192"/>
  <c r="H192" s="1"/>
  <c r="G193"/>
  <c r="H193" s="1"/>
  <c r="G194"/>
  <c r="H194" s="1"/>
  <c r="G195"/>
  <c r="H195" s="1"/>
  <c r="G196"/>
  <c r="H196" s="1"/>
  <c r="G197"/>
  <c r="H197" s="1"/>
  <c r="G198"/>
  <c r="H198" s="1"/>
  <c r="G199"/>
  <c r="H199" s="1"/>
  <c r="G200"/>
  <c r="H200" s="1"/>
  <c r="G202"/>
  <c r="H202" s="1"/>
  <c r="G203"/>
  <c r="H203" s="1"/>
  <c r="G204"/>
  <c r="H204" s="1"/>
  <c r="G205"/>
  <c r="H205" s="1"/>
  <c r="G206"/>
  <c r="H206" s="1"/>
  <c r="G207"/>
  <c r="H207" s="1"/>
  <c r="G208"/>
  <c r="H208" s="1"/>
  <c r="G209"/>
  <c r="H209" s="1"/>
  <c r="G210"/>
  <c r="H210" s="1"/>
  <c r="G211"/>
  <c r="H211" s="1"/>
  <c r="G212"/>
  <c r="H212" s="1"/>
  <c r="G213"/>
  <c r="H213" s="1"/>
  <c r="G214"/>
  <c r="H214" s="1"/>
  <c r="G215"/>
  <c r="H215" s="1"/>
  <c r="G217"/>
  <c r="H217" s="1"/>
  <c r="G218"/>
  <c r="H218" s="1"/>
  <c r="G219"/>
  <c r="H219" s="1"/>
  <c r="G220"/>
  <c r="H220" s="1"/>
  <c r="G221"/>
  <c r="H221" s="1"/>
  <c r="G223"/>
  <c r="H223" s="1"/>
  <c r="G224"/>
  <c r="H224" s="1"/>
  <c r="G225"/>
  <c r="H225" s="1"/>
  <c r="G226"/>
  <c r="H226" s="1"/>
  <c r="G227"/>
  <c r="H227" s="1"/>
  <c r="G228"/>
  <c r="H228" s="1"/>
  <c r="G229"/>
  <c r="H229" s="1"/>
  <c r="G230"/>
  <c r="H230" s="1"/>
  <c r="G231"/>
  <c r="H231" s="1"/>
  <c r="G232"/>
  <c r="H232" s="1"/>
  <c r="G233"/>
  <c r="H233" s="1"/>
  <c r="G234"/>
  <c r="H234" s="1"/>
  <c r="G235"/>
  <c r="H235" s="1"/>
  <c r="G236"/>
  <c r="H236" s="1"/>
  <c r="G237"/>
  <c r="H237" s="1"/>
  <c r="G238"/>
  <c r="H238" s="1"/>
  <c r="G239"/>
  <c r="H239" s="1"/>
  <c r="G240"/>
  <c r="H240" s="1"/>
  <c r="G241"/>
  <c r="H241" s="1"/>
  <c r="G242"/>
  <c r="H242" s="1"/>
  <c r="G243"/>
  <c r="H243" s="1"/>
  <c r="G244"/>
  <c r="H244" s="1"/>
  <c r="G246"/>
  <c r="H246" s="1"/>
  <c r="G247"/>
  <c r="H247" s="1"/>
  <c r="G248"/>
  <c r="H248" s="1"/>
  <c r="G249"/>
  <c r="H249" s="1"/>
  <c r="G250"/>
  <c r="H250" s="1"/>
  <c r="G251"/>
  <c r="H251" s="1"/>
  <c r="G252"/>
  <c r="H252" s="1"/>
  <c r="G253"/>
  <c r="H253" s="1"/>
  <c r="G254"/>
  <c r="H254" s="1"/>
  <c r="G255"/>
  <c r="H255" s="1"/>
  <c r="G256"/>
  <c r="G258"/>
  <c r="H258" s="1"/>
  <c r="G259"/>
  <c r="H259" s="1"/>
  <c r="G260"/>
  <c r="H260" s="1"/>
  <c r="G261"/>
  <c r="H261" s="1"/>
  <c r="G262"/>
  <c r="H262" s="1"/>
  <c r="G263"/>
  <c r="H263" s="1"/>
  <c r="G264"/>
  <c r="H264" s="1"/>
  <c r="G265"/>
  <c r="H265" s="1"/>
  <c r="G266"/>
  <c r="H266" s="1"/>
  <c r="G267"/>
  <c r="H267" s="1"/>
  <c r="G268"/>
  <c r="H268" s="1"/>
  <c r="G269"/>
  <c r="H269" s="1"/>
  <c r="G270"/>
  <c r="H270" s="1"/>
  <c r="G271"/>
  <c r="H271" s="1"/>
  <c r="G273"/>
  <c r="H273" s="1"/>
  <c r="G274"/>
  <c r="H274" s="1"/>
  <c r="G275"/>
  <c r="H275" s="1"/>
  <c r="G276"/>
  <c r="H276" s="1"/>
  <c r="G277"/>
  <c r="H277" s="1"/>
  <c r="G278"/>
  <c r="H278" s="1"/>
  <c r="G279"/>
  <c r="H279" s="1"/>
  <c r="G280"/>
  <c r="H280" s="1"/>
  <c r="G281"/>
  <c r="H281" s="1"/>
  <c r="G282"/>
  <c r="H282" s="1"/>
  <c r="G283"/>
  <c r="H283" s="1"/>
  <c r="G284"/>
  <c r="H284" s="1"/>
  <c r="G285"/>
  <c r="H285" s="1"/>
  <c r="G286"/>
  <c r="H286" s="1"/>
  <c r="G287"/>
  <c r="H287" s="1"/>
  <c r="G288"/>
  <c r="H288" s="1"/>
  <c r="G289"/>
  <c r="H289" s="1"/>
  <c r="G290"/>
  <c r="H290" s="1"/>
  <c r="G291"/>
  <c r="H291" s="1"/>
  <c r="G292"/>
  <c r="H292" s="1"/>
  <c r="G293"/>
  <c r="H293" s="1"/>
  <c r="G294"/>
  <c r="H294" s="1"/>
  <c r="G295"/>
  <c r="H295" s="1"/>
  <c r="G296"/>
  <c r="H296" s="1"/>
  <c r="G297"/>
  <c r="H297" s="1"/>
  <c r="G298"/>
  <c r="H298" s="1"/>
  <c r="G299"/>
  <c r="H299" s="1"/>
  <c r="G301"/>
  <c r="G302"/>
  <c r="H302" s="1"/>
  <c r="G303"/>
  <c r="H303" s="1"/>
  <c r="G304"/>
  <c r="H304" s="1"/>
  <c r="G305"/>
  <c r="H305" s="1"/>
  <c r="G306"/>
  <c r="H306" s="1"/>
  <c r="G307"/>
  <c r="H307" s="1"/>
  <c r="G308"/>
  <c r="H308" s="1"/>
  <c r="G309"/>
  <c r="H309" s="1"/>
  <c r="G311"/>
  <c r="H311" s="1"/>
  <c r="G312"/>
  <c r="H312" s="1"/>
  <c r="G313"/>
  <c r="H313" s="1"/>
  <c r="G314"/>
  <c r="H314" s="1"/>
  <c r="G315"/>
  <c r="H315" s="1"/>
  <c r="G316"/>
  <c r="H316" s="1"/>
  <c r="G317"/>
  <c r="H317" s="1"/>
  <c r="G318"/>
  <c r="H318" s="1"/>
  <c r="G319"/>
  <c r="H319" s="1"/>
  <c r="G320"/>
  <c r="H320" s="1"/>
  <c r="G321"/>
  <c r="H321" s="1"/>
  <c r="G322"/>
  <c r="H322" s="1"/>
  <c r="G323"/>
  <c r="H323" s="1"/>
  <c r="G324"/>
  <c r="H324" s="1"/>
  <c r="G325"/>
  <c r="H325" s="1"/>
  <c r="G326"/>
  <c r="H326" s="1"/>
  <c r="G327"/>
  <c r="H327" s="1"/>
  <c r="G328"/>
  <c r="H328" s="1"/>
  <c r="G329"/>
  <c r="H329" s="1"/>
  <c r="G330"/>
  <c r="H330" s="1"/>
  <c r="G331"/>
  <c r="H331" s="1"/>
  <c r="G332"/>
  <c r="H332" s="1"/>
  <c r="G333"/>
  <c r="G335"/>
  <c r="H335" s="1"/>
  <c r="G336"/>
  <c r="H336" s="1"/>
  <c r="G337"/>
  <c r="H337" s="1"/>
  <c r="G338"/>
  <c r="H338" s="1"/>
  <c r="G340"/>
  <c r="H340" s="1"/>
  <c r="G341"/>
  <c r="H341" s="1"/>
  <c r="G342"/>
  <c r="H342" s="1"/>
  <c r="G343"/>
  <c r="H343" s="1"/>
  <c r="G344"/>
  <c r="H344" s="1"/>
  <c r="G345"/>
  <c r="H345" s="1"/>
  <c r="G346"/>
  <c r="H346" s="1"/>
  <c r="G347"/>
  <c r="H347" s="1"/>
  <c r="G348"/>
  <c r="H348" s="1"/>
  <c r="G349"/>
  <c r="H349" s="1"/>
  <c r="G350"/>
  <c r="H350" s="1"/>
  <c r="G351"/>
  <c r="H351" s="1"/>
  <c r="G352"/>
  <c r="H352" s="1"/>
  <c r="G353"/>
  <c r="H353" s="1"/>
  <c r="G354"/>
  <c r="H354" s="1"/>
  <c r="G355"/>
  <c r="H355" s="1"/>
  <c r="G356"/>
  <c r="H356" s="1"/>
  <c r="G357"/>
  <c r="H357" s="1"/>
  <c r="G358"/>
  <c r="H358" s="1"/>
  <c r="G359"/>
  <c r="H359" s="1"/>
  <c r="G360"/>
  <c r="H360" s="1"/>
  <c r="G361"/>
  <c r="H361" s="1"/>
  <c r="G362"/>
  <c r="H362" s="1"/>
  <c r="G364"/>
  <c r="H364" s="1"/>
  <c r="G365"/>
  <c r="H365" s="1"/>
  <c r="G366"/>
  <c r="H366" s="1"/>
  <c r="G367"/>
  <c r="H367" s="1"/>
  <c r="G369"/>
  <c r="H369" s="1"/>
  <c r="G370"/>
  <c r="H370" s="1"/>
  <c r="G371"/>
  <c r="H371" s="1"/>
  <c r="G372"/>
  <c r="H372" s="1"/>
  <c r="G373"/>
  <c r="H373" s="1"/>
  <c r="G374"/>
  <c r="H374" s="1"/>
  <c r="G375"/>
  <c r="H375" s="1"/>
  <c r="G376"/>
  <c r="H376" s="1"/>
  <c r="G377"/>
  <c r="H377" s="1"/>
  <c r="G378"/>
  <c r="H378" s="1"/>
  <c r="G379"/>
  <c r="H379" s="1"/>
  <c r="G380"/>
  <c r="H380" s="1"/>
  <c r="G382"/>
  <c r="H382" s="1"/>
  <c r="G383"/>
  <c r="H383" s="1"/>
  <c r="G384"/>
  <c r="H384" s="1"/>
  <c r="G385"/>
  <c r="H385" s="1"/>
  <c r="G386"/>
  <c r="H386" s="1"/>
  <c r="G387"/>
  <c r="H387" s="1"/>
  <c r="G388"/>
  <c r="H388" s="1"/>
  <c r="G389"/>
  <c r="H389" s="1"/>
  <c r="G390"/>
  <c r="H390" s="1"/>
  <c r="G391"/>
  <c r="H391" s="1"/>
  <c r="G392"/>
  <c r="H392" s="1"/>
  <c r="G393"/>
  <c r="H393" s="1"/>
  <c r="G394"/>
  <c r="H394" s="1"/>
  <c r="G395"/>
  <c r="H395" s="1"/>
  <c r="G396"/>
  <c r="H396" s="1"/>
  <c r="G397"/>
  <c r="H397" s="1"/>
  <c r="G398"/>
  <c r="H398" s="1"/>
  <c r="G399"/>
  <c r="H399" s="1"/>
  <c r="G400"/>
  <c r="H400" s="1"/>
  <c r="G401"/>
  <c r="H401" s="1"/>
  <c r="G402"/>
  <c r="H402" s="1"/>
  <c r="G403"/>
  <c r="H403" s="1"/>
  <c r="G405"/>
  <c r="H405" s="1"/>
  <c r="G406"/>
  <c r="H406" s="1"/>
  <c r="G407"/>
  <c r="H407" s="1"/>
  <c r="G408"/>
  <c r="H408" s="1"/>
  <c r="G409"/>
  <c r="H409" s="1"/>
  <c r="G410"/>
  <c r="H410" s="1"/>
  <c r="G411"/>
  <c r="H411" s="1"/>
  <c r="G412"/>
  <c r="H412" s="1"/>
  <c r="G413"/>
  <c r="H413" s="1"/>
  <c r="G414"/>
  <c r="H414" s="1"/>
  <c r="G415"/>
  <c r="H415" s="1"/>
  <c r="G416"/>
  <c r="G418"/>
  <c r="H418" s="1"/>
  <c r="G419"/>
  <c r="H419" s="1"/>
  <c r="G420"/>
  <c r="H420" s="1"/>
  <c r="G421"/>
  <c r="H421" s="1"/>
  <c r="G422"/>
  <c r="H422" s="1"/>
  <c r="G423"/>
  <c r="H423" s="1"/>
  <c r="G424"/>
  <c r="H424" s="1"/>
  <c r="G426"/>
  <c r="H426" s="1"/>
  <c r="G427"/>
  <c r="H427" s="1"/>
  <c r="G428"/>
  <c r="H428" s="1"/>
  <c r="G429"/>
  <c r="H429" s="1"/>
  <c r="G430"/>
  <c r="H430" s="1"/>
  <c r="G431"/>
  <c r="H431" s="1"/>
  <c r="G432"/>
  <c r="H432" s="1"/>
  <c r="G433"/>
  <c r="H433" s="1"/>
  <c r="G434"/>
  <c r="H434" s="1"/>
  <c r="G435"/>
  <c r="H435" s="1"/>
  <c r="G436"/>
  <c r="H436" s="1"/>
  <c r="G437"/>
  <c r="H437" s="1"/>
  <c r="G438"/>
  <c r="H438" s="1"/>
  <c r="G439"/>
  <c r="H439" s="1"/>
  <c r="G440"/>
  <c r="H440" s="1"/>
  <c r="G441"/>
  <c r="H441" s="1"/>
  <c r="G442"/>
  <c r="H442" s="1"/>
  <c r="G443"/>
  <c r="H443" s="1"/>
  <c r="G444"/>
  <c r="H444" s="1"/>
  <c r="G445"/>
  <c r="H445" s="1"/>
  <c r="G446"/>
  <c r="H446" s="1"/>
  <c r="G447"/>
  <c r="H447" s="1"/>
  <c r="G448"/>
  <c r="H448" s="1"/>
  <c r="G449"/>
  <c r="G451"/>
  <c r="H451" s="1"/>
  <c r="G452"/>
  <c r="H452" s="1"/>
  <c r="G453"/>
  <c r="H453" s="1"/>
  <c r="G454"/>
  <c r="H454" s="1"/>
  <c r="G455"/>
  <c r="H455" s="1"/>
  <c r="G457"/>
  <c r="H457" s="1"/>
  <c r="G458"/>
  <c r="H458" s="1"/>
  <c r="G459"/>
  <c r="H459" s="1"/>
  <c r="G460"/>
  <c r="H460" s="1"/>
  <c r="G461"/>
  <c r="H461" s="1"/>
  <c r="G462"/>
  <c r="H462" s="1"/>
  <c r="G463"/>
  <c r="H463" s="1"/>
  <c r="G464"/>
  <c r="H464" s="1"/>
  <c r="G465"/>
  <c r="H465" s="1"/>
  <c r="G466"/>
  <c r="H466" s="1"/>
  <c r="G467"/>
  <c r="H467" s="1"/>
  <c r="G468"/>
  <c r="H468" s="1"/>
  <c r="G469"/>
  <c r="H469" s="1"/>
  <c r="G470"/>
  <c r="H470" s="1"/>
  <c r="G471"/>
  <c r="H471" s="1"/>
  <c r="G472"/>
  <c r="H472" s="1"/>
  <c r="G473"/>
  <c r="H473" s="1"/>
  <c r="G474"/>
  <c r="H474" s="1"/>
  <c r="G475"/>
  <c r="H475" s="1"/>
  <c r="G476"/>
  <c r="H476" s="1"/>
  <c r="G477"/>
  <c r="H477" s="1"/>
  <c r="G478"/>
  <c r="H478" s="1"/>
  <c r="G479"/>
  <c r="G481"/>
  <c r="G482"/>
  <c r="H482" s="1"/>
  <c r="G483"/>
  <c r="H483" s="1"/>
  <c r="G484"/>
  <c r="H484" s="1"/>
  <c r="G485"/>
  <c r="H485" s="1"/>
  <c r="G486"/>
  <c r="H486" s="1"/>
  <c r="G487"/>
  <c r="H487" s="1"/>
  <c r="G488"/>
  <c r="G490"/>
  <c r="H490" s="1"/>
  <c r="G491"/>
  <c r="H491" s="1"/>
  <c r="G493"/>
  <c r="H493" s="1"/>
  <c r="G494"/>
  <c r="H494" s="1"/>
  <c r="G495"/>
  <c r="H495" s="1"/>
  <c r="G496"/>
  <c r="H496" s="1"/>
  <c r="G497"/>
  <c r="H497" s="1"/>
  <c r="G498"/>
  <c r="H498" s="1"/>
  <c r="G499"/>
  <c r="H499" s="1"/>
  <c r="G500"/>
  <c r="H500" s="1"/>
  <c r="G501"/>
  <c r="H501" s="1"/>
  <c r="G502"/>
  <c r="H502" s="1"/>
  <c r="G503"/>
  <c r="H503" s="1"/>
  <c r="G504"/>
  <c r="H504" s="1"/>
  <c r="G505"/>
  <c r="H505" s="1"/>
  <c r="G506"/>
  <c r="H506" s="1"/>
  <c r="G507"/>
  <c r="H507" s="1"/>
  <c r="G508"/>
  <c r="H508" s="1"/>
  <c r="G509"/>
  <c r="H509" s="1"/>
  <c r="G510"/>
  <c r="H510" s="1"/>
  <c r="G511"/>
  <c r="H511" s="1"/>
  <c r="G512"/>
  <c r="H512" s="1"/>
  <c r="G513"/>
  <c r="H513" s="1"/>
  <c r="G514"/>
  <c r="H514" s="1"/>
  <c r="G516"/>
  <c r="H516" s="1"/>
  <c r="G517"/>
  <c r="H517" s="1"/>
  <c r="G518"/>
  <c r="H518" s="1"/>
  <c r="G519"/>
  <c r="H519" s="1"/>
  <c r="G520"/>
  <c r="H520" s="1"/>
  <c r="G521"/>
  <c r="H521" s="1"/>
  <c r="G522"/>
  <c r="H522" s="1"/>
  <c r="G523"/>
  <c r="H523" s="1"/>
  <c r="G524"/>
  <c r="H524" s="1"/>
  <c r="G525"/>
  <c r="H525" s="1"/>
  <c r="G526"/>
  <c r="H526" s="1"/>
  <c r="G527"/>
  <c r="H527" s="1"/>
  <c r="G528"/>
  <c r="H528" s="1"/>
  <c r="G529"/>
  <c r="H529" s="1"/>
  <c r="G530"/>
  <c r="H530" s="1"/>
  <c r="G531"/>
  <c r="H531" s="1"/>
  <c r="G533"/>
  <c r="H533" s="1"/>
  <c r="G534"/>
  <c r="H534" s="1"/>
  <c r="G535"/>
  <c r="H535" s="1"/>
  <c r="G536"/>
  <c r="H536" s="1"/>
  <c r="G537"/>
  <c r="H537" s="1"/>
  <c r="G538"/>
  <c r="H538" s="1"/>
  <c r="G539"/>
  <c r="G541"/>
  <c r="G542"/>
  <c r="H542" s="1"/>
  <c r="G543"/>
  <c r="H543" s="1"/>
  <c r="G544"/>
  <c r="H544" s="1"/>
  <c r="G546"/>
  <c r="H546" s="1"/>
  <c r="G547"/>
  <c r="H547" s="1"/>
  <c r="G548"/>
  <c r="H548" s="1"/>
  <c r="G549"/>
  <c r="H549" s="1"/>
  <c r="G550"/>
  <c r="H550" s="1"/>
  <c r="G551"/>
  <c r="H551" s="1"/>
  <c r="G552"/>
  <c r="H552" s="1"/>
  <c r="G553"/>
  <c r="H553" s="1"/>
  <c r="G554"/>
  <c r="H554" s="1"/>
  <c r="G555"/>
  <c r="H555" s="1"/>
  <c r="G556"/>
  <c r="H556" s="1"/>
  <c r="G557"/>
  <c r="H557" s="1"/>
  <c r="G558"/>
  <c r="H558" s="1"/>
  <c r="G559"/>
  <c r="H559" s="1"/>
  <c r="G560"/>
  <c r="H560" s="1"/>
  <c r="G561"/>
  <c r="H561" s="1"/>
  <c r="G562"/>
  <c r="H562" s="1"/>
  <c r="G563"/>
  <c r="H563" s="1"/>
  <c r="G564"/>
  <c r="H564" s="1"/>
  <c r="G565"/>
  <c r="H565" s="1"/>
  <c r="G566"/>
  <c r="H566" s="1"/>
  <c r="G567"/>
  <c r="H567" s="1"/>
  <c r="G568"/>
  <c r="G570"/>
  <c r="G571"/>
  <c r="G572"/>
  <c r="G573"/>
  <c r="G574"/>
  <c r="H574" s="1"/>
  <c r="G575"/>
  <c r="H575" s="1"/>
  <c r="G576"/>
  <c r="H576" s="1"/>
  <c r="G577"/>
  <c r="H577" s="1"/>
  <c r="G578"/>
  <c r="H578" s="1"/>
  <c r="G579"/>
  <c r="H579" s="1"/>
  <c r="G580"/>
  <c r="H580" s="1"/>
  <c r="G581"/>
  <c r="H581" s="1"/>
  <c r="G582"/>
  <c r="H582" s="1"/>
  <c r="G583"/>
  <c r="H583" s="1"/>
  <c r="G584"/>
  <c r="H584" s="1"/>
  <c r="G585"/>
  <c r="H585" s="1"/>
  <c r="G586"/>
  <c r="H586" s="1"/>
  <c r="G587"/>
  <c r="H587" s="1"/>
  <c r="G588"/>
  <c r="H588" s="1"/>
  <c r="G589"/>
  <c r="H589" s="1"/>
  <c r="G590"/>
  <c r="H590" s="1"/>
  <c r="G591"/>
  <c r="H591" s="1"/>
  <c r="G592"/>
  <c r="H592" s="1"/>
  <c r="G593"/>
  <c r="H593" s="1"/>
  <c r="G594"/>
  <c r="H594" s="1"/>
  <c r="G595"/>
  <c r="H595" s="1"/>
  <c r="G596"/>
  <c r="H596" s="1"/>
  <c r="G597"/>
  <c r="H597" s="1"/>
  <c r="G598"/>
  <c r="H598" s="1"/>
  <c r="G599"/>
  <c r="H599" s="1"/>
  <c r="G600"/>
  <c r="H600" s="1"/>
  <c r="G601"/>
  <c r="H601" s="1"/>
  <c r="G602"/>
  <c r="H602" s="1"/>
  <c r="G603"/>
  <c r="G605"/>
  <c r="H605" s="1"/>
  <c r="G606"/>
  <c r="H606" s="1"/>
  <c r="G607"/>
  <c r="H607" s="1"/>
  <c r="G608"/>
  <c r="H608" s="1"/>
  <c r="G609"/>
  <c r="H609" s="1"/>
  <c r="G610"/>
  <c r="H610" s="1"/>
  <c r="G611"/>
  <c r="H611" s="1"/>
  <c r="G612"/>
  <c r="H612" s="1"/>
  <c r="G613"/>
  <c r="H613" s="1"/>
  <c r="G614"/>
  <c r="H614" s="1"/>
  <c r="G615"/>
  <c r="H615" s="1"/>
  <c r="G616"/>
  <c r="H616" s="1"/>
  <c r="G617"/>
  <c r="H617" s="1"/>
  <c r="G619"/>
  <c r="H619" s="1"/>
  <c r="G620"/>
  <c r="H620" s="1"/>
  <c r="G621"/>
  <c r="H621" s="1"/>
  <c r="G622"/>
  <c r="H622" s="1"/>
  <c r="G623"/>
  <c r="H623" s="1"/>
  <c r="G624"/>
  <c r="H624" s="1"/>
  <c r="G625"/>
  <c r="H625" s="1"/>
  <c r="G626"/>
  <c r="H626" s="1"/>
  <c r="G627"/>
  <c r="H627" s="1"/>
  <c r="G628"/>
  <c r="H628" s="1"/>
  <c r="G629"/>
  <c r="H629" s="1"/>
  <c r="G630"/>
  <c r="H630" s="1"/>
  <c r="G631"/>
  <c r="H631" s="1"/>
  <c r="G632"/>
  <c r="H632" s="1"/>
  <c r="G633"/>
  <c r="H633" s="1"/>
  <c r="G634"/>
  <c r="H634" s="1"/>
  <c r="G635"/>
  <c r="H635" s="1"/>
  <c r="G636"/>
  <c r="H636" s="1"/>
  <c r="G637"/>
  <c r="H637" s="1"/>
  <c r="G638"/>
  <c r="H638" s="1"/>
  <c r="G639"/>
  <c r="H639" s="1"/>
  <c r="G640"/>
  <c r="H640" s="1"/>
  <c r="G641"/>
  <c r="G643"/>
  <c r="H643" s="1"/>
  <c r="G644"/>
  <c r="H644" s="1"/>
  <c r="G645"/>
  <c r="H645" s="1"/>
  <c r="G646"/>
  <c r="H646" s="1"/>
  <c r="G647"/>
  <c r="H647" s="1"/>
  <c r="G648"/>
  <c r="H648" s="1"/>
  <c r="G649"/>
  <c r="H649" s="1"/>
  <c r="G650"/>
  <c r="H650" s="1"/>
  <c r="G651"/>
  <c r="H651" s="1"/>
  <c r="G652"/>
  <c r="H652" s="1"/>
  <c r="G653"/>
  <c r="H653" s="1"/>
  <c r="G654"/>
  <c r="H654" s="1"/>
  <c r="G655"/>
  <c r="H655" s="1"/>
  <c r="G656"/>
  <c r="H656" s="1"/>
  <c r="G657"/>
  <c r="H657" s="1"/>
  <c r="G658"/>
  <c r="H658" s="1"/>
  <c r="G659"/>
  <c r="H659" s="1"/>
  <c r="G660"/>
  <c r="H660" s="1"/>
  <c r="G661"/>
  <c r="H661" s="1"/>
  <c r="G662"/>
  <c r="H662" s="1"/>
  <c r="G663"/>
  <c r="H663" s="1"/>
  <c r="G664"/>
  <c r="H664" s="1"/>
  <c r="G665"/>
  <c r="H665" s="1"/>
  <c r="G666"/>
  <c r="H666" s="1"/>
  <c r="G667"/>
  <c r="G669"/>
  <c r="H669" s="1"/>
  <c r="G670"/>
  <c r="H670" s="1"/>
  <c r="G671"/>
  <c r="H671" s="1"/>
  <c r="G672"/>
  <c r="H672" s="1"/>
  <c r="G673"/>
  <c r="H673" s="1"/>
  <c r="G674"/>
  <c r="H674" s="1"/>
  <c r="G675"/>
  <c r="H675" s="1"/>
  <c r="G677"/>
  <c r="H677" s="1"/>
  <c r="G678"/>
  <c r="H678" s="1"/>
  <c r="G679"/>
  <c r="H679" s="1"/>
  <c r="G680"/>
  <c r="H680" s="1"/>
  <c r="G681"/>
  <c r="H681" s="1"/>
  <c r="G683"/>
  <c r="H683" s="1"/>
  <c r="G684"/>
  <c r="H684" s="1"/>
  <c r="G685"/>
  <c r="H685" s="1"/>
  <c r="G686"/>
  <c r="H686" s="1"/>
  <c r="G687"/>
  <c r="H687" s="1"/>
  <c r="G688"/>
  <c r="H688" s="1"/>
  <c r="G689"/>
  <c r="H689" s="1"/>
  <c r="G690"/>
  <c r="H690" s="1"/>
  <c r="G691"/>
  <c r="H691" s="1"/>
  <c r="G692"/>
  <c r="H692" s="1"/>
  <c r="G693"/>
  <c r="H693" s="1"/>
  <c r="G694"/>
  <c r="H694" s="1"/>
  <c r="G695"/>
  <c r="H695" s="1"/>
  <c r="G696"/>
  <c r="H696" s="1"/>
  <c r="G697"/>
  <c r="H697" s="1"/>
  <c r="G698"/>
  <c r="H698" s="1"/>
  <c r="G699"/>
  <c r="H699" s="1"/>
  <c r="G700"/>
  <c r="H700" s="1"/>
  <c r="G701"/>
  <c r="H701" s="1"/>
  <c r="G702"/>
  <c r="H702" s="1"/>
  <c r="G703"/>
  <c r="H703" s="1"/>
  <c r="G704"/>
  <c r="H704" s="1"/>
  <c r="G705"/>
  <c r="H705" s="1"/>
  <c r="G707"/>
  <c r="H707" s="1"/>
  <c r="G708"/>
  <c r="H708" s="1"/>
  <c r="G709"/>
  <c r="H709" s="1"/>
  <c r="G710"/>
  <c r="H710" s="1"/>
  <c r="G711"/>
  <c r="H711" s="1"/>
  <c r="G712"/>
  <c r="H712" s="1"/>
  <c r="G713"/>
  <c r="H713" s="1"/>
  <c r="G714"/>
  <c r="H714" s="1"/>
  <c r="G715"/>
  <c r="H715" s="1"/>
  <c r="G716"/>
  <c r="H716" s="1"/>
  <c r="G717"/>
  <c r="H717" s="1"/>
  <c r="G718"/>
  <c r="H718" s="1"/>
  <c r="G719"/>
  <c r="H719" s="1"/>
  <c r="G720"/>
  <c r="H720" s="1"/>
  <c r="G721"/>
  <c r="H721" s="1"/>
  <c r="G722"/>
  <c r="G724"/>
  <c r="H724" s="1"/>
  <c r="G725"/>
  <c r="H725" s="1"/>
  <c r="G726"/>
  <c r="H726" s="1"/>
  <c r="G727"/>
  <c r="H727" s="1"/>
  <c r="G728"/>
  <c r="H728" s="1"/>
  <c r="G729"/>
  <c r="H729" s="1"/>
  <c r="G730"/>
  <c r="H730" s="1"/>
  <c r="G731"/>
  <c r="H731" s="1"/>
  <c r="G732"/>
  <c r="H732" s="1"/>
  <c r="G733"/>
  <c r="H733" s="1"/>
  <c r="G735"/>
  <c r="H735" s="1"/>
  <c r="G740"/>
  <c r="G741"/>
  <c r="H741" s="1"/>
  <c r="G742"/>
  <c r="H742" s="1"/>
  <c r="G743"/>
  <c r="H743" s="1"/>
  <c r="G744"/>
  <c r="H744" s="1"/>
  <c r="G745"/>
  <c r="H745" s="1"/>
  <c r="G746"/>
  <c r="H746" s="1"/>
  <c r="G747"/>
  <c r="H747" s="1"/>
  <c r="G748"/>
  <c r="H748" s="1"/>
  <c r="G749"/>
  <c r="H749" s="1"/>
  <c r="G750"/>
  <c r="H750" s="1"/>
  <c r="G751"/>
  <c r="H751" s="1"/>
  <c r="G752"/>
  <c r="H752" s="1"/>
  <c r="G753"/>
  <c r="H753" s="1"/>
  <c r="G754"/>
  <c r="H754" s="1"/>
  <c r="G755"/>
  <c r="H755" s="1"/>
  <c r="G756"/>
  <c r="H756" s="1"/>
  <c r="G757"/>
  <c r="H757" s="1"/>
  <c r="G758"/>
  <c r="H758" s="1"/>
  <c r="G759"/>
  <c r="H759" s="1"/>
  <c r="G761"/>
  <c r="G762"/>
  <c r="H762" s="1"/>
  <c r="G763"/>
  <c r="H763" s="1"/>
  <c r="G764"/>
  <c r="H764" s="1"/>
  <c r="G765"/>
  <c r="H765" s="1"/>
  <c r="G766"/>
  <c r="H766" s="1"/>
  <c r="G767"/>
  <c r="H767" s="1"/>
  <c r="G768"/>
  <c r="H768" s="1"/>
  <c r="G769"/>
  <c r="H769" s="1"/>
  <c r="G770"/>
  <c r="H770" s="1"/>
  <c r="G771"/>
  <c r="H771" s="1"/>
  <c r="G772"/>
  <c r="H772" s="1"/>
  <c r="G773"/>
  <c r="H773" s="1"/>
  <c r="G774"/>
  <c r="H774" s="1"/>
  <c r="G775"/>
  <c r="H775" s="1"/>
  <c r="G776"/>
  <c r="H776" s="1"/>
  <c r="G777"/>
  <c r="H777" s="1"/>
  <c r="G778"/>
  <c r="H778" s="1"/>
  <c r="G779"/>
  <c r="H779" s="1"/>
  <c r="G780"/>
  <c r="H780" s="1"/>
  <c r="G781"/>
  <c r="H781" s="1"/>
  <c r="G782"/>
  <c r="H782" s="1"/>
  <c r="G783"/>
  <c r="H783" s="1"/>
  <c r="G784"/>
  <c r="H784" s="1"/>
  <c r="G785"/>
  <c r="H785" s="1"/>
  <c r="G786"/>
  <c r="G788"/>
  <c r="H788" s="1"/>
  <c r="G789"/>
  <c r="H789" s="1"/>
  <c r="G790"/>
  <c r="H790" s="1"/>
  <c r="G791"/>
  <c r="H791" s="1"/>
  <c r="G792"/>
  <c r="H792" s="1"/>
  <c r="G793"/>
  <c r="H793" s="1"/>
  <c r="G794"/>
  <c r="H794" s="1"/>
  <c r="G795"/>
  <c r="H795" s="1"/>
  <c r="G796"/>
  <c r="H796" s="1"/>
  <c r="G797"/>
  <c r="H797" s="1"/>
  <c r="G798"/>
  <c r="H798" s="1"/>
  <c r="G799"/>
  <c r="H799" s="1"/>
  <c r="G800"/>
  <c r="H800" s="1"/>
  <c r="G801"/>
  <c r="H801" s="1"/>
  <c r="G803"/>
  <c r="H803" s="1"/>
  <c r="G804"/>
  <c r="H804" s="1"/>
  <c r="G805"/>
  <c r="H805" s="1"/>
  <c r="G806"/>
  <c r="H806" s="1"/>
  <c r="G807"/>
  <c r="H807" s="1"/>
  <c r="G808"/>
  <c r="H808" s="1"/>
  <c r="G809"/>
  <c r="H809" s="1"/>
  <c r="G810"/>
  <c r="H810" s="1"/>
  <c r="G811"/>
  <c r="H811" s="1"/>
  <c r="G812"/>
  <c r="H812" s="1"/>
  <c r="G813"/>
  <c r="H813" s="1"/>
  <c r="G814"/>
  <c r="H814" s="1"/>
  <c r="G815"/>
  <c r="H815" s="1"/>
  <c r="G816"/>
  <c r="H816" s="1"/>
  <c r="G817"/>
  <c r="H817" s="1"/>
  <c r="G818"/>
  <c r="H818" s="1"/>
  <c r="G819"/>
  <c r="H819" s="1"/>
  <c r="G821"/>
  <c r="G822"/>
  <c r="H822" s="1"/>
  <c r="G823"/>
  <c r="H823" s="1"/>
  <c r="G824"/>
  <c r="H824" s="1"/>
  <c r="G825"/>
  <c r="H825" s="1"/>
  <c r="G826"/>
  <c r="H826" s="1"/>
  <c r="G827"/>
  <c r="H827" s="1"/>
  <c r="G828"/>
  <c r="H828" s="1"/>
  <c r="G829"/>
  <c r="H829" s="1"/>
  <c r="G830"/>
  <c r="H830" s="1"/>
  <c r="G831"/>
  <c r="H831" s="1"/>
  <c r="G832"/>
  <c r="G834"/>
  <c r="H834" s="1"/>
  <c r="G835"/>
  <c r="H835" s="1"/>
  <c r="G836"/>
  <c r="H836" s="1"/>
  <c r="G837"/>
  <c r="H837" s="1"/>
  <c r="G838"/>
  <c r="H838" s="1"/>
  <c r="G839"/>
  <c r="H839" s="1"/>
  <c r="G840"/>
  <c r="H840" s="1"/>
  <c r="G841"/>
  <c r="H841" s="1"/>
  <c r="G842"/>
  <c r="H842" s="1"/>
  <c r="G843"/>
  <c r="H843" s="1"/>
  <c r="G844"/>
  <c r="H844" s="1"/>
  <c r="G845"/>
  <c r="H845" s="1"/>
  <c r="G846"/>
  <c r="H846" s="1"/>
  <c r="G847"/>
  <c r="H847" s="1"/>
  <c r="G849"/>
  <c r="H849" s="1"/>
  <c r="G850"/>
  <c r="H850" s="1"/>
  <c r="G851"/>
  <c r="H851" s="1"/>
  <c r="G852"/>
  <c r="H852" s="1"/>
  <c r="G853"/>
  <c r="H853" s="1"/>
  <c r="G854"/>
  <c r="H854" s="1"/>
  <c r="G855"/>
  <c r="H855" s="1"/>
  <c r="G856"/>
  <c r="H856" s="1"/>
  <c r="G857"/>
  <c r="H857" s="1"/>
  <c r="G858"/>
  <c r="H858" s="1"/>
  <c r="G859"/>
  <c r="H859" s="1"/>
  <c r="G860"/>
  <c r="H860" s="1"/>
  <c r="G861"/>
  <c r="H861" s="1"/>
  <c r="G862"/>
  <c r="H862" s="1"/>
  <c r="G863"/>
  <c r="H863" s="1"/>
  <c r="G864"/>
  <c r="H864" s="1"/>
  <c r="G865"/>
  <c r="H865" s="1"/>
  <c r="G866"/>
  <c r="H866" s="1"/>
  <c r="G867"/>
  <c r="G869"/>
  <c r="H869" s="1"/>
  <c r="G870"/>
  <c r="H870" s="1"/>
  <c r="G871"/>
  <c r="H871" s="1"/>
  <c r="G872"/>
  <c r="H872" s="1"/>
  <c r="G873"/>
  <c r="H873" s="1"/>
  <c r="G874"/>
  <c r="H874" s="1"/>
  <c r="G875"/>
  <c r="H875" s="1"/>
  <c r="G876"/>
  <c r="H876" s="1"/>
  <c r="G877"/>
  <c r="H877" s="1"/>
  <c r="G878"/>
  <c r="H878" s="1"/>
  <c r="G879"/>
  <c r="H879" s="1"/>
  <c r="G880"/>
  <c r="H880" s="1"/>
  <c r="G881"/>
  <c r="G883"/>
  <c r="H883" s="1"/>
  <c r="G884"/>
  <c r="H884" s="1"/>
  <c r="G885"/>
  <c r="H885" s="1"/>
  <c r="G886"/>
  <c r="H886" s="1"/>
  <c r="G887"/>
  <c r="H887" s="1"/>
  <c r="G888"/>
  <c r="H888" s="1"/>
  <c r="G889"/>
  <c r="H889" s="1"/>
  <c r="G890"/>
  <c r="H890" s="1"/>
  <c r="G891"/>
  <c r="H891" s="1"/>
  <c r="G892"/>
  <c r="H892" s="1"/>
  <c r="G893"/>
  <c r="H893" s="1"/>
  <c r="G894"/>
  <c r="H894" s="1"/>
  <c r="G895"/>
  <c r="H895" s="1"/>
  <c r="G896"/>
  <c r="H896" s="1"/>
  <c r="G897"/>
  <c r="H897" s="1"/>
  <c r="G898"/>
  <c r="H898" s="1"/>
  <c r="G900"/>
  <c r="H900" s="1"/>
  <c r="G901"/>
  <c r="H901" s="1"/>
  <c r="G902"/>
  <c r="H902" s="1"/>
  <c r="G903"/>
  <c r="H903" s="1"/>
  <c r="G904"/>
  <c r="H904" s="1"/>
  <c r="G905"/>
  <c r="H905" s="1"/>
  <c r="G906"/>
  <c r="H906" s="1"/>
  <c r="G907"/>
  <c r="H907" s="1"/>
  <c r="G908"/>
  <c r="H908" s="1"/>
  <c r="G909"/>
  <c r="H909" s="1"/>
  <c r="G910"/>
  <c r="H910" s="1"/>
  <c r="G911"/>
  <c r="H911" s="1"/>
  <c r="G912"/>
  <c r="H912" s="1"/>
  <c r="G913"/>
  <c r="H913" s="1"/>
  <c r="G914"/>
  <c r="H914" s="1"/>
  <c r="G915"/>
  <c r="H915" s="1"/>
  <c r="G916"/>
  <c r="H916" s="1"/>
  <c r="G917"/>
  <c r="H917" s="1"/>
  <c r="G918"/>
  <c r="H918" s="1"/>
  <c r="G919"/>
  <c r="H919" s="1"/>
  <c r="G920"/>
  <c r="H920" s="1"/>
  <c r="G921"/>
  <c r="H921" s="1"/>
  <c r="G922"/>
  <c r="G924"/>
  <c r="H924" s="1"/>
  <c r="G925"/>
  <c r="H925" s="1"/>
  <c r="G926"/>
  <c r="H926" s="1"/>
  <c r="G927"/>
  <c r="H927" s="1"/>
  <c r="G928"/>
  <c r="H928" s="1"/>
  <c r="G929"/>
  <c r="H929" s="1"/>
  <c r="G930"/>
  <c r="H930" s="1"/>
  <c r="G931"/>
  <c r="H931" s="1"/>
  <c r="G932"/>
  <c r="H932" s="1"/>
  <c r="G933"/>
  <c r="H933" s="1"/>
  <c r="G934"/>
  <c r="H934" s="1"/>
  <c r="G935"/>
  <c r="H935" s="1"/>
  <c r="G936"/>
  <c r="H936" s="1"/>
  <c r="G937"/>
  <c r="H937" s="1"/>
  <c r="G938"/>
  <c r="H938" s="1"/>
  <c r="G939"/>
  <c r="H939" s="1"/>
  <c r="G940"/>
  <c r="H940" s="1"/>
  <c r="G941"/>
  <c r="H941" s="1"/>
  <c r="G942"/>
  <c r="H942" s="1"/>
  <c r="G943"/>
  <c r="H943" s="1"/>
  <c r="G944"/>
  <c r="H944" s="1"/>
  <c r="G946"/>
  <c r="H946" s="1"/>
  <c r="G947"/>
  <c r="H947" s="1"/>
  <c r="G948"/>
  <c r="H948" s="1"/>
  <c r="G949"/>
  <c r="H949" s="1"/>
  <c r="G950"/>
  <c r="H950" s="1"/>
  <c r="G951"/>
  <c r="H951" s="1"/>
  <c r="G952"/>
  <c r="H952" s="1"/>
  <c r="G953"/>
  <c r="H953" s="1"/>
  <c r="G954"/>
  <c r="H954" s="1"/>
  <c r="G955"/>
  <c r="H955" s="1"/>
  <c r="G956"/>
  <c r="H956" s="1"/>
  <c r="G957"/>
  <c r="H957" s="1"/>
  <c r="G959"/>
  <c r="H959" s="1"/>
  <c r="G960"/>
  <c r="H960" s="1"/>
  <c r="G961"/>
  <c r="H961" s="1"/>
  <c r="G962"/>
  <c r="H962" s="1"/>
  <c r="G963"/>
  <c r="H963" s="1"/>
  <c r="G964"/>
  <c r="H964" s="1"/>
  <c r="G965"/>
  <c r="H965" s="1"/>
  <c r="G966"/>
  <c r="H966" s="1"/>
  <c r="G967"/>
  <c r="H967" s="1"/>
  <c r="G968"/>
  <c r="H968" s="1"/>
  <c r="G969"/>
  <c r="H969" s="1"/>
  <c r="G970"/>
  <c r="H970" s="1"/>
  <c r="G971"/>
  <c r="H971" s="1"/>
  <c r="G972"/>
  <c r="H972" s="1"/>
  <c r="G973"/>
  <c r="H973" s="1"/>
  <c r="G974"/>
  <c r="H974" s="1"/>
  <c r="G975"/>
  <c r="H975" s="1"/>
  <c r="G976"/>
  <c r="H976" s="1"/>
  <c r="G977"/>
  <c r="H977" s="1"/>
  <c r="G978"/>
  <c r="H978" s="1"/>
  <c r="G979"/>
  <c r="H979" s="1"/>
  <c r="G980"/>
  <c r="H980" s="1"/>
  <c r="G981"/>
  <c r="H981" s="1"/>
  <c r="G982"/>
  <c r="G984"/>
  <c r="H984" s="1"/>
  <c r="G985"/>
  <c r="H985" s="1"/>
  <c r="G986"/>
  <c r="H986" s="1"/>
  <c r="G987"/>
  <c r="H987" s="1"/>
  <c r="G988"/>
  <c r="H988" s="1"/>
  <c r="G989"/>
  <c r="H989" s="1"/>
  <c r="G990"/>
  <c r="H990" s="1"/>
  <c r="G991"/>
  <c r="H991" s="1"/>
  <c r="G992"/>
  <c r="H992" s="1"/>
  <c r="G993"/>
  <c r="H993" s="1"/>
  <c r="G994"/>
  <c r="H994" s="1"/>
  <c r="G996"/>
  <c r="H996" s="1"/>
  <c r="G997"/>
  <c r="H997" s="1"/>
  <c r="G998"/>
  <c r="H998" s="1"/>
  <c r="G999"/>
  <c r="H999" s="1"/>
  <c r="G1000"/>
  <c r="H1000" s="1"/>
  <c r="G1002"/>
  <c r="H1002" s="1"/>
  <c r="G1003"/>
  <c r="H1003" s="1"/>
  <c r="G1004"/>
  <c r="H1004" s="1"/>
  <c r="G1005"/>
  <c r="H1005" s="1"/>
  <c r="G1006"/>
  <c r="H1006" s="1"/>
  <c r="G1007"/>
  <c r="H1007" s="1"/>
  <c r="G1008"/>
  <c r="H1008" s="1"/>
  <c r="G1009"/>
  <c r="H1009" s="1"/>
  <c r="G1010"/>
  <c r="H1010" s="1"/>
  <c r="G1011"/>
  <c r="H1011" s="1"/>
  <c r="G1012"/>
  <c r="H1012" s="1"/>
  <c r="G1013"/>
  <c r="H1013" s="1"/>
  <c r="G1014"/>
  <c r="H1014" s="1"/>
  <c r="G1015"/>
  <c r="H1015" s="1"/>
  <c r="G1016"/>
  <c r="H1016" s="1"/>
  <c r="G1018"/>
  <c r="H1018" s="1"/>
  <c r="G1019"/>
  <c r="H1019" s="1"/>
  <c r="G1020"/>
  <c r="H1020" s="1"/>
  <c r="G1021"/>
  <c r="H1021" s="1"/>
  <c r="G1022"/>
  <c r="H1022" s="1"/>
  <c r="G1023"/>
  <c r="H1023" s="1"/>
  <c r="G1024"/>
  <c r="H1024" s="1"/>
  <c r="G1025"/>
  <c r="H1025" s="1"/>
  <c r="G1026"/>
  <c r="H1026" s="1"/>
  <c r="G1027"/>
  <c r="H1027" s="1"/>
  <c r="G1028"/>
  <c r="H1028" s="1"/>
  <c r="G1029"/>
  <c r="H1029" s="1"/>
  <c r="G1030"/>
  <c r="H1030" s="1"/>
  <c r="G1031"/>
  <c r="H1031" s="1"/>
  <c r="G1032"/>
  <c r="H1032" s="1"/>
  <c r="G1033"/>
  <c r="H1033" s="1"/>
  <c r="G1034"/>
  <c r="H1034" s="1"/>
  <c r="G1035"/>
  <c r="H1035" s="1"/>
  <c r="G1036"/>
  <c r="H1036" s="1"/>
  <c r="G1037"/>
  <c r="H1037" s="1"/>
  <c r="G1038"/>
  <c r="H1038" s="1"/>
  <c r="G1039"/>
  <c r="H1039" s="1"/>
  <c r="G1040"/>
  <c r="H1040" s="1"/>
  <c r="G1041"/>
  <c r="H1041" s="1"/>
  <c r="G1042"/>
  <c r="H1042" s="1"/>
  <c r="G1043"/>
  <c r="H1043" s="1"/>
  <c r="G1044"/>
  <c r="H1044" s="1"/>
  <c r="G1045"/>
  <c r="H1045" s="1"/>
  <c r="G1046"/>
  <c r="H1046" s="1"/>
  <c r="G1047"/>
  <c r="G1049"/>
  <c r="H1049" s="1"/>
  <c r="G1050"/>
  <c r="H1050" s="1"/>
  <c r="G1051"/>
  <c r="H1051" s="1"/>
  <c r="G1052"/>
  <c r="H1052" s="1"/>
  <c r="G1053"/>
  <c r="H1053" s="1"/>
  <c r="G1054"/>
  <c r="H1054" s="1"/>
  <c r="G1055"/>
  <c r="H1055" s="1"/>
  <c r="G1056"/>
  <c r="H1056" s="1"/>
  <c r="G1057"/>
  <c r="H1057" s="1"/>
  <c r="G1058"/>
  <c r="H1058" s="1"/>
  <c r="G1059"/>
  <c r="H1059" s="1"/>
  <c r="G1060"/>
  <c r="H1060" s="1"/>
  <c r="G1061"/>
  <c r="H1061" s="1"/>
  <c r="G1062"/>
  <c r="H1062" s="1"/>
  <c r="G1063"/>
  <c r="H1063" s="1"/>
  <c r="G1064"/>
  <c r="H1064" s="1"/>
  <c r="G1065"/>
  <c r="H1065" s="1"/>
  <c r="G1066"/>
  <c r="H1066" s="1"/>
  <c r="G1067"/>
  <c r="H1067" s="1"/>
  <c r="G1068"/>
  <c r="H1068" s="1"/>
  <c r="G1069"/>
  <c r="H1069" s="1"/>
  <c r="G1070"/>
  <c r="H1070" s="1"/>
  <c r="G1071"/>
  <c r="H1071" s="1"/>
  <c r="G1072"/>
  <c r="H1072" s="1"/>
  <c r="G1073"/>
  <c r="H1073" s="1"/>
  <c r="G1074"/>
  <c r="H1074" s="1"/>
  <c r="G1075"/>
  <c r="H1075" s="1"/>
  <c r="G1076"/>
  <c r="H1076" s="1"/>
  <c r="G1077"/>
  <c r="H1077" s="1"/>
  <c r="G1078"/>
  <c r="H1078" s="1"/>
  <c r="G1079"/>
  <c r="H1079" s="1"/>
  <c r="G1080"/>
  <c r="H1080" s="1"/>
  <c r="G1081"/>
  <c r="H1081" s="1"/>
  <c r="G1082"/>
  <c r="G1084"/>
  <c r="H1084" s="1"/>
  <c r="G1085"/>
  <c r="H1085" s="1"/>
  <c r="G1086"/>
  <c r="H1086" s="1"/>
  <c r="G1087"/>
  <c r="H1087" s="1"/>
  <c r="G1088"/>
  <c r="H1088" s="1"/>
  <c r="G1089"/>
  <c r="H1089" s="1"/>
  <c r="G1090"/>
  <c r="H1090" s="1"/>
  <c r="G1091"/>
  <c r="H1091" s="1"/>
  <c r="G1092"/>
  <c r="H1092" s="1"/>
  <c r="G1093"/>
  <c r="H1093" s="1"/>
  <c r="G1094"/>
  <c r="H1094" s="1"/>
  <c r="G1095"/>
  <c r="H1095" s="1"/>
  <c r="G1096"/>
  <c r="H1096" s="1"/>
  <c r="G1097"/>
  <c r="H1097" s="1"/>
  <c r="G1098"/>
  <c r="H1098" s="1"/>
  <c r="G1099"/>
  <c r="H1099" s="1"/>
  <c r="G1100"/>
  <c r="H1100" s="1"/>
  <c r="G1102"/>
  <c r="H1102" s="1"/>
  <c r="G1103"/>
  <c r="H1103" s="1"/>
  <c r="G1104"/>
  <c r="H1104" s="1"/>
  <c r="G1105"/>
  <c r="H1105" s="1"/>
  <c r="G1106"/>
  <c r="H1106" s="1"/>
  <c r="G1107"/>
  <c r="H1107" s="1"/>
  <c r="G1108"/>
  <c r="H1108" s="1"/>
  <c r="G1109"/>
  <c r="H1109" s="1"/>
  <c r="G1110"/>
  <c r="H1110" s="1"/>
  <c r="G1111"/>
  <c r="H1111" s="1"/>
  <c r="G1112"/>
  <c r="H1112" s="1"/>
  <c r="G1113"/>
  <c r="H1113" s="1"/>
  <c r="G1114"/>
  <c r="H1114" s="1"/>
  <c r="G1115"/>
  <c r="H1115" s="1"/>
  <c r="G1116"/>
  <c r="H1116" s="1"/>
  <c r="G1117"/>
  <c r="H1117" s="1"/>
  <c r="G1118"/>
  <c r="H1118" s="1"/>
  <c r="G1119"/>
  <c r="H1119" s="1"/>
  <c r="G1120"/>
  <c r="H1120" s="1"/>
  <c r="G1121"/>
  <c r="H1121" s="1"/>
  <c r="G1122"/>
  <c r="H1122" s="1"/>
  <c r="G1123"/>
  <c r="H1123" s="1"/>
  <c r="G1124"/>
  <c r="H1124" s="1"/>
  <c r="G1125"/>
  <c r="H1125" s="1"/>
  <c r="G1126"/>
  <c r="G1129"/>
  <c r="H1129" s="1"/>
  <c r="G1130"/>
  <c r="H1130" s="1"/>
  <c r="G1131"/>
  <c r="H1131" s="1"/>
  <c r="G1132"/>
  <c r="H1132" s="1"/>
  <c r="G1133"/>
  <c r="H1133" s="1"/>
  <c r="G1134"/>
  <c r="H1134" s="1"/>
  <c r="G1135"/>
  <c r="H1135" s="1"/>
  <c r="G1136"/>
  <c r="H1136" s="1"/>
  <c r="G1137"/>
  <c r="H1137" s="1"/>
  <c r="G1138"/>
  <c r="H1138" s="1"/>
  <c r="G1139"/>
  <c r="H1139" s="1"/>
  <c r="G1140"/>
  <c r="H1140" s="1"/>
  <c r="G1141"/>
  <c r="H1141" s="1"/>
  <c r="G1144"/>
  <c r="H1144" s="1"/>
  <c r="G1145"/>
  <c r="H1145" s="1"/>
  <c r="G1146"/>
  <c r="H1146" s="1"/>
  <c r="G1147"/>
  <c r="H1147" s="1"/>
  <c r="G1148"/>
  <c r="H1148" s="1"/>
  <c r="I1148" s="1"/>
  <c r="G1149"/>
  <c r="H1149" s="1"/>
  <c r="G1150"/>
  <c r="H1150" s="1"/>
  <c r="G1151"/>
  <c r="H1151" s="1"/>
  <c r="G1152"/>
  <c r="H1152" s="1"/>
  <c r="G1153"/>
  <c r="H1153" s="1"/>
  <c r="G1154"/>
  <c r="H1154" s="1"/>
  <c r="G1155"/>
  <c r="H1155" s="1"/>
  <c r="G1156"/>
  <c r="H1156" s="1"/>
  <c r="G1157"/>
  <c r="H1157" s="1"/>
  <c r="G1158"/>
  <c r="H1158" s="1"/>
  <c r="G1159"/>
  <c r="H1159" s="1"/>
  <c r="G1160"/>
  <c r="H1160" s="1"/>
  <c r="G1161"/>
  <c r="H1161" s="1"/>
  <c r="G1162"/>
  <c r="H1162" s="1"/>
  <c r="G1164"/>
  <c r="H1164" s="1"/>
  <c r="G1165"/>
  <c r="H1165" s="1"/>
  <c r="G1166"/>
  <c r="H1166" s="1"/>
  <c r="G1167"/>
  <c r="H1167" s="1"/>
  <c r="G1168"/>
  <c r="H1168" s="1"/>
  <c r="G1169"/>
  <c r="H1169" s="1"/>
  <c r="G1170"/>
  <c r="H1170" s="1"/>
  <c r="G1171"/>
  <c r="H1171" s="1"/>
  <c r="G1172"/>
  <c r="H1172" s="1"/>
  <c r="G1173"/>
  <c r="H1173" s="1"/>
  <c r="G1174"/>
  <c r="H1174" s="1"/>
  <c r="G1175"/>
  <c r="H1175" s="1"/>
  <c r="G1176"/>
  <c r="H1176" s="1"/>
  <c r="G1177"/>
  <c r="H1177" s="1"/>
  <c r="G1178"/>
  <c r="H1178" s="1"/>
  <c r="G1179"/>
  <c r="H1179" s="1"/>
  <c r="G1180"/>
  <c r="H1180" s="1"/>
  <c r="G1181"/>
  <c r="H1181" s="1"/>
  <c r="G1182"/>
  <c r="H1182" s="1"/>
  <c r="G1183"/>
  <c r="H1183" s="1"/>
  <c r="G1184"/>
  <c r="H1184" s="1"/>
  <c r="G1185"/>
  <c r="H1185" s="1"/>
  <c r="G1186"/>
  <c r="H1186" s="1"/>
  <c r="G1187"/>
  <c r="H1187" s="1"/>
  <c r="G1188"/>
  <c r="H1188" s="1"/>
  <c r="G1189"/>
  <c r="H1189" s="1"/>
  <c r="G1190"/>
  <c r="H1190" s="1"/>
  <c r="G1191"/>
  <c r="H1191" s="1"/>
  <c r="G1192"/>
  <c r="G1193"/>
  <c r="G1195"/>
  <c r="H1195" s="1"/>
  <c r="G1196"/>
  <c r="H1196" s="1"/>
  <c r="G1197"/>
  <c r="H1197" s="1"/>
  <c r="G1198"/>
  <c r="H1198" s="1"/>
  <c r="G1199"/>
  <c r="H1199" s="1"/>
  <c r="G1200"/>
  <c r="H1200" s="1"/>
  <c r="G1201"/>
  <c r="H1201" s="1"/>
  <c r="G1202"/>
  <c r="H1202" s="1"/>
  <c r="G1203"/>
  <c r="H1203" s="1"/>
  <c r="G1204"/>
  <c r="H1204" s="1"/>
  <c r="G1205"/>
  <c r="H1205" s="1"/>
  <c r="G1206"/>
  <c r="H1206" s="1"/>
  <c r="G1207"/>
  <c r="H1207" s="1"/>
  <c r="G1208"/>
  <c r="H1208" s="1"/>
  <c r="G1209"/>
  <c r="H1209" s="1"/>
  <c r="G1210"/>
  <c r="H1210" s="1"/>
  <c r="G1211"/>
  <c r="H1211" s="1"/>
  <c r="G1212"/>
  <c r="H1212" s="1"/>
  <c r="G1213"/>
  <c r="H1213" s="1"/>
  <c r="G1214"/>
  <c r="H1214" s="1"/>
  <c r="G1215"/>
  <c r="H1215" s="1"/>
  <c r="G1216"/>
  <c r="H1216" s="1"/>
  <c r="G1217"/>
  <c r="H1217" s="1"/>
  <c r="G1218"/>
  <c r="H1218" s="1"/>
  <c r="G1219"/>
  <c r="H1219" s="1"/>
  <c r="G1220"/>
  <c r="H1220" s="1"/>
  <c r="G1221"/>
  <c r="H1221" s="1"/>
  <c r="G1222"/>
  <c r="H1222" s="1"/>
  <c r="G1223"/>
  <c r="H1223" s="1"/>
  <c r="G1224"/>
  <c r="H1224" s="1"/>
  <c r="G1225"/>
  <c r="H1225" s="1"/>
  <c r="G1226"/>
  <c r="H1226" s="1"/>
  <c r="G1227"/>
  <c r="H1227" s="1"/>
  <c r="G1228"/>
  <c r="H1228" s="1"/>
  <c r="G1229"/>
  <c r="H1229" s="1"/>
  <c r="G1230"/>
  <c r="H1230" s="1"/>
  <c r="G1231"/>
  <c r="H1231" s="1"/>
  <c r="G1232"/>
  <c r="H1232" s="1"/>
  <c r="G1233"/>
  <c r="H1233" s="1"/>
  <c r="G1234"/>
  <c r="H1234" s="1"/>
  <c r="G1235"/>
  <c r="H1235" s="1"/>
  <c r="G1236"/>
  <c r="H1236" s="1"/>
  <c r="G1237"/>
  <c r="H1237" s="1"/>
  <c r="G1238"/>
  <c r="H1238" s="1"/>
  <c r="G1239"/>
  <c r="H1239" s="1"/>
  <c r="G1240"/>
  <c r="H1240" s="1"/>
  <c r="G1241"/>
  <c r="H1241" s="1"/>
  <c r="G1242"/>
  <c r="H1242" s="1"/>
  <c r="G1243"/>
  <c r="H1243" s="1"/>
  <c r="G1244"/>
  <c r="H1244" s="1"/>
  <c r="G1245"/>
  <c r="H1245" s="1"/>
  <c r="G1246"/>
  <c r="H1246" s="1"/>
  <c r="G1247"/>
  <c r="H1247" s="1"/>
  <c r="G1248"/>
  <c r="H1248" s="1"/>
  <c r="G1249"/>
  <c r="H1249" s="1"/>
  <c r="G1251"/>
  <c r="H1251" s="1"/>
  <c r="G1252"/>
  <c r="H1252" s="1"/>
  <c r="G1253"/>
  <c r="H1253" s="1"/>
  <c r="G1254"/>
  <c r="H1254" s="1"/>
  <c r="G1255"/>
  <c r="H1255" s="1"/>
  <c r="G1256"/>
  <c r="H1256" s="1"/>
  <c r="G1257"/>
  <c r="H1257" s="1"/>
  <c r="G1258"/>
  <c r="H1258" s="1"/>
  <c r="G1259"/>
  <c r="H1259" s="1"/>
  <c r="G1260"/>
  <c r="H1260" s="1"/>
  <c r="G1261"/>
  <c r="H1261" s="1"/>
  <c r="G1262"/>
  <c r="H1262" s="1"/>
  <c r="G1263"/>
  <c r="H1263" s="1"/>
  <c r="G1264"/>
  <c r="H1264" s="1"/>
  <c r="G1265"/>
  <c r="H1265" s="1"/>
  <c r="G1266"/>
  <c r="H1266" s="1"/>
  <c r="G1267"/>
  <c r="H1267" s="1"/>
  <c r="G1268"/>
  <c r="H1268" s="1"/>
  <c r="G1269"/>
  <c r="H1269" s="1"/>
  <c r="G1270"/>
  <c r="H1270" s="1"/>
  <c r="G1271"/>
  <c r="H1271" s="1"/>
  <c r="G1272"/>
  <c r="H1272" s="1"/>
  <c r="G1273"/>
  <c r="H1273" s="1"/>
  <c r="G1274"/>
  <c r="G1275"/>
  <c r="G1277"/>
  <c r="H1277" s="1"/>
  <c r="G1278"/>
  <c r="H1278" s="1"/>
  <c r="G1279"/>
  <c r="H1279" s="1"/>
  <c r="G1280"/>
  <c r="H1280" s="1"/>
  <c r="G1281"/>
  <c r="H1281" s="1"/>
  <c r="G1282"/>
  <c r="H1282" s="1"/>
  <c r="G1283"/>
  <c r="H1283" s="1"/>
  <c r="G1284"/>
  <c r="H1284" s="1"/>
  <c r="G1285"/>
  <c r="H1285" s="1"/>
  <c r="G1286"/>
  <c r="H1286" s="1"/>
  <c r="G1287"/>
  <c r="H1287" s="1"/>
  <c r="G1288"/>
  <c r="H1288" s="1"/>
  <c r="G1289"/>
  <c r="H1289" s="1"/>
  <c r="G1290"/>
  <c r="H1290" s="1"/>
  <c r="G1291"/>
  <c r="H1291" s="1"/>
  <c r="G1292"/>
  <c r="H1292" s="1"/>
  <c r="G1293"/>
  <c r="H1293" s="1"/>
  <c r="G1294"/>
  <c r="H1294" s="1"/>
  <c r="G1295"/>
  <c r="H1295" s="1"/>
  <c r="G1296"/>
  <c r="H1296" s="1"/>
  <c r="G1297"/>
  <c r="H1297" s="1"/>
  <c r="G1298"/>
  <c r="H1298" s="1"/>
  <c r="G1299"/>
  <c r="H1299" s="1"/>
  <c r="G1300"/>
  <c r="H1300" s="1"/>
  <c r="G1301"/>
  <c r="H1301" s="1"/>
  <c r="G1302"/>
  <c r="H1302" s="1"/>
  <c r="G1303"/>
  <c r="H1303" s="1"/>
  <c r="G1304"/>
  <c r="H1304" s="1"/>
  <c r="G1305"/>
  <c r="H1305" s="1"/>
  <c r="G1306"/>
  <c r="H1306" s="1"/>
  <c r="G1307"/>
  <c r="H1307" s="1"/>
  <c r="G1308"/>
  <c r="H1308" s="1"/>
  <c r="G1309"/>
  <c r="H1309" s="1"/>
  <c r="G1310"/>
  <c r="H1310" s="1"/>
  <c r="G1311"/>
  <c r="H1311" s="1"/>
  <c r="G1312"/>
  <c r="H1312" s="1"/>
  <c r="G1313"/>
  <c r="H1313" s="1"/>
  <c r="G1314"/>
  <c r="H1314" s="1"/>
  <c r="G1315"/>
  <c r="H1315" s="1"/>
  <c r="G1316"/>
  <c r="H1316" s="1"/>
  <c r="G1317"/>
  <c r="H1317" s="1"/>
  <c r="G1318"/>
  <c r="H1318" s="1"/>
  <c r="G1319"/>
  <c r="H1319" s="1"/>
  <c r="G1320"/>
  <c r="H1320" s="1"/>
  <c r="G1322"/>
  <c r="H1322" s="1"/>
  <c r="G1323"/>
  <c r="H1323" s="1"/>
  <c r="G1324"/>
  <c r="H1324" s="1"/>
  <c r="G1325"/>
  <c r="H1325" s="1"/>
  <c r="G1326"/>
  <c r="H1326" s="1"/>
  <c r="G1327"/>
  <c r="H1327" s="1"/>
  <c r="G1328"/>
  <c r="H1328" s="1"/>
  <c r="G1329"/>
  <c r="H1329" s="1"/>
  <c r="G1330"/>
  <c r="H1330" s="1"/>
  <c r="G1331"/>
  <c r="H1331" s="1"/>
  <c r="G1332"/>
  <c r="H1332" s="1"/>
  <c r="G1333"/>
  <c r="H1333" s="1"/>
  <c r="G1334"/>
  <c r="H1334" s="1"/>
  <c r="G1335"/>
  <c r="H1335" s="1"/>
  <c r="G1336"/>
  <c r="H1336" s="1"/>
  <c r="G1337"/>
  <c r="H1337" s="1"/>
  <c r="G1338"/>
  <c r="H1338" s="1"/>
  <c r="G1339"/>
  <c r="H1339" s="1"/>
  <c r="G1340"/>
  <c r="H1340" s="1"/>
  <c r="G1341"/>
  <c r="H1341" s="1"/>
  <c r="G1342"/>
  <c r="H1342" s="1"/>
  <c r="G1343"/>
  <c r="H1343" s="1"/>
  <c r="G1344"/>
  <c r="H1344" s="1"/>
  <c r="G1345"/>
  <c r="H1345" s="1"/>
  <c r="G1346"/>
  <c r="H1346" s="1"/>
  <c r="G1347"/>
  <c r="H1347" s="1"/>
  <c r="G1348"/>
  <c r="H1348" s="1"/>
  <c r="G1349"/>
  <c r="H1349" s="1"/>
  <c r="G1350"/>
  <c r="G1351"/>
  <c r="G1353"/>
  <c r="H1353" s="1"/>
  <c r="G1354"/>
  <c r="H1354" s="1"/>
  <c r="G1355"/>
  <c r="H1355" s="1"/>
  <c r="G1356"/>
  <c r="H1356" s="1"/>
  <c r="G1357"/>
  <c r="H1357" s="1"/>
  <c r="G1358"/>
  <c r="H1358" s="1"/>
  <c r="G1359"/>
  <c r="H1359" s="1"/>
  <c r="G1360"/>
  <c r="H1360" s="1"/>
  <c r="G1361"/>
  <c r="H1361" s="1"/>
  <c r="G1362"/>
  <c r="H1362" s="1"/>
  <c r="G1363"/>
  <c r="H1363" s="1"/>
  <c r="G1364"/>
  <c r="H1364" s="1"/>
  <c r="G1365"/>
  <c r="H1365" s="1"/>
  <c r="G1366"/>
  <c r="H1366" s="1"/>
  <c r="G1367"/>
  <c r="H1367" s="1"/>
  <c r="G1368"/>
  <c r="H1368" s="1"/>
  <c r="G1369"/>
  <c r="H1369" s="1"/>
  <c r="G1370"/>
  <c r="H1370" s="1"/>
  <c r="G1371"/>
  <c r="H1371" s="1"/>
  <c r="G1372"/>
  <c r="H1372" s="1"/>
  <c r="G1373"/>
  <c r="G1374"/>
  <c r="G1376"/>
  <c r="H1376" s="1"/>
  <c r="G1377"/>
  <c r="H1377" s="1"/>
  <c r="G1378"/>
  <c r="H1378" s="1"/>
  <c r="G1379"/>
  <c r="H1379" s="1"/>
  <c r="G1380"/>
  <c r="H1380" s="1"/>
  <c r="G1381"/>
  <c r="H1381" s="1"/>
  <c r="G1382"/>
  <c r="H1382" s="1"/>
  <c r="G1383"/>
  <c r="H1383" s="1"/>
  <c r="G1384"/>
  <c r="H1384" s="1"/>
  <c r="G1385"/>
  <c r="H1385" s="1"/>
  <c r="G1386"/>
  <c r="H1386" s="1"/>
  <c r="G1387"/>
  <c r="H1387" s="1"/>
  <c r="G1388"/>
  <c r="H1388" s="1"/>
  <c r="G1389"/>
  <c r="H1389" s="1"/>
  <c r="G1390"/>
  <c r="H1390" s="1"/>
  <c r="G1391"/>
  <c r="H1391" s="1"/>
  <c r="G1392"/>
  <c r="H1392" s="1"/>
  <c r="G1394"/>
  <c r="H1394" s="1"/>
  <c r="G1395"/>
  <c r="H1395" s="1"/>
  <c r="G1396"/>
  <c r="H1396" s="1"/>
  <c r="G1397"/>
  <c r="H1397" s="1"/>
  <c r="G1398"/>
  <c r="H1398" s="1"/>
  <c r="G1399"/>
  <c r="H1399" s="1"/>
  <c r="G1400"/>
  <c r="H1400" s="1"/>
  <c r="G1401"/>
  <c r="H1401" s="1"/>
  <c r="G1402"/>
  <c r="H1402" s="1"/>
  <c r="G1403"/>
  <c r="H1403" s="1"/>
  <c r="G1404"/>
  <c r="H1404" s="1"/>
  <c r="G1405"/>
  <c r="H1405" s="1"/>
  <c r="G1406"/>
  <c r="H1406" s="1"/>
  <c r="G1407"/>
  <c r="H1407" s="1"/>
  <c r="G1408"/>
  <c r="H1408" s="1"/>
  <c r="G1409"/>
  <c r="H1409" s="1"/>
  <c r="G1410"/>
  <c r="H1410" s="1"/>
  <c r="G1411"/>
  <c r="H1411" s="1"/>
  <c r="G1412"/>
  <c r="H1412" s="1"/>
  <c r="G1413"/>
  <c r="H1413" s="1"/>
  <c r="G1414"/>
  <c r="H1414" s="1"/>
  <c r="G1415"/>
  <c r="H1415" s="1"/>
  <c r="G1416"/>
  <c r="H1416" s="1"/>
  <c r="G1417"/>
  <c r="H1417" s="1"/>
  <c r="G1418"/>
  <c r="H1418" s="1"/>
  <c r="G1419"/>
  <c r="H1419" s="1"/>
  <c r="G1420"/>
  <c r="H1420" s="1"/>
  <c r="G1421"/>
  <c r="H1421" s="1"/>
  <c r="G1422"/>
  <c r="G1424"/>
  <c r="G1425"/>
  <c r="H1425" s="1"/>
  <c r="G1426"/>
  <c r="H1426" s="1"/>
  <c r="G1427"/>
  <c r="H1427" s="1"/>
  <c r="G1428"/>
  <c r="H1428" s="1"/>
  <c r="G1429"/>
  <c r="H1429" s="1"/>
  <c r="G1430"/>
  <c r="H1430" s="1"/>
  <c r="G1431"/>
  <c r="H1431" s="1"/>
  <c r="G1432"/>
  <c r="H1432" s="1"/>
  <c r="G1433"/>
  <c r="H1433" s="1"/>
  <c r="G1434"/>
  <c r="H1434" s="1"/>
  <c r="G1435"/>
  <c r="H1435" s="1"/>
  <c r="G1436"/>
  <c r="H1436" s="1"/>
  <c r="G1437"/>
  <c r="H1437" s="1"/>
  <c r="G1438"/>
  <c r="H1438" s="1"/>
  <c r="G1439"/>
  <c r="H1439" s="1"/>
  <c r="G1440"/>
  <c r="H1440" s="1"/>
  <c r="G1441"/>
  <c r="H1441" s="1"/>
  <c r="G1442"/>
  <c r="H1442" s="1"/>
  <c r="G1443"/>
  <c r="H1443" s="1"/>
  <c r="G1444"/>
  <c r="H1444" s="1"/>
  <c r="G1445"/>
  <c r="H1445" s="1"/>
  <c r="G1446"/>
  <c r="H1446" s="1"/>
  <c r="G1447"/>
  <c r="H1447" s="1"/>
  <c r="G1448"/>
  <c r="H1448" s="1"/>
  <c r="G1449"/>
  <c r="G1450"/>
  <c r="G1452"/>
  <c r="H1452" s="1"/>
  <c r="G1453"/>
  <c r="H1453" s="1"/>
  <c r="G1454"/>
  <c r="H1454" s="1"/>
  <c r="G1455"/>
  <c r="H1455" s="1"/>
  <c r="G1456"/>
  <c r="H1456" s="1"/>
  <c r="G1457"/>
  <c r="H1457" s="1"/>
  <c r="G1458"/>
  <c r="H1458" s="1"/>
  <c r="G1459"/>
  <c r="H1459" s="1"/>
  <c r="G1460"/>
  <c r="H1460" s="1"/>
  <c r="G1461"/>
  <c r="H1461" s="1"/>
  <c r="G1462"/>
  <c r="H1462" s="1"/>
  <c r="G1463"/>
  <c r="H1463" s="1"/>
  <c r="G1464"/>
  <c r="H1464" s="1"/>
  <c r="G1465"/>
  <c r="H1465" s="1"/>
  <c r="G1466"/>
  <c r="H1466" s="1"/>
  <c r="G1468"/>
  <c r="H1468" s="1"/>
  <c r="G1469"/>
  <c r="H1469" s="1"/>
  <c r="G1470"/>
  <c r="H1470" s="1"/>
  <c r="G1471"/>
  <c r="H1471" s="1"/>
  <c r="G1472"/>
  <c r="H1472" s="1"/>
  <c r="G1473"/>
  <c r="H1473" s="1"/>
  <c r="G1474"/>
  <c r="H1474" s="1"/>
  <c r="G1475"/>
  <c r="H1475" s="1"/>
  <c r="G1476"/>
  <c r="H1476" s="1"/>
  <c r="G1477"/>
  <c r="H1477" s="1"/>
  <c r="G1478"/>
  <c r="H1478" s="1"/>
  <c r="G1479"/>
  <c r="H1479" s="1"/>
  <c r="G1480"/>
  <c r="H1480" s="1"/>
  <c r="G1481"/>
  <c r="H1481" s="1"/>
  <c r="G1482"/>
  <c r="H1482" s="1"/>
  <c r="G1483"/>
  <c r="H1483" s="1"/>
  <c r="G1484"/>
  <c r="H1484" s="1"/>
  <c r="G1485"/>
  <c r="H1485" s="1"/>
  <c r="G1486"/>
  <c r="H1486" s="1"/>
  <c r="G1487"/>
  <c r="H1487" s="1"/>
  <c r="G1488"/>
  <c r="H1488" s="1"/>
  <c r="G1489"/>
  <c r="H1489" s="1"/>
  <c r="G1490"/>
  <c r="H1490" s="1"/>
  <c r="G1491"/>
  <c r="H1491" s="1"/>
  <c r="G1492"/>
  <c r="H1492" s="1"/>
  <c r="G1493"/>
  <c r="H1493" s="1"/>
  <c r="G1496"/>
  <c r="H1496" s="1"/>
  <c r="G1497"/>
  <c r="H1497" s="1"/>
  <c r="G1498"/>
  <c r="H1498" s="1"/>
  <c r="G1499"/>
  <c r="H1499" s="1"/>
  <c r="G1500"/>
  <c r="H1500" s="1"/>
  <c r="G1501"/>
  <c r="H1501" s="1"/>
  <c r="G1502"/>
  <c r="H1502" s="1"/>
  <c r="G1503"/>
  <c r="H1503" s="1"/>
  <c r="G1504"/>
  <c r="H1504" s="1"/>
  <c r="G1505"/>
  <c r="H1505" s="1"/>
  <c r="G1506"/>
  <c r="H1506" s="1"/>
  <c r="G1507"/>
  <c r="H1507" s="1"/>
  <c r="G1508"/>
  <c r="H1508" s="1"/>
  <c r="G1509"/>
  <c r="H1509" s="1"/>
  <c r="G1510"/>
  <c r="H1510" s="1"/>
  <c r="G1511"/>
  <c r="H1511" s="1"/>
  <c r="G1512"/>
  <c r="H1512" s="1"/>
  <c r="G1513"/>
  <c r="H1513" s="1"/>
  <c r="G1514"/>
  <c r="H1514" s="1"/>
  <c r="G1515"/>
  <c r="H1515" s="1"/>
  <c r="G1516"/>
  <c r="H1516" s="1"/>
  <c r="G1517"/>
  <c r="H1517" s="1"/>
  <c r="G1518"/>
  <c r="H1518" s="1"/>
  <c r="G1519"/>
  <c r="H1519" s="1"/>
  <c r="G1520"/>
  <c r="H1520" s="1"/>
  <c r="G1521"/>
  <c r="H1521" s="1"/>
  <c r="G1524"/>
  <c r="H1524" s="1"/>
  <c r="G1525"/>
  <c r="H1525" s="1"/>
  <c r="G1526"/>
  <c r="H1526" s="1"/>
  <c r="G1527"/>
  <c r="H1527" s="1"/>
  <c r="G1528"/>
  <c r="H1528" s="1"/>
  <c r="G1529"/>
  <c r="H1529" s="1"/>
  <c r="G1530"/>
  <c r="H1530" s="1"/>
  <c r="G1531"/>
  <c r="H1531" s="1"/>
  <c r="G1532"/>
  <c r="H1532" s="1"/>
  <c r="G1533"/>
  <c r="H1533" s="1"/>
  <c r="G1534"/>
  <c r="H1534" s="1"/>
  <c r="G1535"/>
  <c r="H1535" s="1"/>
  <c r="G1536"/>
  <c r="H1536" s="1"/>
  <c r="G1537"/>
  <c r="H1537" s="1"/>
  <c r="G1538"/>
  <c r="H1538" s="1"/>
  <c r="G1539"/>
  <c r="H1539" s="1"/>
  <c r="G1542"/>
  <c r="H1542" s="1"/>
  <c r="G1543"/>
  <c r="H1543" s="1"/>
  <c r="G1544"/>
  <c r="H1544" s="1"/>
  <c r="G1545"/>
  <c r="H1545" s="1"/>
  <c r="G1546"/>
  <c r="H1546" s="1"/>
  <c r="G1547"/>
  <c r="H1547" s="1"/>
  <c r="G1548"/>
  <c r="H1548" s="1"/>
  <c r="G1549"/>
  <c r="H1549" s="1"/>
  <c r="G1550"/>
  <c r="H1550" s="1"/>
  <c r="G1551"/>
  <c r="H1551" s="1"/>
  <c r="G1552"/>
  <c r="H1552" s="1"/>
  <c r="G1553"/>
  <c r="H1553" s="1"/>
  <c r="G1554"/>
  <c r="H1554" s="1"/>
  <c r="G1555"/>
  <c r="H1555" s="1"/>
  <c r="G1556"/>
  <c r="H1556" s="1"/>
  <c r="G1557"/>
  <c r="H1557" s="1"/>
  <c r="G1558"/>
  <c r="H1558" s="1"/>
  <c r="G1559"/>
  <c r="H1559" s="1"/>
  <c r="G1560"/>
  <c r="H1560" s="1"/>
  <c r="G1561"/>
  <c r="H1561" s="1"/>
  <c r="G1562"/>
  <c r="H1562" s="1"/>
  <c r="G1563"/>
  <c r="H1563" s="1"/>
  <c r="G1564"/>
  <c r="H1564" s="1"/>
  <c r="G1565"/>
  <c r="H1565" s="1"/>
  <c r="G1566"/>
  <c r="H1566" s="1"/>
  <c r="G1567"/>
  <c r="H1567" s="1"/>
  <c r="G1568"/>
  <c r="G1569"/>
  <c r="G1571"/>
  <c r="H1571" s="1"/>
  <c r="G1572"/>
  <c r="H1572" s="1"/>
  <c r="G1573"/>
  <c r="H1573" s="1"/>
  <c r="G1574"/>
  <c r="H1574" s="1"/>
  <c r="G1575"/>
  <c r="H1575" s="1"/>
  <c r="G1576"/>
  <c r="H1576" s="1"/>
  <c r="G1577"/>
  <c r="H1577" s="1"/>
  <c r="G1578"/>
  <c r="H1578" s="1"/>
  <c r="G1579"/>
  <c r="H1579" s="1"/>
  <c r="G1580"/>
  <c r="H1580" s="1"/>
  <c r="G1581"/>
  <c r="H1581" s="1"/>
  <c r="G1582"/>
  <c r="H1582" s="1"/>
  <c r="G1583"/>
  <c r="H1583" s="1"/>
  <c r="G1584"/>
  <c r="H1584" s="1"/>
  <c r="G1586"/>
  <c r="H1586" s="1"/>
  <c r="G1587"/>
  <c r="H1587" s="1"/>
  <c r="G1588"/>
  <c r="H1588" s="1"/>
  <c r="G1589"/>
  <c r="H1589" s="1"/>
  <c r="G1590"/>
  <c r="H1590" s="1"/>
  <c r="G1591"/>
  <c r="H1591" s="1"/>
  <c r="G1592"/>
  <c r="H1592" s="1"/>
  <c r="G1593"/>
  <c r="H1593" s="1"/>
  <c r="G1594"/>
  <c r="H1594" s="1"/>
  <c r="G1595"/>
  <c r="H1595" s="1"/>
  <c r="G1596"/>
  <c r="G1599"/>
  <c r="H1599" s="1"/>
  <c r="G1600"/>
  <c r="H1600" s="1"/>
  <c r="G1601"/>
  <c r="H1601" s="1"/>
  <c r="G1602"/>
  <c r="H1602" s="1"/>
  <c r="G1603"/>
  <c r="H1603" s="1"/>
  <c r="G1604"/>
  <c r="H1604" s="1"/>
  <c r="G1605"/>
  <c r="H1605" s="1"/>
  <c r="G1606"/>
  <c r="H1606" s="1"/>
  <c r="G1607"/>
  <c r="H1607" s="1"/>
  <c r="G1608"/>
  <c r="H1608" s="1"/>
  <c r="G1609"/>
  <c r="H1609" s="1"/>
  <c r="G1610"/>
  <c r="H1610" s="1"/>
  <c r="G1611"/>
  <c r="H1611" s="1"/>
  <c r="G1612"/>
  <c r="H1612" s="1"/>
  <c r="G1613"/>
  <c r="H1613" s="1"/>
  <c r="G1614"/>
  <c r="H1614" s="1"/>
  <c r="G1616"/>
  <c r="H1616" s="1"/>
  <c r="G1617"/>
  <c r="H1617" s="1"/>
  <c r="G1618"/>
  <c r="H1618" s="1"/>
  <c r="G1619"/>
  <c r="H1619" s="1"/>
  <c r="G1620"/>
  <c r="H1620" s="1"/>
  <c r="G1621"/>
  <c r="H1621" s="1"/>
  <c r="G1622"/>
  <c r="H1622" s="1"/>
  <c r="G1623"/>
  <c r="H1623" s="1"/>
  <c r="G1624"/>
  <c r="H1624" s="1"/>
  <c r="G1625"/>
  <c r="H1625" s="1"/>
  <c r="G1626"/>
  <c r="H1626" s="1"/>
  <c r="G1627"/>
  <c r="H1627" s="1"/>
  <c r="G1628"/>
  <c r="H1628" s="1"/>
  <c r="G1629"/>
  <c r="H1629" s="1"/>
  <c r="G1630"/>
  <c r="H1630" s="1"/>
  <c r="G1631"/>
  <c r="H1631" s="1"/>
  <c r="G1632"/>
  <c r="H1632" s="1"/>
  <c r="G1633"/>
  <c r="H1633" s="1"/>
  <c r="G1634"/>
  <c r="H1634" s="1"/>
  <c r="G1635"/>
  <c r="H1635" s="1"/>
  <c r="G1636"/>
  <c r="H1636" s="1"/>
  <c r="G1637"/>
  <c r="H1637" s="1"/>
  <c r="G1638"/>
  <c r="H1638" s="1"/>
  <c r="G1639"/>
  <c r="H1639" s="1"/>
  <c r="G1640"/>
  <c r="H1640" s="1"/>
  <c r="G1641"/>
  <c r="G1642"/>
  <c r="G1645"/>
  <c r="H1645" s="1"/>
  <c r="G1646"/>
  <c r="H1646" s="1"/>
  <c r="G1647"/>
  <c r="H1647" s="1"/>
  <c r="G1648"/>
  <c r="H1648" s="1"/>
  <c r="G1649"/>
  <c r="H1649" s="1"/>
  <c r="G1650"/>
  <c r="H1650" s="1"/>
  <c r="G1651"/>
  <c r="H1651" s="1"/>
  <c r="G1652"/>
  <c r="H1652" s="1"/>
  <c r="G1653"/>
  <c r="H1653" s="1"/>
  <c r="G1654"/>
  <c r="H1654" s="1"/>
  <c r="G1655"/>
  <c r="H1655" s="1"/>
  <c r="G1656"/>
  <c r="H1656" s="1"/>
  <c r="G1657"/>
  <c r="H1657" s="1"/>
  <c r="G1658"/>
  <c r="H1658" s="1"/>
  <c r="G1659"/>
  <c r="H1659" s="1"/>
  <c r="G1660"/>
  <c r="H1660" s="1"/>
  <c r="G1661"/>
  <c r="H1661" s="1"/>
  <c r="G1662"/>
  <c r="H1662" s="1"/>
  <c r="G1663"/>
  <c r="H1663" s="1"/>
  <c r="G1664"/>
  <c r="H1664" s="1"/>
  <c r="G1665"/>
  <c r="H1665" s="1"/>
  <c r="G1666"/>
  <c r="H1666" s="1"/>
  <c r="G1667"/>
  <c r="H1667" s="1"/>
  <c r="G1668"/>
  <c r="H1668" s="1"/>
  <c r="G1669"/>
  <c r="H1669" s="1"/>
  <c r="G1670"/>
  <c r="H1670" s="1"/>
  <c r="G1671"/>
  <c r="H1671" s="1"/>
  <c r="G1672"/>
  <c r="H1672" s="1"/>
  <c r="G1673"/>
  <c r="H1673" s="1"/>
  <c r="G1674"/>
  <c r="G1676"/>
  <c r="H1676" s="1"/>
  <c r="G1677"/>
  <c r="H1677" s="1"/>
  <c r="G1678"/>
  <c r="H1678" s="1"/>
  <c r="G1679"/>
  <c r="H1679" s="1"/>
  <c r="G1680"/>
  <c r="H1680" s="1"/>
  <c r="G1681"/>
  <c r="H1681" s="1"/>
  <c r="G1682"/>
  <c r="H1682" s="1"/>
  <c r="G1683"/>
  <c r="H1683" s="1"/>
  <c r="G1684"/>
  <c r="H1684" s="1"/>
  <c r="G1685"/>
  <c r="H1685" s="1"/>
  <c r="G1686"/>
  <c r="H1686" s="1"/>
  <c r="G1687"/>
  <c r="H1687" s="1"/>
  <c r="G1688"/>
  <c r="H1688" s="1"/>
  <c r="G1689"/>
  <c r="H1689" s="1"/>
  <c r="G1690"/>
  <c r="H1690" s="1"/>
  <c r="G1691"/>
  <c r="H1691" s="1"/>
  <c r="K74"/>
  <c r="K75"/>
  <c r="K76"/>
  <c r="K77"/>
  <c r="K78"/>
  <c r="K79"/>
  <c r="K80"/>
  <c r="K81"/>
  <c r="J82"/>
  <c r="J69"/>
  <c r="J70" s="1"/>
  <c r="K70" s="1"/>
  <c r="G73"/>
  <c r="H73" s="1"/>
  <c r="G74"/>
  <c r="H74" s="1"/>
  <c r="G75"/>
  <c r="H75" s="1"/>
  <c r="G76"/>
  <c r="H76" s="1"/>
  <c r="G77"/>
  <c r="H77" s="1"/>
  <c r="G78"/>
  <c r="H78" s="1"/>
  <c r="G79"/>
  <c r="H79" s="1"/>
  <c r="G80"/>
  <c r="H80" s="1"/>
  <c r="G81"/>
  <c r="H81" s="1"/>
  <c r="G82"/>
  <c r="H82" s="1"/>
  <c r="G83"/>
  <c r="H83" s="1"/>
  <c r="G84"/>
  <c r="H84" s="1"/>
  <c r="G85"/>
  <c r="H85" s="1"/>
  <c r="G86"/>
  <c r="H86" s="1"/>
  <c r="G70"/>
  <c r="H70" s="1"/>
  <c r="G71"/>
  <c r="H71" s="1"/>
  <c r="G72"/>
  <c r="H72" s="1"/>
  <c r="K54"/>
  <c r="K55"/>
  <c r="K56"/>
  <c r="K57"/>
  <c r="K58"/>
  <c r="K59"/>
  <c r="K60"/>
  <c r="K61"/>
  <c r="J62"/>
  <c r="K62" s="1"/>
  <c r="G50"/>
  <c r="H50" s="1"/>
  <c r="G51"/>
  <c r="H51" s="1"/>
  <c r="G52"/>
  <c r="H52" s="1"/>
  <c r="G53"/>
  <c r="H53" s="1"/>
  <c r="G54"/>
  <c r="H54" s="1"/>
  <c r="G55"/>
  <c r="H55" s="1"/>
  <c r="G56"/>
  <c r="H56" s="1"/>
  <c r="G57"/>
  <c r="H57" s="1"/>
  <c r="G58"/>
  <c r="H58" s="1"/>
  <c r="G59"/>
  <c r="H59" s="1"/>
  <c r="G60"/>
  <c r="H60" s="1"/>
  <c r="G61"/>
  <c r="H61" s="1"/>
  <c r="G62"/>
  <c r="H62" s="1"/>
  <c r="G63"/>
  <c r="H63" s="1"/>
  <c r="G64"/>
  <c r="H64" s="1"/>
  <c r="G65"/>
  <c r="H65" s="1"/>
  <c r="G66"/>
  <c r="G67"/>
  <c r="K45"/>
  <c r="K46"/>
  <c r="K47"/>
  <c r="J40"/>
  <c r="J41" s="1"/>
  <c r="G41"/>
  <c r="H41" s="1"/>
  <c r="G42"/>
  <c r="H42" s="1"/>
  <c r="G43"/>
  <c r="H43" s="1"/>
  <c r="G44"/>
  <c r="H44" s="1"/>
  <c r="G45"/>
  <c r="H45" s="1"/>
  <c r="J30"/>
  <c r="J31" s="1"/>
  <c r="J32" s="1"/>
  <c r="J33" s="1"/>
  <c r="J34" s="1"/>
  <c r="J35" s="1"/>
  <c r="J36" s="1"/>
  <c r="J37" s="1"/>
  <c r="J38" s="1"/>
  <c r="K38" s="1"/>
  <c r="L38" s="1"/>
  <c r="M1644" l="1"/>
  <c r="M1615"/>
  <c r="M1598"/>
  <c r="M1583"/>
  <c r="M1692"/>
  <c r="M1523"/>
  <c r="M1467"/>
  <c r="M1451"/>
  <c r="M1675"/>
  <c r="M1575"/>
  <c r="M1570"/>
  <c r="M1540"/>
  <c r="I1441"/>
  <c r="I1451"/>
  <c r="I1583"/>
  <c r="I1250"/>
  <c r="I545"/>
  <c r="I492"/>
  <c r="I1523"/>
  <c r="I1575"/>
  <c r="I119"/>
  <c r="I126"/>
  <c r="I137"/>
  <c r="I147"/>
  <c r="I168"/>
  <c r="I187"/>
  <c r="I201"/>
  <c r="I216"/>
  <c r="I222"/>
  <c r="I245"/>
  <c r="I257"/>
  <c r="I272"/>
  <c r="I300"/>
  <c r="I310"/>
  <c r="I334"/>
  <c r="I339"/>
  <c r="I363"/>
  <c r="I368"/>
  <c r="I381"/>
  <c r="I404"/>
  <c r="I417"/>
  <c r="I425"/>
  <c r="I450"/>
  <c r="I456"/>
  <c r="I480"/>
  <c r="I515"/>
  <c r="I532"/>
  <c r="I540"/>
  <c r="K761"/>
  <c r="I569"/>
  <c r="I604"/>
  <c r="I618"/>
  <c r="I642"/>
  <c r="I668"/>
  <c r="I676"/>
  <c r="I682"/>
  <c r="I706"/>
  <c r="I723"/>
  <c r="I739"/>
  <c r="I734"/>
  <c r="I760"/>
  <c r="I787"/>
  <c r="I802"/>
  <c r="I820"/>
  <c r="I833"/>
  <c r="I848"/>
  <c r="I868"/>
  <c r="I882"/>
  <c r="I899"/>
  <c r="I923"/>
  <c r="I945"/>
  <c r="I958"/>
  <c r="I983"/>
  <c r="I995"/>
  <c r="I1001"/>
  <c r="I1017"/>
  <c r="I1048"/>
  <c r="I1083"/>
  <c r="I1101"/>
  <c r="I1127"/>
  <c r="I1138"/>
  <c r="I1143"/>
  <c r="I1147"/>
  <c r="I1155"/>
  <c r="I1158"/>
  <c r="I1163"/>
  <c r="I1194"/>
  <c r="I1276"/>
  <c r="I1321"/>
  <c r="I1352"/>
  <c r="I1375"/>
  <c r="I1393"/>
  <c r="I1423"/>
  <c r="I1467"/>
  <c r="I1495"/>
  <c r="I1540"/>
  <c r="I1570"/>
  <c r="I1598"/>
  <c r="I1615"/>
  <c r="I1644"/>
  <c r="I1692"/>
  <c r="I1675"/>
  <c r="I489"/>
  <c r="I177"/>
  <c r="K996"/>
  <c r="K821"/>
  <c r="K1018"/>
  <c r="I101"/>
  <c r="K533"/>
  <c r="J164"/>
  <c r="K164" s="1"/>
  <c r="K163"/>
  <c r="K788"/>
  <c r="K541"/>
  <c r="K992"/>
  <c r="L992" s="1"/>
  <c r="K1164"/>
  <c r="L1164" s="1"/>
  <c r="J1490"/>
  <c r="K1489"/>
  <c r="L1489" s="1"/>
  <c r="K1418"/>
  <c r="L1418" s="1"/>
  <c r="J1425"/>
  <c r="J1420"/>
  <c r="K1420" s="1"/>
  <c r="L1419"/>
  <c r="J1377"/>
  <c r="K1370"/>
  <c r="L1370" s="1"/>
  <c r="J1372"/>
  <c r="K1372" s="1"/>
  <c r="L1371"/>
  <c r="J1354"/>
  <c r="K1354" s="1"/>
  <c r="L1354" s="1"/>
  <c r="K1347"/>
  <c r="L1347" s="1"/>
  <c r="J1349"/>
  <c r="K1349" s="1"/>
  <c r="L1348"/>
  <c r="J1278"/>
  <c r="L1271"/>
  <c r="J1272"/>
  <c r="K1272" s="1"/>
  <c r="J1196"/>
  <c r="L1188"/>
  <c r="J1189"/>
  <c r="K1189" s="1"/>
  <c r="L1156"/>
  <c r="J1157"/>
  <c r="K1157" s="1"/>
  <c r="J1145"/>
  <c r="K1145" s="1"/>
  <c r="L1136"/>
  <c r="J1137"/>
  <c r="K1137" s="1"/>
  <c r="J1130"/>
  <c r="L1123"/>
  <c r="J1124"/>
  <c r="K1124" s="1"/>
  <c r="K1103"/>
  <c r="L1103" s="1"/>
  <c r="J1085"/>
  <c r="K1079"/>
  <c r="L1079" s="1"/>
  <c r="J1081"/>
  <c r="K1081" s="1"/>
  <c r="L1080"/>
  <c r="J1050"/>
  <c r="L1044"/>
  <c r="J1045"/>
  <c r="K1045" s="1"/>
  <c r="J1003"/>
  <c r="J998"/>
  <c r="K998" s="1"/>
  <c r="J993"/>
  <c r="K993" s="1"/>
  <c r="J985"/>
  <c r="J980"/>
  <c r="K980" s="1"/>
  <c r="K960"/>
  <c r="L960" s="1"/>
  <c r="K946"/>
  <c r="K947"/>
  <c r="L947" s="1"/>
  <c r="K948"/>
  <c r="L948" s="1"/>
  <c r="L942"/>
  <c r="J943"/>
  <c r="J925"/>
  <c r="K925" s="1"/>
  <c r="L925" s="1"/>
  <c r="L920"/>
  <c r="J921"/>
  <c r="K921" s="1"/>
  <c r="K901"/>
  <c r="L901" s="1"/>
  <c r="J884"/>
  <c r="L879"/>
  <c r="J880"/>
  <c r="K880" s="1"/>
  <c r="L865"/>
  <c r="J866"/>
  <c r="K866" s="1"/>
  <c r="K850"/>
  <c r="L850" s="1"/>
  <c r="J835"/>
  <c r="L830"/>
  <c r="L817"/>
  <c r="J831"/>
  <c r="K831" s="1"/>
  <c r="J823"/>
  <c r="J818"/>
  <c r="K818" s="1"/>
  <c r="K804"/>
  <c r="L804" s="1"/>
  <c r="K789"/>
  <c r="J785"/>
  <c r="K785" s="1"/>
  <c r="K762"/>
  <c r="J763"/>
  <c r="K763" s="1"/>
  <c r="J758"/>
  <c r="K758" s="1"/>
  <c r="J741"/>
  <c r="J725"/>
  <c r="K725" s="1"/>
  <c r="K720"/>
  <c r="J708"/>
  <c r="K677"/>
  <c r="K703"/>
  <c r="K684"/>
  <c r="K685"/>
  <c r="K686"/>
  <c r="K679"/>
  <c r="K678"/>
  <c r="L678" s="1"/>
  <c r="K673"/>
  <c r="K674"/>
  <c r="J670"/>
  <c r="K670" s="1"/>
  <c r="K671"/>
  <c r="K672"/>
  <c r="J666"/>
  <c r="K666" s="1"/>
  <c r="J644"/>
  <c r="J640"/>
  <c r="K640" s="1"/>
  <c r="J606"/>
  <c r="J602"/>
  <c r="K602" s="1"/>
  <c r="J572"/>
  <c r="J567"/>
  <c r="K567" s="1"/>
  <c r="L567" s="1"/>
  <c r="J543"/>
  <c r="K536"/>
  <c r="J538"/>
  <c r="K538" s="1"/>
  <c r="K516"/>
  <c r="K535"/>
  <c r="J530"/>
  <c r="K530" s="1"/>
  <c r="K512"/>
  <c r="J491"/>
  <c r="K491" s="1"/>
  <c r="K481"/>
  <c r="K457"/>
  <c r="J487"/>
  <c r="K487" s="1"/>
  <c r="K482"/>
  <c r="J483"/>
  <c r="J478"/>
  <c r="K478" s="1"/>
  <c r="J452"/>
  <c r="K452" s="1"/>
  <c r="K446"/>
  <c r="J448"/>
  <c r="K448" s="1"/>
  <c r="J419"/>
  <c r="K414"/>
  <c r="J406"/>
  <c r="K406" s="1"/>
  <c r="K407"/>
  <c r="K408"/>
  <c r="K382"/>
  <c r="J402"/>
  <c r="K402" s="1"/>
  <c r="K384"/>
  <c r="K369"/>
  <c r="K370"/>
  <c r="L370" s="1"/>
  <c r="K371"/>
  <c r="J365"/>
  <c r="J361"/>
  <c r="J336"/>
  <c r="K336" s="1"/>
  <c r="K337"/>
  <c r="K338"/>
  <c r="J332"/>
  <c r="K332" s="1"/>
  <c r="J302"/>
  <c r="K302" s="1"/>
  <c r="J298"/>
  <c r="K273"/>
  <c r="K274"/>
  <c r="J259"/>
  <c r="K259" s="1"/>
  <c r="L259" s="1"/>
  <c r="J255"/>
  <c r="K255" s="1"/>
  <c r="J247"/>
  <c r="K223"/>
  <c r="K217"/>
  <c r="J244"/>
  <c r="J215"/>
  <c r="K215" s="1"/>
  <c r="J203"/>
  <c r="K138"/>
  <c r="K69"/>
  <c r="K127"/>
  <c r="K150"/>
  <c r="J170"/>
  <c r="K170" s="1"/>
  <c r="K122"/>
  <c r="J123"/>
  <c r="K148"/>
  <c r="J129"/>
  <c r="K128"/>
  <c r="K40"/>
  <c r="K102"/>
  <c r="K113"/>
  <c r="K178"/>
  <c r="J179"/>
  <c r="J89"/>
  <c r="K89" s="1"/>
  <c r="J140"/>
  <c r="J141" s="1"/>
  <c r="K141" s="1"/>
  <c r="K153"/>
  <c r="J42"/>
  <c r="K41"/>
  <c r="L41" s="1"/>
  <c r="K103"/>
  <c r="J94"/>
  <c r="I92"/>
  <c r="J83"/>
  <c r="K82"/>
  <c r="J63"/>
  <c r="K63" s="1"/>
  <c r="K114"/>
  <c r="J115"/>
  <c r="L70"/>
  <c r="K50"/>
  <c r="L50" s="1"/>
  <c r="K49"/>
  <c r="J71"/>
  <c r="K71" s="1"/>
  <c r="K37"/>
  <c r="L37" s="1"/>
  <c r="K36"/>
  <c r="L36" s="1"/>
  <c r="K35"/>
  <c r="L35" s="1"/>
  <c r="K34"/>
  <c r="L34" s="1"/>
  <c r="K31"/>
  <c r="L31" s="1"/>
  <c r="K33"/>
  <c r="L33" s="1"/>
  <c r="K32"/>
  <c r="L32" s="1"/>
  <c r="K30"/>
  <c r="I34" i="6" l="1"/>
  <c r="H32"/>
  <c r="I33"/>
  <c r="H31"/>
  <c r="H11"/>
  <c r="H33"/>
  <c r="H26"/>
  <c r="H25"/>
  <c r="H20"/>
  <c r="H19"/>
  <c r="H16"/>
  <c r="H13"/>
  <c r="H8"/>
  <c r="H34"/>
  <c r="H30"/>
  <c r="H28"/>
  <c r="H29"/>
  <c r="H27"/>
  <c r="H24"/>
  <c r="H23"/>
  <c r="H22"/>
  <c r="H18"/>
  <c r="H21"/>
  <c r="H17"/>
  <c r="H15"/>
  <c r="H12"/>
  <c r="H14"/>
  <c r="H10"/>
  <c r="H9"/>
  <c r="H7"/>
  <c r="M958" i="4"/>
  <c r="J165"/>
  <c r="K165" s="1"/>
  <c r="J124"/>
  <c r="K124" s="1"/>
  <c r="K123"/>
  <c r="J1491"/>
  <c r="K1490"/>
  <c r="L1490" s="1"/>
  <c r="K1425"/>
  <c r="L1425" s="1"/>
  <c r="J1426"/>
  <c r="J1421"/>
  <c r="K1421" s="1"/>
  <c r="L1420"/>
  <c r="K1395"/>
  <c r="L1395" s="1"/>
  <c r="K1377"/>
  <c r="L1377" s="1"/>
  <c r="J1378"/>
  <c r="J1373"/>
  <c r="K1373" s="1"/>
  <c r="L1372"/>
  <c r="J1355"/>
  <c r="K1355" s="1"/>
  <c r="L1355" s="1"/>
  <c r="J1350"/>
  <c r="K1350" s="1"/>
  <c r="L1349"/>
  <c r="K1323"/>
  <c r="L1323" s="1"/>
  <c r="J1279"/>
  <c r="K1278"/>
  <c r="L1278" s="1"/>
  <c r="K1281"/>
  <c r="L1281" s="1"/>
  <c r="L1272"/>
  <c r="J1273"/>
  <c r="K1273" s="1"/>
  <c r="K1252"/>
  <c r="L1252" s="1"/>
  <c r="J1197"/>
  <c r="K1196"/>
  <c r="L1196" s="1"/>
  <c r="K1199"/>
  <c r="L1199" s="1"/>
  <c r="L1189"/>
  <c r="J1190"/>
  <c r="K1190" s="1"/>
  <c r="K1166"/>
  <c r="L1166" s="1"/>
  <c r="L1157"/>
  <c r="J1158"/>
  <c r="K1158" s="1"/>
  <c r="J1146"/>
  <c r="L1137"/>
  <c r="J1138"/>
  <c r="K1130"/>
  <c r="L1130" s="1"/>
  <c r="J1131"/>
  <c r="L1124"/>
  <c r="J1125"/>
  <c r="K1125" s="1"/>
  <c r="K1104"/>
  <c r="L1104" s="1"/>
  <c r="K1085"/>
  <c r="L1085" s="1"/>
  <c r="J1086"/>
  <c r="L1081"/>
  <c r="K1050"/>
  <c r="L1050" s="1"/>
  <c r="J1051"/>
  <c r="L1045"/>
  <c r="J1046"/>
  <c r="K1046" s="1"/>
  <c r="K1020"/>
  <c r="L1020" s="1"/>
  <c r="K1003"/>
  <c r="L1003" s="1"/>
  <c r="J1004"/>
  <c r="L998"/>
  <c r="J999"/>
  <c r="K999" s="1"/>
  <c r="L993"/>
  <c r="J994"/>
  <c r="K994" s="1"/>
  <c r="K985"/>
  <c r="L985" s="1"/>
  <c r="J986"/>
  <c r="K986" s="1"/>
  <c r="L986" s="1"/>
  <c r="J981"/>
  <c r="L980"/>
  <c r="L982"/>
  <c r="K961"/>
  <c r="L961" s="1"/>
  <c r="L944"/>
  <c r="K943"/>
  <c r="L943" s="1"/>
  <c r="L921"/>
  <c r="K884"/>
  <c r="L884" s="1"/>
  <c r="K885"/>
  <c r="L885" s="1"/>
  <c r="L880"/>
  <c r="L866"/>
  <c r="K851"/>
  <c r="L851" s="1"/>
  <c r="K835"/>
  <c r="L835" s="1"/>
  <c r="K836"/>
  <c r="L836" s="1"/>
  <c r="L831"/>
  <c r="K823"/>
  <c r="L823" s="1"/>
  <c r="L818"/>
  <c r="K790"/>
  <c r="K741"/>
  <c r="J742"/>
  <c r="K727"/>
  <c r="K726"/>
  <c r="K708"/>
  <c r="K709"/>
  <c r="J645"/>
  <c r="K645" s="1"/>
  <c r="K644"/>
  <c r="K647"/>
  <c r="K646"/>
  <c r="K620"/>
  <c r="K621"/>
  <c r="K606"/>
  <c r="L606" s="1"/>
  <c r="K573"/>
  <c r="K572"/>
  <c r="K547"/>
  <c r="K543"/>
  <c r="K494"/>
  <c r="K495"/>
  <c r="K488"/>
  <c r="K484"/>
  <c r="K483"/>
  <c r="K460"/>
  <c r="K459"/>
  <c r="K453"/>
  <c r="K427"/>
  <c r="K419"/>
  <c r="L419" s="1"/>
  <c r="J420"/>
  <c r="K420" s="1"/>
  <c r="J366"/>
  <c r="K366" s="1"/>
  <c r="K365"/>
  <c r="K361"/>
  <c r="K341"/>
  <c r="K342"/>
  <c r="K312"/>
  <c r="K313"/>
  <c r="J303"/>
  <c r="K303" s="1"/>
  <c r="K304"/>
  <c r="K298"/>
  <c r="K275"/>
  <c r="K247"/>
  <c r="K248"/>
  <c r="K244"/>
  <c r="J171"/>
  <c r="J172" s="1"/>
  <c r="K172" s="1"/>
  <c r="K151"/>
  <c r="L151" s="1"/>
  <c r="K203"/>
  <c r="J90"/>
  <c r="K90" s="1"/>
  <c r="K140"/>
  <c r="K129"/>
  <c r="J130"/>
  <c r="J180"/>
  <c r="K179"/>
  <c r="J142"/>
  <c r="J143" s="1"/>
  <c r="K115"/>
  <c r="J116"/>
  <c r="K104"/>
  <c r="J84"/>
  <c r="K83"/>
  <c r="K94"/>
  <c r="J95"/>
  <c r="J64"/>
  <c r="K64" s="1"/>
  <c r="J43"/>
  <c r="K42"/>
  <c r="J72"/>
  <c r="K72" s="1"/>
  <c r="L71"/>
  <c r="K51"/>
  <c r="L51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J5"/>
  <c r="J6" s="1"/>
  <c r="J7" s="1"/>
  <c r="J8" s="1"/>
  <c r="J9" s="1"/>
  <c r="K9" s="1"/>
  <c r="L9" s="1"/>
  <c r="J1139" l="1"/>
  <c r="J1140" s="1"/>
  <c r="J1141" s="1"/>
  <c r="M945"/>
  <c r="M848"/>
  <c r="M899"/>
  <c r="J166"/>
  <c r="K166" s="1"/>
  <c r="K1138"/>
  <c r="L1138" s="1"/>
  <c r="J1147"/>
  <c r="K1146"/>
  <c r="L1146" s="1"/>
  <c r="L1158"/>
  <c r="M1158" s="1"/>
  <c r="J1159"/>
  <c r="K1159" s="1"/>
  <c r="J1492"/>
  <c r="K1491"/>
  <c r="L1491" s="1"/>
  <c r="K1426"/>
  <c r="L1426" s="1"/>
  <c r="J1427"/>
  <c r="L1422"/>
  <c r="L1421"/>
  <c r="K1396"/>
  <c r="L1396" s="1"/>
  <c r="J1379"/>
  <c r="K1378"/>
  <c r="L1378" s="1"/>
  <c r="L1374"/>
  <c r="L1373"/>
  <c r="J1356"/>
  <c r="K1356" s="1"/>
  <c r="L1356" s="1"/>
  <c r="L1351"/>
  <c r="L1350"/>
  <c r="K1324"/>
  <c r="L1324" s="1"/>
  <c r="K1325"/>
  <c r="L1325" s="1"/>
  <c r="K1326"/>
  <c r="L1326" s="1"/>
  <c r="K1279"/>
  <c r="L1279" s="1"/>
  <c r="J1280"/>
  <c r="K1280" s="1"/>
  <c r="L1280" s="1"/>
  <c r="L1273"/>
  <c r="J1274"/>
  <c r="K1274" s="1"/>
  <c r="K1253"/>
  <c r="L1253" s="1"/>
  <c r="K1197"/>
  <c r="L1197" s="1"/>
  <c r="J1198"/>
  <c r="K1198" s="1"/>
  <c r="L1198" s="1"/>
  <c r="L1190"/>
  <c r="J1191"/>
  <c r="K1191" s="1"/>
  <c r="K1168"/>
  <c r="L1168" s="1"/>
  <c r="K1167"/>
  <c r="L1167" s="1"/>
  <c r="K1131"/>
  <c r="L1131" s="1"/>
  <c r="J1132"/>
  <c r="L1125"/>
  <c r="K1105"/>
  <c r="L1105" s="1"/>
  <c r="K1106"/>
  <c r="L1106" s="1"/>
  <c r="K1086"/>
  <c r="L1086" s="1"/>
  <c r="J1087"/>
  <c r="L1082"/>
  <c r="K1051"/>
  <c r="L1051" s="1"/>
  <c r="K1052"/>
  <c r="L1052" s="1"/>
  <c r="L1046"/>
  <c r="K1022"/>
  <c r="L1022" s="1"/>
  <c r="K1021"/>
  <c r="L1021" s="1"/>
  <c r="K1004"/>
  <c r="L1004" s="1"/>
  <c r="L999"/>
  <c r="L1000"/>
  <c r="L994"/>
  <c r="M995" s="1"/>
  <c r="K981"/>
  <c r="L981" s="1"/>
  <c r="K962"/>
  <c r="L962" s="1"/>
  <c r="L922"/>
  <c r="M923" s="1"/>
  <c r="L881"/>
  <c r="M882" s="1"/>
  <c r="L867"/>
  <c r="K852"/>
  <c r="L852" s="1"/>
  <c r="L832"/>
  <c r="K825"/>
  <c r="L825" s="1"/>
  <c r="K824"/>
  <c r="L824" s="1"/>
  <c r="L819"/>
  <c r="M820" s="1"/>
  <c r="K791"/>
  <c r="K742"/>
  <c r="L667"/>
  <c r="K607"/>
  <c r="L603"/>
  <c r="K548"/>
  <c r="K544"/>
  <c r="K454"/>
  <c r="K455"/>
  <c r="K428"/>
  <c r="K429"/>
  <c r="K362"/>
  <c r="K142"/>
  <c r="K299"/>
  <c r="K277"/>
  <c r="K276"/>
  <c r="K171"/>
  <c r="K152"/>
  <c r="K204"/>
  <c r="J173"/>
  <c r="K173" s="1"/>
  <c r="J65"/>
  <c r="K65" s="1"/>
  <c r="K180"/>
  <c r="J181"/>
  <c r="J131"/>
  <c r="K130"/>
  <c r="K143"/>
  <c r="K43"/>
  <c r="J44"/>
  <c r="K44" s="1"/>
  <c r="J96"/>
  <c r="K95"/>
  <c r="J85"/>
  <c r="K84"/>
  <c r="K106"/>
  <c r="K105"/>
  <c r="J117"/>
  <c r="K117" s="1"/>
  <c r="K116"/>
  <c r="K52"/>
  <c r="K53"/>
  <c r="J73"/>
  <c r="L72"/>
  <c r="J23"/>
  <c r="J24" s="1"/>
  <c r="K7"/>
  <c r="L7" s="1"/>
  <c r="K8"/>
  <c r="L8" s="1"/>
  <c r="K6"/>
  <c r="G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K121"/>
  <c r="L121" s="1"/>
  <c r="L122"/>
  <c r="L123"/>
  <c r="L124"/>
  <c r="L125"/>
  <c r="J25" l="1"/>
  <c r="J26" s="1"/>
  <c r="J27" s="1"/>
  <c r="K24"/>
  <c r="L24" s="1"/>
  <c r="I24" i="6"/>
  <c r="J167" i="4"/>
  <c r="K167" s="1"/>
  <c r="M1321"/>
  <c r="M1375"/>
  <c r="M1083"/>
  <c r="M833"/>
  <c r="I22" i="6" s="1"/>
  <c r="M1001" i="4"/>
  <c r="M1250"/>
  <c r="M126"/>
  <c r="K1141"/>
  <c r="L1141" s="1"/>
  <c r="K1142"/>
  <c r="L1142" s="1"/>
  <c r="K1139"/>
  <c r="K1140"/>
  <c r="L1140" s="1"/>
  <c r="K1147"/>
  <c r="L1147" s="1"/>
  <c r="M1147" s="1"/>
  <c r="J1160"/>
  <c r="K1160" s="1"/>
  <c r="L1152"/>
  <c r="J1493"/>
  <c r="K1492"/>
  <c r="L1492" s="1"/>
  <c r="J1428"/>
  <c r="K1427"/>
  <c r="L1427" s="1"/>
  <c r="K1397"/>
  <c r="L1397" s="1"/>
  <c r="K1379"/>
  <c r="L1379" s="1"/>
  <c r="K1327"/>
  <c r="L1327" s="1"/>
  <c r="L1274"/>
  <c r="K1254"/>
  <c r="L1254" s="1"/>
  <c r="J1192"/>
  <c r="K1192" s="1"/>
  <c r="L1191"/>
  <c r="K1132"/>
  <c r="L1132" s="1"/>
  <c r="L1126"/>
  <c r="M1127" s="1"/>
  <c r="K1087"/>
  <c r="L1087" s="1"/>
  <c r="L1047"/>
  <c r="M1048" s="1"/>
  <c r="K1005"/>
  <c r="L1005" s="1"/>
  <c r="K963"/>
  <c r="L963" s="1"/>
  <c r="K853"/>
  <c r="L853" s="1"/>
  <c r="K793"/>
  <c r="K792"/>
  <c r="K743"/>
  <c r="K608"/>
  <c r="K549"/>
  <c r="J66"/>
  <c r="K66" s="1"/>
  <c r="K205"/>
  <c r="J174"/>
  <c r="K174" s="1"/>
  <c r="K131"/>
  <c r="J132"/>
  <c r="K132" s="1"/>
  <c r="K181"/>
  <c r="J182"/>
  <c r="K144"/>
  <c r="K73"/>
  <c r="L73" s="1"/>
  <c r="J86"/>
  <c r="K86" s="1"/>
  <c r="K85"/>
  <c r="J97"/>
  <c r="K97" s="1"/>
  <c r="L97" s="1"/>
  <c r="K96"/>
  <c r="L96" s="1"/>
  <c r="K23"/>
  <c r="M1143" l="1"/>
  <c r="J183"/>
  <c r="K183" s="1"/>
  <c r="K182"/>
  <c r="J1149"/>
  <c r="K1149" s="1"/>
  <c r="K1148"/>
  <c r="L1148" s="1"/>
  <c r="M1148" s="1"/>
  <c r="L1160"/>
  <c r="J1161"/>
  <c r="K1161" s="1"/>
  <c r="L1151"/>
  <c r="L1150"/>
  <c r="L1494"/>
  <c r="K1493"/>
  <c r="L1493" s="1"/>
  <c r="K1429"/>
  <c r="L1429" s="1"/>
  <c r="K1428"/>
  <c r="L1428" s="1"/>
  <c r="K1399"/>
  <c r="L1399" s="1"/>
  <c r="K1398"/>
  <c r="L1398" s="1"/>
  <c r="K1380"/>
  <c r="L1380" s="1"/>
  <c r="K1328"/>
  <c r="L1328" s="1"/>
  <c r="L1275"/>
  <c r="K1256"/>
  <c r="L1256" s="1"/>
  <c r="K1255"/>
  <c r="L1255" s="1"/>
  <c r="L1193"/>
  <c r="L1192"/>
  <c r="K1133"/>
  <c r="L1133" s="1"/>
  <c r="K1089"/>
  <c r="L1089" s="1"/>
  <c r="K1088"/>
  <c r="L1088" s="1"/>
  <c r="K1006"/>
  <c r="L1006" s="1"/>
  <c r="K964"/>
  <c r="L964" s="1"/>
  <c r="K965"/>
  <c r="L965" s="1"/>
  <c r="K854"/>
  <c r="L854" s="1"/>
  <c r="K745"/>
  <c r="L745" s="1"/>
  <c r="K744"/>
  <c r="K609"/>
  <c r="K550"/>
  <c r="J67"/>
  <c r="K67" s="1"/>
  <c r="K206"/>
  <c r="K207"/>
  <c r="K208"/>
  <c r="J175"/>
  <c r="K175" s="1"/>
  <c r="J133"/>
  <c r="K133" s="1"/>
  <c r="K146"/>
  <c r="K145"/>
  <c r="L215"/>
  <c r="Y555"/>
  <c r="M1101" l="1"/>
  <c r="I26" i="6" s="1"/>
  <c r="M1441" i="4"/>
  <c r="M1423"/>
  <c r="M1495"/>
  <c r="I32" i="6" s="1"/>
  <c r="M1276" i="4"/>
  <c r="I29" i="6" s="1"/>
  <c r="M983" i="4"/>
  <c r="M1155"/>
  <c r="M1194"/>
  <c r="I28" i="6" s="1"/>
  <c r="J184" i="4"/>
  <c r="K184" s="1"/>
  <c r="J1162"/>
  <c r="L1161"/>
  <c r="K1381"/>
  <c r="L1381" s="1"/>
  <c r="K1382"/>
  <c r="L1382" s="1"/>
  <c r="K1329"/>
  <c r="L1329" s="1"/>
  <c r="K1134"/>
  <c r="L1134" s="1"/>
  <c r="K1135"/>
  <c r="L1135" s="1"/>
  <c r="K1007"/>
  <c r="L1007" s="1"/>
  <c r="K856"/>
  <c r="L856" s="1"/>
  <c r="K855"/>
  <c r="L855" s="1"/>
  <c r="K610"/>
  <c r="K570"/>
  <c r="K551"/>
  <c r="K209"/>
  <c r="J134"/>
  <c r="K134" s="1"/>
  <c r="L133"/>
  <c r="L744"/>
  <c r="I31" i="6" l="1"/>
  <c r="M1393" i="4"/>
  <c r="M868"/>
  <c r="I23" i="6" s="1"/>
  <c r="M1138" i="4"/>
  <c r="J185"/>
  <c r="K185" s="1"/>
  <c r="L185" s="1"/>
  <c r="K1162"/>
  <c r="L1162" s="1"/>
  <c r="M1163" s="1"/>
  <c r="K1330"/>
  <c r="L1330" s="1"/>
  <c r="K1008"/>
  <c r="L1008" s="1"/>
  <c r="K611"/>
  <c r="L611" s="1"/>
  <c r="K552"/>
  <c r="K210"/>
  <c r="L210" s="1"/>
  <c r="J135"/>
  <c r="K135" s="1"/>
  <c r="L149"/>
  <c r="L150"/>
  <c r="L786"/>
  <c r="L789"/>
  <c r="L790"/>
  <c r="L791"/>
  <c r="L792"/>
  <c r="L793"/>
  <c r="L794"/>
  <c r="L771"/>
  <c r="L772"/>
  <c r="L773"/>
  <c r="L774"/>
  <c r="L775"/>
  <c r="L776"/>
  <c r="L777"/>
  <c r="L778"/>
  <c r="L779"/>
  <c r="L780"/>
  <c r="L752"/>
  <c r="L753"/>
  <c r="L754"/>
  <c r="L755"/>
  <c r="L756"/>
  <c r="L757"/>
  <c r="L758"/>
  <c r="L759"/>
  <c r="L741"/>
  <c r="L742"/>
  <c r="L743"/>
  <c r="L719"/>
  <c r="L720"/>
  <c r="L721"/>
  <c r="L722"/>
  <c r="L684"/>
  <c r="L685"/>
  <c r="L686"/>
  <c r="L687"/>
  <c r="L688"/>
  <c r="L689"/>
  <c r="L690"/>
  <c r="L691"/>
  <c r="L692"/>
  <c r="L693"/>
  <c r="L694"/>
  <c r="L670"/>
  <c r="L671"/>
  <c r="L672"/>
  <c r="L673"/>
  <c r="L674"/>
  <c r="L675"/>
  <c r="L645"/>
  <c r="L646"/>
  <c r="L647"/>
  <c r="L648"/>
  <c r="L649"/>
  <c r="L650"/>
  <c r="L651"/>
  <c r="L652"/>
  <c r="L653"/>
  <c r="L654"/>
  <c r="L655"/>
  <c r="L656"/>
  <c r="L657"/>
  <c r="L633"/>
  <c r="L634"/>
  <c r="L635"/>
  <c r="L636"/>
  <c r="L637"/>
  <c r="L638"/>
  <c r="L639"/>
  <c r="L640"/>
  <c r="L641"/>
  <c r="L622"/>
  <c r="L623"/>
  <c r="L624"/>
  <c r="L610"/>
  <c r="L595"/>
  <c r="L596"/>
  <c r="L597"/>
  <c r="L598"/>
  <c r="L585"/>
  <c r="L586"/>
  <c r="L571"/>
  <c r="L572"/>
  <c r="L573"/>
  <c r="L574"/>
  <c r="L575"/>
  <c r="L576"/>
  <c r="L531"/>
  <c r="L534"/>
  <c r="L535"/>
  <c r="L536"/>
  <c r="L537"/>
  <c r="L538"/>
  <c r="L539"/>
  <c r="L514"/>
  <c r="L517"/>
  <c r="L518"/>
  <c r="L519"/>
  <c r="L520"/>
  <c r="L521"/>
  <c r="L522"/>
  <c r="L523"/>
  <c r="L524"/>
  <c r="L525"/>
  <c r="L513"/>
  <c r="L494"/>
  <c r="L495"/>
  <c r="L496"/>
  <c r="L497"/>
  <c r="L498"/>
  <c r="L499"/>
  <c r="L500"/>
  <c r="L501"/>
  <c r="L502"/>
  <c r="L503"/>
  <c r="L476"/>
  <c r="L477"/>
  <c r="L478"/>
  <c r="L479"/>
  <c r="L482"/>
  <c r="L483"/>
  <c r="L484"/>
  <c r="L485"/>
  <c r="L486"/>
  <c r="L487"/>
  <c r="L469"/>
  <c r="L470"/>
  <c r="L471"/>
  <c r="L454"/>
  <c r="L455"/>
  <c r="L458"/>
  <c r="L459"/>
  <c r="L460"/>
  <c r="L444"/>
  <c r="L445"/>
  <c r="L446"/>
  <c r="L447"/>
  <c r="L439"/>
  <c r="L423"/>
  <c r="L424"/>
  <c r="L427"/>
  <c r="L428"/>
  <c r="L429"/>
  <c r="L430"/>
  <c r="L431"/>
  <c r="L432"/>
  <c r="L433"/>
  <c r="L434"/>
  <c r="L435"/>
  <c r="L408"/>
  <c r="L409"/>
  <c r="L410"/>
  <c r="L411"/>
  <c r="L412"/>
  <c r="L413"/>
  <c r="L414"/>
  <c r="L415"/>
  <c r="L416"/>
  <c r="L399"/>
  <c r="L400"/>
  <c r="L401"/>
  <c r="L402"/>
  <c r="L403"/>
  <c r="L386"/>
  <c r="L387"/>
  <c r="L388"/>
  <c r="L389"/>
  <c r="L390"/>
  <c r="L374"/>
  <c r="L375"/>
  <c r="L376"/>
  <c r="L377"/>
  <c r="L366"/>
  <c r="L350"/>
  <c r="L351"/>
  <c r="L352"/>
  <c r="L353"/>
  <c r="L354"/>
  <c r="L355"/>
  <c r="L356"/>
  <c r="L357"/>
  <c r="L358"/>
  <c r="L359"/>
  <c r="L360"/>
  <c r="L361"/>
  <c r="L362"/>
  <c r="L337"/>
  <c r="L338"/>
  <c r="L341"/>
  <c r="L330"/>
  <c r="L319"/>
  <c r="L320"/>
  <c r="L321"/>
  <c r="L322"/>
  <c r="L323"/>
  <c r="L324"/>
  <c r="L325"/>
  <c r="L314"/>
  <c r="L295"/>
  <c r="L296"/>
  <c r="L297"/>
  <c r="L298"/>
  <c r="L299"/>
  <c r="L302"/>
  <c r="L303"/>
  <c r="L304"/>
  <c r="L305"/>
  <c r="L306"/>
  <c r="L307"/>
  <c r="L308"/>
  <c r="L309"/>
  <c r="L290"/>
  <c r="L291"/>
  <c r="L274"/>
  <c r="L275"/>
  <c r="L276"/>
  <c r="L277"/>
  <c r="L278"/>
  <c r="L279"/>
  <c r="L280"/>
  <c r="L281"/>
  <c r="L282"/>
  <c r="L283"/>
  <c r="L284"/>
  <c r="L285"/>
  <c r="L286"/>
  <c r="L263"/>
  <c r="L264"/>
  <c r="L265"/>
  <c r="L266"/>
  <c r="L267"/>
  <c r="L268"/>
  <c r="L247"/>
  <c r="L248"/>
  <c r="L249"/>
  <c r="L250"/>
  <c r="L251"/>
  <c r="L252"/>
  <c r="L253"/>
  <c r="L254"/>
  <c r="L255"/>
  <c r="L256"/>
  <c r="L230"/>
  <c r="L231"/>
  <c r="L232"/>
  <c r="L233"/>
  <c r="L234"/>
  <c r="L235"/>
  <c r="L236"/>
  <c r="L237"/>
  <c r="L238"/>
  <c r="L239"/>
  <c r="L226"/>
  <c r="L227"/>
  <c r="L228"/>
  <c r="L229"/>
  <c r="L218"/>
  <c r="L219"/>
  <c r="L220"/>
  <c r="L221"/>
  <c r="L194"/>
  <c r="L182"/>
  <c r="L183"/>
  <c r="L184"/>
  <c r="L186"/>
  <c r="L190"/>
  <c r="L191"/>
  <c r="L179"/>
  <c r="L180"/>
  <c r="L181"/>
  <c r="L139"/>
  <c r="L140"/>
  <c r="L106"/>
  <c r="L107"/>
  <c r="L108"/>
  <c r="L109"/>
  <c r="L110"/>
  <c r="L111"/>
  <c r="L112"/>
  <c r="L113"/>
  <c r="L114"/>
  <c r="L115"/>
  <c r="L116"/>
  <c r="L117"/>
  <c r="L118"/>
  <c r="L105"/>
  <c r="L89"/>
  <c r="L77"/>
  <c r="L78"/>
  <c r="L79"/>
  <c r="L80"/>
  <c r="L81"/>
  <c r="L82"/>
  <c r="L83"/>
  <c r="L67"/>
  <c r="L56"/>
  <c r="L57"/>
  <c r="L58"/>
  <c r="L59"/>
  <c r="L60"/>
  <c r="L61"/>
  <c r="L23"/>
  <c r="K29"/>
  <c r="L30"/>
  <c r="M39" s="1"/>
  <c r="L90"/>
  <c r="L95"/>
  <c r="L132"/>
  <c r="L154"/>
  <c r="L155"/>
  <c r="L156"/>
  <c r="L157"/>
  <c r="L158"/>
  <c r="L161"/>
  <c r="L162"/>
  <c r="L166"/>
  <c r="L167"/>
  <c r="L170"/>
  <c r="L171"/>
  <c r="L172"/>
  <c r="L173"/>
  <c r="L174"/>
  <c r="L175"/>
  <c r="L176"/>
  <c r="L198"/>
  <c r="L199"/>
  <c r="L200"/>
  <c r="L203"/>
  <c r="L204"/>
  <c r="L205"/>
  <c r="L206"/>
  <c r="L207"/>
  <c r="L208"/>
  <c r="L209"/>
  <c r="L214"/>
  <c r="L242"/>
  <c r="L345"/>
  <c r="L394"/>
  <c r="L464"/>
  <c r="L507"/>
  <c r="L512"/>
  <c r="L544"/>
  <c r="L549"/>
  <c r="L550"/>
  <c r="L580"/>
  <c r="L590"/>
  <c r="L602"/>
  <c r="L617"/>
  <c r="L628"/>
  <c r="L661"/>
  <c r="L666"/>
  <c r="L727"/>
  <c r="L764"/>
  <c r="L798"/>
  <c r="L797"/>
  <c r="L726"/>
  <c r="L701"/>
  <c r="L699"/>
  <c r="L679"/>
  <c r="L665"/>
  <c r="L660"/>
  <c r="L644"/>
  <c r="L627"/>
  <c r="L616"/>
  <c r="L601"/>
  <c r="L592"/>
  <c r="L582"/>
  <c r="L579"/>
  <c r="L548"/>
  <c r="L543"/>
  <c r="L528"/>
  <c r="L511"/>
  <c r="L506"/>
  <c r="L475"/>
  <c r="L468"/>
  <c r="L463"/>
  <c r="L422"/>
  <c r="L398"/>
  <c r="L393"/>
  <c r="L365"/>
  <c r="L349"/>
  <c r="L344"/>
  <c r="L336"/>
  <c r="L329"/>
  <c r="L318"/>
  <c r="L313"/>
  <c r="L294"/>
  <c r="L289"/>
  <c r="L262"/>
  <c r="L241"/>
  <c r="L165"/>
  <c r="L160"/>
  <c r="L153"/>
  <c r="L143"/>
  <c r="L131"/>
  <c r="L104"/>
  <c r="G21"/>
  <c r="H21" s="1"/>
  <c r="G22"/>
  <c r="H22" s="1"/>
  <c r="G23"/>
  <c r="H23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40"/>
  <c r="H40" s="1"/>
  <c r="G46"/>
  <c r="H46" s="1"/>
  <c r="G47"/>
  <c r="H47" s="1"/>
  <c r="G49"/>
  <c r="H49" s="1"/>
  <c r="I68" s="1"/>
  <c r="G69"/>
  <c r="H69" s="1"/>
  <c r="I87" s="1"/>
  <c r="L94"/>
  <c r="L76"/>
  <c r="L66"/>
  <c r="L55"/>
  <c r="K22"/>
  <c r="L22" s="1"/>
  <c r="I27" i="6" l="1"/>
  <c r="H6"/>
  <c r="M28" i="4"/>
  <c r="M187"/>
  <c r="M540"/>
  <c r="M257"/>
  <c r="M177"/>
  <c r="M222"/>
  <c r="M310"/>
  <c r="K1331"/>
  <c r="L1331" s="1"/>
  <c r="K1009"/>
  <c r="L1009" s="1"/>
  <c r="K612"/>
  <c r="L612" s="1"/>
  <c r="K553"/>
  <c r="K211"/>
  <c r="L211" s="1"/>
  <c r="I48"/>
  <c r="L98"/>
  <c r="I39"/>
  <c r="I28"/>
  <c r="L551"/>
  <c r="L783"/>
  <c r="L784"/>
  <c r="L785"/>
  <c r="L748"/>
  <c r="L782"/>
  <c r="M739"/>
  <c r="L749"/>
  <c r="L768"/>
  <c r="L767"/>
  <c r="L747"/>
  <c r="L750"/>
  <c r="L762"/>
  <c r="L766"/>
  <c r="L769"/>
  <c r="L751"/>
  <c r="L763"/>
  <c r="L770"/>
  <c r="L715"/>
  <c r="L730"/>
  <c r="L716"/>
  <c r="L731"/>
  <c r="L714"/>
  <c r="L717"/>
  <c r="L729"/>
  <c r="L718"/>
  <c r="L710"/>
  <c r="L711"/>
  <c r="L712"/>
  <c r="L709"/>
  <c r="M676"/>
  <c r="L664"/>
  <c r="L663"/>
  <c r="L630"/>
  <c r="L631"/>
  <c r="L632"/>
  <c r="L625"/>
  <c r="L608"/>
  <c r="L609"/>
  <c r="L607"/>
  <c r="L509"/>
  <c r="L491"/>
  <c r="L467"/>
  <c r="L488"/>
  <c r="M489" s="1"/>
  <c r="L473"/>
  <c r="L474"/>
  <c r="L466"/>
  <c r="L453"/>
  <c r="L452"/>
  <c r="L437"/>
  <c r="L442"/>
  <c r="L443"/>
  <c r="L448"/>
  <c r="L441"/>
  <c r="L438"/>
  <c r="L420"/>
  <c r="L421"/>
  <c r="L378"/>
  <c r="L379"/>
  <c r="L396"/>
  <c r="L371"/>
  <c r="L372"/>
  <c r="L380"/>
  <c r="L391"/>
  <c r="L373"/>
  <c r="L384"/>
  <c r="L406"/>
  <c r="L347"/>
  <c r="L383"/>
  <c r="L385"/>
  <c r="L397"/>
  <c r="L407"/>
  <c r="L342"/>
  <c r="L348"/>
  <c r="L332"/>
  <c r="M339"/>
  <c r="L333"/>
  <c r="L327"/>
  <c r="L317"/>
  <c r="L328"/>
  <c r="L260"/>
  <c r="L316"/>
  <c r="L261"/>
  <c r="L292"/>
  <c r="L293"/>
  <c r="L224"/>
  <c r="L240"/>
  <c r="L225"/>
  <c r="L244"/>
  <c r="L192"/>
  <c r="L193"/>
  <c r="L271"/>
  <c r="L287"/>
  <c r="L64"/>
  <c r="L144"/>
  <c r="L43"/>
  <c r="L62"/>
  <c r="L86"/>
  <c r="L136"/>
  <c r="L44"/>
  <c r="L52"/>
  <c r="L65"/>
  <c r="L74"/>
  <c r="L100"/>
  <c r="L134"/>
  <c r="L6"/>
  <c r="M20" s="1"/>
  <c r="I4" i="6" s="1"/>
  <c r="K21" i="4"/>
  <c r="L45"/>
  <c r="L53"/>
  <c r="L75"/>
  <c r="L91"/>
  <c r="M92" s="1"/>
  <c r="L103"/>
  <c r="K5"/>
  <c r="L42"/>
  <c r="L54"/>
  <c r="L85"/>
  <c r="L135"/>
  <c r="L795"/>
  <c r="L696"/>
  <c r="L658"/>
  <c r="L626"/>
  <c r="L599"/>
  <c r="L588"/>
  <c r="L577"/>
  <c r="L504"/>
  <c r="L331"/>
  <c r="L152"/>
  <c r="L142"/>
  <c r="L130"/>
  <c r="L47"/>
  <c r="L583"/>
  <c r="L796"/>
  <c r="L697"/>
  <c r="L659"/>
  <c r="L600"/>
  <c r="L589"/>
  <c r="L578"/>
  <c r="L547"/>
  <c r="L505"/>
  <c r="L461"/>
  <c r="L449"/>
  <c r="L392"/>
  <c r="L163"/>
  <c r="L84"/>
  <c r="L732"/>
  <c r="L708"/>
  <c r="L698"/>
  <c r="L462"/>
  <c r="L312"/>
  <c r="L288"/>
  <c r="L196"/>
  <c r="L164"/>
  <c r="L128"/>
  <c r="L733"/>
  <c r="L725"/>
  <c r="L695"/>
  <c r="L615"/>
  <c r="L587"/>
  <c r="L542"/>
  <c r="L436"/>
  <c r="M368"/>
  <c r="L343"/>
  <c r="L159"/>
  <c r="L141"/>
  <c r="L129"/>
  <c r="L63"/>
  <c r="L46"/>
  <c r="H5" i="6" l="1"/>
  <c r="M802" i="4"/>
  <c r="M101"/>
  <c r="M68"/>
  <c r="M300"/>
  <c r="I11" i="6" s="1"/>
  <c r="M417" i="4"/>
  <c r="M456"/>
  <c r="M450"/>
  <c r="M480"/>
  <c r="M425"/>
  <c r="M168"/>
  <c r="I8" i="6" s="1"/>
  <c r="M272" i="4"/>
  <c r="M363"/>
  <c r="M760"/>
  <c r="M723"/>
  <c r="M787"/>
  <c r="M381"/>
  <c r="M492"/>
  <c r="M545"/>
  <c r="M734"/>
  <c r="M137"/>
  <c r="M87"/>
  <c r="M245"/>
  <c r="I10" i="6" s="1"/>
  <c r="M119" i="4"/>
  <c r="M48"/>
  <c r="I5" i="6" s="1"/>
  <c r="M334" i="4"/>
  <c r="I12" i="6" s="1"/>
  <c r="M404" i="4"/>
  <c r="M668"/>
  <c r="K1332"/>
  <c r="L1332" s="1"/>
  <c r="K1010"/>
  <c r="L1010" s="1"/>
  <c r="K614"/>
  <c r="L614" s="1"/>
  <c r="K613"/>
  <c r="L613" s="1"/>
  <c r="K554"/>
  <c r="L554" s="1"/>
  <c r="K212"/>
  <c r="L212" s="1"/>
  <c r="K213"/>
  <c r="L213" s="1"/>
  <c r="L510"/>
  <c r="M515" s="1"/>
  <c r="L553"/>
  <c r="L552"/>
  <c r="L702"/>
  <c r="L680"/>
  <c r="L620"/>
  <c r="L593"/>
  <c r="L529"/>
  <c r="L594"/>
  <c r="G5"/>
  <c r="H5" s="1"/>
  <c r="I21" i="6" l="1"/>
  <c r="I14"/>
  <c r="I16"/>
  <c r="I13"/>
  <c r="I15"/>
  <c r="I6"/>
  <c r="M618" i="4"/>
  <c r="M216"/>
  <c r="K1333"/>
  <c r="L1333" s="1"/>
  <c r="K1011"/>
  <c r="L1011" s="1"/>
  <c r="K555"/>
  <c r="L555" s="1"/>
  <c r="L197"/>
  <c r="I20"/>
  <c r="L146"/>
  <c r="L145"/>
  <c r="L681"/>
  <c r="M682" s="1"/>
  <c r="L703"/>
  <c r="I1694" l="1"/>
  <c r="H4" i="6"/>
  <c r="M147" i="4"/>
  <c r="I7" i="6" s="1"/>
  <c r="M201" i="4"/>
  <c r="I9" i="6" s="1"/>
  <c r="K1334" i="4"/>
  <c r="L1334" s="1"/>
  <c r="K1012"/>
  <c r="L1012" s="1"/>
  <c r="K556"/>
  <c r="L556" s="1"/>
  <c r="L530"/>
  <c r="L621"/>
  <c r="L584"/>
  <c r="L704"/>
  <c r="M532" l="1"/>
  <c r="I17" i="6" s="1"/>
  <c r="M642" i="4"/>
  <c r="I19" i="6" s="1"/>
  <c r="M604" i="4"/>
  <c r="K1335"/>
  <c r="L1335" s="1"/>
  <c r="K1013"/>
  <c r="L1013" s="1"/>
  <c r="K557"/>
  <c r="L557" s="1"/>
  <c r="K1336" l="1"/>
  <c r="L1336" s="1"/>
  <c r="K1014"/>
  <c r="L1014" s="1"/>
  <c r="K558"/>
  <c r="L558" s="1"/>
  <c r="L705"/>
  <c r="M706" l="1"/>
  <c r="I20" i="6" s="1"/>
  <c r="K1337" i="4"/>
  <c r="L1337" s="1"/>
  <c r="K1015"/>
  <c r="L1015" s="1"/>
  <c r="K1016"/>
  <c r="L1016" s="1"/>
  <c r="K559"/>
  <c r="L559" s="1"/>
  <c r="O4" i="7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N4"/>
  <c r="N5" s="1"/>
  <c r="N6" s="1"/>
  <c r="N7" s="1"/>
  <c r="N8" s="1"/>
  <c r="N9" s="1"/>
  <c r="N10" s="1"/>
  <c r="N11" s="1"/>
  <c r="N12" s="1"/>
  <c r="N13" s="1"/>
  <c r="M4"/>
  <c r="M5" s="1"/>
  <c r="M6" s="1"/>
  <c r="M7" s="1"/>
  <c r="M8" s="1"/>
  <c r="E4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D4"/>
  <c r="D5" s="1"/>
  <c r="D6" s="1"/>
  <c r="D7" s="1"/>
  <c r="D8" s="1"/>
  <c r="D9" s="1"/>
  <c r="D10" s="1"/>
  <c r="D11" s="1"/>
  <c r="D12" s="1"/>
  <c r="D13" s="1"/>
  <c r="C4"/>
  <c r="C5" s="1"/>
  <c r="C6" s="1"/>
  <c r="C7" s="1"/>
  <c r="C8" s="1"/>
  <c r="H10"/>
  <c r="I15"/>
  <c r="J20"/>
  <c r="S4"/>
  <c r="S5" s="1"/>
  <c r="S6" s="1"/>
  <c r="S7" s="1"/>
  <c r="S8" s="1"/>
  <c r="S9" s="1"/>
  <c r="S10" s="1"/>
  <c r="S11" s="1"/>
  <c r="S12" s="1"/>
  <c r="S13" s="1"/>
  <c r="T4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R4"/>
  <c r="R5" s="1"/>
  <c r="R6" s="1"/>
  <c r="R7" s="1"/>
  <c r="R8" s="1"/>
  <c r="M1017" i="4" l="1"/>
  <c r="I25" i="6" s="1"/>
  <c r="K1338" i="4"/>
  <c r="L1338" s="1"/>
  <c r="K560"/>
  <c r="L560" s="1"/>
  <c r="O19" i="7"/>
  <c r="M9"/>
  <c r="R9"/>
  <c r="K1339" i="4" l="1"/>
  <c r="L1339" s="1"/>
  <c r="K561"/>
  <c r="L561" s="1"/>
  <c r="C9" i="7"/>
  <c r="K1340" i="4" l="1"/>
  <c r="L1340" s="1"/>
  <c r="K562"/>
  <c r="L562" s="1"/>
  <c r="M19" i="6"/>
  <c r="L14"/>
  <c r="K9"/>
  <c r="K1341" i="4" l="1"/>
  <c r="L1341" s="1"/>
  <c r="K563"/>
  <c r="L563" s="1"/>
  <c r="K1342" l="1"/>
  <c r="L1342" s="1"/>
  <c r="K565"/>
  <c r="L565" s="1"/>
  <c r="K564"/>
  <c r="L564" s="1"/>
  <c r="H35" i="6"/>
  <c r="M569" i="4" l="1"/>
  <c r="I18" i="6" s="1"/>
  <c r="K1343" i="4"/>
  <c r="L1343" s="1"/>
  <c r="K1344" l="1"/>
  <c r="L1344" s="1"/>
  <c r="K1346" l="1"/>
  <c r="L1346" s="1"/>
  <c r="K1345"/>
  <c r="L1345" s="1"/>
  <c r="M1352" l="1"/>
  <c r="M1694" l="1"/>
  <c r="I30" i="6"/>
  <c r="I35" s="1"/>
</calcChain>
</file>

<file path=xl/sharedStrings.xml><?xml version="1.0" encoding="utf-8"?>
<sst xmlns="http://schemas.openxmlformats.org/spreadsheetml/2006/main" count="52" uniqueCount="27">
  <si>
    <t>From</t>
  </si>
  <si>
    <t>To</t>
  </si>
  <si>
    <t>Date</t>
  </si>
  <si>
    <t>DC
(MW)</t>
  </si>
  <si>
    <t>Diff (MW)</t>
  </si>
  <si>
    <t>As per SLDC Scada in MW</t>
  </si>
  <si>
    <t>Mus</t>
  </si>
  <si>
    <t>Non compliance</t>
  </si>
  <si>
    <t>MW as per ramp</t>
  </si>
  <si>
    <t xml:space="preserve">Diff </t>
  </si>
  <si>
    <t>MU</t>
  </si>
  <si>
    <t xml:space="preserve">Back down </t>
  </si>
  <si>
    <t>Total</t>
  </si>
  <si>
    <t>Backing down in MU</t>
  </si>
  <si>
    <t>Non compliance  in MU</t>
  </si>
  <si>
    <t xml:space="preserve">5 minutes average </t>
  </si>
  <si>
    <t>10 minutes average</t>
  </si>
  <si>
    <t>15 minutes average</t>
  </si>
  <si>
    <t>for 1 unit</t>
  </si>
  <si>
    <t>for  2 units</t>
  </si>
  <si>
    <t>for 2 units</t>
  </si>
  <si>
    <t>For 210 MW units</t>
  </si>
  <si>
    <t>For 500 MW units</t>
  </si>
  <si>
    <t>For 600 MW units</t>
  </si>
  <si>
    <t>For 800 MW units</t>
  </si>
  <si>
    <t>Back down and Non compliance of HNPCL for Dec 2025</t>
  </si>
  <si>
    <t>ABSTRACT of Backing down details  of HNPCL for the month of JAN 2026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</si>
</sst>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 applyNumberFormat="0" applyFill="0" applyBorder="0" applyAlignment="0" applyProtection="0"/>
    <xf numFmtId="0" fontId="7" fillId="0" borderId="0"/>
    <xf numFmtId="0" fontId="8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wrapText="1"/>
    </xf>
    <xf numFmtId="164" fontId="0" fillId="0" borderId="6" xfId="0" applyNumberFormat="1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/>
    <xf numFmtId="164" fontId="3" fillId="0" borderId="2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 applyAlignment="1">
      <alignment vertical="center"/>
    </xf>
    <xf numFmtId="15" fontId="0" fillId="2" borderId="1" xfId="0" applyNumberFormat="1" applyFill="1" applyBorder="1"/>
    <xf numFmtId="20" fontId="0" fillId="2" borderId="2" xfId="0" applyNumberFormat="1" applyFill="1" applyBorder="1" applyAlignment="1">
      <alignment horizontal="center" vertical="top"/>
    </xf>
    <xf numFmtId="0" fontId="12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0" fillId="0" borderId="1" xfId="0" applyNumberFormat="1" applyBorder="1" applyAlignment="1">
      <alignment vertical="center"/>
    </xf>
    <xf numFmtId="0" fontId="6" fillId="0" borderId="1" xfId="0" applyFont="1" applyBorder="1"/>
    <xf numFmtId="0" fontId="13" fillId="0" borderId="1" xfId="0" applyFont="1" applyBorder="1"/>
    <xf numFmtId="0" fontId="0" fillId="3" borderId="1" xfId="0" applyFill="1" applyBorder="1"/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15" fontId="0" fillId="3" borderId="1" xfId="0" applyNumberFormat="1" applyFill="1" applyBorder="1"/>
    <xf numFmtId="15" fontId="0" fillId="0" borderId="1" xfId="0" applyNumberFormat="1" applyBorder="1"/>
    <xf numFmtId="0" fontId="3" fillId="0" borderId="1" xfId="0" applyFont="1" applyBorder="1"/>
    <xf numFmtId="164" fontId="0" fillId="0" borderId="2" xfId="0" applyNumberFormat="1" applyBorder="1" applyAlignment="1">
      <alignment vertical="center"/>
    </xf>
    <xf numFmtId="20" fontId="0" fillId="0" borderId="0" xfId="0" applyNumberFormat="1"/>
    <xf numFmtId="16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3" fillId="0" borderId="0" xfId="0" applyFont="1"/>
    <xf numFmtId="15" fontId="13" fillId="0" borderId="1" xfId="0" applyNumberFormat="1" applyFont="1" applyBorder="1"/>
    <xf numFmtId="0" fontId="1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0" fontId="6" fillId="0" borderId="2" xfId="0" applyNumberFormat="1" applyFont="1" applyBorder="1" applyAlignment="1">
      <alignment horizontal="center" vertical="top"/>
    </xf>
    <xf numFmtId="20" fontId="0" fillId="0" borderId="1" xfId="0" applyNumberFormat="1" applyBorder="1" applyAlignment="1">
      <alignment horizontal="center" vertical="top"/>
    </xf>
    <xf numFmtId="0" fontId="11" fillId="0" borderId="10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0" fontId="0" fillId="0" borderId="1" xfId="0" applyFont="1" applyBorder="1"/>
    <xf numFmtId="164" fontId="6" fillId="0" borderId="1" xfId="0" applyNumberFormat="1" applyFont="1" applyBorder="1"/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/>
    <xf numFmtId="20" fontId="0" fillId="3" borderId="2" xfId="0" applyNumberFormat="1" applyFill="1" applyBorder="1" applyAlignment="1">
      <alignment horizontal="center" vertical="top"/>
    </xf>
    <xf numFmtId="20" fontId="6" fillId="2" borderId="2" xfId="0" applyNumberFormat="1" applyFont="1" applyFill="1" applyBorder="1" applyAlignment="1">
      <alignment horizontal="center" vertical="top"/>
    </xf>
    <xf numFmtId="164" fontId="0" fillId="2" borderId="1" xfId="0" applyNumberFormat="1" applyFill="1" applyBorder="1"/>
    <xf numFmtId="164" fontId="13" fillId="2" borderId="1" xfId="0" applyNumberFormat="1" applyFont="1" applyFill="1" applyBorder="1"/>
    <xf numFmtId="164" fontId="6" fillId="2" borderId="1" xfId="0" applyNumberFormat="1" applyFont="1" applyFill="1" applyBorder="1"/>
    <xf numFmtId="0" fontId="0" fillId="2" borderId="1" xfId="0" applyFill="1" applyBorder="1" applyAlignment="1">
      <alignment horizontal="center"/>
    </xf>
    <xf numFmtId="0" fontId="14" fillId="2" borderId="1" xfId="0" applyFont="1" applyFill="1" applyBorder="1"/>
    <xf numFmtId="0" fontId="15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</cellXfs>
  <cellStyles count="6">
    <cellStyle name="Calculation 14 2" xfId="4"/>
    <cellStyle name="Hyperlink" xfId="3" builtinId="8"/>
    <cellStyle name="Hyperlink 2" xfId="1"/>
    <cellStyle name="Normal" xfId="0" builtinId="0"/>
    <cellStyle name="Normal 2" xfId="2"/>
    <cellStyle name="Œ…‹æØ‚è_Region Orders (2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694"/>
  <sheetViews>
    <sheetView tabSelected="1" view="pageBreakPreview" zoomScale="60" zoomScaleNormal="97" workbookViewId="0">
      <pane ySplit="4" topLeftCell="A5" activePane="bottomLeft" state="frozen"/>
      <selection pane="bottomLeft" activeCell="J27" sqref="J27"/>
    </sheetView>
  </sheetViews>
  <sheetFormatPr defaultRowHeight="15"/>
  <cols>
    <col min="2" max="2" width="16" style="44" customWidth="1"/>
    <col min="3" max="3" width="7.85546875" style="44" customWidth="1"/>
    <col min="4" max="4" width="7" style="44" customWidth="1"/>
    <col min="5" max="5" width="7.5703125" customWidth="1"/>
    <col min="6" max="6" width="9.28515625" customWidth="1"/>
    <col min="7" max="7" width="7.42578125" customWidth="1"/>
    <col min="8" max="8" width="8" customWidth="1"/>
    <col min="9" max="9" width="11.5703125" customWidth="1"/>
    <col min="10" max="10" width="11.42578125" style="21" customWidth="1"/>
    <col min="11" max="12" width="11.42578125" customWidth="1"/>
    <col min="13" max="13" width="11.28515625" bestFit="1" customWidth="1"/>
    <col min="15" max="18" width="0" hidden="1" customWidth="1"/>
  </cols>
  <sheetData>
    <row r="1" spans="1:13" ht="12" hidden="1" customHeight="1" thickBot="1">
      <c r="C1"/>
      <c r="D1"/>
      <c r="K1" s="38"/>
      <c r="L1" s="39"/>
    </row>
    <row r="2" spans="1:13" s="1" customFormat="1" ht="8.4499999999999993" hidden="1" customHeight="1">
      <c r="A2" s="3"/>
      <c r="B2" s="85" t="s">
        <v>25</v>
      </c>
      <c r="C2" s="85"/>
      <c r="D2" s="85"/>
      <c r="E2" s="85"/>
      <c r="F2" s="85"/>
      <c r="G2" s="85"/>
      <c r="H2" s="85"/>
      <c r="I2" s="85"/>
      <c r="J2" s="85"/>
      <c r="K2" s="37"/>
      <c r="L2" s="37"/>
      <c r="M2" s="24"/>
    </row>
    <row r="3" spans="1:13" ht="12.95" hidden="1" customHeight="1">
      <c r="B3" s="82" t="s">
        <v>11</v>
      </c>
      <c r="C3" s="83"/>
      <c r="D3" s="83"/>
      <c r="E3" s="83"/>
      <c r="F3" s="83"/>
      <c r="G3" s="83"/>
      <c r="H3" s="83"/>
      <c r="I3" s="83"/>
      <c r="J3" s="84" t="s">
        <v>7</v>
      </c>
      <c r="K3" s="84"/>
      <c r="L3" s="84"/>
      <c r="M3" s="84"/>
    </row>
    <row r="4" spans="1:13" ht="28.5" customHeight="1">
      <c r="B4" s="45" t="s">
        <v>2</v>
      </c>
      <c r="C4" s="2" t="s">
        <v>0</v>
      </c>
      <c r="D4" s="2" t="s">
        <v>1</v>
      </c>
      <c r="E4" s="6" t="s">
        <v>3</v>
      </c>
      <c r="F4" s="6" t="s">
        <v>5</v>
      </c>
      <c r="G4" s="6" t="s">
        <v>4</v>
      </c>
      <c r="H4" s="6" t="s">
        <v>6</v>
      </c>
      <c r="I4" s="8"/>
      <c r="J4" s="6" t="s">
        <v>8</v>
      </c>
      <c r="K4" s="6" t="s">
        <v>9</v>
      </c>
      <c r="L4" s="6" t="s">
        <v>10</v>
      </c>
      <c r="M4" s="4"/>
    </row>
    <row r="5" spans="1:13">
      <c r="B5" s="34">
        <v>46023</v>
      </c>
      <c r="C5" s="7">
        <v>1.84375000000028</v>
      </c>
      <c r="D5" s="7">
        <v>1.8541666666669301</v>
      </c>
      <c r="E5" s="30">
        <v>492.7</v>
      </c>
      <c r="F5" s="15">
        <v>455.44</v>
      </c>
      <c r="G5" s="4">
        <f t="shared" ref="G5" si="0">E5-F5</f>
        <v>37.259999999999991</v>
      </c>
      <c r="H5" s="9">
        <f t="shared" ref="H5" si="1">G5/4000</f>
        <v>9.3149999999999969E-3</v>
      </c>
      <c r="I5" s="11"/>
      <c r="J5" s="62">
        <f>E5-40</f>
        <v>452.7</v>
      </c>
      <c r="K5" s="31">
        <f>F5-J5</f>
        <v>2.7400000000000091</v>
      </c>
      <c r="L5" s="14"/>
      <c r="M5" s="9"/>
    </row>
    <row r="6" spans="1:13">
      <c r="B6" s="43"/>
      <c r="C6" s="7">
        <v>1.8541666666669501</v>
      </c>
      <c r="D6" s="7">
        <v>1.8645833333335999</v>
      </c>
      <c r="E6" s="30">
        <v>492.7</v>
      </c>
      <c r="F6" s="15">
        <v>409.35</v>
      </c>
      <c r="G6" s="4">
        <f t="shared" ref="G6:G19" si="2">E6-F6</f>
        <v>83.349999999999966</v>
      </c>
      <c r="H6" s="9">
        <f t="shared" ref="H6:H19" si="3">G6/4000</f>
        <v>2.0837499999999991E-2</v>
      </c>
      <c r="I6" s="11"/>
      <c r="J6" s="62">
        <f>J5-40</f>
        <v>412.7</v>
      </c>
      <c r="K6" s="31">
        <f t="shared" ref="K6:K19" si="4">F6-J6</f>
        <v>-3.3499999999999659</v>
      </c>
      <c r="L6" s="14">
        <f t="shared" ref="L6:L72" si="5">IF(K6/4000&gt;0,K6/4000,0)</f>
        <v>0</v>
      </c>
      <c r="M6" s="9"/>
    </row>
    <row r="7" spans="1:13">
      <c r="B7" s="46"/>
      <c r="C7" s="7">
        <v>1.8645833333336199</v>
      </c>
      <c r="D7" s="7">
        <v>1.87500000000027</v>
      </c>
      <c r="E7" s="30">
        <v>492.7</v>
      </c>
      <c r="F7" s="15">
        <v>366.3</v>
      </c>
      <c r="G7" s="4">
        <f t="shared" si="2"/>
        <v>126.39999999999998</v>
      </c>
      <c r="H7" s="9">
        <f t="shared" si="3"/>
        <v>3.1599999999999996E-2</v>
      </c>
      <c r="I7" s="11"/>
      <c r="J7" s="62">
        <f t="shared" ref="J7:J9" si="6">J6-40</f>
        <v>372.7</v>
      </c>
      <c r="K7" s="31">
        <f t="shared" si="4"/>
        <v>-6.3999999999999773</v>
      </c>
      <c r="L7" s="14">
        <f t="shared" si="5"/>
        <v>0</v>
      </c>
      <c r="M7" s="9"/>
    </row>
    <row r="8" spans="1:13">
      <c r="B8" s="46"/>
      <c r="C8" s="7">
        <v>1.87500000000029</v>
      </c>
      <c r="D8" s="7">
        <v>1.8854166666669401</v>
      </c>
      <c r="E8" s="30">
        <v>492.7</v>
      </c>
      <c r="F8" s="15">
        <v>327.52999999999997</v>
      </c>
      <c r="G8" s="4">
        <f t="shared" si="2"/>
        <v>165.17000000000002</v>
      </c>
      <c r="H8" s="9">
        <f t="shared" si="3"/>
        <v>4.1292500000000003E-2</v>
      </c>
      <c r="I8" s="11"/>
      <c r="J8" s="62">
        <f t="shared" si="6"/>
        <v>332.7</v>
      </c>
      <c r="K8" s="31">
        <f t="shared" si="4"/>
        <v>-5.1700000000000159</v>
      </c>
      <c r="L8" s="14">
        <f t="shared" si="5"/>
        <v>0</v>
      </c>
      <c r="M8" s="9"/>
    </row>
    <row r="9" spans="1:13">
      <c r="B9" s="43"/>
      <c r="C9" s="7">
        <v>1.8854166666669601</v>
      </c>
      <c r="D9" s="7">
        <v>1.8958333333336099</v>
      </c>
      <c r="E9" s="30">
        <v>492.7</v>
      </c>
      <c r="F9" s="15">
        <v>293.39</v>
      </c>
      <c r="G9" s="4">
        <f t="shared" si="2"/>
        <v>199.31</v>
      </c>
      <c r="H9" s="9">
        <f t="shared" si="3"/>
        <v>4.9827500000000004E-2</v>
      </c>
      <c r="I9" s="40"/>
      <c r="J9" s="62">
        <f t="shared" si="6"/>
        <v>292.7</v>
      </c>
      <c r="K9" s="31">
        <f t="shared" si="4"/>
        <v>0.68999999999999773</v>
      </c>
      <c r="L9" s="14">
        <f t="shared" si="5"/>
        <v>1.7249999999999942E-4</v>
      </c>
      <c r="M9" s="9"/>
    </row>
    <row r="10" spans="1:13">
      <c r="B10" s="47"/>
      <c r="C10" s="7">
        <v>1.8958333333336299</v>
      </c>
      <c r="D10" s="7">
        <v>1.90625000000028</v>
      </c>
      <c r="E10" s="30">
        <v>492.7</v>
      </c>
      <c r="F10" s="15">
        <v>267.05</v>
      </c>
      <c r="G10" s="4">
        <f t="shared" si="2"/>
        <v>225.64999999999998</v>
      </c>
      <c r="H10" s="9">
        <f t="shared" si="3"/>
        <v>5.6412499999999997E-2</v>
      </c>
      <c r="I10" s="11"/>
      <c r="J10" s="31">
        <v>270</v>
      </c>
      <c r="K10" s="31">
        <f t="shared" si="4"/>
        <v>-2.9499999999999886</v>
      </c>
      <c r="L10" s="14">
        <f t="shared" si="5"/>
        <v>0</v>
      </c>
      <c r="M10" s="9"/>
    </row>
    <row r="11" spans="1:13">
      <c r="B11" s="43"/>
      <c r="C11" s="7">
        <v>1.9062500000003</v>
      </c>
      <c r="D11" s="7">
        <v>1.9166666666669501</v>
      </c>
      <c r="E11" s="30">
        <v>492.7</v>
      </c>
      <c r="F11" s="15">
        <v>268.22000000000003</v>
      </c>
      <c r="G11" s="4">
        <f t="shared" si="2"/>
        <v>224.47999999999996</v>
      </c>
      <c r="H11" s="9">
        <f t="shared" si="3"/>
        <v>5.6119999999999989E-2</v>
      </c>
      <c r="I11" s="11"/>
      <c r="J11" s="31">
        <v>270</v>
      </c>
      <c r="K11" s="31">
        <f t="shared" si="4"/>
        <v>-1.7799999999999727</v>
      </c>
      <c r="L11" s="14">
        <f t="shared" si="5"/>
        <v>0</v>
      </c>
      <c r="M11" s="9"/>
    </row>
    <row r="12" spans="1:13">
      <c r="B12" s="43"/>
      <c r="C12" s="7">
        <v>1.9166666666669701</v>
      </c>
      <c r="D12" s="7">
        <v>1.9270833333336199</v>
      </c>
      <c r="E12" s="30">
        <v>492.7</v>
      </c>
      <c r="F12" s="15">
        <v>268.95</v>
      </c>
      <c r="G12" s="4">
        <f t="shared" si="2"/>
        <v>223.75</v>
      </c>
      <c r="H12" s="9">
        <f t="shared" si="3"/>
        <v>5.5937500000000001E-2</v>
      </c>
      <c r="I12" s="11"/>
      <c r="J12" s="31">
        <v>270</v>
      </c>
      <c r="K12" s="31">
        <f t="shared" si="4"/>
        <v>-1.0500000000000114</v>
      </c>
      <c r="L12" s="14">
        <f t="shared" si="5"/>
        <v>0</v>
      </c>
      <c r="M12" s="9"/>
    </row>
    <row r="13" spans="1:13">
      <c r="B13" s="43"/>
      <c r="C13" s="7">
        <v>1.9270833333336399</v>
      </c>
      <c r="D13" s="7">
        <v>1.93750000000029</v>
      </c>
      <c r="E13" s="30">
        <v>492.7</v>
      </c>
      <c r="F13" s="15">
        <v>271.08</v>
      </c>
      <c r="G13" s="4">
        <f t="shared" si="2"/>
        <v>221.62</v>
      </c>
      <c r="H13" s="9">
        <f t="shared" si="3"/>
        <v>5.5405000000000003E-2</v>
      </c>
      <c r="I13" s="11"/>
      <c r="J13" s="31">
        <v>270</v>
      </c>
      <c r="K13" s="31">
        <f t="shared" si="4"/>
        <v>1.0799999999999841</v>
      </c>
      <c r="L13" s="14">
        <f t="shared" si="5"/>
        <v>2.6999999999999605E-4</v>
      </c>
      <c r="M13" s="9"/>
    </row>
    <row r="14" spans="1:13">
      <c r="B14" s="43"/>
      <c r="C14" s="7">
        <v>1.93750000000031</v>
      </c>
      <c r="D14" s="7">
        <v>1.9479166666669601</v>
      </c>
      <c r="E14" s="30">
        <v>492.7</v>
      </c>
      <c r="F14" s="15">
        <v>270.75</v>
      </c>
      <c r="G14" s="4">
        <f t="shared" si="2"/>
        <v>221.95</v>
      </c>
      <c r="H14" s="9">
        <f t="shared" si="3"/>
        <v>5.5487499999999995E-2</v>
      </c>
      <c r="I14" s="11"/>
      <c r="J14" s="31">
        <v>270</v>
      </c>
      <c r="K14" s="31">
        <f t="shared" si="4"/>
        <v>0.75</v>
      </c>
      <c r="L14" s="14">
        <f t="shared" si="5"/>
        <v>1.875E-4</v>
      </c>
      <c r="M14" s="9"/>
    </row>
    <row r="15" spans="1:13">
      <c r="B15" s="43"/>
      <c r="C15" s="7">
        <v>1.94791666666698</v>
      </c>
      <c r="D15" s="7">
        <v>1.9583333333336299</v>
      </c>
      <c r="E15" s="30">
        <v>492.7</v>
      </c>
      <c r="F15" s="15">
        <v>273.19</v>
      </c>
      <c r="G15" s="4">
        <f t="shared" si="2"/>
        <v>219.51</v>
      </c>
      <c r="H15" s="9">
        <f t="shared" si="3"/>
        <v>5.4877499999999996E-2</v>
      </c>
      <c r="I15" s="11"/>
      <c r="J15" s="31">
        <v>270</v>
      </c>
      <c r="K15" s="31">
        <f t="shared" si="4"/>
        <v>3.1899999999999977</v>
      </c>
      <c r="L15" s="14">
        <f t="shared" si="5"/>
        <v>7.9749999999999938E-4</v>
      </c>
      <c r="M15" s="9"/>
    </row>
    <row r="16" spans="1:13">
      <c r="B16" s="43"/>
      <c r="C16" s="7">
        <v>1.9583333333336499</v>
      </c>
      <c r="D16" s="7">
        <v>1.9687500000003</v>
      </c>
      <c r="E16" s="30">
        <v>492.7</v>
      </c>
      <c r="F16" s="15">
        <v>271.99</v>
      </c>
      <c r="G16" s="4">
        <f t="shared" si="2"/>
        <v>220.70999999999998</v>
      </c>
      <c r="H16" s="9">
        <f t="shared" si="3"/>
        <v>5.5177499999999997E-2</v>
      </c>
      <c r="I16" s="40"/>
      <c r="J16" s="31">
        <v>270</v>
      </c>
      <c r="K16" s="31">
        <f t="shared" si="4"/>
        <v>1.9900000000000091</v>
      </c>
      <c r="L16" s="14">
        <f t="shared" si="5"/>
        <v>4.9750000000000228E-4</v>
      </c>
      <c r="M16" s="9"/>
    </row>
    <row r="17" spans="2:13">
      <c r="B17" s="47"/>
      <c r="C17" s="7">
        <v>1.96875000000032</v>
      </c>
      <c r="D17" s="7">
        <v>1.9791666666669701</v>
      </c>
      <c r="E17" s="30">
        <v>492.7</v>
      </c>
      <c r="F17" s="15">
        <v>273.22000000000003</v>
      </c>
      <c r="G17" s="4">
        <f t="shared" si="2"/>
        <v>219.47999999999996</v>
      </c>
      <c r="H17" s="9">
        <f t="shared" si="3"/>
        <v>5.4869999999999988E-2</v>
      </c>
      <c r="I17" s="11"/>
      <c r="J17" s="31">
        <v>270</v>
      </c>
      <c r="K17" s="31">
        <f t="shared" si="4"/>
        <v>3.2200000000000273</v>
      </c>
      <c r="L17" s="14">
        <f t="shared" si="5"/>
        <v>8.0500000000000677E-4</v>
      </c>
      <c r="M17" s="9"/>
    </row>
    <row r="18" spans="2:13">
      <c r="B18" s="43"/>
      <c r="C18" s="7">
        <v>1.97916666666699</v>
      </c>
      <c r="D18" s="7">
        <v>1.9895833333336399</v>
      </c>
      <c r="E18" s="30">
        <v>492.7</v>
      </c>
      <c r="F18" s="15">
        <v>270.73</v>
      </c>
      <c r="G18" s="4">
        <f t="shared" si="2"/>
        <v>221.96999999999997</v>
      </c>
      <c r="H18" s="9">
        <f t="shared" si="3"/>
        <v>5.5492499999999993E-2</v>
      </c>
      <c r="I18" s="11"/>
      <c r="J18" s="31">
        <v>270</v>
      </c>
      <c r="K18" s="31">
        <f t="shared" si="4"/>
        <v>0.73000000000001819</v>
      </c>
      <c r="L18" s="14">
        <f t="shared" si="5"/>
        <v>1.8250000000000454E-4</v>
      </c>
      <c r="M18" s="9"/>
    </row>
    <row r="19" spans="2:13">
      <c r="B19" s="43"/>
      <c r="C19" s="7">
        <v>1.9895833333336601</v>
      </c>
      <c r="D19" s="35">
        <v>2.00000000000031</v>
      </c>
      <c r="E19" s="30">
        <v>492.7</v>
      </c>
      <c r="F19" s="48">
        <v>273.24</v>
      </c>
      <c r="G19" s="4">
        <f t="shared" si="2"/>
        <v>219.45999999999998</v>
      </c>
      <c r="H19" s="9">
        <f t="shared" si="3"/>
        <v>5.4864999999999997E-2</v>
      </c>
      <c r="I19" s="11"/>
      <c r="J19" s="31">
        <v>270</v>
      </c>
      <c r="K19" s="31">
        <f t="shared" si="4"/>
        <v>3.2400000000000091</v>
      </c>
      <c r="L19" s="14">
        <f t="shared" si="5"/>
        <v>8.1000000000000223E-4</v>
      </c>
      <c r="M19" s="9"/>
    </row>
    <row r="20" spans="2:13">
      <c r="B20" s="43"/>
      <c r="C20" s="7"/>
      <c r="D20" s="7"/>
      <c r="E20" s="30"/>
      <c r="F20" s="15"/>
      <c r="G20" s="4"/>
      <c r="H20" s="9"/>
      <c r="I20" s="40">
        <f>SUM(H5:H19)</f>
        <v>0.7075174999999998</v>
      </c>
      <c r="J20" s="29"/>
      <c r="K20" s="31"/>
      <c r="L20" s="14"/>
      <c r="M20" s="9">
        <f>SUM(L5:L19)</f>
        <v>3.7225000000000105E-3</v>
      </c>
    </row>
    <row r="21" spans="2:13">
      <c r="B21" s="34">
        <v>46024</v>
      </c>
      <c r="C21" s="57">
        <v>1</v>
      </c>
      <c r="D21" s="57">
        <v>1.0104166666666701</v>
      </c>
      <c r="E21" s="20">
        <v>492.7</v>
      </c>
      <c r="F21" s="41">
        <v>273.94</v>
      </c>
      <c r="G21" s="41">
        <f t="shared" ref="G21:G49" si="7">E21-F21</f>
        <v>218.76</v>
      </c>
      <c r="H21" s="70">
        <f t="shared" ref="H21:H49" si="8">G21/4000</f>
        <v>5.4689999999999996E-2</v>
      </c>
      <c r="I21" s="88"/>
      <c r="J21" s="56">
        <v>270</v>
      </c>
      <c r="K21" s="31">
        <f t="shared" ref="K21:K33" si="9">F21-J21</f>
        <v>3.9399999999999977</v>
      </c>
      <c r="L21" s="14"/>
      <c r="M21" s="9"/>
    </row>
    <row r="22" spans="2:13">
      <c r="B22" s="43"/>
      <c r="C22" s="57">
        <v>1.0104166666666701</v>
      </c>
      <c r="D22" s="75">
        <v>1.0208333333333399</v>
      </c>
      <c r="E22" s="20">
        <v>492.7</v>
      </c>
      <c r="F22" s="41">
        <v>274.13</v>
      </c>
      <c r="G22" s="41">
        <f t="shared" si="7"/>
        <v>218.57</v>
      </c>
      <c r="H22" s="70">
        <f t="shared" si="8"/>
        <v>5.4642499999999997E-2</v>
      </c>
      <c r="I22" s="88"/>
      <c r="J22" s="56">
        <v>270</v>
      </c>
      <c r="K22" s="31">
        <f t="shared" si="9"/>
        <v>4.1299999999999955</v>
      </c>
      <c r="L22" s="14">
        <f t="shared" si="5"/>
        <v>1.0324999999999989E-3</v>
      </c>
      <c r="M22" s="9"/>
    </row>
    <row r="23" spans="2:13">
      <c r="B23" s="43"/>
      <c r="C23" s="57">
        <v>1.0208333333333399</v>
      </c>
      <c r="D23" s="57">
        <v>1.03125000000001</v>
      </c>
      <c r="E23" s="20">
        <v>492.7</v>
      </c>
      <c r="F23" s="41">
        <v>319.39999999999998</v>
      </c>
      <c r="G23" s="41">
        <f t="shared" si="7"/>
        <v>173.3</v>
      </c>
      <c r="H23" s="70">
        <f t="shared" si="8"/>
        <v>4.3325000000000002E-2</v>
      </c>
      <c r="I23" s="88"/>
      <c r="J23" s="56">
        <f>J22+40</f>
        <v>310</v>
      </c>
      <c r="K23" s="31">
        <f>J23-F23</f>
        <v>-9.3999999999999773</v>
      </c>
      <c r="L23" s="14">
        <f t="shared" si="5"/>
        <v>0</v>
      </c>
      <c r="M23" s="9"/>
    </row>
    <row r="24" spans="2:13">
      <c r="B24" s="43"/>
      <c r="C24" s="57">
        <v>1.03125000000001</v>
      </c>
      <c r="D24" s="57">
        <v>1.0416666666666801</v>
      </c>
      <c r="E24" s="20">
        <v>492.7</v>
      </c>
      <c r="F24" s="41">
        <v>420.71</v>
      </c>
      <c r="G24" s="41">
        <f t="shared" ref="G24" si="10">E24-F24</f>
        <v>71.990000000000009</v>
      </c>
      <c r="H24" s="70">
        <f t="shared" ref="H24" si="11">G24/4000</f>
        <v>1.7997500000000003E-2</v>
      </c>
      <c r="I24" s="88"/>
      <c r="J24" s="56">
        <f t="shared" ref="J24:J27" si="12">J23+40</f>
        <v>350</v>
      </c>
      <c r="K24" s="31">
        <f>J24-F24</f>
        <v>-70.70999999999998</v>
      </c>
      <c r="L24" s="14">
        <f t="shared" ref="L24" si="13">IF(K24/4000&gt;0,K24/4000,0)</f>
        <v>0</v>
      </c>
      <c r="M24" s="9"/>
    </row>
    <row r="25" spans="2:13">
      <c r="B25" s="43"/>
      <c r="C25" s="57">
        <v>1.0416666666666801</v>
      </c>
      <c r="D25" s="57">
        <v>1.0520833333333499</v>
      </c>
      <c r="E25" s="20">
        <v>492.7</v>
      </c>
      <c r="F25" s="41">
        <v>488.23</v>
      </c>
      <c r="G25" s="41">
        <f t="shared" ref="G25:G27" si="14">E25-F25</f>
        <v>4.4699999999999704</v>
      </c>
      <c r="H25" s="70">
        <f t="shared" ref="H25:H26" si="15">G25/4000</f>
        <v>1.1174999999999926E-3</v>
      </c>
      <c r="I25" s="88"/>
      <c r="J25" s="56">
        <f t="shared" si="12"/>
        <v>390</v>
      </c>
      <c r="K25" s="31">
        <f t="shared" ref="K25:K27" si="16">J25-F25</f>
        <v>-98.230000000000018</v>
      </c>
      <c r="L25" s="14">
        <f t="shared" ref="L25:L27" si="17">IF(K25/4000&gt;0,K25/4000,0)</f>
        <v>0</v>
      </c>
      <c r="M25" s="9"/>
    </row>
    <row r="26" spans="2:13">
      <c r="B26" s="43"/>
      <c r="C26" s="57">
        <v>1.0520833333333499</v>
      </c>
      <c r="D26" s="57">
        <v>1.06250000000002</v>
      </c>
      <c r="E26" s="20">
        <v>492.7</v>
      </c>
      <c r="F26" s="41">
        <v>488.54</v>
      </c>
      <c r="G26" s="41">
        <f t="shared" si="14"/>
        <v>4.1599999999999682</v>
      </c>
      <c r="H26" s="70">
        <f t="shared" si="15"/>
        <v>1.0399999999999921E-3</v>
      </c>
      <c r="I26" s="88"/>
      <c r="J26" s="56">
        <f t="shared" si="12"/>
        <v>430</v>
      </c>
      <c r="K26" s="31">
        <f t="shared" si="16"/>
        <v>-58.54000000000002</v>
      </c>
      <c r="L26" s="14">
        <f t="shared" si="17"/>
        <v>0</v>
      </c>
      <c r="M26" s="9"/>
    </row>
    <row r="27" spans="2:13">
      <c r="B27" s="43"/>
      <c r="C27" s="57">
        <v>1.06250000000002</v>
      </c>
      <c r="D27" s="57">
        <v>1.0729166666666901</v>
      </c>
      <c r="E27" s="20">
        <v>492.7</v>
      </c>
      <c r="F27" s="41">
        <v>493.7</v>
      </c>
      <c r="G27" s="41">
        <f t="shared" si="14"/>
        <v>-1</v>
      </c>
      <c r="H27" s="70">
        <v>0</v>
      </c>
      <c r="I27" s="88"/>
      <c r="J27" s="56">
        <f t="shared" si="12"/>
        <v>470</v>
      </c>
      <c r="K27" s="31">
        <f t="shared" si="16"/>
        <v>-23.699999999999989</v>
      </c>
      <c r="L27" s="14">
        <f t="shared" si="17"/>
        <v>0</v>
      </c>
      <c r="M27" s="9"/>
    </row>
    <row r="28" spans="2:13">
      <c r="B28" s="43"/>
      <c r="C28" s="57"/>
      <c r="D28" s="57"/>
      <c r="E28" s="20"/>
      <c r="F28" s="41"/>
      <c r="G28" s="41"/>
      <c r="H28" s="70"/>
      <c r="I28" s="89">
        <f>SUM(H21:H27)</f>
        <v>0.17281249999999998</v>
      </c>
      <c r="J28" s="56"/>
      <c r="K28" s="31"/>
      <c r="L28" s="14"/>
      <c r="M28" s="9">
        <f>SUM(L21:L27)</f>
        <v>1.0324999999999989E-3</v>
      </c>
    </row>
    <row r="29" spans="2:13">
      <c r="B29" s="34">
        <v>46024</v>
      </c>
      <c r="C29" s="57">
        <v>1.0729166666666901</v>
      </c>
      <c r="D29" s="57">
        <v>1.0833333333333599</v>
      </c>
      <c r="E29" s="20">
        <v>492.7</v>
      </c>
      <c r="F29" s="41">
        <v>434.02</v>
      </c>
      <c r="G29" s="41">
        <f t="shared" si="7"/>
        <v>58.680000000000007</v>
      </c>
      <c r="H29" s="70">
        <f t="shared" si="8"/>
        <v>1.4670000000000002E-2</v>
      </c>
      <c r="I29" s="88"/>
      <c r="J29" s="56">
        <f>J27-40</f>
        <v>430</v>
      </c>
      <c r="K29" s="31">
        <f t="shared" si="9"/>
        <v>4.0199999999999818</v>
      </c>
      <c r="L29" s="14"/>
      <c r="M29" s="9"/>
    </row>
    <row r="30" spans="2:13">
      <c r="B30" s="43"/>
      <c r="C30" s="7">
        <v>1.0833333333333599</v>
      </c>
      <c r="D30" s="7">
        <v>1.09375000000003</v>
      </c>
      <c r="E30" s="30">
        <v>492.7</v>
      </c>
      <c r="F30" s="60">
        <v>357.66</v>
      </c>
      <c r="G30" s="4">
        <f t="shared" si="7"/>
        <v>135.03999999999996</v>
      </c>
      <c r="H30" s="9">
        <f t="shared" si="8"/>
        <v>3.3759999999999991E-2</v>
      </c>
      <c r="I30" s="11"/>
      <c r="J30" s="29">
        <f>J29-40</f>
        <v>390</v>
      </c>
      <c r="K30" s="31">
        <f t="shared" si="9"/>
        <v>-32.339999999999975</v>
      </c>
      <c r="L30" s="14">
        <f t="shared" si="5"/>
        <v>0</v>
      </c>
      <c r="M30" s="9"/>
    </row>
    <row r="31" spans="2:13">
      <c r="B31" s="43"/>
      <c r="C31" s="7">
        <v>1.09375000000003</v>
      </c>
      <c r="D31" s="7">
        <v>1.1041666666667</v>
      </c>
      <c r="E31" s="30">
        <v>492.7</v>
      </c>
      <c r="F31" s="60">
        <v>290.37</v>
      </c>
      <c r="G31" s="4">
        <f t="shared" si="7"/>
        <v>202.32999999999998</v>
      </c>
      <c r="H31" s="9">
        <f t="shared" si="8"/>
        <v>5.0582499999999996E-2</v>
      </c>
      <c r="I31" s="11"/>
      <c r="J31" s="29">
        <f t="shared" ref="J31:J33" si="18">J30-40</f>
        <v>350</v>
      </c>
      <c r="K31" s="31">
        <f t="shared" si="9"/>
        <v>-59.629999999999995</v>
      </c>
      <c r="L31" s="14">
        <f t="shared" si="5"/>
        <v>0</v>
      </c>
      <c r="M31" s="9"/>
    </row>
    <row r="32" spans="2:13">
      <c r="B32" s="43"/>
      <c r="C32" s="7">
        <v>1.1041666666667</v>
      </c>
      <c r="D32" s="7">
        <v>1.1145833333333699</v>
      </c>
      <c r="E32" s="30">
        <v>492.7</v>
      </c>
      <c r="F32" s="60">
        <v>268.99</v>
      </c>
      <c r="G32" s="4">
        <f t="shared" si="7"/>
        <v>223.70999999999998</v>
      </c>
      <c r="H32" s="9">
        <f t="shared" si="8"/>
        <v>5.5927499999999998E-2</v>
      </c>
      <c r="I32" s="11"/>
      <c r="J32" s="29">
        <f t="shared" si="18"/>
        <v>310</v>
      </c>
      <c r="K32" s="31">
        <f t="shared" si="9"/>
        <v>-41.009999999999991</v>
      </c>
      <c r="L32" s="14">
        <f t="shared" si="5"/>
        <v>0</v>
      </c>
      <c r="M32" s="9"/>
    </row>
    <row r="33" spans="2:13">
      <c r="B33" s="43"/>
      <c r="C33" s="7">
        <v>1.1145833333333699</v>
      </c>
      <c r="D33" s="35">
        <v>1.12500000000004</v>
      </c>
      <c r="E33" s="30">
        <v>492.7</v>
      </c>
      <c r="F33" s="60">
        <v>267.7</v>
      </c>
      <c r="G33" s="4">
        <f t="shared" si="7"/>
        <v>225</v>
      </c>
      <c r="H33" s="9">
        <f t="shared" si="8"/>
        <v>5.6250000000000001E-2</v>
      </c>
      <c r="I33" s="11"/>
      <c r="J33" s="29">
        <f t="shared" si="18"/>
        <v>270</v>
      </c>
      <c r="K33" s="31">
        <f t="shared" si="9"/>
        <v>-2.3000000000000114</v>
      </c>
      <c r="L33" s="14">
        <f t="shared" si="5"/>
        <v>0</v>
      </c>
      <c r="M33" s="9"/>
    </row>
    <row r="34" spans="2:13">
      <c r="B34" s="43"/>
      <c r="C34" s="7">
        <v>1.12500000000004</v>
      </c>
      <c r="D34" s="7">
        <v>1.13541666666671</v>
      </c>
      <c r="E34" s="30">
        <v>492.7</v>
      </c>
      <c r="F34" s="60">
        <v>341.14</v>
      </c>
      <c r="G34" s="4">
        <f t="shared" si="7"/>
        <v>151.56</v>
      </c>
      <c r="H34" s="9">
        <f t="shared" si="8"/>
        <v>3.789E-2</v>
      </c>
      <c r="I34" s="11"/>
      <c r="J34" s="29">
        <f>J33+40</f>
        <v>310</v>
      </c>
      <c r="K34" s="31">
        <f>J34-F34</f>
        <v>-31.139999999999986</v>
      </c>
      <c r="L34" s="14">
        <f t="shared" si="5"/>
        <v>0</v>
      </c>
      <c r="M34" s="9"/>
    </row>
    <row r="35" spans="2:13">
      <c r="B35" s="43"/>
      <c r="C35" s="7">
        <v>1.13541666666671</v>
      </c>
      <c r="D35" s="7">
        <v>1.1458333333333801</v>
      </c>
      <c r="E35" s="30">
        <v>492.7</v>
      </c>
      <c r="F35" s="60">
        <v>436.14</v>
      </c>
      <c r="G35" s="4">
        <f t="shared" si="7"/>
        <v>56.56</v>
      </c>
      <c r="H35" s="9">
        <f t="shared" si="8"/>
        <v>1.414E-2</v>
      </c>
      <c r="I35" s="11"/>
      <c r="J35" s="29">
        <f t="shared" ref="J35:J38" si="19">J34+40</f>
        <v>350</v>
      </c>
      <c r="K35" s="31">
        <f t="shared" ref="K35:K38" si="20">J35-F35</f>
        <v>-86.139999999999986</v>
      </c>
      <c r="L35" s="14">
        <f t="shared" si="5"/>
        <v>0</v>
      </c>
      <c r="M35" s="9"/>
    </row>
    <row r="36" spans="2:13">
      <c r="B36" s="43"/>
      <c r="C36" s="7">
        <v>1.1458333333333801</v>
      </c>
      <c r="D36" s="7">
        <v>1.15625000000005</v>
      </c>
      <c r="E36" s="30">
        <v>492.7</v>
      </c>
      <c r="F36" s="60">
        <v>484.78</v>
      </c>
      <c r="G36" s="4">
        <f t="shared" si="7"/>
        <v>7.9200000000000159</v>
      </c>
      <c r="H36" s="9">
        <f t="shared" si="8"/>
        <v>1.9800000000000039E-3</v>
      </c>
      <c r="I36" s="11"/>
      <c r="J36" s="29">
        <f t="shared" si="19"/>
        <v>390</v>
      </c>
      <c r="K36" s="31">
        <f t="shared" si="20"/>
        <v>-94.779999999999973</v>
      </c>
      <c r="L36" s="14">
        <f t="shared" si="5"/>
        <v>0</v>
      </c>
      <c r="M36" s="9"/>
    </row>
    <row r="37" spans="2:13">
      <c r="B37" s="43"/>
      <c r="C37" s="7">
        <v>1.15625000000005</v>
      </c>
      <c r="D37" s="7">
        <v>1.16666666666672</v>
      </c>
      <c r="E37" s="30">
        <v>492.7</v>
      </c>
      <c r="F37" s="60">
        <v>489.86</v>
      </c>
      <c r="G37" s="4">
        <f t="shared" si="7"/>
        <v>2.839999999999975</v>
      </c>
      <c r="H37" s="9">
        <f t="shared" si="8"/>
        <v>7.0999999999999373E-4</v>
      </c>
      <c r="I37" s="11"/>
      <c r="J37" s="29">
        <f t="shared" si="19"/>
        <v>430</v>
      </c>
      <c r="K37" s="31">
        <f t="shared" si="20"/>
        <v>-59.860000000000014</v>
      </c>
      <c r="L37" s="14">
        <f t="shared" si="5"/>
        <v>0</v>
      </c>
      <c r="M37" s="9"/>
    </row>
    <row r="38" spans="2:13">
      <c r="B38" s="43"/>
      <c r="C38" s="7">
        <v>1.16666666666672</v>
      </c>
      <c r="D38" s="7">
        <v>1.1770833333333901</v>
      </c>
      <c r="E38" s="30">
        <v>492.7</v>
      </c>
      <c r="F38" s="60">
        <v>492.26</v>
      </c>
      <c r="G38" s="4">
        <f t="shared" si="7"/>
        <v>0.43999999999999773</v>
      </c>
      <c r="H38" s="9">
        <f t="shared" si="8"/>
        <v>1.0999999999999943E-4</v>
      </c>
      <c r="I38" s="11"/>
      <c r="J38" s="29">
        <f t="shared" si="19"/>
        <v>470</v>
      </c>
      <c r="K38" s="31">
        <f t="shared" si="20"/>
        <v>-22.259999999999991</v>
      </c>
      <c r="L38" s="14">
        <f t="shared" si="5"/>
        <v>0</v>
      </c>
      <c r="M38" s="9"/>
    </row>
    <row r="39" spans="2:13">
      <c r="B39" s="43"/>
      <c r="C39" s="7"/>
      <c r="D39" s="7"/>
      <c r="E39" s="30"/>
      <c r="F39" s="15"/>
      <c r="G39" s="4"/>
      <c r="H39" s="9"/>
      <c r="I39" s="40">
        <f>SUM(H29:H38)</f>
        <v>0.26601999999999998</v>
      </c>
      <c r="J39" s="29"/>
      <c r="K39" s="31"/>
      <c r="L39" s="14"/>
      <c r="M39" s="9">
        <f>SUM(L29:L38)</f>
        <v>0</v>
      </c>
    </row>
    <row r="40" spans="2:13">
      <c r="B40" s="34">
        <v>46024</v>
      </c>
      <c r="C40" s="7">
        <v>1.9166666666669701</v>
      </c>
      <c r="D40" s="7">
        <v>1.9270833333336199</v>
      </c>
      <c r="E40" s="30">
        <v>492.7</v>
      </c>
      <c r="F40" s="60">
        <v>469.03</v>
      </c>
      <c r="G40" s="4">
        <f t="shared" si="7"/>
        <v>23.670000000000016</v>
      </c>
      <c r="H40" s="9">
        <f t="shared" si="8"/>
        <v>5.9175000000000044E-3</v>
      </c>
      <c r="I40" s="11"/>
      <c r="J40" s="30">
        <f>E40-40</f>
        <v>452.7</v>
      </c>
      <c r="K40" s="31">
        <f t="shared" ref="K40:K47" si="21">F40-J40</f>
        <v>16.329999999999984</v>
      </c>
      <c r="L40" s="14"/>
      <c r="M40" s="9"/>
    </row>
    <row r="41" spans="2:13">
      <c r="B41" s="43"/>
      <c r="C41" s="7">
        <v>1.9270833333336399</v>
      </c>
      <c r="D41" s="7">
        <v>1.93750000000029</v>
      </c>
      <c r="E41" s="30">
        <v>492.7</v>
      </c>
      <c r="F41" s="60">
        <v>412.5</v>
      </c>
      <c r="G41" s="4">
        <f t="shared" ref="G41:G45" si="22">E41-F41</f>
        <v>80.199999999999989</v>
      </c>
      <c r="H41" s="9">
        <f t="shared" ref="H41:H45" si="23">G41/4000</f>
        <v>2.0049999999999998E-2</v>
      </c>
      <c r="I41" s="40"/>
      <c r="J41" s="29">
        <f>J40-40</f>
        <v>412.7</v>
      </c>
      <c r="K41" s="31">
        <f t="shared" si="21"/>
        <v>-0.19999999999998863</v>
      </c>
      <c r="L41" s="14">
        <f t="shared" si="5"/>
        <v>0</v>
      </c>
      <c r="M41" s="9"/>
    </row>
    <row r="42" spans="2:13">
      <c r="B42" s="47"/>
      <c r="C42" s="7">
        <v>1.93750000000031</v>
      </c>
      <c r="D42" s="7">
        <v>1.9479166666669601</v>
      </c>
      <c r="E42" s="30">
        <v>492.7</v>
      </c>
      <c r="F42" s="60">
        <v>342.7</v>
      </c>
      <c r="G42" s="4">
        <f t="shared" si="22"/>
        <v>150</v>
      </c>
      <c r="H42" s="9">
        <f t="shared" si="23"/>
        <v>3.7499999999999999E-2</v>
      </c>
      <c r="I42" s="11"/>
      <c r="J42" s="29">
        <f t="shared" ref="J42:J44" si="24">J41-40</f>
        <v>372.7</v>
      </c>
      <c r="K42" s="31">
        <f t="shared" si="21"/>
        <v>-30</v>
      </c>
      <c r="L42" s="14">
        <f t="shared" si="5"/>
        <v>0</v>
      </c>
      <c r="M42" s="9"/>
    </row>
    <row r="43" spans="2:13">
      <c r="B43" s="43"/>
      <c r="C43" s="7">
        <v>1.94791666666698</v>
      </c>
      <c r="D43" s="7">
        <v>1.9583333333336299</v>
      </c>
      <c r="E43" s="30">
        <v>492.7</v>
      </c>
      <c r="F43" s="60">
        <v>284.74</v>
      </c>
      <c r="G43" s="4">
        <f t="shared" si="22"/>
        <v>207.95999999999998</v>
      </c>
      <c r="H43" s="9">
        <f t="shared" si="23"/>
        <v>5.1989999999999995E-2</v>
      </c>
      <c r="I43" s="11"/>
      <c r="J43" s="29">
        <f t="shared" si="24"/>
        <v>332.7</v>
      </c>
      <c r="K43" s="31">
        <f t="shared" si="21"/>
        <v>-47.95999999999998</v>
      </c>
      <c r="L43" s="14">
        <f t="shared" si="5"/>
        <v>0</v>
      </c>
      <c r="M43" s="9"/>
    </row>
    <row r="44" spans="2:13">
      <c r="B44" s="43"/>
      <c r="C44" s="7">
        <v>1.9583333333336499</v>
      </c>
      <c r="D44" s="7">
        <v>1.9687500000003</v>
      </c>
      <c r="E44" s="30">
        <v>492.7</v>
      </c>
      <c r="F44" s="60">
        <v>268.47000000000003</v>
      </c>
      <c r="G44" s="4">
        <f t="shared" si="22"/>
        <v>224.22999999999996</v>
      </c>
      <c r="H44" s="9">
        <f t="shared" si="23"/>
        <v>5.6057499999999989E-2</v>
      </c>
      <c r="I44" s="11"/>
      <c r="J44" s="29">
        <f t="shared" si="24"/>
        <v>292.7</v>
      </c>
      <c r="K44" s="31">
        <f t="shared" si="21"/>
        <v>-24.229999999999961</v>
      </c>
      <c r="L44" s="14">
        <f t="shared" si="5"/>
        <v>0</v>
      </c>
      <c r="M44" s="9"/>
    </row>
    <row r="45" spans="2:13">
      <c r="B45" s="43"/>
      <c r="C45" s="7">
        <v>1.96875000000032</v>
      </c>
      <c r="D45" s="7">
        <v>1.9791666666669701</v>
      </c>
      <c r="E45" s="30">
        <v>492.7</v>
      </c>
      <c r="F45" s="60">
        <v>268.79000000000002</v>
      </c>
      <c r="G45" s="4">
        <f t="shared" si="22"/>
        <v>223.90999999999997</v>
      </c>
      <c r="H45" s="9">
        <f t="shared" si="23"/>
        <v>5.5977499999999993E-2</v>
      </c>
      <c r="I45" s="11"/>
      <c r="J45" s="29">
        <v>270</v>
      </c>
      <c r="K45" s="31">
        <f t="shared" si="21"/>
        <v>-1.2099999999999795</v>
      </c>
      <c r="L45" s="14">
        <f t="shared" si="5"/>
        <v>0</v>
      </c>
      <c r="M45" s="9"/>
    </row>
    <row r="46" spans="2:13">
      <c r="B46" s="43"/>
      <c r="C46" s="7">
        <v>1.97916666666699</v>
      </c>
      <c r="D46" s="7">
        <v>1.9895833333336399</v>
      </c>
      <c r="E46" s="30">
        <v>492.7</v>
      </c>
      <c r="F46" s="60">
        <v>268.56</v>
      </c>
      <c r="G46" s="4">
        <f t="shared" si="7"/>
        <v>224.14</v>
      </c>
      <c r="H46" s="9">
        <f t="shared" si="8"/>
        <v>5.6034999999999995E-2</v>
      </c>
      <c r="I46" s="11"/>
      <c r="J46" s="29">
        <v>270</v>
      </c>
      <c r="K46" s="31">
        <f t="shared" si="21"/>
        <v>-1.4399999999999977</v>
      </c>
      <c r="L46" s="14">
        <f t="shared" si="5"/>
        <v>0</v>
      </c>
      <c r="M46" s="9"/>
    </row>
    <row r="47" spans="2:13">
      <c r="B47" s="43"/>
      <c r="C47" s="7">
        <v>1.9895833333336601</v>
      </c>
      <c r="D47" s="35">
        <v>2.00000000000031</v>
      </c>
      <c r="E47" s="30">
        <v>492.7</v>
      </c>
      <c r="F47" s="61">
        <v>272.7</v>
      </c>
      <c r="G47" s="4">
        <f t="shared" si="7"/>
        <v>220</v>
      </c>
      <c r="H47" s="9">
        <f t="shared" si="8"/>
        <v>5.5E-2</v>
      </c>
      <c r="I47" s="11"/>
      <c r="J47" s="29">
        <v>270</v>
      </c>
      <c r="K47" s="31">
        <f t="shared" si="21"/>
        <v>2.6999999999999886</v>
      </c>
      <c r="L47" s="14">
        <f t="shared" si="5"/>
        <v>6.7499999999999711E-4</v>
      </c>
      <c r="M47" s="9"/>
    </row>
    <row r="48" spans="2:13">
      <c r="B48" s="43"/>
      <c r="C48" s="7"/>
      <c r="D48" s="7"/>
      <c r="E48" s="30"/>
      <c r="F48" s="15"/>
      <c r="G48" s="4"/>
      <c r="H48" s="9"/>
      <c r="I48" s="40">
        <f>SUM(H40:H47)</f>
        <v>0.33852749999999998</v>
      </c>
      <c r="J48" s="29"/>
      <c r="K48" s="31"/>
      <c r="L48" s="14"/>
      <c r="M48" s="9">
        <f>SUM(L40:L47)</f>
        <v>6.7499999999999711E-4</v>
      </c>
    </row>
    <row r="49" spans="2:13">
      <c r="B49" s="34">
        <v>46025</v>
      </c>
      <c r="C49" s="7">
        <v>1</v>
      </c>
      <c r="D49" s="7">
        <v>1.0104166666666701</v>
      </c>
      <c r="E49" s="30">
        <v>492.7</v>
      </c>
      <c r="F49" s="15">
        <v>271.91000000000003</v>
      </c>
      <c r="G49" s="4">
        <f t="shared" si="7"/>
        <v>220.78999999999996</v>
      </c>
      <c r="H49" s="9">
        <f t="shared" si="8"/>
        <v>5.519749999999999E-2</v>
      </c>
      <c r="I49" s="11"/>
      <c r="J49" s="29">
        <v>270</v>
      </c>
      <c r="K49" s="31">
        <f t="shared" ref="K49:K61" si="25">F49-J49</f>
        <v>1.910000000000025</v>
      </c>
      <c r="L49" s="14"/>
      <c r="M49" s="9"/>
    </row>
    <row r="50" spans="2:13">
      <c r="B50" s="43"/>
      <c r="C50" s="7">
        <v>1.0104166666666701</v>
      </c>
      <c r="D50" s="7">
        <v>1.0208333333333399</v>
      </c>
      <c r="E50" s="30">
        <v>492.7</v>
      </c>
      <c r="F50" s="15">
        <v>274.27</v>
      </c>
      <c r="G50" s="4">
        <f t="shared" ref="G50:G67" si="26">E50-F50</f>
        <v>218.43</v>
      </c>
      <c r="H50" s="9">
        <f t="shared" ref="H50:H65" si="27">G50/4000</f>
        <v>5.4607500000000003E-2</v>
      </c>
      <c r="I50" s="40"/>
      <c r="J50" s="65">
        <v>270</v>
      </c>
      <c r="K50" s="31">
        <f t="shared" si="25"/>
        <v>4.2699999999999818</v>
      </c>
      <c r="L50" s="14">
        <f t="shared" si="5"/>
        <v>1.0674999999999955E-3</v>
      </c>
      <c r="M50" s="9"/>
    </row>
    <row r="51" spans="2:13">
      <c r="B51" s="47"/>
      <c r="C51" s="7">
        <v>1.0208333333333399</v>
      </c>
      <c r="D51" s="7">
        <v>1.03125000000001</v>
      </c>
      <c r="E51" s="30">
        <v>492.7</v>
      </c>
      <c r="F51" s="15">
        <v>275.75</v>
      </c>
      <c r="G51" s="4">
        <f t="shared" si="26"/>
        <v>216.95</v>
      </c>
      <c r="H51" s="9">
        <f t="shared" si="27"/>
        <v>5.4237499999999994E-2</v>
      </c>
      <c r="I51" s="11"/>
      <c r="J51" s="65">
        <v>270</v>
      </c>
      <c r="K51" s="31">
        <f t="shared" si="25"/>
        <v>5.75</v>
      </c>
      <c r="L51" s="14">
        <f t="shared" si="5"/>
        <v>1.4375E-3</v>
      </c>
      <c r="M51" s="9"/>
    </row>
    <row r="52" spans="2:13">
      <c r="B52" s="43"/>
      <c r="C52" s="7">
        <v>1.03125000000001</v>
      </c>
      <c r="D52" s="7">
        <v>1.0416666666666801</v>
      </c>
      <c r="E52" s="30">
        <v>492.7</v>
      </c>
      <c r="F52" s="15">
        <v>271.47000000000003</v>
      </c>
      <c r="G52" s="4">
        <f t="shared" si="26"/>
        <v>221.22999999999996</v>
      </c>
      <c r="H52" s="9">
        <f t="shared" si="27"/>
        <v>5.5307499999999989E-2</v>
      </c>
      <c r="I52" s="11"/>
      <c r="J52" s="65">
        <v>270</v>
      </c>
      <c r="K52" s="31">
        <f t="shared" si="25"/>
        <v>1.4700000000000273</v>
      </c>
      <c r="L52" s="14">
        <f t="shared" si="5"/>
        <v>3.6750000000000682E-4</v>
      </c>
      <c r="M52" s="9"/>
    </row>
    <row r="53" spans="2:13">
      <c r="B53" s="46"/>
      <c r="C53" s="7">
        <v>1.0416666666666801</v>
      </c>
      <c r="D53" s="7">
        <v>1.0520833333333499</v>
      </c>
      <c r="E53" s="30">
        <v>492.7</v>
      </c>
      <c r="F53" s="15">
        <v>273.08999999999997</v>
      </c>
      <c r="G53" s="4">
        <f t="shared" si="26"/>
        <v>219.61</v>
      </c>
      <c r="H53" s="9">
        <f t="shared" si="27"/>
        <v>5.4902500000000007E-2</v>
      </c>
      <c r="I53" s="11"/>
      <c r="J53" s="65">
        <v>270</v>
      </c>
      <c r="K53" s="31">
        <f t="shared" si="25"/>
        <v>3.089999999999975</v>
      </c>
      <c r="L53" s="14">
        <f t="shared" si="5"/>
        <v>7.7249999999999379E-4</v>
      </c>
      <c r="M53" s="9"/>
    </row>
    <row r="54" spans="2:13">
      <c r="B54" s="46"/>
      <c r="C54" s="7">
        <v>1.0520833333333499</v>
      </c>
      <c r="D54" s="7">
        <v>1.06250000000002</v>
      </c>
      <c r="E54" s="30">
        <v>492.7</v>
      </c>
      <c r="F54" s="15">
        <v>274.81</v>
      </c>
      <c r="G54" s="4">
        <f t="shared" si="26"/>
        <v>217.89</v>
      </c>
      <c r="H54" s="9">
        <f t="shared" si="27"/>
        <v>5.4472499999999993E-2</v>
      </c>
      <c r="I54" s="11"/>
      <c r="J54" s="65">
        <v>270</v>
      </c>
      <c r="K54" s="31">
        <f t="shared" si="25"/>
        <v>4.8100000000000023</v>
      </c>
      <c r="L54" s="14">
        <f t="shared" si="5"/>
        <v>1.2025000000000007E-3</v>
      </c>
      <c r="M54" s="9"/>
    </row>
    <row r="55" spans="2:13">
      <c r="B55" s="43"/>
      <c r="C55" s="7">
        <v>1.06250000000002</v>
      </c>
      <c r="D55" s="7">
        <v>1.0729166666666901</v>
      </c>
      <c r="E55" s="30">
        <v>492.7</v>
      </c>
      <c r="F55" s="15">
        <v>272.91000000000003</v>
      </c>
      <c r="G55" s="4">
        <f t="shared" si="26"/>
        <v>219.78999999999996</v>
      </c>
      <c r="H55" s="9">
        <f t="shared" si="27"/>
        <v>5.4947499999999989E-2</v>
      </c>
      <c r="I55" s="11"/>
      <c r="J55" s="29">
        <v>270</v>
      </c>
      <c r="K55" s="31">
        <f t="shared" si="25"/>
        <v>2.910000000000025</v>
      </c>
      <c r="L55" s="14">
        <f t="shared" si="5"/>
        <v>7.2750000000000624E-4</v>
      </c>
      <c r="M55" s="9"/>
    </row>
    <row r="56" spans="2:13">
      <c r="B56" s="43"/>
      <c r="C56" s="7">
        <v>1.0729166666666901</v>
      </c>
      <c r="D56" s="7">
        <v>1.0833333333333599</v>
      </c>
      <c r="E56" s="30">
        <v>492.7</v>
      </c>
      <c r="F56" s="15">
        <v>268.37</v>
      </c>
      <c r="G56" s="4">
        <f t="shared" si="26"/>
        <v>224.32999999999998</v>
      </c>
      <c r="H56" s="9">
        <f t="shared" si="27"/>
        <v>5.6082499999999993E-2</v>
      </c>
      <c r="I56" s="11"/>
      <c r="J56" s="29">
        <v>270</v>
      </c>
      <c r="K56" s="31">
        <f t="shared" si="25"/>
        <v>-1.6299999999999955</v>
      </c>
      <c r="L56" s="14">
        <f t="shared" si="5"/>
        <v>0</v>
      </c>
      <c r="M56" s="9"/>
    </row>
    <row r="57" spans="2:13">
      <c r="B57" s="46"/>
      <c r="C57" s="7">
        <v>1.0833333333333599</v>
      </c>
      <c r="D57" s="7">
        <v>1.09375000000003</v>
      </c>
      <c r="E57" s="30">
        <v>492.7</v>
      </c>
      <c r="F57" s="15">
        <v>267.51</v>
      </c>
      <c r="G57" s="4">
        <f t="shared" si="26"/>
        <v>225.19</v>
      </c>
      <c r="H57" s="9">
        <f t="shared" si="27"/>
        <v>5.62975E-2</v>
      </c>
      <c r="I57" s="11"/>
      <c r="J57" s="29">
        <v>270</v>
      </c>
      <c r="K57" s="31">
        <f t="shared" si="25"/>
        <v>-2.4900000000000091</v>
      </c>
      <c r="L57" s="14">
        <f t="shared" si="5"/>
        <v>0</v>
      </c>
      <c r="M57" s="9"/>
    </row>
    <row r="58" spans="2:13">
      <c r="B58" s="43"/>
      <c r="C58" s="7">
        <v>1.09375000000003</v>
      </c>
      <c r="D58" s="7">
        <v>1.1041666666667</v>
      </c>
      <c r="E58" s="30">
        <v>492.7</v>
      </c>
      <c r="F58" s="15">
        <v>272.39999999999998</v>
      </c>
      <c r="G58" s="4">
        <f t="shared" si="26"/>
        <v>220.3</v>
      </c>
      <c r="H58" s="9">
        <f t="shared" si="27"/>
        <v>5.5075000000000006E-2</v>
      </c>
      <c r="I58" s="11"/>
      <c r="J58" s="29">
        <v>270</v>
      </c>
      <c r="K58" s="31">
        <f t="shared" si="25"/>
        <v>2.3999999999999773</v>
      </c>
      <c r="L58" s="14">
        <f t="shared" si="5"/>
        <v>5.9999999999999431E-4</v>
      </c>
      <c r="M58" s="9"/>
    </row>
    <row r="59" spans="2:13">
      <c r="B59" s="46"/>
      <c r="C59" s="7">
        <v>1.1041666666667</v>
      </c>
      <c r="D59" s="7">
        <v>1.1145833333333699</v>
      </c>
      <c r="E59" s="30">
        <v>492.7</v>
      </c>
      <c r="F59" s="15">
        <v>269.24</v>
      </c>
      <c r="G59" s="4">
        <f t="shared" si="26"/>
        <v>223.45999999999998</v>
      </c>
      <c r="H59" s="9">
        <f t="shared" si="27"/>
        <v>5.5864999999999998E-2</v>
      </c>
      <c r="I59" s="11"/>
      <c r="J59" s="29">
        <v>270</v>
      </c>
      <c r="K59" s="31">
        <f t="shared" si="25"/>
        <v>-0.75999999999999091</v>
      </c>
      <c r="L59" s="14">
        <f t="shared" si="5"/>
        <v>0</v>
      </c>
      <c r="M59" s="9"/>
    </row>
    <row r="60" spans="2:13">
      <c r="B60" s="43"/>
      <c r="C60" s="7">
        <v>1.1145833333333699</v>
      </c>
      <c r="D60" s="7">
        <v>1.12500000000004</v>
      </c>
      <c r="E60" s="30">
        <v>492.7</v>
      </c>
      <c r="F60" s="15">
        <v>269.51</v>
      </c>
      <c r="G60" s="4">
        <f t="shared" si="26"/>
        <v>223.19</v>
      </c>
      <c r="H60" s="9">
        <f t="shared" si="27"/>
        <v>5.57975E-2</v>
      </c>
      <c r="I60" s="11"/>
      <c r="J60" s="29">
        <v>270</v>
      </c>
      <c r="K60" s="31">
        <f t="shared" si="25"/>
        <v>-0.49000000000000909</v>
      </c>
      <c r="L60" s="14">
        <f t="shared" si="5"/>
        <v>0</v>
      </c>
      <c r="M60" s="9"/>
    </row>
    <row r="61" spans="2:13">
      <c r="B61" s="43"/>
      <c r="C61" s="7">
        <v>1.12500000000004</v>
      </c>
      <c r="D61" s="7">
        <v>1.13541666666671</v>
      </c>
      <c r="E61" s="30">
        <v>492.7</v>
      </c>
      <c r="F61" s="15">
        <v>269.60000000000002</v>
      </c>
      <c r="G61" s="4">
        <f t="shared" si="26"/>
        <v>223.09999999999997</v>
      </c>
      <c r="H61" s="9">
        <f t="shared" si="27"/>
        <v>5.5774999999999991E-2</v>
      </c>
      <c r="I61" s="11"/>
      <c r="J61" s="29">
        <v>270</v>
      </c>
      <c r="K61" s="31">
        <f t="shared" si="25"/>
        <v>-0.39999999999997726</v>
      </c>
      <c r="L61" s="14">
        <f t="shared" si="5"/>
        <v>0</v>
      </c>
      <c r="M61" s="9"/>
    </row>
    <row r="62" spans="2:13">
      <c r="B62" s="43"/>
      <c r="C62" s="7">
        <v>1.13541666666671</v>
      </c>
      <c r="D62" s="35">
        <v>1.1458333333333801</v>
      </c>
      <c r="E62" s="30">
        <v>492.7</v>
      </c>
      <c r="F62" s="15">
        <v>300.70999999999998</v>
      </c>
      <c r="G62" s="4">
        <f t="shared" si="26"/>
        <v>191.99</v>
      </c>
      <c r="H62" s="9">
        <f t="shared" si="27"/>
        <v>4.7997500000000005E-2</v>
      </c>
      <c r="I62" s="11"/>
      <c r="J62" s="29">
        <f>J61+15</f>
        <v>285</v>
      </c>
      <c r="K62" s="31">
        <f t="shared" ref="K62:K67" si="28">J62-F62</f>
        <v>-15.70999999999998</v>
      </c>
      <c r="L62" s="14">
        <f t="shared" si="5"/>
        <v>0</v>
      </c>
      <c r="M62" s="9"/>
    </row>
    <row r="63" spans="2:13">
      <c r="B63" s="43"/>
      <c r="C63" s="7">
        <v>1.1458333333333801</v>
      </c>
      <c r="D63" s="7">
        <v>1.15625000000005</v>
      </c>
      <c r="E63" s="30">
        <v>492.7</v>
      </c>
      <c r="F63" s="15">
        <v>364.12</v>
      </c>
      <c r="G63" s="4">
        <f t="shared" si="26"/>
        <v>128.57999999999998</v>
      </c>
      <c r="H63" s="9">
        <f t="shared" si="27"/>
        <v>3.2144999999999993E-2</v>
      </c>
      <c r="I63" s="11"/>
      <c r="J63" s="29">
        <f>J62+40</f>
        <v>325</v>
      </c>
      <c r="K63" s="31">
        <f t="shared" si="28"/>
        <v>-39.120000000000005</v>
      </c>
      <c r="L63" s="14">
        <f t="shared" si="5"/>
        <v>0</v>
      </c>
      <c r="M63" s="9"/>
    </row>
    <row r="64" spans="2:13">
      <c r="B64" s="43"/>
      <c r="C64" s="7">
        <v>1.15625000000005</v>
      </c>
      <c r="D64" s="7">
        <v>1.16666666666672</v>
      </c>
      <c r="E64" s="30">
        <v>492.7</v>
      </c>
      <c r="F64" s="15">
        <v>422.71</v>
      </c>
      <c r="G64" s="4">
        <f t="shared" si="26"/>
        <v>69.990000000000009</v>
      </c>
      <c r="H64" s="9">
        <f t="shared" si="27"/>
        <v>1.7497500000000003E-2</v>
      </c>
      <c r="I64" s="11"/>
      <c r="J64" s="29">
        <f t="shared" ref="J64:J67" si="29">J63+40</f>
        <v>365</v>
      </c>
      <c r="K64" s="31">
        <f t="shared" si="28"/>
        <v>-57.70999999999998</v>
      </c>
      <c r="L64" s="14">
        <f t="shared" si="5"/>
        <v>0</v>
      </c>
      <c r="M64" s="9"/>
    </row>
    <row r="65" spans="2:13">
      <c r="B65" s="43"/>
      <c r="C65" s="7">
        <v>1.16666666666672</v>
      </c>
      <c r="D65" s="7">
        <v>1.1770833333333901</v>
      </c>
      <c r="E65" s="30">
        <v>492.7</v>
      </c>
      <c r="F65" s="15">
        <v>485.19</v>
      </c>
      <c r="G65" s="4">
        <f t="shared" si="26"/>
        <v>7.5099999999999909</v>
      </c>
      <c r="H65" s="9">
        <f t="shared" si="27"/>
        <v>1.8774999999999977E-3</v>
      </c>
      <c r="I65" s="11"/>
      <c r="J65" s="29">
        <f t="shared" si="29"/>
        <v>405</v>
      </c>
      <c r="K65" s="31">
        <f t="shared" si="28"/>
        <v>-80.19</v>
      </c>
      <c r="L65" s="14">
        <f t="shared" si="5"/>
        <v>0</v>
      </c>
      <c r="M65" s="9"/>
    </row>
    <row r="66" spans="2:13">
      <c r="B66" s="43"/>
      <c r="C66" s="7">
        <v>1.1770833333333901</v>
      </c>
      <c r="D66" s="7">
        <v>1.18750000000006</v>
      </c>
      <c r="E66" s="30">
        <v>492.7</v>
      </c>
      <c r="F66" s="15">
        <v>494.99</v>
      </c>
      <c r="G66" s="4">
        <f t="shared" si="26"/>
        <v>-2.2900000000000205</v>
      </c>
      <c r="H66" s="77">
        <v>0</v>
      </c>
      <c r="I66" s="11"/>
      <c r="J66" s="29">
        <f t="shared" si="29"/>
        <v>445</v>
      </c>
      <c r="K66" s="31">
        <f t="shared" si="28"/>
        <v>-49.990000000000009</v>
      </c>
      <c r="L66" s="14">
        <f t="shared" si="5"/>
        <v>0</v>
      </c>
      <c r="M66" s="9"/>
    </row>
    <row r="67" spans="2:13">
      <c r="B67" s="46"/>
      <c r="C67" s="7">
        <v>1.18750000000006</v>
      </c>
      <c r="D67" s="7">
        <v>1.19791666666673</v>
      </c>
      <c r="E67" s="30">
        <v>492.7</v>
      </c>
      <c r="F67" s="15">
        <v>501.29</v>
      </c>
      <c r="G67" s="4">
        <f t="shared" si="26"/>
        <v>-8.5900000000000318</v>
      </c>
      <c r="H67" s="77">
        <v>0</v>
      </c>
      <c r="I67" s="11"/>
      <c r="J67" s="29">
        <f t="shared" si="29"/>
        <v>485</v>
      </c>
      <c r="K67" s="31">
        <f t="shared" si="28"/>
        <v>-16.29000000000002</v>
      </c>
      <c r="L67" s="14">
        <f t="shared" si="5"/>
        <v>0</v>
      </c>
      <c r="M67" s="9"/>
    </row>
    <row r="68" spans="2:13">
      <c r="B68" s="43"/>
      <c r="C68" s="7"/>
      <c r="D68" s="7"/>
      <c r="E68" s="30"/>
      <c r="F68" s="36"/>
      <c r="G68" s="4"/>
      <c r="H68" s="9"/>
      <c r="I68" s="40">
        <f>SUM(H49:H67)</f>
        <v>0.81808249999999982</v>
      </c>
      <c r="J68" s="29"/>
      <c r="K68" s="31"/>
      <c r="L68" s="14"/>
      <c r="M68" s="9">
        <f>SUM(L49:L67)</f>
        <v>6.1749999999999973E-3</v>
      </c>
    </row>
    <row r="69" spans="2:13">
      <c r="B69" s="34">
        <v>46025</v>
      </c>
      <c r="C69" s="7">
        <v>1.4375000000001401</v>
      </c>
      <c r="D69" s="7">
        <v>1.4479166666668</v>
      </c>
      <c r="E69" s="30">
        <v>492.7</v>
      </c>
      <c r="F69" s="15">
        <v>470.72</v>
      </c>
      <c r="G69" s="4">
        <f t="shared" ref="G69" si="30">E69-F69</f>
        <v>21.979999999999961</v>
      </c>
      <c r="H69" s="9">
        <f t="shared" ref="H69" si="31">G69/4000</f>
        <v>5.4949999999999903E-3</v>
      </c>
      <c r="I69" s="11"/>
      <c r="J69" s="29">
        <f>E69-40</f>
        <v>452.7</v>
      </c>
      <c r="K69" s="31">
        <f t="shared" ref="K69:K81" si="32">F69-J69</f>
        <v>18.020000000000039</v>
      </c>
      <c r="L69" s="14"/>
      <c r="M69" s="9"/>
    </row>
    <row r="70" spans="2:13">
      <c r="B70" s="43"/>
      <c r="C70" s="7">
        <v>1.44791666666681</v>
      </c>
      <c r="D70" s="7">
        <v>1.45833333333347</v>
      </c>
      <c r="E70" s="30">
        <v>492.7</v>
      </c>
      <c r="F70" s="15">
        <v>408.51</v>
      </c>
      <c r="G70" s="4">
        <f t="shared" ref="G70:G73" si="33">E70-F70</f>
        <v>84.19</v>
      </c>
      <c r="H70" s="9">
        <f t="shared" ref="H70:H73" si="34">G70/4000</f>
        <v>2.10475E-2</v>
      </c>
      <c r="I70" s="11"/>
      <c r="J70" s="29">
        <f>J69-40</f>
        <v>412.7</v>
      </c>
      <c r="K70" s="31">
        <f t="shared" si="32"/>
        <v>-4.1899999999999977</v>
      </c>
      <c r="L70" s="14">
        <f t="shared" si="5"/>
        <v>0</v>
      </c>
      <c r="M70" s="9"/>
    </row>
    <row r="71" spans="2:13">
      <c r="B71" s="4"/>
      <c r="C71" s="7">
        <v>1.45833333333348</v>
      </c>
      <c r="D71" s="7">
        <v>1.4687500000001401</v>
      </c>
      <c r="E71" s="30">
        <v>492.7</v>
      </c>
      <c r="F71" s="15">
        <v>354.31</v>
      </c>
      <c r="G71" s="4">
        <f t="shared" si="33"/>
        <v>138.38999999999999</v>
      </c>
      <c r="H71" s="9">
        <f t="shared" si="34"/>
        <v>3.4597499999999996E-2</v>
      </c>
      <c r="I71" s="49"/>
      <c r="J71" s="29">
        <f t="shared" ref="J71:J73" si="35">J70-40</f>
        <v>372.7</v>
      </c>
      <c r="K71" s="31">
        <f t="shared" si="32"/>
        <v>-18.389999999999986</v>
      </c>
      <c r="L71" s="14">
        <f t="shared" si="5"/>
        <v>0</v>
      </c>
      <c r="M71" s="26"/>
    </row>
    <row r="72" spans="2:13">
      <c r="B72" s="47"/>
      <c r="C72" s="7">
        <v>1.4687500000001501</v>
      </c>
      <c r="D72" s="7">
        <v>1.47916666666681</v>
      </c>
      <c r="E72" s="30">
        <v>492.7</v>
      </c>
      <c r="F72" s="15">
        <v>284.89999999999998</v>
      </c>
      <c r="G72" s="4">
        <f t="shared" si="33"/>
        <v>207.8</v>
      </c>
      <c r="H72" s="9">
        <f t="shared" si="34"/>
        <v>5.1950000000000003E-2</v>
      </c>
      <c r="I72" s="11"/>
      <c r="J72" s="29">
        <f t="shared" si="35"/>
        <v>332.7</v>
      </c>
      <c r="K72" s="31">
        <f t="shared" si="32"/>
        <v>-47.800000000000011</v>
      </c>
      <c r="L72" s="14">
        <f t="shared" si="5"/>
        <v>0</v>
      </c>
      <c r="M72" s="9"/>
    </row>
    <row r="73" spans="2:13">
      <c r="B73" s="4"/>
      <c r="C73" s="7">
        <v>1.47916666666682</v>
      </c>
      <c r="D73" s="7">
        <v>1.48958333333348</v>
      </c>
      <c r="E73" s="30">
        <v>492.7</v>
      </c>
      <c r="F73" s="15">
        <v>271.88</v>
      </c>
      <c r="G73" s="4">
        <f t="shared" si="33"/>
        <v>220.82</v>
      </c>
      <c r="H73" s="9">
        <f t="shared" si="34"/>
        <v>5.5204999999999997E-2</v>
      </c>
      <c r="I73" s="11"/>
      <c r="J73" s="29">
        <f t="shared" si="35"/>
        <v>292.7</v>
      </c>
      <c r="K73" s="31">
        <f t="shared" si="32"/>
        <v>-20.819999999999993</v>
      </c>
      <c r="L73" s="14">
        <f t="shared" ref="L73:L132" si="36">IF(K73/4000&gt;0,K73/4000,0)</f>
        <v>0</v>
      </c>
      <c r="M73" s="9"/>
    </row>
    <row r="74" spans="2:13">
      <c r="B74" s="47"/>
      <c r="C74" s="7">
        <v>1.48958333333349</v>
      </c>
      <c r="D74" s="7">
        <v>1.5000000000001501</v>
      </c>
      <c r="E74" s="30">
        <v>492.7</v>
      </c>
      <c r="F74" s="15">
        <v>267.29000000000002</v>
      </c>
      <c r="G74" s="4">
        <f t="shared" ref="G74:G86" si="37">E74-F74</f>
        <v>225.40999999999997</v>
      </c>
      <c r="H74" s="9">
        <f t="shared" ref="H74:H86" si="38">G74/4000</f>
        <v>5.6352499999999993E-2</v>
      </c>
      <c r="I74" s="11"/>
      <c r="J74" s="29">
        <v>270</v>
      </c>
      <c r="K74" s="31">
        <f t="shared" si="32"/>
        <v>-2.7099999999999795</v>
      </c>
      <c r="L74" s="14">
        <f t="shared" si="36"/>
        <v>0</v>
      </c>
      <c r="M74" s="9"/>
    </row>
    <row r="75" spans="2:13">
      <c r="B75" s="4"/>
      <c r="C75" s="7">
        <v>1.5000000000001601</v>
      </c>
      <c r="D75" s="7">
        <v>1.51041666666682</v>
      </c>
      <c r="E75" s="30">
        <v>492.7</v>
      </c>
      <c r="F75" s="15">
        <v>268.37</v>
      </c>
      <c r="G75" s="4">
        <f t="shared" si="37"/>
        <v>224.32999999999998</v>
      </c>
      <c r="H75" s="9">
        <f t="shared" si="38"/>
        <v>5.6082499999999993E-2</v>
      </c>
      <c r="I75" s="40"/>
      <c r="J75" s="29">
        <v>270</v>
      </c>
      <c r="K75" s="31">
        <f t="shared" si="32"/>
        <v>-1.6299999999999955</v>
      </c>
      <c r="L75" s="14">
        <f t="shared" si="36"/>
        <v>0</v>
      </c>
      <c r="M75" s="9"/>
    </row>
    <row r="76" spans="2:13">
      <c r="B76" s="47"/>
      <c r="C76" s="7">
        <v>1.5104166666668299</v>
      </c>
      <c r="D76" s="7">
        <v>1.52083333333349</v>
      </c>
      <c r="E76" s="30">
        <v>492.7</v>
      </c>
      <c r="F76" s="15">
        <v>269.08999999999997</v>
      </c>
      <c r="G76" s="4">
        <f t="shared" si="37"/>
        <v>223.61</v>
      </c>
      <c r="H76" s="9">
        <f t="shared" si="38"/>
        <v>5.5902500000000001E-2</v>
      </c>
      <c r="I76" s="11"/>
      <c r="J76" s="29">
        <v>270</v>
      </c>
      <c r="K76" s="31">
        <f t="shared" si="32"/>
        <v>-0.91000000000002501</v>
      </c>
      <c r="L76" s="14">
        <f t="shared" si="36"/>
        <v>0</v>
      </c>
      <c r="M76" s="9"/>
    </row>
    <row r="77" spans="2:13">
      <c r="B77" s="4"/>
      <c r="C77" s="7">
        <v>1.5208333333335</v>
      </c>
      <c r="D77" s="7">
        <v>1.5312500000001601</v>
      </c>
      <c r="E77" s="30">
        <v>492.7</v>
      </c>
      <c r="F77" s="15">
        <v>268.23</v>
      </c>
      <c r="G77" s="4">
        <f t="shared" si="37"/>
        <v>224.46999999999997</v>
      </c>
      <c r="H77" s="9">
        <f t="shared" si="38"/>
        <v>5.6117499999999994E-2</v>
      </c>
      <c r="I77" s="11"/>
      <c r="J77" s="29">
        <v>270</v>
      </c>
      <c r="K77" s="31">
        <f t="shared" si="32"/>
        <v>-1.7699999999999818</v>
      </c>
      <c r="L77" s="14">
        <f t="shared" si="36"/>
        <v>0</v>
      </c>
      <c r="M77" s="9"/>
    </row>
    <row r="78" spans="2:13">
      <c r="B78" s="4"/>
      <c r="C78" s="7">
        <v>1.5312500000001701</v>
      </c>
      <c r="D78" s="7">
        <v>1.5416666666668299</v>
      </c>
      <c r="E78" s="30">
        <v>492.7</v>
      </c>
      <c r="F78" s="15">
        <v>266.49</v>
      </c>
      <c r="G78" s="4">
        <f t="shared" si="37"/>
        <v>226.20999999999998</v>
      </c>
      <c r="H78" s="9">
        <f t="shared" si="38"/>
        <v>5.6552499999999992E-2</v>
      </c>
      <c r="I78" s="11"/>
      <c r="J78" s="29">
        <v>270</v>
      </c>
      <c r="K78" s="31">
        <f t="shared" si="32"/>
        <v>-3.5099999999999909</v>
      </c>
      <c r="L78" s="14">
        <f t="shared" si="36"/>
        <v>0</v>
      </c>
      <c r="M78" s="9"/>
    </row>
    <row r="79" spans="2:13" ht="15.75" thickBot="1">
      <c r="B79" s="47"/>
      <c r="C79" s="7">
        <v>1.5416666666668399</v>
      </c>
      <c r="D79" s="7">
        <v>1.5520833333335</v>
      </c>
      <c r="E79" s="30">
        <v>492.7</v>
      </c>
      <c r="F79" s="15">
        <v>267.77999999999997</v>
      </c>
      <c r="G79" s="4">
        <f t="shared" si="37"/>
        <v>224.92000000000002</v>
      </c>
      <c r="H79" s="9">
        <f t="shared" si="38"/>
        <v>5.6230000000000002E-2</v>
      </c>
      <c r="I79" s="33"/>
      <c r="J79" s="29">
        <v>270</v>
      </c>
      <c r="K79" s="31">
        <f t="shared" si="32"/>
        <v>-2.2200000000000273</v>
      </c>
      <c r="L79" s="14">
        <f t="shared" si="36"/>
        <v>0</v>
      </c>
      <c r="M79" s="19"/>
    </row>
    <row r="80" spans="2:13">
      <c r="B80" s="4"/>
      <c r="C80" s="7">
        <v>1.55208333333351</v>
      </c>
      <c r="D80" s="7">
        <v>1.5625000000001701</v>
      </c>
      <c r="E80" s="30">
        <v>492.7</v>
      </c>
      <c r="F80" s="15">
        <v>270.72000000000003</v>
      </c>
      <c r="G80" s="4">
        <f t="shared" si="37"/>
        <v>221.97999999999996</v>
      </c>
      <c r="H80" s="9">
        <f t="shared" si="38"/>
        <v>5.5494999999999989E-2</v>
      </c>
      <c r="I80" s="25"/>
      <c r="J80" s="29">
        <v>270</v>
      </c>
      <c r="K80" s="31">
        <f t="shared" si="32"/>
        <v>0.72000000000002728</v>
      </c>
      <c r="L80" s="14">
        <f t="shared" si="36"/>
        <v>1.8000000000000681E-4</v>
      </c>
      <c r="M80" s="26"/>
    </row>
    <row r="81" spans="2:13">
      <c r="B81" s="47"/>
      <c r="C81" s="7">
        <v>1.5625000000001801</v>
      </c>
      <c r="D81" s="35">
        <v>1.5729166666668399</v>
      </c>
      <c r="E81" s="30">
        <v>492.7</v>
      </c>
      <c r="F81" s="15">
        <v>270.33999999999997</v>
      </c>
      <c r="G81" s="4">
        <f t="shared" si="37"/>
        <v>222.36</v>
      </c>
      <c r="H81" s="9">
        <f t="shared" si="38"/>
        <v>5.5590000000000001E-2</v>
      </c>
      <c r="I81" s="11"/>
      <c r="J81" s="29">
        <v>270</v>
      </c>
      <c r="K81" s="31">
        <f t="shared" si="32"/>
        <v>0.33999999999997499</v>
      </c>
      <c r="L81" s="14">
        <f t="shared" si="36"/>
        <v>8.4999999999993745E-5</v>
      </c>
      <c r="M81" s="9"/>
    </row>
    <row r="82" spans="2:13">
      <c r="B82" s="47"/>
      <c r="C82" s="7">
        <v>1.5729166666668499</v>
      </c>
      <c r="D82" s="7">
        <v>1.58333333333351</v>
      </c>
      <c r="E82" s="30">
        <v>492.7</v>
      </c>
      <c r="F82" s="15">
        <v>287.77999999999997</v>
      </c>
      <c r="G82" s="4">
        <f t="shared" si="37"/>
        <v>204.92000000000002</v>
      </c>
      <c r="H82" s="9">
        <f t="shared" si="38"/>
        <v>5.1230000000000005E-2</v>
      </c>
      <c r="I82" s="11"/>
      <c r="J82" s="29">
        <f>J81+40</f>
        <v>310</v>
      </c>
      <c r="K82" s="31">
        <f>J82-F82</f>
        <v>22.220000000000027</v>
      </c>
      <c r="L82" s="14">
        <f t="shared" si="36"/>
        <v>5.555000000000007E-3</v>
      </c>
      <c r="M82" s="9"/>
    </row>
    <row r="83" spans="2:13">
      <c r="B83" s="47"/>
      <c r="C83" s="7">
        <v>1.58333333333352</v>
      </c>
      <c r="D83" s="7">
        <v>1.5937500000001801</v>
      </c>
      <c r="E83" s="30">
        <v>492.7</v>
      </c>
      <c r="F83" s="15">
        <v>339.18</v>
      </c>
      <c r="G83" s="4">
        <f t="shared" si="37"/>
        <v>153.51999999999998</v>
      </c>
      <c r="H83" s="9">
        <f t="shared" si="38"/>
        <v>3.8379999999999997E-2</v>
      </c>
      <c r="I83" s="11"/>
      <c r="J83" s="29">
        <f t="shared" ref="J83:J86" si="39">J82+40</f>
        <v>350</v>
      </c>
      <c r="K83" s="31">
        <f t="shared" ref="K83:K86" si="40">J83-F83</f>
        <v>10.819999999999993</v>
      </c>
      <c r="L83" s="14">
        <f t="shared" si="36"/>
        <v>2.7049999999999982E-3</v>
      </c>
      <c r="M83" s="9"/>
    </row>
    <row r="84" spans="2:13">
      <c r="B84" s="47"/>
      <c r="C84" s="7">
        <v>1.5937500000001901</v>
      </c>
      <c r="D84" s="7">
        <v>1.6041666666668499</v>
      </c>
      <c r="E84" s="30">
        <v>492.7</v>
      </c>
      <c r="F84" s="15">
        <v>409.55</v>
      </c>
      <c r="G84" s="4">
        <f t="shared" si="37"/>
        <v>83.149999999999977</v>
      </c>
      <c r="H84" s="9">
        <f t="shared" si="38"/>
        <v>2.0787499999999993E-2</v>
      </c>
      <c r="I84" s="11"/>
      <c r="J84" s="29">
        <f t="shared" si="39"/>
        <v>390</v>
      </c>
      <c r="K84" s="31">
        <f t="shared" si="40"/>
        <v>-19.550000000000011</v>
      </c>
      <c r="L84" s="14">
        <f t="shared" si="36"/>
        <v>0</v>
      </c>
      <c r="M84" s="9"/>
    </row>
    <row r="85" spans="2:13">
      <c r="B85" s="47"/>
      <c r="C85" s="7">
        <v>1.6041666666668599</v>
      </c>
      <c r="D85" s="7">
        <v>1.61458333333352</v>
      </c>
      <c r="E85" s="30">
        <v>492.7</v>
      </c>
      <c r="F85" s="15">
        <v>487.97</v>
      </c>
      <c r="G85" s="4">
        <f t="shared" si="37"/>
        <v>4.7299999999999613</v>
      </c>
      <c r="H85" s="9">
        <f t="shared" si="38"/>
        <v>1.1824999999999904E-3</v>
      </c>
      <c r="I85" s="11"/>
      <c r="J85" s="29">
        <f t="shared" si="39"/>
        <v>430</v>
      </c>
      <c r="K85" s="31">
        <f t="shared" si="40"/>
        <v>-57.970000000000027</v>
      </c>
      <c r="L85" s="14">
        <f t="shared" si="36"/>
        <v>0</v>
      </c>
      <c r="M85" s="9"/>
    </row>
    <row r="86" spans="2:13">
      <c r="B86" s="47"/>
      <c r="C86" s="7">
        <v>1.61458333333353</v>
      </c>
      <c r="D86" s="7">
        <v>1.6250000000001901</v>
      </c>
      <c r="E86" s="30">
        <v>492.7</v>
      </c>
      <c r="F86" s="15">
        <v>492.83</v>
      </c>
      <c r="G86" s="4">
        <f t="shared" si="37"/>
        <v>-0.12999999999999545</v>
      </c>
      <c r="H86" s="76">
        <f t="shared" si="38"/>
        <v>-3.2499999999998866E-5</v>
      </c>
      <c r="I86" s="11"/>
      <c r="J86" s="29">
        <f t="shared" si="39"/>
        <v>470</v>
      </c>
      <c r="K86" s="31">
        <f t="shared" si="40"/>
        <v>-22.829999999999984</v>
      </c>
      <c r="L86" s="14">
        <f t="shared" si="36"/>
        <v>0</v>
      </c>
      <c r="M86" s="9"/>
    </row>
    <row r="87" spans="2:13">
      <c r="B87" s="47"/>
      <c r="C87" s="7"/>
      <c r="D87" s="7"/>
      <c r="E87" s="30"/>
      <c r="F87" s="15"/>
      <c r="G87" s="4"/>
      <c r="H87" s="9"/>
      <c r="I87" s="40">
        <f>SUM(H69:H86)</f>
        <v>0.72816499999999984</v>
      </c>
      <c r="J87" s="29"/>
      <c r="K87" s="31"/>
      <c r="L87" s="14"/>
      <c r="M87" s="9">
        <f>SUM(L69:L86)</f>
        <v>8.5250000000000048E-3</v>
      </c>
    </row>
    <row r="88" spans="2:13">
      <c r="B88" s="34">
        <v>46025</v>
      </c>
      <c r="C88" s="7">
        <v>1.84375000000028</v>
      </c>
      <c r="D88" s="7">
        <v>1.8541666666669301</v>
      </c>
      <c r="E88" s="30">
        <v>492.7</v>
      </c>
      <c r="F88" s="15">
        <v>467.08</v>
      </c>
      <c r="G88" s="4">
        <f t="shared" ref="G88:G145" si="41">E88-F88</f>
        <v>25.620000000000005</v>
      </c>
      <c r="H88" s="9">
        <f t="shared" ref="H88:H145" si="42">G88/4000</f>
        <v>6.405000000000001E-3</v>
      </c>
      <c r="I88" s="11"/>
      <c r="J88" s="29">
        <f>E88-40</f>
        <v>452.7</v>
      </c>
      <c r="K88" s="31">
        <f>F88-J88</f>
        <v>14.379999999999995</v>
      </c>
      <c r="L88" s="14"/>
      <c r="M88" s="9"/>
    </row>
    <row r="89" spans="2:13">
      <c r="B89" s="47"/>
      <c r="C89" s="7">
        <v>1.8541666666669501</v>
      </c>
      <c r="D89" s="35">
        <v>1.8645833333335999</v>
      </c>
      <c r="E89" s="30">
        <v>492.7</v>
      </c>
      <c r="F89" s="15">
        <v>397.45</v>
      </c>
      <c r="G89" s="4">
        <f t="shared" si="41"/>
        <v>95.25</v>
      </c>
      <c r="H89" s="9">
        <f t="shared" si="42"/>
        <v>2.38125E-2</v>
      </c>
      <c r="I89" s="11"/>
      <c r="J89" s="30">
        <f>J88-27.5</f>
        <v>425.2</v>
      </c>
      <c r="K89" s="31">
        <f>F89-J89</f>
        <v>-27.75</v>
      </c>
      <c r="L89" s="14">
        <f t="shared" si="36"/>
        <v>0</v>
      </c>
      <c r="M89" s="9"/>
    </row>
    <row r="90" spans="2:13">
      <c r="B90" s="4"/>
      <c r="C90" s="7">
        <v>1.8645833333336199</v>
      </c>
      <c r="D90" s="7">
        <v>1.87500000000027</v>
      </c>
      <c r="E90" s="30">
        <v>492.7</v>
      </c>
      <c r="F90" s="15">
        <v>441.81</v>
      </c>
      <c r="G90" s="4">
        <f t="shared" si="41"/>
        <v>50.889999999999986</v>
      </c>
      <c r="H90" s="9">
        <f t="shared" si="42"/>
        <v>1.2722499999999996E-2</v>
      </c>
      <c r="I90" s="40"/>
      <c r="J90" s="29">
        <f>J89+40</f>
        <v>465.2</v>
      </c>
      <c r="K90" s="31">
        <f>J90-F90</f>
        <v>23.389999999999986</v>
      </c>
      <c r="L90" s="14">
        <f t="shared" si="36"/>
        <v>5.8474999999999968E-3</v>
      </c>
      <c r="M90" s="9"/>
    </row>
    <row r="91" spans="2:13">
      <c r="B91" s="47"/>
      <c r="C91" s="7">
        <v>1.87500000000029</v>
      </c>
      <c r="D91" s="7">
        <v>1.8854166666669401</v>
      </c>
      <c r="E91" s="30">
        <v>492.7</v>
      </c>
      <c r="F91" s="15">
        <v>495.55</v>
      </c>
      <c r="G91" s="4">
        <f t="shared" si="41"/>
        <v>-2.8500000000000227</v>
      </c>
      <c r="H91" s="76">
        <v>0</v>
      </c>
      <c r="I91" s="11"/>
      <c r="J91" s="30">
        <v>492.7</v>
      </c>
      <c r="K91" s="31">
        <f>J91-F91</f>
        <v>-2.8500000000000227</v>
      </c>
      <c r="L91" s="14">
        <f t="shared" si="36"/>
        <v>0</v>
      </c>
      <c r="M91" s="9"/>
    </row>
    <row r="92" spans="2:13">
      <c r="B92" s="4"/>
      <c r="C92" s="7"/>
      <c r="D92" s="7"/>
      <c r="E92" s="30"/>
      <c r="F92" s="15"/>
      <c r="G92" s="4"/>
      <c r="H92" s="9"/>
      <c r="I92" s="40">
        <f>SUM(H88:H91)</f>
        <v>4.2939999999999999E-2</v>
      </c>
      <c r="J92" s="29"/>
      <c r="K92" s="31"/>
      <c r="L92" s="14"/>
      <c r="M92" s="40">
        <f>SUM(L88:L91)</f>
        <v>5.8474999999999968E-3</v>
      </c>
    </row>
    <row r="93" spans="2:13">
      <c r="B93" s="34">
        <v>46025</v>
      </c>
      <c r="C93" s="7">
        <v>1.9166666666669701</v>
      </c>
      <c r="D93" s="7">
        <v>1.9270833333336199</v>
      </c>
      <c r="E93" s="30">
        <v>492.7</v>
      </c>
      <c r="F93" s="15">
        <v>469.67</v>
      </c>
      <c r="G93" s="4">
        <f t="shared" si="41"/>
        <v>23.029999999999973</v>
      </c>
      <c r="H93" s="9">
        <f t="shared" si="42"/>
        <v>5.7574999999999935E-3</v>
      </c>
      <c r="I93" s="40"/>
      <c r="J93" s="29">
        <f>E93-27.5</f>
        <v>465.2</v>
      </c>
      <c r="K93" s="31">
        <f>F93-J93</f>
        <v>4.4700000000000273</v>
      </c>
      <c r="L93" s="14"/>
      <c r="M93" s="9"/>
    </row>
    <row r="94" spans="2:13">
      <c r="B94" s="47"/>
      <c r="C94" s="7">
        <v>1.9270833333336399</v>
      </c>
      <c r="D94" s="7">
        <v>1.93750000000029</v>
      </c>
      <c r="E94" s="30">
        <v>492.7</v>
      </c>
      <c r="F94" s="15">
        <v>421.3</v>
      </c>
      <c r="G94" s="4">
        <f t="shared" si="41"/>
        <v>71.399999999999977</v>
      </c>
      <c r="H94" s="9">
        <f t="shared" si="42"/>
        <v>1.7849999999999994E-2</v>
      </c>
      <c r="I94" s="11"/>
      <c r="J94" s="29">
        <f>J93-40</f>
        <v>425.2</v>
      </c>
      <c r="K94" s="31">
        <f t="shared" ref="K94:K100" si="43">F94-J94</f>
        <v>-3.8999999999999773</v>
      </c>
      <c r="L94" s="14">
        <f t="shared" si="36"/>
        <v>0</v>
      </c>
      <c r="M94" s="9"/>
    </row>
    <row r="95" spans="2:13">
      <c r="B95" s="47"/>
      <c r="C95" s="7">
        <v>1.93750000000031</v>
      </c>
      <c r="D95" s="7">
        <v>1.9479166666669601</v>
      </c>
      <c r="E95" s="30">
        <v>492.7</v>
      </c>
      <c r="F95" s="15">
        <v>385.96</v>
      </c>
      <c r="G95" s="4">
        <f t="shared" si="41"/>
        <v>106.74000000000001</v>
      </c>
      <c r="H95" s="9">
        <f t="shared" si="42"/>
        <v>2.6685000000000004E-2</v>
      </c>
      <c r="I95" s="11"/>
      <c r="J95" s="29">
        <f t="shared" ref="J95:J97" si="44">J94-40</f>
        <v>385.2</v>
      </c>
      <c r="K95" s="31">
        <f t="shared" si="43"/>
        <v>0.75999999999999091</v>
      </c>
      <c r="L95" s="14">
        <f t="shared" si="36"/>
        <v>1.8999999999999773E-4</v>
      </c>
      <c r="M95" s="9"/>
    </row>
    <row r="96" spans="2:13">
      <c r="B96" s="4"/>
      <c r="C96" s="7">
        <v>1.94791666666698</v>
      </c>
      <c r="D96" s="7">
        <v>1.9583333333336299</v>
      </c>
      <c r="E96" s="30">
        <v>492.7</v>
      </c>
      <c r="F96" s="15">
        <v>353.77</v>
      </c>
      <c r="G96" s="4">
        <f t="shared" si="41"/>
        <v>138.93</v>
      </c>
      <c r="H96" s="9">
        <f t="shared" si="42"/>
        <v>3.4732499999999999E-2</v>
      </c>
      <c r="I96" s="40"/>
      <c r="J96" s="29">
        <f t="shared" si="44"/>
        <v>345.2</v>
      </c>
      <c r="K96" s="31">
        <f t="shared" si="43"/>
        <v>8.5699999999999932</v>
      </c>
      <c r="L96" s="14">
        <f t="shared" si="36"/>
        <v>2.1424999999999981E-3</v>
      </c>
      <c r="M96" s="9"/>
    </row>
    <row r="97" spans="2:13" ht="15.75" thickBot="1">
      <c r="B97" s="47"/>
      <c r="C97" s="7">
        <v>1.9583333333336499</v>
      </c>
      <c r="D97" s="7">
        <v>1.9687500000003</v>
      </c>
      <c r="E97" s="30">
        <v>492.7</v>
      </c>
      <c r="F97" s="15">
        <v>301.66000000000003</v>
      </c>
      <c r="G97" s="4">
        <f t="shared" si="41"/>
        <v>191.03999999999996</v>
      </c>
      <c r="H97" s="9">
        <f t="shared" si="42"/>
        <v>4.775999999999999E-2</v>
      </c>
      <c r="I97" s="33"/>
      <c r="J97" s="29">
        <f t="shared" si="44"/>
        <v>305.2</v>
      </c>
      <c r="K97" s="31">
        <f t="shared" si="43"/>
        <v>-3.5399999999999636</v>
      </c>
      <c r="L97" s="14">
        <f t="shared" si="36"/>
        <v>0</v>
      </c>
      <c r="M97" s="19"/>
    </row>
    <row r="98" spans="2:13" ht="15.75" thickBot="1">
      <c r="B98" s="47"/>
      <c r="C98" s="7">
        <v>1.96875000000032</v>
      </c>
      <c r="D98" s="7">
        <v>1.9791666666669701</v>
      </c>
      <c r="E98" s="30">
        <v>492.7</v>
      </c>
      <c r="F98" s="15">
        <v>271.14</v>
      </c>
      <c r="G98" s="4">
        <f t="shared" si="41"/>
        <v>221.56</v>
      </c>
      <c r="H98" s="9">
        <f t="shared" si="42"/>
        <v>5.5390000000000002E-2</v>
      </c>
      <c r="I98" s="33"/>
      <c r="J98" s="29">
        <v>270</v>
      </c>
      <c r="K98" s="31">
        <f t="shared" si="43"/>
        <v>1.1399999999999864</v>
      </c>
      <c r="L98" s="14">
        <f t="shared" si="36"/>
        <v>2.8499999999999657E-4</v>
      </c>
      <c r="M98" s="9"/>
    </row>
    <row r="99" spans="2:13">
      <c r="B99" s="47"/>
      <c r="C99" s="7">
        <v>1.97916666666699</v>
      </c>
      <c r="D99" s="7">
        <v>1.9895833333336399</v>
      </c>
      <c r="E99" s="30">
        <v>492.7</v>
      </c>
      <c r="F99" s="15">
        <v>268.51</v>
      </c>
      <c r="G99" s="4">
        <f t="shared" si="41"/>
        <v>224.19</v>
      </c>
      <c r="H99" s="9">
        <f t="shared" si="42"/>
        <v>5.60475E-2</v>
      </c>
      <c r="I99" s="11"/>
      <c r="J99" s="29">
        <v>270</v>
      </c>
      <c r="K99" s="31">
        <f t="shared" si="43"/>
        <v>-1.4900000000000091</v>
      </c>
      <c r="L99" s="14">
        <f t="shared" si="36"/>
        <v>0</v>
      </c>
      <c r="M99" s="9"/>
    </row>
    <row r="100" spans="2:13" ht="15.75" thickBot="1">
      <c r="B100" s="47"/>
      <c r="C100" s="7">
        <v>1.9895833333336601</v>
      </c>
      <c r="D100" s="35">
        <v>2.00000000000031</v>
      </c>
      <c r="E100" s="30">
        <v>492.7</v>
      </c>
      <c r="F100" s="48">
        <v>268.60000000000002</v>
      </c>
      <c r="G100" s="4">
        <f t="shared" si="41"/>
        <v>224.09999999999997</v>
      </c>
      <c r="H100" s="9">
        <f t="shared" si="42"/>
        <v>5.6024999999999991E-2</v>
      </c>
      <c r="I100" s="33"/>
      <c r="J100" s="29">
        <v>270</v>
      </c>
      <c r="K100" s="31">
        <f t="shared" si="43"/>
        <v>-1.3999999999999773</v>
      </c>
      <c r="L100" s="14">
        <f t="shared" si="36"/>
        <v>0</v>
      </c>
      <c r="M100" s="19"/>
    </row>
    <row r="101" spans="2:13">
      <c r="B101" s="47"/>
      <c r="C101" s="7"/>
      <c r="D101" s="7"/>
      <c r="E101" s="30"/>
      <c r="F101" s="15"/>
      <c r="G101" s="4"/>
      <c r="H101" s="9"/>
      <c r="I101" s="25">
        <f>SUM(H93:H100)</f>
        <v>0.3002475</v>
      </c>
      <c r="J101" s="29"/>
      <c r="K101" s="31"/>
      <c r="L101" s="14"/>
      <c r="M101" s="26">
        <f>SUM(L93:L100)</f>
        <v>2.6174999999999927E-3</v>
      </c>
    </row>
    <row r="102" spans="2:13">
      <c r="B102" s="34">
        <v>46026</v>
      </c>
      <c r="C102" s="7">
        <v>1</v>
      </c>
      <c r="D102" s="7">
        <v>1.0104166666666701</v>
      </c>
      <c r="E102" s="30">
        <v>492.7</v>
      </c>
      <c r="F102" s="15">
        <v>270.08</v>
      </c>
      <c r="G102" s="4">
        <f t="shared" si="41"/>
        <v>222.62</v>
      </c>
      <c r="H102" s="9">
        <f t="shared" si="42"/>
        <v>5.5655000000000003E-2</v>
      </c>
      <c r="I102" s="11"/>
      <c r="J102" s="29">
        <f>J100</f>
        <v>270</v>
      </c>
      <c r="K102" s="31">
        <f>F102-J102</f>
        <v>7.9999999999984084E-2</v>
      </c>
      <c r="L102" s="14"/>
      <c r="M102" s="9"/>
    </row>
    <row r="103" spans="2:13">
      <c r="B103" s="47"/>
      <c r="C103" s="7">
        <v>1.0104166666666701</v>
      </c>
      <c r="D103" s="7">
        <v>1.0208333333333399</v>
      </c>
      <c r="E103" s="30">
        <v>492.7</v>
      </c>
      <c r="F103" s="15">
        <v>274.14</v>
      </c>
      <c r="G103" s="4">
        <f t="shared" si="41"/>
        <v>218.56</v>
      </c>
      <c r="H103" s="9">
        <f t="shared" si="42"/>
        <v>5.4640000000000001E-2</v>
      </c>
      <c r="I103" s="11"/>
      <c r="J103" s="65">
        <v>270</v>
      </c>
      <c r="K103" s="31">
        <f t="shared" ref="K103:K112" si="45">F103-J103</f>
        <v>4.1399999999999864</v>
      </c>
      <c r="L103" s="14">
        <f t="shared" si="36"/>
        <v>1.0349999999999966E-3</v>
      </c>
      <c r="M103" s="9"/>
    </row>
    <row r="104" spans="2:13">
      <c r="B104" s="47"/>
      <c r="C104" s="7">
        <v>1.0208333333333399</v>
      </c>
      <c r="D104" s="7">
        <v>1.03125000000001</v>
      </c>
      <c r="E104" s="30">
        <v>492.7</v>
      </c>
      <c r="F104" s="15">
        <v>276.39</v>
      </c>
      <c r="G104" s="4">
        <f t="shared" si="41"/>
        <v>216.31</v>
      </c>
      <c r="H104" s="9">
        <f t="shared" si="42"/>
        <v>5.4077500000000001E-2</v>
      </c>
      <c r="I104" s="11"/>
      <c r="J104" s="65">
        <v>270</v>
      </c>
      <c r="K104" s="31">
        <f t="shared" si="45"/>
        <v>6.3899999999999864</v>
      </c>
      <c r="L104" s="14">
        <f t="shared" si="36"/>
        <v>1.5974999999999965E-3</v>
      </c>
      <c r="M104" s="9"/>
    </row>
    <row r="105" spans="2:13">
      <c r="B105" s="47"/>
      <c r="C105" s="7">
        <v>1.03125000000001</v>
      </c>
      <c r="D105" s="7">
        <v>1.0416666666666801</v>
      </c>
      <c r="E105" s="30">
        <v>492.7</v>
      </c>
      <c r="F105" s="15">
        <v>272.98</v>
      </c>
      <c r="G105" s="4">
        <f t="shared" si="41"/>
        <v>219.71999999999997</v>
      </c>
      <c r="H105" s="9">
        <f t="shared" si="42"/>
        <v>5.4929999999999993E-2</v>
      </c>
      <c r="I105" s="11"/>
      <c r="J105" s="65">
        <v>270</v>
      </c>
      <c r="K105" s="31">
        <f t="shared" si="45"/>
        <v>2.9800000000000182</v>
      </c>
      <c r="L105" s="14">
        <f t="shared" si="36"/>
        <v>7.4500000000000456E-4</v>
      </c>
      <c r="M105" s="9"/>
    </row>
    <row r="106" spans="2:13">
      <c r="B106" s="4"/>
      <c r="C106" s="7">
        <v>1.0416666666666801</v>
      </c>
      <c r="D106" s="7">
        <v>1.0520833333333499</v>
      </c>
      <c r="E106" s="30">
        <v>492.7</v>
      </c>
      <c r="F106" s="15">
        <v>272.42</v>
      </c>
      <c r="G106" s="4">
        <f t="shared" si="41"/>
        <v>220.27999999999997</v>
      </c>
      <c r="H106" s="9">
        <f t="shared" si="42"/>
        <v>5.5069999999999994E-2</v>
      </c>
      <c r="I106" s="11"/>
      <c r="J106" s="65">
        <v>270</v>
      </c>
      <c r="K106" s="31">
        <f t="shared" si="45"/>
        <v>2.4200000000000159</v>
      </c>
      <c r="L106" s="14">
        <f t="shared" si="36"/>
        <v>6.0500000000000397E-4</v>
      </c>
      <c r="M106" s="9"/>
    </row>
    <row r="107" spans="2:13">
      <c r="B107" s="4"/>
      <c r="C107" s="7">
        <v>1.0520833333333499</v>
      </c>
      <c r="D107" s="7">
        <v>1.06250000000002</v>
      </c>
      <c r="E107" s="30">
        <v>492.7</v>
      </c>
      <c r="F107" s="15">
        <v>271.02999999999997</v>
      </c>
      <c r="G107" s="4">
        <f t="shared" si="41"/>
        <v>221.67000000000002</v>
      </c>
      <c r="H107" s="9">
        <f t="shared" si="42"/>
        <v>5.5417500000000001E-2</v>
      </c>
      <c r="I107" s="11"/>
      <c r="J107" s="65">
        <v>270</v>
      </c>
      <c r="K107" s="31">
        <f t="shared" si="45"/>
        <v>1.0299999999999727</v>
      </c>
      <c r="L107" s="14">
        <f t="shared" si="36"/>
        <v>2.5749999999999319E-4</v>
      </c>
      <c r="M107" s="9"/>
    </row>
    <row r="108" spans="2:13">
      <c r="B108" s="4"/>
      <c r="C108" s="7">
        <v>1.06250000000002</v>
      </c>
      <c r="D108" s="7">
        <v>1.0729166666666901</v>
      </c>
      <c r="E108" s="30">
        <v>492.7</v>
      </c>
      <c r="F108" s="15">
        <v>273.62</v>
      </c>
      <c r="G108" s="4">
        <f t="shared" si="41"/>
        <v>219.07999999999998</v>
      </c>
      <c r="H108" s="9">
        <f t="shared" si="42"/>
        <v>5.4769999999999999E-2</v>
      </c>
      <c r="I108" s="40"/>
      <c r="J108" s="65">
        <v>270</v>
      </c>
      <c r="K108" s="31">
        <f t="shared" si="45"/>
        <v>3.6200000000000045</v>
      </c>
      <c r="L108" s="14">
        <f t="shared" si="36"/>
        <v>9.0500000000000118E-4</v>
      </c>
      <c r="M108" s="9"/>
    </row>
    <row r="109" spans="2:13">
      <c r="B109" s="47"/>
      <c r="C109" s="7">
        <v>1.0729166666666901</v>
      </c>
      <c r="D109" s="7">
        <v>1.0833333333333599</v>
      </c>
      <c r="E109" s="30">
        <v>492.7</v>
      </c>
      <c r="F109" s="15">
        <v>272.57</v>
      </c>
      <c r="G109" s="4">
        <f t="shared" si="41"/>
        <v>220.13</v>
      </c>
      <c r="H109" s="9">
        <f t="shared" si="42"/>
        <v>5.5032499999999998E-2</v>
      </c>
      <c r="I109" s="11"/>
      <c r="J109" s="29">
        <v>270</v>
      </c>
      <c r="K109" s="31">
        <f t="shared" si="45"/>
        <v>2.5699999999999932</v>
      </c>
      <c r="L109" s="14">
        <f t="shared" si="36"/>
        <v>6.4249999999999832E-4</v>
      </c>
      <c r="M109" s="9"/>
    </row>
    <row r="110" spans="2:13">
      <c r="B110" s="4"/>
      <c r="C110" s="7">
        <v>1.0833333333333599</v>
      </c>
      <c r="D110" s="7">
        <v>1.09375000000003</v>
      </c>
      <c r="E110" s="30">
        <v>492.7</v>
      </c>
      <c r="F110" s="15">
        <v>272.86</v>
      </c>
      <c r="G110" s="4">
        <f t="shared" si="41"/>
        <v>219.83999999999997</v>
      </c>
      <c r="H110" s="9">
        <f t="shared" si="42"/>
        <v>5.4959999999999995E-2</v>
      </c>
      <c r="I110" s="11"/>
      <c r="J110" s="29">
        <v>270</v>
      </c>
      <c r="K110" s="31">
        <f t="shared" si="45"/>
        <v>2.8600000000000136</v>
      </c>
      <c r="L110" s="14">
        <f t="shared" si="36"/>
        <v>7.1500000000000339E-4</v>
      </c>
      <c r="M110" s="9"/>
    </row>
    <row r="111" spans="2:13">
      <c r="B111" s="4"/>
      <c r="C111" s="7">
        <v>1.09375000000003</v>
      </c>
      <c r="D111" s="7">
        <v>1.1041666666667</v>
      </c>
      <c r="E111" s="30">
        <v>492.7</v>
      </c>
      <c r="F111" s="15">
        <v>273.05</v>
      </c>
      <c r="G111" s="4">
        <f t="shared" si="41"/>
        <v>219.64999999999998</v>
      </c>
      <c r="H111" s="9">
        <f t="shared" si="42"/>
        <v>5.4912499999999996E-2</v>
      </c>
      <c r="I111" s="11"/>
      <c r="J111" s="29">
        <v>270</v>
      </c>
      <c r="K111" s="31">
        <f t="shared" si="45"/>
        <v>3.0500000000000114</v>
      </c>
      <c r="L111" s="14">
        <f t="shared" si="36"/>
        <v>7.6250000000000287E-4</v>
      </c>
      <c r="M111" s="9"/>
    </row>
    <row r="112" spans="2:13">
      <c r="B112" s="4"/>
      <c r="C112" s="7">
        <v>1.1041666666667</v>
      </c>
      <c r="D112" s="7">
        <v>1.1145833333333699</v>
      </c>
      <c r="E112" s="30">
        <v>492.7</v>
      </c>
      <c r="F112" s="15">
        <v>274.7</v>
      </c>
      <c r="G112" s="4">
        <f t="shared" si="41"/>
        <v>218</v>
      </c>
      <c r="H112" s="9">
        <f t="shared" si="42"/>
        <v>5.45E-2</v>
      </c>
      <c r="I112" s="11"/>
      <c r="J112" s="29">
        <v>270</v>
      </c>
      <c r="K112" s="31">
        <f t="shared" si="45"/>
        <v>4.6999999999999886</v>
      </c>
      <c r="L112" s="14">
        <f t="shared" si="36"/>
        <v>1.1749999999999972E-3</v>
      </c>
      <c r="M112" s="9"/>
    </row>
    <row r="113" spans="2:13">
      <c r="B113" s="47"/>
      <c r="C113" s="7">
        <v>1.1145833333333699</v>
      </c>
      <c r="D113" s="35">
        <v>1.12500000000004</v>
      </c>
      <c r="E113" s="30">
        <v>492.7</v>
      </c>
      <c r="F113" s="15">
        <v>305.11</v>
      </c>
      <c r="G113" s="4">
        <f t="shared" si="41"/>
        <v>187.58999999999997</v>
      </c>
      <c r="H113" s="9">
        <f t="shared" si="42"/>
        <v>4.6897499999999995E-2</v>
      </c>
      <c r="I113" s="11"/>
      <c r="J113" s="29">
        <f>J112+27.5</f>
        <v>297.5</v>
      </c>
      <c r="K113" s="31">
        <f t="shared" ref="K113:K118" si="46">J113-F113</f>
        <v>-7.6100000000000136</v>
      </c>
      <c r="L113" s="14">
        <f t="shared" si="36"/>
        <v>0</v>
      </c>
      <c r="M113" s="9"/>
    </row>
    <row r="114" spans="2:13">
      <c r="B114" s="4"/>
      <c r="C114" s="7">
        <v>1.12500000000004</v>
      </c>
      <c r="D114" s="7">
        <v>1.13541666666671</v>
      </c>
      <c r="E114" s="30">
        <v>492.7</v>
      </c>
      <c r="F114" s="15">
        <v>345.99</v>
      </c>
      <c r="G114" s="4">
        <f t="shared" si="41"/>
        <v>146.70999999999998</v>
      </c>
      <c r="H114" s="9">
        <f t="shared" si="42"/>
        <v>3.6677499999999995E-2</v>
      </c>
      <c r="I114" s="11"/>
      <c r="J114" s="29">
        <f>J113+40</f>
        <v>337.5</v>
      </c>
      <c r="K114" s="31">
        <f t="shared" si="46"/>
        <v>-8.4900000000000091</v>
      </c>
      <c r="L114" s="14">
        <f t="shared" si="36"/>
        <v>0</v>
      </c>
      <c r="M114" s="9"/>
    </row>
    <row r="115" spans="2:13">
      <c r="B115" s="4"/>
      <c r="C115" s="7">
        <v>1.13541666666671</v>
      </c>
      <c r="D115" s="7">
        <v>1.1458333333333801</v>
      </c>
      <c r="E115" s="30">
        <v>492.7</v>
      </c>
      <c r="F115" s="15">
        <v>395.78</v>
      </c>
      <c r="G115" s="4">
        <f t="shared" si="41"/>
        <v>96.920000000000016</v>
      </c>
      <c r="H115" s="9">
        <f t="shared" si="42"/>
        <v>2.4230000000000005E-2</v>
      </c>
      <c r="I115" s="11"/>
      <c r="J115" s="29">
        <f t="shared" ref="J115:J117" si="47">J114+40</f>
        <v>377.5</v>
      </c>
      <c r="K115" s="31">
        <f t="shared" si="46"/>
        <v>-18.279999999999973</v>
      </c>
      <c r="L115" s="14">
        <f t="shared" si="36"/>
        <v>0</v>
      </c>
      <c r="M115" s="9"/>
    </row>
    <row r="116" spans="2:13">
      <c r="B116" s="4"/>
      <c r="C116" s="7">
        <v>1.1458333333333801</v>
      </c>
      <c r="D116" s="7">
        <v>1.15625000000005</v>
      </c>
      <c r="E116" s="30">
        <v>492.7</v>
      </c>
      <c r="F116" s="15">
        <v>439.1</v>
      </c>
      <c r="G116" s="4">
        <f t="shared" si="41"/>
        <v>53.599999999999966</v>
      </c>
      <c r="H116" s="9">
        <f t="shared" si="42"/>
        <v>1.3399999999999992E-2</v>
      </c>
      <c r="I116" s="11"/>
      <c r="J116" s="29">
        <f t="shared" si="47"/>
        <v>417.5</v>
      </c>
      <c r="K116" s="31">
        <f t="shared" si="46"/>
        <v>-21.600000000000023</v>
      </c>
      <c r="L116" s="14">
        <f t="shared" si="36"/>
        <v>0</v>
      </c>
      <c r="M116" s="9"/>
    </row>
    <row r="117" spans="2:13" ht="15.75" thickBot="1">
      <c r="B117" s="4"/>
      <c r="C117" s="7">
        <v>1.15625000000005</v>
      </c>
      <c r="D117" s="7">
        <v>1.16666666666672</v>
      </c>
      <c r="E117" s="30">
        <v>492.7</v>
      </c>
      <c r="F117" s="15">
        <v>453.02</v>
      </c>
      <c r="G117" s="4">
        <f t="shared" si="41"/>
        <v>39.680000000000007</v>
      </c>
      <c r="H117" s="9">
        <f t="shared" si="42"/>
        <v>9.9200000000000017E-3</v>
      </c>
      <c r="I117" s="33"/>
      <c r="J117" s="29">
        <f t="shared" si="47"/>
        <v>457.5</v>
      </c>
      <c r="K117" s="31">
        <f t="shared" si="46"/>
        <v>4.4800000000000182</v>
      </c>
      <c r="L117" s="14">
        <f t="shared" si="36"/>
        <v>1.1200000000000045E-3</v>
      </c>
      <c r="M117" s="19"/>
    </row>
    <row r="118" spans="2:13">
      <c r="B118" s="47"/>
      <c r="C118" s="7">
        <v>1.16666666666672</v>
      </c>
      <c r="D118" s="7">
        <v>1.1770833333333901</v>
      </c>
      <c r="E118" s="30">
        <v>492.7</v>
      </c>
      <c r="F118" s="15">
        <v>451.03</v>
      </c>
      <c r="G118" s="4">
        <f t="shared" si="41"/>
        <v>41.670000000000016</v>
      </c>
      <c r="H118" s="9">
        <f t="shared" si="42"/>
        <v>1.0417500000000003E-2</v>
      </c>
      <c r="I118" s="25"/>
      <c r="J118" s="30">
        <v>492.7</v>
      </c>
      <c r="K118" s="31">
        <f t="shared" si="46"/>
        <v>41.670000000000016</v>
      </c>
      <c r="L118" s="14">
        <f t="shared" si="36"/>
        <v>1.0417500000000003E-2</v>
      </c>
      <c r="M118" s="26"/>
    </row>
    <row r="119" spans="2:13">
      <c r="B119" s="47"/>
      <c r="C119" s="7"/>
      <c r="D119" s="7"/>
      <c r="E119" s="30"/>
      <c r="F119" s="15"/>
      <c r="G119" s="4"/>
      <c r="H119" s="9"/>
      <c r="I119" s="49">
        <f>SUM(H102:H118)</f>
        <v>0.74550749999999999</v>
      </c>
      <c r="J119" s="29"/>
      <c r="K119" s="31"/>
      <c r="L119" s="14"/>
      <c r="M119" s="26">
        <f>SUM(L102:L118)</f>
        <v>1.9977500000000006E-2</v>
      </c>
    </row>
    <row r="120" spans="2:13">
      <c r="B120" s="34">
        <v>46026</v>
      </c>
      <c r="C120" s="7">
        <v>1.1458333333333801</v>
      </c>
      <c r="D120" s="35">
        <v>1.15625000000005</v>
      </c>
      <c r="E120" s="55">
        <v>492.7</v>
      </c>
      <c r="F120" s="63"/>
      <c r="G120" s="4">
        <f t="shared" ref="G120" si="48">E120-F120</f>
        <v>492.7</v>
      </c>
      <c r="H120" s="9">
        <f t="shared" ref="H120" si="49">G120/4000</f>
        <v>0.12317499999999999</v>
      </c>
      <c r="I120" s="25"/>
      <c r="J120" s="29">
        <f>E120-7.5</f>
        <v>485.2</v>
      </c>
      <c r="K120" s="31"/>
      <c r="L120" s="14"/>
      <c r="M120" s="26"/>
    </row>
    <row r="121" spans="2:13">
      <c r="B121" s="34"/>
      <c r="C121" s="7">
        <v>1.15625000000005</v>
      </c>
      <c r="D121" s="7">
        <v>1.16666666666672</v>
      </c>
      <c r="E121" s="30">
        <v>492.7</v>
      </c>
      <c r="F121" s="30">
        <v>453.02</v>
      </c>
      <c r="G121" s="4">
        <f t="shared" si="41"/>
        <v>39.680000000000007</v>
      </c>
      <c r="H121" s="9">
        <f t="shared" si="42"/>
        <v>9.9200000000000017E-3</v>
      </c>
      <c r="I121" s="25"/>
      <c r="J121" s="29">
        <f>J120-40</f>
        <v>445.2</v>
      </c>
      <c r="K121" s="31">
        <f t="shared" ref="K121:K181" si="50">F121-J121</f>
        <v>7.8199999999999932</v>
      </c>
      <c r="L121" s="14">
        <f t="shared" si="36"/>
        <v>1.9549999999999984E-3</v>
      </c>
      <c r="M121" s="26"/>
    </row>
    <row r="122" spans="2:13">
      <c r="B122" s="47"/>
      <c r="C122" s="7">
        <v>1.16666666666672</v>
      </c>
      <c r="D122" s="35">
        <v>1.1770833333333901</v>
      </c>
      <c r="E122" s="30">
        <v>492.7</v>
      </c>
      <c r="F122" s="30">
        <v>451.03</v>
      </c>
      <c r="G122" s="4">
        <f t="shared" si="41"/>
        <v>41.670000000000016</v>
      </c>
      <c r="H122" s="9">
        <f t="shared" si="42"/>
        <v>1.0417500000000003E-2</v>
      </c>
      <c r="I122" s="25"/>
      <c r="J122" s="29">
        <f>J121-40</f>
        <v>405.2</v>
      </c>
      <c r="K122" s="31">
        <f t="shared" si="50"/>
        <v>45.829999999999984</v>
      </c>
      <c r="L122" s="14">
        <f t="shared" si="36"/>
        <v>1.1457499999999995E-2</v>
      </c>
      <c r="M122" s="26"/>
    </row>
    <row r="123" spans="2:13">
      <c r="B123" s="47"/>
      <c r="C123" s="7">
        <v>1.1770833333333901</v>
      </c>
      <c r="D123" s="7">
        <v>1.18750000000006</v>
      </c>
      <c r="E123" s="30">
        <v>492.7</v>
      </c>
      <c r="F123" s="30">
        <v>471.95</v>
      </c>
      <c r="G123" s="4">
        <f t="shared" si="41"/>
        <v>20.75</v>
      </c>
      <c r="H123" s="9">
        <f t="shared" si="42"/>
        <v>5.1875000000000003E-3</v>
      </c>
      <c r="I123" s="25"/>
      <c r="J123" s="29">
        <f>J122+40</f>
        <v>445.2</v>
      </c>
      <c r="K123" s="31">
        <f>J123-F123</f>
        <v>-26.75</v>
      </c>
      <c r="L123" s="14">
        <f t="shared" si="36"/>
        <v>0</v>
      </c>
      <c r="M123" s="26"/>
    </row>
    <row r="124" spans="2:13">
      <c r="B124" s="47"/>
      <c r="C124" s="7">
        <v>1.18750000000006</v>
      </c>
      <c r="D124" s="7">
        <v>1.19791666666673</v>
      </c>
      <c r="E124" s="30">
        <v>492.7</v>
      </c>
      <c r="F124" s="30">
        <v>497.14</v>
      </c>
      <c r="G124" s="4">
        <f t="shared" si="41"/>
        <v>-4.4399999999999977</v>
      </c>
      <c r="H124" s="76">
        <v>0</v>
      </c>
      <c r="I124" s="25"/>
      <c r="J124" s="29">
        <f t="shared" ref="J124" si="51">J123+40</f>
        <v>485.2</v>
      </c>
      <c r="K124" s="31">
        <f t="shared" ref="K124:K125" si="52">J124-F124</f>
        <v>-11.939999999999998</v>
      </c>
      <c r="L124" s="14">
        <f t="shared" si="36"/>
        <v>0</v>
      </c>
      <c r="M124" s="26"/>
    </row>
    <row r="125" spans="2:13">
      <c r="B125" s="4"/>
      <c r="C125" s="7">
        <v>1.19791666666673</v>
      </c>
      <c r="D125" s="7">
        <v>1.2083333333334001</v>
      </c>
      <c r="E125" s="30">
        <v>492.7</v>
      </c>
      <c r="F125" s="30">
        <v>501</v>
      </c>
      <c r="G125" s="4">
        <f t="shared" si="41"/>
        <v>-8.3000000000000114</v>
      </c>
      <c r="H125" s="76">
        <v>0</v>
      </c>
      <c r="I125" s="25"/>
      <c r="J125" s="30">
        <v>492.7</v>
      </c>
      <c r="K125" s="31">
        <f t="shared" si="52"/>
        <v>-8.3000000000000114</v>
      </c>
      <c r="L125" s="14">
        <f t="shared" si="36"/>
        <v>0</v>
      </c>
      <c r="M125" s="26"/>
    </row>
    <row r="126" spans="2:13">
      <c r="B126" s="4"/>
      <c r="C126" s="7"/>
      <c r="D126" s="7"/>
      <c r="E126" s="30"/>
      <c r="F126" s="15"/>
      <c r="G126" s="4"/>
      <c r="H126" s="9"/>
      <c r="I126" s="40">
        <f>SUM(H120:H125)</f>
        <v>0.1487</v>
      </c>
      <c r="J126" s="29"/>
      <c r="K126" s="31"/>
      <c r="L126" s="14"/>
      <c r="M126" s="9">
        <f>SUM(L120:L125)</f>
        <v>1.3412499999999994E-2</v>
      </c>
    </row>
    <row r="127" spans="2:13">
      <c r="B127" s="34">
        <v>46026</v>
      </c>
      <c r="C127" s="7">
        <v>1.5312500000001701</v>
      </c>
      <c r="D127" s="7">
        <v>1.5416666666668299</v>
      </c>
      <c r="E127" s="30">
        <v>492.7</v>
      </c>
      <c r="F127" s="15">
        <v>488.72</v>
      </c>
      <c r="G127" s="4">
        <f t="shared" si="41"/>
        <v>3.9799999999999613</v>
      </c>
      <c r="H127" s="9">
        <f t="shared" si="42"/>
        <v>9.9499999999999025E-4</v>
      </c>
      <c r="I127" s="11"/>
      <c r="J127" s="29">
        <f>E127-15</f>
        <v>477.7</v>
      </c>
      <c r="K127" s="31">
        <f t="shared" si="50"/>
        <v>11.020000000000039</v>
      </c>
      <c r="L127" s="14"/>
      <c r="M127" s="9"/>
    </row>
    <row r="128" spans="2:13">
      <c r="B128" s="47"/>
      <c r="C128" s="7">
        <v>1.5416666666668399</v>
      </c>
      <c r="D128" s="7">
        <v>1.5520833333335</v>
      </c>
      <c r="E128" s="30">
        <v>492.7</v>
      </c>
      <c r="F128" s="15">
        <v>430.46</v>
      </c>
      <c r="G128" s="4">
        <f t="shared" si="41"/>
        <v>62.240000000000009</v>
      </c>
      <c r="H128" s="9">
        <f t="shared" si="42"/>
        <v>1.5560000000000003E-2</v>
      </c>
      <c r="I128" s="11"/>
      <c r="J128" s="29">
        <f>J127-40</f>
        <v>437.7</v>
      </c>
      <c r="K128" s="31">
        <f t="shared" si="50"/>
        <v>-7.2400000000000091</v>
      </c>
      <c r="L128" s="14">
        <f t="shared" si="36"/>
        <v>0</v>
      </c>
      <c r="M128" s="9"/>
    </row>
    <row r="129" spans="2:19">
      <c r="B129" s="47"/>
      <c r="C129" s="7">
        <v>1.55208333333351</v>
      </c>
      <c r="D129" s="7">
        <v>1.5625000000001701</v>
      </c>
      <c r="E129" s="30">
        <v>492.7</v>
      </c>
      <c r="F129" s="15">
        <v>342.26</v>
      </c>
      <c r="G129" s="4">
        <f t="shared" si="41"/>
        <v>150.44</v>
      </c>
      <c r="H129" s="9">
        <f t="shared" si="42"/>
        <v>3.7609999999999998E-2</v>
      </c>
      <c r="I129" s="11"/>
      <c r="J129" s="29">
        <f t="shared" ref="J129:J131" si="53">J128-40</f>
        <v>397.7</v>
      </c>
      <c r="K129" s="31">
        <f t="shared" si="50"/>
        <v>-55.44</v>
      </c>
      <c r="L129" s="14">
        <f t="shared" si="36"/>
        <v>0</v>
      </c>
      <c r="M129" s="9"/>
    </row>
    <row r="130" spans="2:19" ht="15.75" thickBot="1">
      <c r="B130" s="47"/>
      <c r="C130" s="7">
        <v>1.5625000000001801</v>
      </c>
      <c r="D130" s="7">
        <v>1.5729166666668399</v>
      </c>
      <c r="E130" s="30">
        <v>492.7</v>
      </c>
      <c r="F130" s="15">
        <v>277.61</v>
      </c>
      <c r="G130" s="4">
        <f t="shared" si="41"/>
        <v>215.08999999999997</v>
      </c>
      <c r="H130" s="9">
        <f t="shared" si="42"/>
        <v>5.3772499999999994E-2</v>
      </c>
      <c r="I130" s="33"/>
      <c r="J130" s="29">
        <f t="shared" si="53"/>
        <v>357.7</v>
      </c>
      <c r="K130" s="31">
        <f t="shared" si="50"/>
        <v>-80.089999999999975</v>
      </c>
      <c r="L130" s="14">
        <f t="shared" si="36"/>
        <v>0</v>
      </c>
      <c r="M130" s="19"/>
    </row>
    <row r="131" spans="2:19">
      <c r="B131" s="47"/>
      <c r="C131" s="7">
        <v>1.5729166666668499</v>
      </c>
      <c r="D131" s="35">
        <v>1.58333333333351</v>
      </c>
      <c r="E131" s="30">
        <v>492.7</v>
      </c>
      <c r="F131" s="15">
        <v>270.24</v>
      </c>
      <c r="G131" s="4">
        <f t="shared" si="41"/>
        <v>222.45999999999998</v>
      </c>
      <c r="H131" s="9">
        <f t="shared" si="42"/>
        <v>5.5614999999999998E-2</v>
      </c>
      <c r="I131" s="25"/>
      <c r="J131" s="29">
        <f t="shared" si="53"/>
        <v>317.7</v>
      </c>
      <c r="K131" s="31">
        <f t="shared" si="50"/>
        <v>-47.45999999999998</v>
      </c>
      <c r="L131" s="14">
        <f t="shared" si="36"/>
        <v>0</v>
      </c>
      <c r="M131" s="26"/>
    </row>
    <row r="132" spans="2:19">
      <c r="B132" s="47"/>
      <c r="C132" s="7">
        <v>1.58333333333352</v>
      </c>
      <c r="D132" s="7">
        <v>1.5937500000001801</v>
      </c>
      <c r="E132" s="30">
        <v>492.7</v>
      </c>
      <c r="F132" s="15">
        <v>294.52999999999997</v>
      </c>
      <c r="G132" s="4">
        <f t="shared" si="41"/>
        <v>198.17000000000002</v>
      </c>
      <c r="H132" s="9">
        <f t="shared" si="42"/>
        <v>4.9542500000000003E-2</v>
      </c>
      <c r="I132" s="25"/>
      <c r="J132" s="29">
        <f>J131+40</f>
        <v>357.7</v>
      </c>
      <c r="K132" s="31">
        <f>J132-F132</f>
        <v>63.170000000000016</v>
      </c>
      <c r="L132" s="14">
        <f t="shared" si="36"/>
        <v>1.5792500000000004E-2</v>
      </c>
      <c r="M132" s="26"/>
    </row>
    <row r="133" spans="2:19">
      <c r="B133" s="47"/>
      <c r="C133" s="7">
        <v>1.5937500000001901</v>
      </c>
      <c r="D133" s="7">
        <v>1.6041666666668499</v>
      </c>
      <c r="E133" s="30">
        <v>492.7</v>
      </c>
      <c r="F133" s="15">
        <v>343.76</v>
      </c>
      <c r="G133" s="4">
        <f t="shared" si="41"/>
        <v>148.94</v>
      </c>
      <c r="H133" s="9">
        <f t="shared" si="42"/>
        <v>3.7234999999999997E-2</v>
      </c>
      <c r="I133" s="40"/>
      <c r="J133" s="29">
        <f t="shared" ref="J133:J135" si="54">J132+40</f>
        <v>397.7</v>
      </c>
      <c r="K133" s="31">
        <f t="shared" ref="K133:K136" si="55">J133-F133</f>
        <v>53.94</v>
      </c>
      <c r="L133" s="14">
        <f t="shared" ref="L133:L195" si="56">IF(K133/4000&gt;0,K133/4000,0)</f>
        <v>1.3484999999999999E-2</v>
      </c>
      <c r="M133" s="9"/>
    </row>
    <row r="134" spans="2:19">
      <c r="B134" s="47"/>
      <c r="C134" s="7">
        <v>1.6041666666668599</v>
      </c>
      <c r="D134" s="7">
        <v>1.61458333333352</v>
      </c>
      <c r="E134" s="30">
        <v>492.7</v>
      </c>
      <c r="F134" s="15">
        <v>431.84</v>
      </c>
      <c r="G134" s="4">
        <f t="shared" si="41"/>
        <v>60.860000000000014</v>
      </c>
      <c r="H134" s="9">
        <f t="shared" si="42"/>
        <v>1.5215000000000003E-2</v>
      </c>
      <c r="I134" s="11"/>
      <c r="J134" s="29">
        <f t="shared" si="54"/>
        <v>437.7</v>
      </c>
      <c r="K134" s="31">
        <f t="shared" si="55"/>
        <v>5.8600000000000136</v>
      </c>
      <c r="L134" s="14">
        <f t="shared" si="56"/>
        <v>1.4650000000000034E-3</v>
      </c>
      <c r="M134" s="9"/>
    </row>
    <row r="135" spans="2:19">
      <c r="B135" s="4"/>
      <c r="C135" s="7">
        <v>1.61458333333353</v>
      </c>
      <c r="D135" s="7">
        <v>1.6250000000001901</v>
      </c>
      <c r="E135" s="30">
        <v>492.7</v>
      </c>
      <c r="F135" s="15">
        <v>484.84</v>
      </c>
      <c r="G135" s="4">
        <f t="shared" si="41"/>
        <v>7.8600000000000136</v>
      </c>
      <c r="H135" s="9">
        <f t="shared" si="42"/>
        <v>1.9650000000000032E-3</v>
      </c>
      <c r="I135" s="11"/>
      <c r="J135" s="29">
        <f t="shared" si="54"/>
        <v>477.7</v>
      </c>
      <c r="K135" s="31">
        <f t="shared" si="55"/>
        <v>-7.1399999999999864</v>
      </c>
      <c r="L135" s="14">
        <f t="shared" si="56"/>
        <v>0</v>
      </c>
      <c r="M135" s="9"/>
    </row>
    <row r="136" spans="2:19">
      <c r="B136" s="47"/>
      <c r="C136" s="7">
        <v>1.6250000000002001</v>
      </c>
      <c r="D136" s="7">
        <v>1.6354166666668599</v>
      </c>
      <c r="E136" s="30">
        <v>492.7</v>
      </c>
      <c r="F136" s="15">
        <v>495.13</v>
      </c>
      <c r="G136" s="4">
        <f t="shared" si="41"/>
        <v>-2.4300000000000068</v>
      </c>
      <c r="H136" s="76">
        <v>0</v>
      </c>
      <c r="I136" s="11"/>
      <c r="J136" s="30">
        <v>492.7</v>
      </c>
      <c r="K136" s="31">
        <f t="shared" si="55"/>
        <v>-2.4300000000000068</v>
      </c>
      <c r="L136" s="14">
        <f t="shared" si="56"/>
        <v>0</v>
      </c>
      <c r="M136" s="9"/>
    </row>
    <row r="137" spans="2:19">
      <c r="B137" s="47"/>
      <c r="C137" s="7"/>
      <c r="D137" s="7"/>
      <c r="E137" s="30"/>
      <c r="F137" s="15"/>
      <c r="G137" s="4"/>
      <c r="H137" s="9"/>
      <c r="I137" s="9">
        <f>SUM(H127:H136)</f>
        <v>0.26750999999999997</v>
      </c>
      <c r="J137" s="29"/>
      <c r="K137" s="31"/>
      <c r="L137" s="14"/>
      <c r="M137" s="9">
        <f>SUM(L127:L136)</f>
        <v>3.0742500000000009E-2</v>
      </c>
      <c r="P137" s="4"/>
      <c r="Q137" s="4"/>
    </row>
    <row r="138" spans="2:19">
      <c r="B138" s="34">
        <v>46026</v>
      </c>
      <c r="C138" s="7">
        <v>1.9062500000003</v>
      </c>
      <c r="D138" s="7">
        <v>1.9166666666669501</v>
      </c>
      <c r="E138" s="30">
        <v>492.7</v>
      </c>
      <c r="F138" s="15">
        <v>492.79</v>
      </c>
      <c r="G138" s="4">
        <f t="shared" si="41"/>
        <v>-9.0000000000031832E-2</v>
      </c>
      <c r="H138" s="76">
        <v>0</v>
      </c>
      <c r="I138" s="11"/>
      <c r="J138" s="29">
        <f>E138-15</f>
        <v>477.7</v>
      </c>
      <c r="K138" s="31">
        <f t="shared" si="50"/>
        <v>15.090000000000032</v>
      </c>
      <c r="L138" s="14"/>
      <c r="M138" s="9"/>
      <c r="P138" s="4"/>
      <c r="Q138" s="4"/>
    </row>
    <row r="139" spans="2:19">
      <c r="B139" s="47"/>
      <c r="C139" s="7">
        <v>1.9166666666669701</v>
      </c>
      <c r="D139" s="7">
        <v>1.9270833333336199</v>
      </c>
      <c r="E139" s="30">
        <v>492.7</v>
      </c>
      <c r="F139" s="15">
        <v>431.77</v>
      </c>
      <c r="G139" s="4">
        <f t="shared" si="41"/>
        <v>60.930000000000007</v>
      </c>
      <c r="H139" s="9">
        <f t="shared" si="42"/>
        <v>1.5232500000000001E-2</v>
      </c>
      <c r="I139" s="11"/>
      <c r="J139" s="29">
        <f>J138-40</f>
        <v>437.7</v>
      </c>
      <c r="K139" s="31">
        <f t="shared" si="50"/>
        <v>-5.9300000000000068</v>
      </c>
      <c r="L139" s="14">
        <f t="shared" si="56"/>
        <v>0</v>
      </c>
      <c r="M139" s="9"/>
      <c r="P139" s="4"/>
      <c r="Q139" s="4"/>
    </row>
    <row r="140" spans="2:19">
      <c r="B140" s="4"/>
      <c r="C140" s="7">
        <v>1.9270833333336399</v>
      </c>
      <c r="D140" s="7">
        <v>1.93750000000029</v>
      </c>
      <c r="E140" s="30">
        <v>492.7</v>
      </c>
      <c r="F140" s="15">
        <v>389.92</v>
      </c>
      <c r="G140" s="4">
        <f t="shared" si="41"/>
        <v>102.77999999999997</v>
      </c>
      <c r="H140" s="9">
        <f t="shared" si="42"/>
        <v>2.5694999999999992E-2</v>
      </c>
      <c r="I140" s="11"/>
      <c r="J140" s="29">
        <f t="shared" ref="J140:J143" si="57">J139-40</f>
        <v>397.7</v>
      </c>
      <c r="K140" s="31">
        <f t="shared" si="50"/>
        <v>-7.7799999999999727</v>
      </c>
      <c r="L140" s="14">
        <f t="shared" si="56"/>
        <v>0</v>
      </c>
      <c r="M140" s="9"/>
      <c r="P140" s="4"/>
      <c r="Q140" s="4"/>
      <c r="R140" s="15">
        <v>271.86</v>
      </c>
    </row>
    <row r="141" spans="2:19">
      <c r="B141" s="47"/>
      <c r="C141" s="7">
        <v>1.93750000000031</v>
      </c>
      <c r="D141" s="7">
        <v>1.9479166666669601</v>
      </c>
      <c r="E141" s="30">
        <v>492.7</v>
      </c>
      <c r="F141" s="15">
        <v>354.84</v>
      </c>
      <c r="G141" s="4">
        <f t="shared" si="41"/>
        <v>137.86000000000001</v>
      </c>
      <c r="H141" s="9">
        <f t="shared" si="42"/>
        <v>3.4465000000000003E-2</v>
      </c>
      <c r="I141" s="11"/>
      <c r="J141" s="29">
        <f t="shared" si="57"/>
        <v>357.7</v>
      </c>
      <c r="K141" s="31">
        <f t="shared" si="50"/>
        <v>-2.8600000000000136</v>
      </c>
      <c r="L141" s="14">
        <f t="shared" si="56"/>
        <v>0</v>
      </c>
      <c r="M141" s="9"/>
      <c r="P141" s="4"/>
      <c r="Q141" s="4"/>
      <c r="R141" s="15">
        <v>347.11</v>
      </c>
      <c r="S141" s="4"/>
    </row>
    <row r="142" spans="2:19">
      <c r="B142" s="47"/>
      <c r="C142" s="7">
        <v>1.94791666666698</v>
      </c>
      <c r="D142" s="7">
        <v>1.9583333333336299</v>
      </c>
      <c r="E142" s="30">
        <v>492.7</v>
      </c>
      <c r="F142" s="15">
        <v>313.74</v>
      </c>
      <c r="G142" s="4">
        <f t="shared" si="41"/>
        <v>178.95999999999998</v>
      </c>
      <c r="H142" s="9">
        <f t="shared" si="42"/>
        <v>4.4739999999999995E-2</v>
      </c>
      <c r="I142" s="11"/>
      <c r="J142" s="29">
        <f t="shared" si="57"/>
        <v>317.7</v>
      </c>
      <c r="K142" s="31">
        <f t="shared" si="50"/>
        <v>-3.9599999999999795</v>
      </c>
      <c r="L142" s="14">
        <f t="shared" si="56"/>
        <v>0</v>
      </c>
      <c r="M142" s="9"/>
      <c r="P142" s="4"/>
      <c r="Q142" s="4"/>
      <c r="R142" s="15">
        <v>452.37</v>
      </c>
      <c r="S142" s="4"/>
    </row>
    <row r="143" spans="2:19">
      <c r="B143" s="47"/>
      <c r="C143" s="7">
        <v>1.9583333333336499</v>
      </c>
      <c r="D143" s="7">
        <v>1.9687500000003</v>
      </c>
      <c r="E143" s="30">
        <v>492.7</v>
      </c>
      <c r="F143" s="15">
        <v>280.3</v>
      </c>
      <c r="G143" s="4">
        <f t="shared" si="41"/>
        <v>212.39999999999998</v>
      </c>
      <c r="H143" s="9">
        <f t="shared" si="42"/>
        <v>5.3099999999999994E-2</v>
      </c>
      <c r="I143" s="40"/>
      <c r="J143" s="29">
        <f t="shared" si="57"/>
        <v>277.7</v>
      </c>
      <c r="K143" s="31">
        <f t="shared" si="50"/>
        <v>2.6000000000000227</v>
      </c>
      <c r="L143" s="14">
        <f t="shared" si="56"/>
        <v>6.5000000000000572E-4</v>
      </c>
      <c r="M143" s="9"/>
      <c r="P143" s="4"/>
      <c r="Q143" s="4"/>
      <c r="R143" s="15">
        <v>564.41999999999996</v>
      </c>
      <c r="S143" s="4"/>
    </row>
    <row r="144" spans="2:19">
      <c r="B144" s="47"/>
      <c r="C144" s="7">
        <v>1.96875000000032</v>
      </c>
      <c r="D144" s="7">
        <v>1.9791666666669701</v>
      </c>
      <c r="E144" s="30">
        <v>492.7</v>
      </c>
      <c r="F144" s="15">
        <v>270.61</v>
      </c>
      <c r="G144" s="4">
        <f t="shared" si="41"/>
        <v>222.08999999999997</v>
      </c>
      <c r="H144" s="9">
        <f t="shared" si="42"/>
        <v>5.5522499999999995E-2</v>
      </c>
      <c r="I144" s="11"/>
      <c r="J144" s="29">
        <v>270</v>
      </c>
      <c r="K144" s="31">
        <f t="shared" si="50"/>
        <v>0.61000000000001364</v>
      </c>
      <c r="L144" s="14">
        <f t="shared" si="56"/>
        <v>1.5250000000000341E-4</v>
      </c>
      <c r="M144" s="9"/>
      <c r="P144" s="4"/>
      <c r="Q144" s="4"/>
      <c r="S144" s="4"/>
    </row>
    <row r="145" spans="2:19">
      <c r="B145" s="4"/>
      <c r="C145" s="7">
        <v>1.97916666666699</v>
      </c>
      <c r="D145" s="7">
        <v>1.9895833333336399</v>
      </c>
      <c r="E145" s="30">
        <v>492.7</v>
      </c>
      <c r="F145" s="15">
        <v>270.52</v>
      </c>
      <c r="G145" s="4">
        <f t="shared" si="41"/>
        <v>222.18</v>
      </c>
      <c r="H145" s="9">
        <f t="shared" si="42"/>
        <v>5.5545000000000004E-2</v>
      </c>
      <c r="I145" s="11"/>
      <c r="J145" s="29">
        <v>270</v>
      </c>
      <c r="K145" s="31">
        <f t="shared" si="50"/>
        <v>0.51999999999998181</v>
      </c>
      <c r="L145" s="14">
        <f t="shared" si="56"/>
        <v>1.2999999999999546E-4</v>
      </c>
      <c r="M145" s="9"/>
      <c r="P145" s="4"/>
      <c r="Q145" s="4"/>
      <c r="S145" s="4"/>
    </row>
    <row r="146" spans="2:19">
      <c r="B146" s="4"/>
      <c r="C146" s="7">
        <v>1.9895833333336601</v>
      </c>
      <c r="D146" s="35">
        <v>2.00000000000031</v>
      </c>
      <c r="E146" s="30">
        <v>492.7</v>
      </c>
      <c r="F146" s="48">
        <v>270.48</v>
      </c>
      <c r="G146" s="4">
        <f t="shared" ref="G146:G208" si="58">E146-F146</f>
        <v>222.21999999999997</v>
      </c>
      <c r="H146" s="9">
        <f t="shared" ref="H146:H208" si="59">G146/4000</f>
        <v>5.5554999999999993E-2</v>
      </c>
      <c r="I146" s="11"/>
      <c r="J146" s="29">
        <v>270</v>
      </c>
      <c r="K146" s="31">
        <f t="shared" si="50"/>
        <v>0.48000000000001819</v>
      </c>
      <c r="L146" s="14">
        <f t="shared" si="56"/>
        <v>1.2000000000000454E-4</v>
      </c>
      <c r="M146" s="9"/>
      <c r="P146" s="4"/>
      <c r="Q146" s="4"/>
      <c r="S146" s="4"/>
    </row>
    <row r="147" spans="2:19">
      <c r="B147" s="4"/>
      <c r="C147" s="7"/>
      <c r="D147" s="7"/>
      <c r="E147" s="20"/>
      <c r="F147" s="41"/>
      <c r="G147" s="4"/>
      <c r="H147" s="9"/>
      <c r="I147" s="40">
        <f>SUM(H138:H146)</f>
        <v>0.33985500000000002</v>
      </c>
      <c r="J147" s="56"/>
      <c r="K147" s="31"/>
      <c r="L147" s="14"/>
      <c r="M147" s="9">
        <f>SUM(L138:L146)</f>
        <v>1.0525000000000092E-3</v>
      </c>
      <c r="P147" s="4"/>
      <c r="Q147" s="4"/>
      <c r="S147" s="4"/>
    </row>
    <row r="148" spans="2:19">
      <c r="B148" s="34">
        <v>46027</v>
      </c>
      <c r="C148" s="7">
        <v>1</v>
      </c>
      <c r="D148" s="7">
        <v>1.0104166666666701</v>
      </c>
      <c r="E148" s="30">
        <v>492.7</v>
      </c>
      <c r="F148" s="15">
        <v>270.51</v>
      </c>
      <c r="G148" s="4">
        <f t="shared" si="58"/>
        <v>222.19</v>
      </c>
      <c r="H148" s="9">
        <f t="shared" si="59"/>
        <v>5.55475E-2</v>
      </c>
      <c r="I148" s="11"/>
      <c r="J148" s="29">
        <f>J146</f>
        <v>270</v>
      </c>
      <c r="K148" s="31">
        <f t="shared" si="50"/>
        <v>0.50999999999999091</v>
      </c>
      <c r="L148" s="14"/>
      <c r="M148" s="9"/>
      <c r="P148" s="4"/>
      <c r="Q148" s="4"/>
      <c r="S148" s="4"/>
    </row>
    <row r="149" spans="2:19">
      <c r="B149" s="47"/>
      <c r="C149" s="7">
        <v>1.0104166666666701</v>
      </c>
      <c r="D149" s="7">
        <v>1.0208333333333399</v>
      </c>
      <c r="E149" s="30">
        <v>492.7</v>
      </c>
      <c r="F149" s="15">
        <v>271.29000000000002</v>
      </c>
      <c r="G149" s="4">
        <f t="shared" si="58"/>
        <v>221.40999999999997</v>
      </c>
      <c r="H149" s="9">
        <f t="shared" si="59"/>
        <v>5.5352499999999992E-2</v>
      </c>
      <c r="I149" s="11"/>
      <c r="J149" s="29">
        <v>270</v>
      </c>
      <c r="K149" s="31">
        <f t="shared" si="50"/>
        <v>1.2900000000000205</v>
      </c>
      <c r="L149" s="14">
        <f t="shared" si="56"/>
        <v>3.2250000000000513E-4</v>
      </c>
      <c r="M149" s="9"/>
      <c r="S149" s="4"/>
    </row>
    <row r="150" spans="2:19">
      <c r="B150" s="47"/>
      <c r="C150" s="7">
        <v>1.0208333333333399</v>
      </c>
      <c r="D150" s="7">
        <v>1.03125000000001</v>
      </c>
      <c r="E150" s="30">
        <v>492.7</v>
      </c>
      <c r="F150" s="15">
        <v>273.7</v>
      </c>
      <c r="G150" s="4">
        <f t="shared" si="58"/>
        <v>219</v>
      </c>
      <c r="H150" s="9">
        <f t="shared" si="59"/>
        <v>5.475E-2</v>
      </c>
      <c r="I150" s="11"/>
      <c r="J150" s="65">
        <v>270</v>
      </c>
      <c r="K150" s="31">
        <f t="shared" si="50"/>
        <v>3.6999999999999886</v>
      </c>
      <c r="L150" s="14">
        <f t="shared" si="56"/>
        <v>9.2499999999999711E-4</v>
      </c>
      <c r="M150" s="9"/>
      <c r="S150" s="4"/>
    </row>
    <row r="151" spans="2:19">
      <c r="B151" s="4"/>
      <c r="C151" s="7">
        <v>1.03125000000001</v>
      </c>
      <c r="D151" s="7">
        <v>1.0416666666666801</v>
      </c>
      <c r="E151" s="30">
        <v>492.7</v>
      </c>
      <c r="F151" s="15">
        <v>270.45999999999998</v>
      </c>
      <c r="G151" s="4">
        <f t="shared" si="58"/>
        <v>222.24</v>
      </c>
      <c r="H151" s="9">
        <f t="shared" si="59"/>
        <v>5.5560000000000005E-2</v>
      </c>
      <c r="I151" s="25"/>
      <c r="J151" s="65">
        <v>270</v>
      </c>
      <c r="K151" s="31">
        <f t="shared" si="50"/>
        <v>0.45999999999997954</v>
      </c>
      <c r="L151" s="14">
        <f t="shared" si="56"/>
        <v>1.1499999999999488E-4</v>
      </c>
      <c r="M151" s="26"/>
    </row>
    <row r="152" spans="2:19">
      <c r="B152" s="47"/>
      <c r="C152" s="7">
        <v>1.0416666666666801</v>
      </c>
      <c r="D152" s="7">
        <v>1.0520833333333499</v>
      </c>
      <c r="E152" s="30">
        <v>492.7</v>
      </c>
      <c r="F152" s="15">
        <v>267.45</v>
      </c>
      <c r="G152" s="4">
        <f t="shared" si="58"/>
        <v>225.25</v>
      </c>
      <c r="H152" s="9">
        <f t="shared" si="59"/>
        <v>5.6312500000000001E-2</v>
      </c>
      <c r="I152" s="11"/>
      <c r="J152" s="65">
        <v>270</v>
      </c>
      <c r="K152" s="31">
        <f t="shared" si="50"/>
        <v>-2.5500000000000114</v>
      </c>
      <c r="L152" s="14">
        <f t="shared" si="56"/>
        <v>0</v>
      </c>
      <c r="M152" s="9"/>
    </row>
    <row r="153" spans="2:19">
      <c r="B153" s="4"/>
      <c r="C153" s="7">
        <v>1.0520833333333499</v>
      </c>
      <c r="D153" s="7">
        <v>1.06250000000002</v>
      </c>
      <c r="E153" s="30">
        <v>492.7</v>
      </c>
      <c r="F153" s="15">
        <v>267.74</v>
      </c>
      <c r="G153" s="4">
        <f t="shared" si="58"/>
        <v>224.95999999999998</v>
      </c>
      <c r="H153" s="9">
        <f t="shared" si="59"/>
        <v>5.6239999999999998E-2</v>
      </c>
      <c r="I153" s="11"/>
      <c r="J153" s="65">
        <v>270</v>
      </c>
      <c r="K153" s="31">
        <f t="shared" si="50"/>
        <v>-2.2599999999999909</v>
      </c>
      <c r="L153" s="14">
        <f t="shared" si="56"/>
        <v>0</v>
      </c>
      <c r="M153" s="9"/>
    </row>
    <row r="154" spans="2:19">
      <c r="B154" s="4"/>
      <c r="C154" s="7">
        <v>1.06250000000002</v>
      </c>
      <c r="D154" s="7">
        <v>1.0729166666666901</v>
      </c>
      <c r="E154" s="30">
        <v>492.7</v>
      </c>
      <c r="F154" s="15">
        <v>277.85000000000002</v>
      </c>
      <c r="G154" s="4">
        <f t="shared" si="58"/>
        <v>214.84999999999997</v>
      </c>
      <c r="H154" s="9">
        <f t="shared" si="59"/>
        <v>5.3712499999999989E-2</v>
      </c>
      <c r="I154" s="11"/>
      <c r="J154" s="29">
        <v>270</v>
      </c>
      <c r="K154" s="31">
        <f t="shared" si="50"/>
        <v>7.8500000000000227</v>
      </c>
      <c r="L154" s="14">
        <f t="shared" si="56"/>
        <v>1.9625000000000055E-3</v>
      </c>
      <c r="M154" s="9"/>
    </row>
    <row r="155" spans="2:19">
      <c r="B155" s="47"/>
      <c r="C155" s="7">
        <v>1.0729166666666901</v>
      </c>
      <c r="D155" s="7">
        <v>1.0833333333333599</v>
      </c>
      <c r="E155" s="30">
        <v>492.7</v>
      </c>
      <c r="F155" s="15">
        <v>272.83999999999997</v>
      </c>
      <c r="G155" s="4">
        <f t="shared" si="58"/>
        <v>219.86</v>
      </c>
      <c r="H155" s="9">
        <f t="shared" si="59"/>
        <v>5.4965E-2</v>
      </c>
      <c r="I155" s="11"/>
      <c r="J155" s="29">
        <v>270</v>
      </c>
      <c r="K155" s="31">
        <f t="shared" si="50"/>
        <v>2.839999999999975</v>
      </c>
      <c r="L155" s="14">
        <f t="shared" si="56"/>
        <v>7.0999999999999373E-4</v>
      </c>
      <c r="M155" s="9"/>
    </row>
    <row r="156" spans="2:19">
      <c r="B156" s="4"/>
      <c r="C156" s="7">
        <v>1.0833333333333599</v>
      </c>
      <c r="D156" s="7">
        <v>1.09375000000003</v>
      </c>
      <c r="E156" s="30">
        <v>492.7</v>
      </c>
      <c r="F156" s="15">
        <v>272.89999999999998</v>
      </c>
      <c r="G156" s="4">
        <f t="shared" si="58"/>
        <v>219.8</v>
      </c>
      <c r="H156" s="9">
        <f t="shared" si="59"/>
        <v>5.4950000000000006E-2</v>
      </c>
      <c r="I156" s="11"/>
      <c r="J156" s="29">
        <v>270</v>
      </c>
      <c r="K156" s="31">
        <f t="shared" si="50"/>
        <v>2.8999999999999773</v>
      </c>
      <c r="L156" s="14">
        <f t="shared" si="56"/>
        <v>7.2499999999999431E-4</v>
      </c>
      <c r="M156" s="9"/>
    </row>
    <row r="157" spans="2:19">
      <c r="B157" s="4"/>
      <c r="C157" s="7">
        <v>1.09375000000003</v>
      </c>
      <c r="D157" s="7">
        <v>1.1041666666667</v>
      </c>
      <c r="E157" s="30">
        <v>492.7</v>
      </c>
      <c r="F157" s="15">
        <v>272.95</v>
      </c>
      <c r="G157" s="4">
        <f t="shared" si="58"/>
        <v>219.75</v>
      </c>
      <c r="H157" s="9">
        <f t="shared" si="59"/>
        <v>5.49375E-2</v>
      </c>
      <c r="I157" s="11"/>
      <c r="J157" s="29">
        <v>270</v>
      </c>
      <c r="K157" s="31">
        <f t="shared" si="50"/>
        <v>2.9499999999999886</v>
      </c>
      <c r="L157" s="14">
        <f t="shared" si="56"/>
        <v>7.3749999999999716E-4</v>
      </c>
      <c r="M157" s="9"/>
    </row>
    <row r="158" spans="2:19">
      <c r="B158" s="4"/>
      <c r="C158" s="7">
        <v>1.1041666666667</v>
      </c>
      <c r="D158" s="7">
        <v>1.1145833333333699</v>
      </c>
      <c r="E158" s="30">
        <v>492.7</v>
      </c>
      <c r="F158" s="15">
        <v>272.48</v>
      </c>
      <c r="G158" s="4">
        <f t="shared" si="58"/>
        <v>220.21999999999997</v>
      </c>
      <c r="H158" s="9">
        <f t="shared" si="59"/>
        <v>5.5054999999999993E-2</v>
      </c>
      <c r="I158" s="11"/>
      <c r="J158" s="29">
        <v>270</v>
      </c>
      <c r="K158" s="31">
        <f t="shared" si="50"/>
        <v>2.4800000000000182</v>
      </c>
      <c r="L158" s="14">
        <f t="shared" si="56"/>
        <v>6.2000000000000455E-4</v>
      </c>
      <c r="M158" s="9"/>
    </row>
    <row r="159" spans="2:19">
      <c r="B159" s="47"/>
      <c r="C159" s="7">
        <v>1.1145833333333699</v>
      </c>
      <c r="D159" s="7">
        <v>1.12500000000004</v>
      </c>
      <c r="E159" s="30">
        <v>492.7</v>
      </c>
      <c r="F159" s="15">
        <v>271.06</v>
      </c>
      <c r="G159" s="4">
        <f t="shared" si="58"/>
        <v>221.64</v>
      </c>
      <c r="H159" s="9">
        <f t="shared" si="59"/>
        <v>5.5409999999999994E-2</v>
      </c>
      <c r="I159" s="11"/>
      <c r="J159" s="29">
        <v>270</v>
      </c>
      <c r="K159" s="31">
        <f t="shared" si="50"/>
        <v>1.0600000000000023</v>
      </c>
      <c r="L159" s="14">
        <f t="shared" si="56"/>
        <v>2.6500000000000059E-4</v>
      </c>
      <c r="M159" s="9"/>
    </row>
    <row r="160" spans="2:19" ht="15.75" thickBot="1">
      <c r="B160" s="47"/>
      <c r="C160" s="7">
        <v>1.12500000000004</v>
      </c>
      <c r="D160" s="7">
        <v>1.13541666666671</v>
      </c>
      <c r="E160" s="30">
        <v>492.7</v>
      </c>
      <c r="F160" s="15">
        <v>270.77999999999997</v>
      </c>
      <c r="G160" s="4">
        <f t="shared" si="58"/>
        <v>221.92000000000002</v>
      </c>
      <c r="H160" s="9">
        <f t="shared" si="59"/>
        <v>5.5480000000000002E-2</v>
      </c>
      <c r="I160" s="33"/>
      <c r="J160" s="29">
        <v>270</v>
      </c>
      <c r="K160" s="31">
        <f t="shared" si="50"/>
        <v>0.77999999999997272</v>
      </c>
      <c r="L160" s="14">
        <f t="shared" si="56"/>
        <v>1.9499999999999317E-4</v>
      </c>
      <c r="M160" s="19"/>
    </row>
    <row r="161" spans="2:13">
      <c r="B161" s="47"/>
      <c r="C161" s="7">
        <v>1.13541666666671</v>
      </c>
      <c r="D161" s="7">
        <v>1.1458333333333801</v>
      </c>
      <c r="E161" s="30">
        <v>492.7</v>
      </c>
      <c r="F161" s="15">
        <v>268.95</v>
      </c>
      <c r="G161" s="4">
        <f t="shared" si="58"/>
        <v>223.75</v>
      </c>
      <c r="H161" s="9">
        <f t="shared" si="59"/>
        <v>5.5937500000000001E-2</v>
      </c>
      <c r="I161" s="25"/>
      <c r="J161" s="29">
        <v>270</v>
      </c>
      <c r="K161" s="31">
        <f t="shared" si="50"/>
        <v>-1.0500000000000114</v>
      </c>
      <c r="L161" s="14">
        <f t="shared" si="56"/>
        <v>0</v>
      </c>
      <c r="M161" s="26"/>
    </row>
    <row r="162" spans="2:13">
      <c r="B162" s="47"/>
      <c r="C162" s="7">
        <v>1.1458333333333801</v>
      </c>
      <c r="D162" s="35">
        <v>1.15625000000005</v>
      </c>
      <c r="E162" s="30">
        <v>492.7</v>
      </c>
      <c r="F162" s="15">
        <v>269.24</v>
      </c>
      <c r="G162" s="4">
        <f t="shared" si="58"/>
        <v>223.45999999999998</v>
      </c>
      <c r="H162" s="9">
        <f t="shared" si="59"/>
        <v>5.5864999999999998E-2</v>
      </c>
      <c r="I162" s="40"/>
      <c r="J162" s="29">
        <v>270</v>
      </c>
      <c r="K162" s="31">
        <f t="shared" si="50"/>
        <v>-0.75999999999999091</v>
      </c>
      <c r="L162" s="14">
        <f t="shared" si="56"/>
        <v>0</v>
      </c>
      <c r="M162" s="9"/>
    </row>
    <row r="163" spans="2:13">
      <c r="B163" s="47"/>
      <c r="C163" s="7">
        <v>1.15625000000005</v>
      </c>
      <c r="D163" s="7">
        <v>1.16666666666672</v>
      </c>
      <c r="E163" s="30">
        <v>492.7</v>
      </c>
      <c r="F163" s="15">
        <v>317.64999999999998</v>
      </c>
      <c r="G163" s="4">
        <f t="shared" si="58"/>
        <v>175.05</v>
      </c>
      <c r="H163" s="9">
        <f t="shared" si="59"/>
        <v>4.3762500000000003E-2</v>
      </c>
      <c r="I163" s="11"/>
      <c r="J163" s="29">
        <f>J162+40</f>
        <v>310</v>
      </c>
      <c r="K163" s="31">
        <f>J163-F163</f>
        <v>-7.6499999999999773</v>
      </c>
      <c r="L163" s="14">
        <f t="shared" si="56"/>
        <v>0</v>
      </c>
      <c r="M163" s="9"/>
    </row>
    <row r="164" spans="2:13">
      <c r="B164" s="47"/>
      <c r="C164" s="7">
        <v>1.16666666666672</v>
      </c>
      <c r="D164" s="7">
        <v>1.1770833333333901</v>
      </c>
      <c r="E164" s="30">
        <v>492.7</v>
      </c>
      <c r="F164" s="15">
        <v>361.09</v>
      </c>
      <c r="G164" s="4">
        <f t="shared" si="58"/>
        <v>131.61000000000001</v>
      </c>
      <c r="H164" s="9">
        <f t="shared" si="59"/>
        <v>3.2902500000000001E-2</v>
      </c>
      <c r="I164" s="11"/>
      <c r="J164" s="29">
        <f t="shared" ref="J164:J167" si="60">J163+40</f>
        <v>350</v>
      </c>
      <c r="K164" s="31">
        <f t="shared" ref="K164:K167" si="61">J164-F164</f>
        <v>-11.089999999999975</v>
      </c>
      <c r="L164" s="14">
        <f t="shared" si="56"/>
        <v>0</v>
      </c>
      <c r="M164" s="9"/>
    </row>
    <row r="165" spans="2:13">
      <c r="B165" s="4"/>
      <c r="C165" s="7">
        <v>1.1770833333333901</v>
      </c>
      <c r="D165" s="7">
        <v>1.18750000000006</v>
      </c>
      <c r="E165" s="30">
        <v>492.7</v>
      </c>
      <c r="F165" s="15">
        <v>404.74</v>
      </c>
      <c r="G165" s="4">
        <f t="shared" si="58"/>
        <v>87.95999999999998</v>
      </c>
      <c r="H165" s="9">
        <f t="shared" si="59"/>
        <v>2.1989999999999996E-2</v>
      </c>
      <c r="I165" s="11"/>
      <c r="J165" s="29">
        <f t="shared" si="60"/>
        <v>390</v>
      </c>
      <c r="K165" s="31">
        <f t="shared" si="61"/>
        <v>-14.740000000000009</v>
      </c>
      <c r="L165" s="14">
        <f t="shared" si="56"/>
        <v>0</v>
      </c>
      <c r="M165" s="9"/>
    </row>
    <row r="166" spans="2:13">
      <c r="B166" s="4"/>
      <c r="C166" s="7">
        <v>1.18750000000006</v>
      </c>
      <c r="D166" s="7">
        <v>1.19791666666673</v>
      </c>
      <c r="E166" s="30">
        <v>492.7</v>
      </c>
      <c r="F166" s="15">
        <v>468.51</v>
      </c>
      <c r="G166" s="4">
        <f t="shared" si="58"/>
        <v>24.189999999999998</v>
      </c>
      <c r="H166" s="9">
        <f t="shared" si="59"/>
        <v>6.0474999999999991E-3</v>
      </c>
      <c r="I166" s="11"/>
      <c r="J166" s="29">
        <f t="shared" si="60"/>
        <v>430</v>
      </c>
      <c r="K166" s="31">
        <f t="shared" si="61"/>
        <v>-38.509999999999991</v>
      </c>
      <c r="L166" s="14">
        <f t="shared" si="56"/>
        <v>0</v>
      </c>
      <c r="M166" s="9"/>
    </row>
    <row r="167" spans="2:13">
      <c r="B167" s="4"/>
      <c r="C167" s="7">
        <v>1.19791666666673</v>
      </c>
      <c r="D167" s="7">
        <v>1.2083333333334001</v>
      </c>
      <c r="E167" s="30">
        <v>492.7</v>
      </c>
      <c r="F167" s="15">
        <v>491.64</v>
      </c>
      <c r="G167" s="4">
        <f t="shared" si="58"/>
        <v>1.0600000000000023</v>
      </c>
      <c r="H167" s="9">
        <f t="shared" si="59"/>
        <v>2.6500000000000059E-4</v>
      </c>
      <c r="I167" s="40"/>
      <c r="J167" s="29">
        <f t="shared" si="60"/>
        <v>470</v>
      </c>
      <c r="K167" s="31">
        <f t="shared" si="61"/>
        <v>-21.639999999999986</v>
      </c>
      <c r="L167" s="14">
        <f t="shared" si="56"/>
        <v>0</v>
      </c>
      <c r="M167" s="9"/>
    </row>
    <row r="168" spans="2:13">
      <c r="B168" s="47"/>
      <c r="C168" s="7"/>
      <c r="D168" s="7"/>
      <c r="E168" s="30"/>
      <c r="F168" s="4"/>
      <c r="G168" s="4"/>
      <c r="H168" s="9"/>
      <c r="I168" s="40">
        <f>SUM(H148:H167)</f>
        <v>0.93504249999999978</v>
      </c>
      <c r="J168" s="29"/>
      <c r="K168" s="31"/>
      <c r="L168" s="14"/>
      <c r="M168" s="9">
        <f>SUM(L148:L167)</f>
        <v>6.5774999999999844E-3</v>
      </c>
    </row>
    <row r="169" spans="2:13">
      <c r="B169" s="34">
        <v>46027</v>
      </c>
      <c r="C169" s="7">
        <v>1.44791666666681</v>
      </c>
      <c r="D169" s="7">
        <v>1.45833333333347</v>
      </c>
      <c r="E169" s="30">
        <v>492.7</v>
      </c>
      <c r="F169" s="15">
        <v>457.53</v>
      </c>
      <c r="G169" s="4">
        <f t="shared" si="58"/>
        <v>35.170000000000016</v>
      </c>
      <c r="H169" s="9">
        <f t="shared" si="59"/>
        <v>8.7925000000000034E-3</v>
      </c>
      <c r="I169" s="11"/>
      <c r="J169" s="29">
        <f>E169-40</f>
        <v>452.7</v>
      </c>
      <c r="K169" s="31">
        <f t="shared" si="50"/>
        <v>4.8299999999999841</v>
      </c>
      <c r="L169" s="14"/>
      <c r="M169" s="9"/>
    </row>
    <row r="170" spans="2:13">
      <c r="B170" s="4"/>
      <c r="C170" s="7">
        <v>1.45833333333348</v>
      </c>
      <c r="D170" s="7">
        <v>1.4687500000001401</v>
      </c>
      <c r="E170" s="30">
        <v>492.7</v>
      </c>
      <c r="F170" s="15">
        <v>339.13</v>
      </c>
      <c r="G170" s="4">
        <f t="shared" si="58"/>
        <v>153.57</v>
      </c>
      <c r="H170" s="9">
        <f t="shared" si="59"/>
        <v>3.8392499999999996E-2</v>
      </c>
      <c r="I170" s="11"/>
      <c r="J170" s="29">
        <f>J169-40</f>
        <v>412.7</v>
      </c>
      <c r="K170" s="31">
        <f t="shared" si="50"/>
        <v>-73.569999999999993</v>
      </c>
      <c r="L170" s="14">
        <f t="shared" si="56"/>
        <v>0</v>
      </c>
      <c r="M170" s="9"/>
    </row>
    <row r="171" spans="2:13">
      <c r="B171" s="47"/>
      <c r="C171" s="7">
        <v>1.4687500000001501</v>
      </c>
      <c r="D171" s="7">
        <v>1.47916666666681</v>
      </c>
      <c r="E171" s="30">
        <v>492.7</v>
      </c>
      <c r="F171" s="15">
        <v>271.77999999999997</v>
      </c>
      <c r="G171" s="4">
        <f t="shared" si="58"/>
        <v>220.92000000000002</v>
      </c>
      <c r="H171" s="9">
        <f t="shared" si="59"/>
        <v>5.5230000000000001E-2</v>
      </c>
      <c r="I171" s="11"/>
      <c r="J171" s="29">
        <f t="shared" ref="J171" si="62">J170-40</f>
        <v>372.7</v>
      </c>
      <c r="K171" s="31">
        <f t="shared" si="50"/>
        <v>-100.92000000000002</v>
      </c>
      <c r="L171" s="14">
        <f t="shared" si="56"/>
        <v>0</v>
      </c>
      <c r="M171" s="9"/>
    </row>
    <row r="172" spans="2:13">
      <c r="B172" s="47"/>
      <c r="C172" s="7">
        <v>1.47916666666682</v>
      </c>
      <c r="D172" s="35">
        <v>1.48958333333348</v>
      </c>
      <c r="E172" s="30">
        <v>492.7</v>
      </c>
      <c r="F172" s="15">
        <v>273.13</v>
      </c>
      <c r="G172" s="4">
        <f t="shared" si="58"/>
        <v>219.57</v>
      </c>
      <c r="H172" s="9">
        <f t="shared" si="59"/>
        <v>5.4892499999999997E-2</v>
      </c>
      <c r="I172" s="11"/>
      <c r="J172" s="29">
        <f>J171-27.5+15</f>
        <v>360.2</v>
      </c>
      <c r="K172" s="31">
        <f>J172-F172</f>
        <v>87.07</v>
      </c>
      <c r="L172" s="14">
        <f t="shared" si="56"/>
        <v>2.1767499999999999E-2</v>
      </c>
      <c r="M172" s="9"/>
    </row>
    <row r="173" spans="2:13">
      <c r="B173" s="47"/>
      <c r="C173" s="7">
        <v>1.48958333333349</v>
      </c>
      <c r="D173" s="7">
        <v>1.5000000000001501</v>
      </c>
      <c r="E173" s="30">
        <v>492.7</v>
      </c>
      <c r="F173" s="15">
        <v>352.03</v>
      </c>
      <c r="G173" s="4">
        <f t="shared" si="58"/>
        <v>140.67000000000002</v>
      </c>
      <c r="H173" s="9">
        <f t="shared" si="59"/>
        <v>3.5167500000000004E-2</v>
      </c>
      <c r="I173" s="11"/>
      <c r="J173" s="29">
        <f>J172+40</f>
        <v>400.2</v>
      </c>
      <c r="K173" s="31">
        <f t="shared" ref="K173:K176" si="63">J173-F173</f>
        <v>48.170000000000016</v>
      </c>
      <c r="L173" s="14">
        <f t="shared" si="56"/>
        <v>1.2042500000000005E-2</v>
      </c>
      <c r="M173" s="9"/>
    </row>
    <row r="174" spans="2:13" ht="15.75" thickBot="1">
      <c r="B174" s="47"/>
      <c r="C174" s="7">
        <v>1.5000000000001601</v>
      </c>
      <c r="D174" s="7">
        <v>1.51041666666682</v>
      </c>
      <c r="E174" s="30">
        <v>492.7</v>
      </c>
      <c r="F174" s="15">
        <v>413.88</v>
      </c>
      <c r="G174" s="4">
        <f t="shared" si="58"/>
        <v>78.819999999999993</v>
      </c>
      <c r="H174" s="9">
        <f t="shared" si="59"/>
        <v>1.9704999999999997E-2</v>
      </c>
      <c r="I174" s="33"/>
      <c r="J174" s="29">
        <f t="shared" ref="J174:J175" si="64">J173+40</f>
        <v>440.2</v>
      </c>
      <c r="K174" s="31">
        <f t="shared" si="63"/>
        <v>26.319999999999993</v>
      </c>
      <c r="L174" s="14">
        <f t="shared" si="56"/>
        <v>6.5799999999999982E-3</v>
      </c>
      <c r="M174" s="19"/>
    </row>
    <row r="175" spans="2:13">
      <c r="B175" s="4"/>
      <c r="C175" s="7">
        <v>1.5104166666668299</v>
      </c>
      <c r="D175" s="7">
        <v>1.52083333333349</v>
      </c>
      <c r="E175" s="30">
        <v>492.7</v>
      </c>
      <c r="F175" s="15">
        <v>483.47</v>
      </c>
      <c r="G175" s="4">
        <f t="shared" si="58"/>
        <v>9.2299999999999613</v>
      </c>
      <c r="H175" s="9">
        <f t="shared" si="59"/>
        <v>2.3074999999999905E-3</v>
      </c>
      <c r="I175" s="25"/>
      <c r="J175" s="29">
        <f t="shared" si="64"/>
        <v>480.2</v>
      </c>
      <c r="K175" s="31">
        <f t="shared" si="63"/>
        <v>-3.2700000000000387</v>
      </c>
      <c r="L175" s="14">
        <f t="shared" si="56"/>
        <v>0</v>
      </c>
      <c r="M175" s="26"/>
    </row>
    <row r="176" spans="2:13">
      <c r="B176" s="47"/>
      <c r="C176" s="7">
        <v>1.5208333333335</v>
      </c>
      <c r="D176" s="7">
        <v>1.5312500000001601</v>
      </c>
      <c r="E176" s="30">
        <v>492.7</v>
      </c>
      <c r="F176" s="15">
        <v>490.66</v>
      </c>
      <c r="G176" s="4">
        <f t="shared" si="58"/>
        <v>2.0399999999999636</v>
      </c>
      <c r="H176" s="9">
        <f t="shared" si="59"/>
        <v>5.0999999999999093E-4</v>
      </c>
      <c r="I176" s="40"/>
      <c r="J176" s="30">
        <v>492.7</v>
      </c>
      <c r="K176" s="31">
        <f t="shared" si="63"/>
        <v>2.0399999999999636</v>
      </c>
      <c r="L176" s="14">
        <f t="shared" si="56"/>
        <v>5.0999999999999093E-4</v>
      </c>
      <c r="M176" s="9"/>
    </row>
    <row r="177" spans="2:22">
      <c r="B177" s="47"/>
      <c r="C177" s="7"/>
      <c r="D177" s="7"/>
      <c r="E177" s="30"/>
      <c r="F177" s="15"/>
      <c r="G177" s="4"/>
      <c r="H177" s="9"/>
      <c r="I177" s="11">
        <f>SUM(H169:H176)</f>
        <v>0.21499749999999998</v>
      </c>
      <c r="J177" s="29"/>
      <c r="K177" s="31"/>
      <c r="L177" s="14"/>
      <c r="M177" s="9">
        <f>SUM(L169:L176)</f>
        <v>4.0899999999999992E-2</v>
      </c>
    </row>
    <row r="178" spans="2:22">
      <c r="B178" s="34">
        <v>46027</v>
      </c>
      <c r="C178" s="7">
        <v>1.5312500000001701</v>
      </c>
      <c r="D178" s="7">
        <v>1.5416666666668299</v>
      </c>
      <c r="E178" s="30">
        <v>492.7</v>
      </c>
      <c r="F178" s="15">
        <v>446.49</v>
      </c>
      <c r="G178" s="4">
        <f t="shared" si="58"/>
        <v>46.20999999999998</v>
      </c>
      <c r="H178" s="9">
        <f t="shared" si="59"/>
        <v>1.1552499999999995E-2</v>
      </c>
      <c r="I178" s="25"/>
      <c r="J178" s="29">
        <f>E178-40</f>
        <v>452.7</v>
      </c>
      <c r="K178" s="31">
        <f t="shared" si="50"/>
        <v>-6.2099999999999795</v>
      </c>
      <c r="L178" s="14"/>
      <c r="M178" s="26"/>
    </row>
    <row r="179" spans="2:22">
      <c r="B179" s="47"/>
      <c r="C179" s="7">
        <v>1.5416666666668399</v>
      </c>
      <c r="D179" s="7">
        <v>1.5520833333335</v>
      </c>
      <c r="E179" s="30">
        <v>492.7</v>
      </c>
      <c r="F179" s="15">
        <v>339.13</v>
      </c>
      <c r="G179" s="4">
        <f t="shared" si="58"/>
        <v>153.57</v>
      </c>
      <c r="H179" s="9">
        <f t="shared" si="59"/>
        <v>3.8392499999999996E-2</v>
      </c>
      <c r="I179" s="11"/>
      <c r="J179" s="29">
        <f>J178-40</f>
        <v>412.7</v>
      </c>
      <c r="K179" s="31">
        <f t="shared" si="50"/>
        <v>-73.569999999999993</v>
      </c>
      <c r="L179" s="14">
        <f t="shared" si="56"/>
        <v>0</v>
      </c>
      <c r="M179" s="9"/>
    </row>
    <row r="180" spans="2:22">
      <c r="B180" s="47"/>
      <c r="C180" s="7">
        <v>1.55208333333351</v>
      </c>
      <c r="D180" s="7">
        <v>1.5625000000001701</v>
      </c>
      <c r="E180" s="30">
        <v>492.7</v>
      </c>
      <c r="F180" s="15">
        <v>269.62</v>
      </c>
      <c r="G180" s="4">
        <f t="shared" si="58"/>
        <v>223.07999999999998</v>
      </c>
      <c r="H180" s="9">
        <f t="shared" si="59"/>
        <v>5.5769999999999993E-2</v>
      </c>
      <c r="I180" s="11"/>
      <c r="J180" s="29">
        <f t="shared" ref="J180:J181" si="65">J179-40</f>
        <v>372.7</v>
      </c>
      <c r="K180" s="31">
        <f t="shared" si="50"/>
        <v>-103.07999999999998</v>
      </c>
      <c r="L180" s="14">
        <f t="shared" si="56"/>
        <v>0</v>
      </c>
      <c r="M180" s="9"/>
    </row>
    <row r="181" spans="2:22">
      <c r="B181" s="4"/>
      <c r="C181" s="7">
        <v>1.5625000000001801</v>
      </c>
      <c r="D181" s="7">
        <v>1.5729166666668399</v>
      </c>
      <c r="E181" s="30">
        <v>492.7</v>
      </c>
      <c r="F181" s="15">
        <v>268.45999999999998</v>
      </c>
      <c r="G181" s="4">
        <f t="shared" si="58"/>
        <v>224.24</v>
      </c>
      <c r="H181" s="9">
        <f t="shared" si="59"/>
        <v>5.6060000000000006E-2</v>
      </c>
      <c r="I181" s="11"/>
      <c r="J181" s="29">
        <f t="shared" si="65"/>
        <v>332.7</v>
      </c>
      <c r="K181" s="31">
        <f t="shared" si="50"/>
        <v>-64.240000000000009</v>
      </c>
      <c r="L181" s="14">
        <f t="shared" si="56"/>
        <v>0</v>
      </c>
      <c r="M181" s="9"/>
    </row>
    <row r="182" spans="2:22" ht="15.75" thickBot="1">
      <c r="B182" s="4"/>
      <c r="C182" s="7">
        <v>1.5729166666668499</v>
      </c>
      <c r="D182" s="35">
        <v>1.58333333333351</v>
      </c>
      <c r="E182" s="30">
        <v>492.7</v>
      </c>
      <c r="F182" s="15">
        <v>276.83</v>
      </c>
      <c r="G182" s="4">
        <f t="shared" si="58"/>
        <v>215.87</v>
      </c>
      <c r="H182" s="9">
        <f t="shared" si="59"/>
        <v>5.3967500000000002E-2</v>
      </c>
      <c r="I182" s="33"/>
      <c r="J182" s="29">
        <f>J181-27.5+15</f>
        <v>320.2</v>
      </c>
      <c r="K182" s="31">
        <f>J182-F182</f>
        <v>43.370000000000005</v>
      </c>
      <c r="L182" s="14">
        <f t="shared" si="56"/>
        <v>1.0842500000000001E-2</v>
      </c>
      <c r="M182" s="19"/>
    </row>
    <row r="183" spans="2:22">
      <c r="B183" s="47"/>
      <c r="C183" s="7">
        <v>1.58333333333352</v>
      </c>
      <c r="D183" s="7">
        <v>1.5937500000001801</v>
      </c>
      <c r="E183" s="30">
        <v>492.7</v>
      </c>
      <c r="F183" s="15">
        <v>341.18</v>
      </c>
      <c r="G183" s="4">
        <f t="shared" si="58"/>
        <v>151.51999999999998</v>
      </c>
      <c r="H183" s="9">
        <f t="shared" si="59"/>
        <v>3.7879999999999997E-2</v>
      </c>
      <c r="I183" s="25"/>
      <c r="J183" s="29">
        <f>J182+40</f>
        <v>360.2</v>
      </c>
      <c r="K183" s="31">
        <f t="shared" ref="K183:K186" si="66">J183-F183</f>
        <v>19.019999999999982</v>
      </c>
      <c r="L183" s="14">
        <f t="shared" si="56"/>
        <v>4.7549999999999953E-3</v>
      </c>
      <c r="M183" s="26"/>
    </row>
    <row r="184" spans="2:22">
      <c r="B184" s="4"/>
      <c r="C184" s="7">
        <v>1.5937500000001901</v>
      </c>
      <c r="D184" s="7">
        <v>1.6041666666668499</v>
      </c>
      <c r="E184" s="30">
        <v>492.7</v>
      </c>
      <c r="F184" s="15">
        <v>401.27</v>
      </c>
      <c r="G184" s="4">
        <f t="shared" si="58"/>
        <v>91.43</v>
      </c>
      <c r="H184" s="9">
        <f t="shared" si="59"/>
        <v>2.2857500000000003E-2</v>
      </c>
      <c r="I184" s="11"/>
      <c r="J184" s="29">
        <f t="shared" ref="J184:J185" si="67">J183+40</f>
        <v>400.2</v>
      </c>
      <c r="K184" s="31">
        <f t="shared" si="66"/>
        <v>-1.0699999999999932</v>
      </c>
      <c r="L184" s="14">
        <f t="shared" si="56"/>
        <v>0</v>
      </c>
      <c r="M184" s="9"/>
    </row>
    <row r="185" spans="2:22">
      <c r="B185" s="47"/>
      <c r="C185" s="7">
        <v>1.6041666666668599</v>
      </c>
      <c r="D185" s="7">
        <v>1.61458333333352</v>
      </c>
      <c r="E185" s="30">
        <v>492.7</v>
      </c>
      <c r="F185" s="15">
        <v>466.15</v>
      </c>
      <c r="G185" s="4">
        <f t="shared" si="58"/>
        <v>26.550000000000011</v>
      </c>
      <c r="H185" s="9">
        <f t="shared" si="59"/>
        <v>6.6375000000000028E-3</v>
      </c>
      <c r="I185" s="11"/>
      <c r="J185" s="29">
        <f t="shared" si="67"/>
        <v>440.2</v>
      </c>
      <c r="K185" s="31">
        <f t="shared" si="66"/>
        <v>-25.949999999999989</v>
      </c>
      <c r="L185" s="14">
        <f t="shared" si="56"/>
        <v>0</v>
      </c>
      <c r="M185" s="9"/>
    </row>
    <row r="186" spans="2:22">
      <c r="B186" s="47"/>
      <c r="C186" s="7">
        <v>1.61458333333353</v>
      </c>
      <c r="D186" s="7">
        <v>1.6250000000001901</v>
      </c>
      <c r="E186" s="30">
        <v>460</v>
      </c>
      <c r="F186" s="15">
        <v>461.7</v>
      </c>
      <c r="G186" s="4">
        <f t="shared" si="58"/>
        <v>-1.6999999999999886</v>
      </c>
      <c r="H186" s="76">
        <v>0</v>
      </c>
      <c r="I186" s="11"/>
      <c r="J186" s="29">
        <v>460</v>
      </c>
      <c r="K186" s="31">
        <f t="shared" si="66"/>
        <v>-1.6999999999999886</v>
      </c>
      <c r="L186" s="14">
        <f t="shared" si="56"/>
        <v>0</v>
      </c>
      <c r="M186" s="9"/>
    </row>
    <row r="187" spans="2:22">
      <c r="B187" s="47"/>
      <c r="C187" s="7"/>
      <c r="D187" s="7"/>
      <c r="E187" s="30"/>
      <c r="F187" s="15"/>
      <c r="G187" s="4"/>
      <c r="H187" s="9"/>
      <c r="I187" s="40">
        <f>SUM(H178:H186)</f>
        <v>0.28311749999999997</v>
      </c>
      <c r="J187" s="29"/>
      <c r="K187" s="31"/>
      <c r="L187" s="14"/>
      <c r="M187" s="9">
        <f>SUM(L178:L186)</f>
        <v>1.5597499999999997E-2</v>
      </c>
    </row>
    <row r="188" spans="2:22">
      <c r="B188" s="47"/>
      <c r="C188" s="7"/>
      <c r="D188" s="7"/>
      <c r="E188" s="30"/>
      <c r="F188" s="15"/>
      <c r="G188" s="4"/>
      <c r="H188" s="9"/>
      <c r="I188" s="11"/>
      <c r="J188" s="29"/>
      <c r="K188" s="31"/>
      <c r="L188" s="14"/>
      <c r="M188" s="9"/>
    </row>
    <row r="189" spans="2:22">
      <c r="B189" s="34">
        <v>46028</v>
      </c>
      <c r="C189" s="57">
        <v>1.0208333333333399</v>
      </c>
      <c r="D189" s="57">
        <v>1.03125000000001</v>
      </c>
      <c r="E189" s="66">
        <v>492.7</v>
      </c>
      <c r="F189" s="41">
        <v>508.02</v>
      </c>
      <c r="G189" s="41">
        <f t="shared" si="58"/>
        <v>-15.319999999999993</v>
      </c>
      <c r="H189" s="78">
        <v>0</v>
      </c>
      <c r="I189" s="67"/>
      <c r="J189" s="52">
        <f>E189-15</f>
        <v>477.7</v>
      </c>
      <c r="K189" s="71">
        <f t="shared" ref="K189:K242" si="68">F189-J189</f>
        <v>30.319999999999993</v>
      </c>
      <c r="L189" s="72"/>
      <c r="M189" s="9"/>
      <c r="T189" s="42"/>
      <c r="V189" s="4"/>
    </row>
    <row r="190" spans="2:22">
      <c r="B190" s="4"/>
      <c r="C190" s="57">
        <v>1.03125000000001</v>
      </c>
      <c r="D190" s="57">
        <v>1.0416666666666801</v>
      </c>
      <c r="E190" s="66">
        <v>492.7</v>
      </c>
      <c r="F190" s="41">
        <v>442.61</v>
      </c>
      <c r="G190" s="41">
        <f t="shared" si="58"/>
        <v>50.089999999999975</v>
      </c>
      <c r="H190" s="70">
        <f t="shared" si="59"/>
        <v>1.2522499999999994E-2</v>
      </c>
      <c r="I190" s="67"/>
      <c r="J190" s="52">
        <f>J189-40</f>
        <v>437.7</v>
      </c>
      <c r="K190" s="71">
        <f t="shared" si="68"/>
        <v>4.910000000000025</v>
      </c>
      <c r="L190" s="72">
        <f t="shared" si="56"/>
        <v>1.2275000000000061E-3</v>
      </c>
      <c r="M190" s="9"/>
      <c r="T190" s="42"/>
      <c r="V190" s="4"/>
    </row>
    <row r="191" spans="2:22">
      <c r="B191" s="4"/>
      <c r="C191" s="57">
        <v>1.0416666666666801</v>
      </c>
      <c r="D191" s="57">
        <v>1.0520833333333499</v>
      </c>
      <c r="E191" s="66">
        <v>492.7</v>
      </c>
      <c r="F191" s="41">
        <v>359.81</v>
      </c>
      <c r="G191" s="41">
        <f t="shared" si="58"/>
        <v>132.88999999999999</v>
      </c>
      <c r="H191" s="70">
        <f t="shared" si="59"/>
        <v>3.3222499999999995E-2</v>
      </c>
      <c r="I191" s="67"/>
      <c r="J191" s="52">
        <f t="shared" ref="J191:J194" si="69">J190-40</f>
        <v>397.7</v>
      </c>
      <c r="K191" s="71">
        <f t="shared" si="68"/>
        <v>-37.889999999999986</v>
      </c>
      <c r="L191" s="72">
        <f t="shared" si="56"/>
        <v>0</v>
      </c>
      <c r="M191" s="9"/>
      <c r="T191" s="42"/>
      <c r="V191" s="4"/>
    </row>
    <row r="192" spans="2:22">
      <c r="B192" s="47"/>
      <c r="C192" s="57">
        <v>1.0520833333333499</v>
      </c>
      <c r="D192" s="57">
        <v>1.06250000000002</v>
      </c>
      <c r="E192" s="66">
        <v>492.7</v>
      </c>
      <c r="F192" s="41">
        <v>308.39</v>
      </c>
      <c r="G192" s="41">
        <f t="shared" si="58"/>
        <v>184.31</v>
      </c>
      <c r="H192" s="70">
        <f t="shared" si="59"/>
        <v>4.60775E-2</v>
      </c>
      <c r="I192" s="67"/>
      <c r="J192" s="52">
        <f t="shared" si="69"/>
        <v>357.7</v>
      </c>
      <c r="K192" s="71">
        <f t="shared" si="68"/>
        <v>-49.31</v>
      </c>
      <c r="L192" s="72">
        <f t="shared" si="56"/>
        <v>0</v>
      </c>
      <c r="M192" s="9"/>
      <c r="T192" s="42"/>
      <c r="V192" s="4"/>
    </row>
    <row r="193" spans="2:22">
      <c r="B193" s="47"/>
      <c r="C193" s="57">
        <v>1.06250000000002</v>
      </c>
      <c r="D193" s="57">
        <v>1.0729166666666901</v>
      </c>
      <c r="E193" s="66">
        <v>492.7</v>
      </c>
      <c r="F193" s="41">
        <v>285.73</v>
      </c>
      <c r="G193" s="41">
        <f t="shared" si="58"/>
        <v>206.96999999999997</v>
      </c>
      <c r="H193" s="70">
        <f t="shared" si="59"/>
        <v>5.174249999999999E-2</v>
      </c>
      <c r="I193" s="67"/>
      <c r="J193" s="52">
        <f t="shared" si="69"/>
        <v>317.7</v>
      </c>
      <c r="K193" s="71">
        <f t="shared" si="68"/>
        <v>-31.96999999999997</v>
      </c>
      <c r="L193" s="72">
        <f t="shared" si="56"/>
        <v>0</v>
      </c>
      <c r="M193" s="9"/>
      <c r="T193" s="42"/>
      <c r="V193" s="4"/>
    </row>
    <row r="194" spans="2:22">
      <c r="B194" s="47"/>
      <c r="C194" s="57">
        <v>1.0729166666666901</v>
      </c>
      <c r="D194" s="57">
        <v>1.0833333333333599</v>
      </c>
      <c r="E194" s="66">
        <v>492.7</v>
      </c>
      <c r="F194" s="41">
        <v>288.87</v>
      </c>
      <c r="G194" s="41">
        <f t="shared" si="58"/>
        <v>203.82999999999998</v>
      </c>
      <c r="H194" s="70">
        <f t="shared" si="59"/>
        <v>5.0957499999999996E-2</v>
      </c>
      <c r="I194" s="67"/>
      <c r="J194" s="52">
        <f t="shared" si="69"/>
        <v>277.7</v>
      </c>
      <c r="K194" s="71">
        <f t="shared" si="68"/>
        <v>11.170000000000016</v>
      </c>
      <c r="L194" s="72">
        <f t="shared" si="56"/>
        <v>2.7925000000000042E-3</v>
      </c>
      <c r="M194" s="9"/>
      <c r="T194" s="42"/>
      <c r="V194" s="4"/>
    </row>
    <row r="195" spans="2:22">
      <c r="B195" s="47"/>
      <c r="C195" s="57">
        <v>1.0833333333333599</v>
      </c>
      <c r="D195" s="75">
        <v>1.09375000000003</v>
      </c>
      <c r="E195" s="66">
        <v>492.7</v>
      </c>
      <c r="F195" s="41">
        <v>317.95999999999998</v>
      </c>
      <c r="G195" s="41">
        <f t="shared" si="58"/>
        <v>174.74</v>
      </c>
      <c r="H195" s="70">
        <f t="shared" si="59"/>
        <v>4.3685000000000002E-2</v>
      </c>
      <c r="I195" s="68"/>
      <c r="J195" s="52">
        <v>270</v>
      </c>
      <c r="K195" s="71">
        <f>J195-F195</f>
        <v>-47.95999999999998</v>
      </c>
      <c r="L195" s="72">
        <f t="shared" si="56"/>
        <v>0</v>
      </c>
      <c r="M195" s="9"/>
      <c r="T195" s="42"/>
      <c r="V195" s="4"/>
    </row>
    <row r="196" spans="2:22">
      <c r="B196" s="47"/>
      <c r="C196" s="57">
        <v>1.09375000000003</v>
      </c>
      <c r="D196" s="57">
        <v>1.1041666666667</v>
      </c>
      <c r="E196" s="66">
        <v>492.7</v>
      </c>
      <c r="F196" s="41">
        <v>327.79</v>
      </c>
      <c r="G196" s="41">
        <f t="shared" si="58"/>
        <v>164.90999999999997</v>
      </c>
      <c r="H196" s="70">
        <f t="shared" si="59"/>
        <v>4.1227499999999993E-2</v>
      </c>
      <c r="I196" s="68"/>
      <c r="J196" s="52">
        <f>J195+40</f>
        <v>310</v>
      </c>
      <c r="K196" s="71">
        <f t="shared" ref="K196:K200" si="70">J196-F196</f>
        <v>-17.79000000000002</v>
      </c>
      <c r="L196" s="72">
        <f t="shared" ref="L196:L253" si="71">IF(K196/4000&gt;0,K196/4000,0)</f>
        <v>0</v>
      </c>
      <c r="M196" s="9"/>
      <c r="T196" s="42"/>
      <c r="V196" s="4"/>
    </row>
    <row r="197" spans="2:22">
      <c r="B197" s="47"/>
      <c r="C197" s="57">
        <v>1.1041666666667</v>
      </c>
      <c r="D197" s="57">
        <v>1.1145833333333699</v>
      </c>
      <c r="E197" s="66">
        <v>492.7</v>
      </c>
      <c r="F197" s="41">
        <v>323.2</v>
      </c>
      <c r="G197" s="41">
        <f t="shared" si="58"/>
        <v>169.5</v>
      </c>
      <c r="H197" s="70">
        <f t="shared" si="59"/>
        <v>4.2375000000000003E-2</v>
      </c>
      <c r="I197" s="67"/>
      <c r="J197" s="52">
        <f t="shared" ref="J197:J200" si="72">J196+40</f>
        <v>350</v>
      </c>
      <c r="K197" s="71">
        <f t="shared" si="70"/>
        <v>26.800000000000011</v>
      </c>
      <c r="L197" s="72">
        <f t="shared" si="71"/>
        <v>6.7000000000000028E-3</v>
      </c>
      <c r="M197" s="9"/>
      <c r="T197" s="42"/>
      <c r="V197" s="4"/>
    </row>
    <row r="198" spans="2:22">
      <c r="B198" s="4"/>
      <c r="C198" s="57">
        <v>1.1145833333333699</v>
      </c>
      <c r="D198" s="57">
        <v>1.12500000000004</v>
      </c>
      <c r="E198" s="66">
        <v>492.7</v>
      </c>
      <c r="F198" s="41">
        <v>318.49</v>
      </c>
      <c r="G198" s="41">
        <f t="shared" si="58"/>
        <v>174.20999999999998</v>
      </c>
      <c r="H198" s="70">
        <f t="shared" si="59"/>
        <v>4.3552499999999994E-2</v>
      </c>
      <c r="I198" s="67"/>
      <c r="J198" s="52">
        <f t="shared" si="72"/>
        <v>390</v>
      </c>
      <c r="K198" s="71">
        <f t="shared" si="70"/>
        <v>71.509999999999991</v>
      </c>
      <c r="L198" s="72">
        <f t="shared" si="71"/>
        <v>1.7877499999999998E-2</v>
      </c>
      <c r="M198" s="9"/>
      <c r="T198" s="42"/>
      <c r="V198" s="4"/>
    </row>
    <row r="199" spans="2:22">
      <c r="B199" s="4"/>
      <c r="C199" s="57">
        <v>1.12500000000004</v>
      </c>
      <c r="D199" s="57">
        <v>1.13541666666671</v>
      </c>
      <c r="E199" s="66">
        <v>492.7</v>
      </c>
      <c r="F199" s="41">
        <v>306.66000000000003</v>
      </c>
      <c r="G199" s="41">
        <f t="shared" si="58"/>
        <v>186.03999999999996</v>
      </c>
      <c r="H199" s="70">
        <f t="shared" si="59"/>
        <v>4.6509999999999989E-2</v>
      </c>
      <c r="I199" s="67"/>
      <c r="J199" s="52">
        <f t="shared" si="72"/>
        <v>430</v>
      </c>
      <c r="K199" s="71">
        <f t="shared" si="70"/>
        <v>123.33999999999997</v>
      </c>
      <c r="L199" s="72">
        <f t="shared" si="71"/>
        <v>3.0834999999999994E-2</v>
      </c>
      <c r="M199" s="9"/>
      <c r="T199" s="42"/>
      <c r="V199" s="4"/>
    </row>
    <row r="200" spans="2:22">
      <c r="B200" s="4"/>
      <c r="C200" s="57">
        <v>1.13541666666671</v>
      </c>
      <c r="D200" s="57">
        <v>1.1458333333333801</v>
      </c>
      <c r="E200" s="66">
        <v>492.7</v>
      </c>
      <c r="F200" s="41">
        <v>277.27</v>
      </c>
      <c r="G200" s="41">
        <f t="shared" si="58"/>
        <v>215.43</v>
      </c>
      <c r="H200" s="70">
        <f t="shared" si="59"/>
        <v>5.3857500000000003E-2</v>
      </c>
      <c r="I200" s="67"/>
      <c r="J200" s="52">
        <f t="shared" si="72"/>
        <v>470</v>
      </c>
      <c r="K200" s="71">
        <f t="shared" si="70"/>
        <v>192.73000000000002</v>
      </c>
      <c r="L200" s="72">
        <f t="shared" si="71"/>
        <v>4.8182500000000003E-2</v>
      </c>
      <c r="M200" s="9"/>
      <c r="T200" s="42"/>
      <c r="V200" s="4"/>
    </row>
    <row r="201" spans="2:22">
      <c r="B201" s="4"/>
      <c r="C201" s="7"/>
      <c r="D201" s="7"/>
      <c r="E201" s="30"/>
      <c r="F201" s="15"/>
      <c r="G201" s="4"/>
      <c r="H201" s="9"/>
      <c r="I201" s="40">
        <f>SUM(H189:H200)</f>
        <v>0.46572999999999992</v>
      </c>
      <c r="J201" s="29"/>
      <c r="K201" s="31"/>
      <c r="L201" s="14"/>
      <c r="M201" s="9">
        <f>SUM(L189:L200)</f>
        <v>0.10761500000000002</v>
      </c>
    </row>
    <row r="202" spans="2:22">
      <c r="B202" s="34">
        <v>46028</v>
      </c>
      <c r="C202" s="7">
        <v>1.0833333333333599</v>
      </c>
      <c r="D202" s="7">
        <v>1.09375000000003</v>
      </c>
      <c r="E202" s="30">
        <v>700</v>
      </c>
      <c r="F202" s="60">
        <v>536.54999999999995</v>
      </c>
      <c r="G202" s="4">
        <f t="shared" si="58"/>
        <v>163.45000000000005</v>
      </c>
      <c r="H202" s="9">
        <f t="shared" si="59"/>
        <v>4.086250000000001E-2</v>
      </c>
      <c r="I202" s="11"/>
      <c r="J202" s="29">
        <f>E202-30</f>
        <v>670</v>
      </c>
      <c r="K202" s="31">
        <f t="shared" si="68"/>
        <v>-133.45000000000005</v>
      </c>
      <c r="L202" s="14"/>
      <c r="M202" s="9"/>
    </row>
    <row r="203" spans="2:22">
      <c r="B203" s="4"/>
      <c r="C203" s="7">
        <v>1.09375000000003</v>
      </c>
      <c r="D203" s="7">
        <v>1.1041666666667</v>
      </c>
      <c r="E203" s="30">
        <v>700</v>
      </c>
      <c r="F203" s="60">
        <v>546.78</v>
      </c>
      <c r="G203" s="4">
        <f t="shared" si="58"/>
        <v>153.22000000000003</v>
      </c>
      <c r="H203" s="9">
        <f t="shared" si="59"/>
        <v>3.8305000000000006E-2</v>
      </c>
      <c r="I203" s="11"/>
      <c r="J203" s="29">
        <f>J202-80</f>
        <v>590</v>
      </c>
      <c r="K203" s="31">
        <f t="shared" si="68"/>
        <v>-43.220000000000027</v>
      </c>
      <c r="L203" s="14">
        <f t="shared" si="71"/>
        <v>0</v>
      </c>
      <c r="M203" s="9"/>
    </row>
    <row r="204" spans="2:22">
      <c r="B204" s="4"/>
      <c r="C204" s="7">
        <v>1.1041666666667</v>
      </c>
      <c r="D204" s="7">
        <v>1.1145833333333699</v>
      </c>
      <c r="E204" s="30">
        <v>700</v>
      </c>
      <c r="F204" s="60">
        <v>544.82000000000005</v>
      </c>
      <c r="G204" s="4">
        <f t="shared" si="58"/>
        <v>155.17999999999995</v>
      </c>
      <c r="H204" s="9">
        <f t="shared" si="59"/>
        <v>3.8794999999999989E-2</v>
      </c>
      <c r="I204" s="11"/>
      <c r="J204" s="64">
        <v>540</v>
      </c>
      <c r="K204" s="31">
        <f t="shared" si="68"/>
        <v>4.82000000000005</v>
      </c>
      <c r="L204" s="14">
        <f t="shared" si="71"/>
        <v>1.2050000000000125E-3</v>
      </c>
      <c r="M204" s="9"/>
    </row>
    <row r="205" spans="2:22">
      <c r="B205" s="4"/>
      <c r="C205" s="7">
        <v>1.1145833333333699</v>
      </c>
      <c r="D205" s="7">
        <v>1.12500000000004</v>
      </c>
      <c r="E205" s="30">
        <v>700</v>
      </c>
      <c r="F205" s="60">
        <v>548.67999999999995</v>
      </c>
      <c r="G205" s="4">
        <f t="shared" si="58"/>
        <v>151.32000000000005</v>
      </c>
      <c r="H205" s="9">
        <f t="shared" si="59"/>
        <v>3.7830000000000009E-2</v>
      </c>
      <c r="I205" s="11"/>
      <c r="J205" s="64">
        <v>540</v>
      </c>
      <c r="K205" s="31">
        <f t="shared" si="68"/>
        <v>8.67999999999995</v>
      </c>
      <c r="L205" s="14">
        <f t="shared" si="71"/>
        <v>2.1699999999999875E-3</v>
      </c>
      <c r="M205" s="9"/>
    </row>
    <row r="206" spans="2:22">
      <c r="B206" s="4"/>
      <c r="C206" s="7">
        <v>1.12500000000004</v>
      </c>
      <c r="D206" s="7">
        <v>1.13541666666671</v>
      </c>
      <c r="E206" s="30">
        <v>700</v>
      </c>
      <c r="F206" s="60">
        <v>543.75</v>
      </c>
      <c r="G206" s="4">
        <f t="shared" si="58"/>
        <v>156.25</v>
      </c>
      <c r="H206" s="9">
        <f t="shared" si="59"/>
        <v>3.90625E-2</v>
      </c>
      <c r="I206" s="11"/>
      <c r="J206" s="64">
        <v>540</v>
      </c>
      <c r="K206" s="31">
        <f t="shared" si="68"/>
        <v>3.75</v>
      </c>
      <c r="L206" s="14">
        <f t="shared" si="71"/>
        <v>9.3749999999999997E-4</v>
      </c>
      <c r="M206" s="9"/>
    </row>
    <row r="207" spans="2:22" ht="15.75" thickBot="1">
      <c r="B207" s="47"/>
      <c r="C207" s="7">
        <v>1.13541666666671</v>
      </c>
      <c r="D207" s="7">
        <v>1.1458333333333801</v>
      </c>
      <c r="E207" s="30">
        <v>700</v>
      </c>
      <c r="F207" s="60">
        <v>547.48</v>
      </c>
      <c r="G207" s="4">
        <f t="shared" si="58"/>
        <v>152.51999999999998</v>
      </c>
      <c r="H207" s="9">
        <f t="shared" si="59"/>
        <v>3.8129999999999997E-2</v>
      </c>
      <c r="J207" s="64">
        <v>540</v>
      </c>
      <c r="K207" s="31">
        <f t="shared" si="68"/>
        <v>7.4800000000000182</v>
      </c>
      <c r="L207" s="14">
        <f t="shared" si="71"/>
        <v>1.8700000000000045E-3</v>
      </c>
      <c r="M207" s="19"/>
    </row>
    <row r="208" spans="2:22">
      <c r="B208" s="47"/>
      <c r="C208" s="7">
        <v>1.1458333333333801</v>
      </c>
      <c r="D208" s="7">
        <v>1.15625000000005</v>
      </c>
      <c r="E208" s="30">
        <v>700</v>
      </c>
      <c r="F208" s="60">
        <v>544.25</v>
      </c>
      <c r="G208" s="4">
        <f t="shared" si="58"/>
        <v>155.75</v>
      </c>
      <c r="H208" s="9">
        <f t="shared" si="59"/>
        <v>3.89375E-2</v>
      </c>
      <c r="I208" s="25"/>
      <c r="J208" s="64">
        <v>540</v>
      </c>
      <c r="K208" s="31">
        <f t="shared" si="68"/>
        <v>4.25</v>
      </c>
      <c r="L208" s="14">
        <f t="shared" si="71"/>
        <v>1.0625000000000001E-3</v>
      </c>
      <c r="M208" s="26"/>
    </row>
    <row r="209" spans="2:13">
      <c r="B209" s="47"/>
      <c r="C209" s="7">
        <v>1.15625000000005</v>
      </c>
      <c r="D209" s="7">
        <v>1.16666666666672</v>
      </c>
      <c r="E209" s="30">
        <v>700</v>
      </c>
      <c r="F209" s="60">
        <v>548.24</v>
      </c>
      <c r="G209" s="4">
        <f t="shared" ref="G209:G263" si="73">E209-F209</f>
        <v>151.76</v>
      </c>
      <c r="H209" s="9">
        <f t="shared" ref="H209:H263" si="74">G209/4000</f>
        <v>3.7939999999999995E-2</v>
      </c>
      <c r="I209" s="11"/>
      <c r="J209" s="64">
        <v>540</v>
      </c>
      <c r="K209" s="31">
        <f t="shared" si="68"/>
        <v>8.2400000000000091</v>
      </c>
      <c r="L209" s="14">
        <f t="shared" si="71"/>
        <v>2.0600000000000024E-3</v>
      </c>
      <c r="M209" s="9"/>
    </row>
    <row r="210" spans="2:13">
      <c r="B210" s="4"/>
      <c r="C210" s="7">
        <v>1.16666666666672</v>
      </c>
      <c r="D210" s="7">
        <v>1.1770833333333901</v>
      </c>
      <c r="E210" s="30">
        <v>700</v>
      </c>
      <c r="F210" s="60">
        <v>542.71</v>
      </c>
      <c r="G210" s="4">
        <f t="shared" si="73"/>
        <v>157.28999999999996</v>
      </c>
      <c r="H210" s="9">
        <f t="shared" si="74"/>
        <v>3.9322499999999989E-2</v>
      </c>
      <c r="I210" s="11"/>
      <c r="J210" s="64">
        <v>540</v>
      </c>
      <c r="K210" s="31">
        <f t="shared" si="68"/>
        <v>2.7100000000000364</v>
      </c>
      <c r="L210" s="14">
        <f t="shared" si="71"/>
        <v>6.7750000000000904E-4</v>
      </c>
      <c r="M210" s="9"/>
    </row>
    <row r="211" spans="2:13">
      <c r="B211" s="4"/>
      <c r="C211" s="7">
        <v>1.1770833333333901</v>
      </c>
      <c r="D211" s="7">
        <v>1.18750000000006</v>
      </c>
      <c r="E211" s="30">
        <v>700</v>
      </c>
      <c r="F211" s="60">
        <v>544.78</v>
      </c>
      <c r="G211" s="4">
        <f t="shared" si="73"/>
        <v>155.22000000000003</v>
      </c>
      <c r="H211" s="9">
        <f t="shared" si="74"/>
        <v>3.8805000000000006E-2</v>
      </c>
      <c r="I211" s="11"/>
      <c r="J211" s="64">
        <v>540</v>
      </c>
      <c r="K211" s="31">
        <f t="shared" si="68"/>
        <v>4.7799999999999727</v>
      </c>
      <c r="L211" s="14">
        <f t="shared" si="71"/>
        <v>1.1949999999999932E-3</v>
      </c>
      <c r="M211" s="9"/>
    </row>
    <row r="212" spans="2:13">
      <c r="B212" s="4"/>
      <c r="C212" s="7">
        <v>1.18750000000006</v>
      </c>
      <c r="D212" s="7">
        <v>1.19791666666673</v>
      </c>
      <c r="E212" s="30">
        <v>700</v>
      </c>
      <c r="F212" s="60">
        <v>543.25</v>
      </c>
      <c r="G212" s="4">
        <f t="shared" si="73"/>
        <v>156.75</v>
      </c>
      <c r="H212" s="9">
        <f t="shared" si="74"/>
        <v>3.91875E-2</v>
      </c>
      <c r="I212" s="11"/>
      <c r="J212" s="64">
        <v>540</v>
      </c>
      <c r="K212" s="31">
        <f t="shared" si="68"/>
        <v>3.25</v>
      </c>
      <c r="L212" s="14">
        <f t="shared" si="71"/>
        <v>8.1249999999999996E-4</v>
      </c>
      <c r="M212" s="9"/>
    </row>
    <row r="213" spans="2:13">
      <c r="B213" s="4"/>
      <c r="C213" s="7">
        <v>1.19791666666673</v>
      </c>
      <c r="D213" s="35">
        <v>1.2083333333334001</v>
      </c>
      <c r="E213" s="30">
        <v>700</v>
      </c>
      <c r="F213" s="60">
        <v>545.98</v>
      </c>
      <c r="G213" s="4">
        <f t="shared" si="73"/>
        <v>154.01999999999998</v>
      </c>
      <c r="H213" s="9">
        <f t="shared" si="74"/>
        <v>3.8504999999999998E-2</v>
      </c>
      <c r="I213" s="11"/>
      <c r="J213" s="56">
        <v>540</v>
      </c>
      <c r="K213" s="31">
        <f t="shared" si="68"/>
        <v>5.9800000000000182</v>
      </c>
      <c r="L213" s="14">
        <f t="shared" si="71"/>
        <v>1.4950000000000046E-3</v>
      </c>
      <c r="M213" s="9"/>
    </row>
    <row r="214" spans="2:13">
      <c r="B214" s="47"/>
      <c r="C214" s="7">
        <v>1.2083333333334001</v>
      </c>
      <c r="D214" s="7">
        <v>1.2187500000000699</v>
      </c>
      <c r="E214" s="30">
        <v>700</v>
      </c>
      <c r="F214" s="60">
        <v>608.77</v>
      </c>
      <c r="G214" s="4">
        <f t="shared" si="73"/>
        <v>91.230000000000018</v>
      </c>
      <c r="H214" s="9">
        <f t="shared" si="74"/>
        <v>2.2807500000000005E-2</v>
      </c>
      <c r="I214" s="11"/>
      <c r="J214" s="56">
        <f>J213+80</f>
        <v>620</v>
      </c>
      <c r="K214" s="31">
        <f>J214-F214</f>
        <v>11.230000000000018</v>
      </c>
      <c r="L214" s="14">
        <f t="shared" si="71"/>
        <v>2.8075000000000044E-3</v>
      </c>
      <c r="M214" s="9"/>
    </row>
    <row r="215" spans="2:13">
      <c r="B215" s="47"/>
      <c r="C215" s="7">
        <v>1.2187500000000699</v>
      </c>
      <c r="D215" s="7">
        <v>1.22916666666674</v>
      </c>
      <c r="E215" s="30">
        <v>700</v>
      </c>
      <c r="F215" s="60">
        <v>686.87</v>
      </c>
      <c r="G215" s="4">
        <f t="shared" si="73"/>
        <v>13.129999999999995</v>
      </c>
      <c r="H215" s="9">
        <f t="shared" si="74"/>
        <v>3.282499999999999E-3</v>
      </c>
      <c r="I215" s="11"/>
      <c r="J215" s="56">
        <f t="shared" ref="J215" si="75">J214+80</f>
        <v>700</v>
      </c>
      <c r="K215" s="31">
        <f>J215-F215</f>
        <v>13.129999999999995</v>
      </c>
      <c r="L215" s="14">
        <f t="shared" si="71"/>
        <v>3.282499999999999E-3</v>
      </c>
      <c r="M215" s="9"/>
    </row>
    <row r="216" spans="2:13">
      <c r="B216" s="4"/>
      <c r="C216" s="7"/>
      <c r="D216" s="7"/>
      <c r="E216" s="30"/>
      <c r="F216" s="60"/>
      <c r="G216" s="4"/>
      <c r="H216" s="9"/>
      <c r="I216" s="40">
        <f>SUM(H202:H215)</f>
        <v>0.49177249999999995</v>
      </c>
      <c r="J216" s="52"/>
      <c r="K216" s="31"/>
      <c r="L216" s="14"/>
      <c r="M216" s="9">
        <f>SUM(L202:L215)</f>
        <v>1.9575000000000023E-2</v>
      </c>
    </row>
    <row r="217" spans="2:13">
      <c r="B217" s="34">
        <v>46028</v>
      </c>
      <c r="C217" s="7">
        <v>1.94791666666698</v>
      </c>
      <c r="D217" s="7">
        <v>1.9583333333336299</v>
      </c>
      <c r="E217" s="30">
        <v>700</v>
      </c>
      <c r="F217" s="60">
        <v>655.45</v>
      </c>
      <c r="G217" s="4">
        <f t="shared" si="73"/>
        <v>44.549999999999955</v>
      </c>
      <c r="H217" s="9">
        <f t="shared" si="74"/>
        <v>1.1137499999999989E-2</v>
      </c>
      <c r="I217" s="11"/>
      <c r="J217" s="29">
        <f>E217-80</f>
        <v>620</v>
      </c>
      <c r="K217" s="31">
        <f t="shared" si="68"/>
        <v>35.450000000000045</v>
      </c>
      <c r="L217" s="14"/>
      <c r="M217" s="9"/>
    </row>
    <row r="218" spans="2:13">
      <c r="B218" s="47"/>
      <c r="C218" s="7">
        <v>1.9583333333336499</v>
      </c>
      <c r="D218" s="7">
        <v>1.9687500000003</v>
      </c>
      <c r="E218" s="30">
        <v>700</v>
      </c>
      <c r="F218" s="60">
        <v>574.78</v>
      </c>
      <c r="G218" s="4">
        <f t="shared" si="73"/>
        <v>125.22000000000003</v>
      </c>
      <c r="H218" s="9">
        <f t="shared" si="74"/>
        <v>3.1305000000000006E-2</v>
      </c>
      <c r="I218" s="11"/>
      <c r="J218" s="29">
        <f>J217-80</f>
        <v>540</v>
      </c>
      <c r="K218" s="31">
        <f t="shared" si="68"/>
        <v>34.779999999999973</v>
      </c>
      <c r="L218" s="14">
        <f t="shared" si="71"/>
        <v>8.6949999999999927E-3</v>
      </c>
      <c r="M218" s="9"/>
    </row>
    <row r="219" spans="2:13">
      <c r="B219" s="4"/>
      <c r="C219" s="7">
        <v>1.96875000000032</v>
      </c>
      <c r="D219" s="7">
        <v>1.9791666666669701</v>
      </c>
      <c r="E219" s="30">
        <v>700</v>
      </c>
      <c r="F219" s="60">
        <v>546.08000000000004</v>
      </c>
      <c r="G219" s="4">
        <f t="shared" si="73"/>
        <v>153.91999999999996</v>
      </c>
      <c r="H219" s="9">
        <f t="shared" si="74"/>
        <v>3.8479999999999986E-2</v>
      </c>
      <c r="I219" s="11"/>
      <c r="J219" s="64">
        <v>540</v>
      </c>
      <c r="K219" s="31">
        <f t="shared" si="68"/>
        <v>6.0800000000000409</v>
      </c>
      <c r="L219" s="14">
        <f t="shared" si="71"/>
        <v>1.5200000000000103E-3</v>
      </c>
      <c r="M219" s="9"/>
    </row>
    <row r="220" spans="2:13" ht="15.75" thickBot="1">
      <c r="B220" s="4"/>
      <c r="C220" s="7">
        <v>1.97916666666699</v>
      </c>
      <c r="D220" s="7">
        <v>1.9895833333336399</v>
      </c>
      <c r="E220" s="30">
        <v>700</v>
      </c>
      <c r="F220" s="60">
        <v>544.77</v>
      </c>
      <c r="G220" s="4">
        <f t="shared" si="73"/>
        <v>155.23000000000002</v>
      </c>
      <c r="H220" s="9">
        <f t="shared" si="74"/>
        <v>3.8807500000000002E-2</v>
      </c>
      <c r="I220" s="33"/>
      <c r="J220" s="64">
        <v>540</v>
      </c>
      <c r="K220" s="31">
        <f t="shared" si="68"/>
        <v>4.7699999999999818</v>
      </c>
      <c r="L220" s="14">
        <f t="shared" si="71"/>
        <v>1.1924999999999954E-3</v>
      </c>
      <c r="M220" s="9"/>
    </row>
    <row r="221" spans="2:13">
      <c r="B221" s="47"/>
      <c r="C221" s="7">
        <v>1.9895833333336601</v>
      </c>
      <c r="D221" s="7">
        <v>2.00000000000031</v>
      </c>
      <c r="E221" s="30">
        <v>700</v>
      </c>
      <c r="F221" s="61">
        <v>542.94000000000005</v>
      </c>
      <c r="G221" s="4">
        <f t="shared" si="73"/>
        <v>157.05999999999995</v>
      </c>
      <c r="H221" s="9">
        <f t="shared" si="74"/>
        <v>3.9264999999999987E-2</v>
      </c>
      <c r="I221" s="11"/>
      <c r="J221" s="64">
        <v>540</v>
      </c>
      <c r="K221" s="31">
        <f t="shared" si="68"/>
        <v>2.9400000000000546</v>
      </c>
      <c r="L221" s="14">
        <f t="shared" si="71"/>
        <v>7.3500000000001364E-4</v>
      </c>
      <c r="M221" s="9"/>
    </row>
    <row r="222" spans="2:13">
      <c r="B222" s="47"/>
      <c r="C222" s="7"/>
      <c r="D222" s="7"/>
      <c r="E222" s="30"/>
      <c r="F222" s="4"/>
      <c r="G222" s="4"/>
      <c r="H222" s="9"/>
      <c r="I222" s="40">
        <f>SUM(H217:H221)</f>
        <v>0.15899499999999997</v>
      </c>
      <c r="J222" s="29"/>
      <c r="K222" s="31"/>
      <c r="L222" s="14"/>
      <c r="M222" s="9">
        <f>SUM(L217:L221)</f>
        <v>1.2142500000000013E-2</v>
      </c>
    </row>
    <row r="223" spans="2:13">
      <c r="B223" s="34">
        <v>46029</v>
      </c>
      <c r="C223" s="7">
        <v>1</v>
      </c>
      <c r="D223" s="7">
        <v>1.0104166666666701</v>
      </c>
      <c r="E223" s="30">
        <v>700</v>
      </c>
      <c r="F223" s="60">
        <v>541.53</v>
      </c>
      <c r="G223" s="4">
        <f t="shared" si="73"/>
        <v>158.47000000000003</v>
      </c>
      <c r="H223" s="9">
        <f t="shared" si="74"/>
        <v>3.9617500000000007E-2</v>
      </c>
      <c r="I223" s="40"/>
      <c r="J223" s="29">
        <f>J221</f>
        <v>540</v>
      </c>
      <c r="K223" s="31">
        <f t="shared" si="68"/>
        <v>1.5299999999999727</v>
      </c>
      <c r="L223" s="14"/>
      <c r="M223" s="9"/>
    </row>
    <row r="224" spans="2:13">
      <c r="B224" s="47"/>
      <c r="C224" s="7">
        <v>1.0104166666666701</v>
      </c>
      <c r="D224" s="7">
        <v>1.0208333333333399</v>
      </c>
      <c r="E224" s="30">
        <v>700</v>
      </c>
      <c r="F224" s="60">
        <v>541.20000000000005</v>
      </c>
      <c r="G224" s="4">
        <f t="shared" si="73"/>
        <v>158.79999999999995</v>
      </c>
      <c r="H224" s="9">
        <f t="shared" si="74"/>
        <v>3.9699999999999985E-2</v>
      </c>
      <c r="I224" s="11"/>
      <c r="J224" s="29">
        <v>540</v>
      </c>
      <c r="K224" s="31">
        <f t="shared" si="68"/>
        <v>1.2000000000000455</v>
      </c>
      <c r="L224" s="14">
        <f t="shared" si="71"/>
        <v>3.0000000000001136E-4</v>
      </c>
      <c r="M224" s="9"/>
    </row>
    <row r="225" spans="2:13">
      <c r="B225" s="4"/>
      <c r="C225" s="7">
        <v>1.0208333333333399</v>
      </c>
      <c r="D225" s="7">
        <v>1.03125000000001</v>
      </c>
      <c r="E225" s="30">
        <v>700</v>
      </c>
      <c r="F225" s="60">
        <v>543.49</v>
      </c>
      <c r="G225" s="4">
        <f t="shared" si="73"/>
        <v>156.51</v>
      </c>
      <c r="H225" s="9">
        <f t="shared" si="74"/>
        <v>3.9127499999999996E-2</v>
      </c>
      <c r="I225" s="11"/>
      <c r="J225" s="29">
        <v>540</v>
      </c>
      <c r="K225" s="31">
        <f t="shared" si="68"/>
        <v>3.4900000000000091</v>
      </c>
      <c r="L225" s="14">
        <f t="shared" si="71"/>
        <v>8.7250000000000229E-4</v>
      </c>
      <c r="M225" s="9"/>
    </row>
    <row r="226" spans="2:13">
      <c r="B226" s="4"/>
      <c r="C226" s="7">
        <v>1.03125000000001</v>
      </c>
      <c r="D226" s="7">
        <v>1.0416666666666801</v>
      </c>
      <c r="E226" s="30">
        <v>700</v>
      </c>
      <c r="F226" s="60">
        <v>541.57000000000005</v>
      </c>
      <c r="G226" s="4">
        <f t="shared" si="73"/>
        <v>158.42999999999995</v>
      </c>
      <c r="H226" s="9">
        <f t="shared" si="74"/>
        <v>3.960749999999999E-2</v>
      </c>
      <c r="I226" s="11"/>
      <c r="J226" s="64">
        <v>540</v>
      </c>
      <c r="K226" s="31">
        <f t="shared" si="68"/>
        <v>1.57000000000005</v>
      </c>
      <c r="L226" s="14">
        <f t="shared" si="71"/>
        <v>3.9250000000001252E-4</v>
      </c>
      <c r="M226" s="9"/>
    </row>
    <row r="227" spans="2:13">
      <c r="B227" s="4"/>
      <c r="C227" s="7">
        <v>1.0416666666666801</v>
      </c>
      <c r="D227" s="7">
        <v>1.0520833333333499</v>
      </c>
      <c r="E227" s="30">
        <v>700</v>
      </c>
      <c r="F227" s="60">
        <v>542.92999999999995</v>
      </c>
      <c r="G227" s="4">
        <f t="shared" si="73"/>
        <v>157.07000000000005</v>
      </c>
      <c r="H227" s="9">
        <f t="shared" si="74"/>
        <v>3.9267500000000011E-2</v>
      </c>
      <c r="I227" s="11"/>
      <c r="J227" s="64">
        <v>540</v>
      </c>
      <c r="K227" s="31">
        <f t="shared" si="68"/>
        <v>2.92999999999995</v>
      </c>
      <c r="L227" s="14">
        <f t="shared" si="71"/>
        <v>7.324999999999875E-4</v>
      </c>
      <c r="M227" s="9"/>
    </row>
    <row r="228" spans="2:13">
      <c r="B228" s="4"/>
      <c r="C228" s="7">
        <v>1.0520833333333499</v>
      </c>
      <c r="D228" s="7">
        <v>1.06250000000002</v>
      </c>
      <c r="E228" s="30">
        <v>700</v>
      </c>
      <c r="F228" s="60">
        <v>544.20000000000005</v>
      </c>
      <c r="G228" s="4">
        <f t="shared" si="73"/>
        <v>155.79999999999995</v>
      </c>
      <c r="H228" s="9">
        <f t="shared" si="74"/>
        <v>3.8949999999999992E-2</v>
      </c>
      <c r="I228" s="11"/>
      <c r="J228" s="64">
        <v>540</v>
      </c>
      <c r="K228" s="31">
        <f t="shared" si="68"/>
        <v>4.2000000000000455</v>
      </c>
      <c r="L228" s="14">
        <f t="shared" si="71"/>
        <v>1.0500000000000114E-3</v>
      </c>
      <c r="M228" s="9"/>
    </row>
    <row r="229" spans="2:13">
      <c r="B229" s="47"/>
      <c r="C229" s="7">
        <v>1.06250000000002</v>
      </c>
      <c r="D229" s="7">
        <v>1.0729166666666901</v>
      </c>
      <c r="E229" s="30">
        <v>700</v>
      </c>
      <c r="F229" s="60">
        <v>541.86</v>
      </c>
      <c r="G229" s="4">
        <f t="shared" si="73"/>
        <v>158.13999999999999</v>
      </c>
      <c r="H229" s="9">
        <f t="shared" si="74"/>
        <v>3.9534999999999994E-2</v>
      </c>
      <c r="I229" s="11"/>
      <c r="J229" s="64">
        <v>540</v>
      </c>
      <c r="K229" s="31">
        <f t="shared" si="68"/>
        <v>1.8600000000000136</v>
      </c>
      <c r="L229" s="14">
        <f t="shared" si="71"/>
        <v>4.6500000000000339E-4</v>
      </c>
      <c r="M229" s="9"/>
    </row>
    <row r="230" spans="2:13">
      <c r="B230" s="4"/>
      <c r="C230" s="7">
        <v>1.0729166666666901</v>
      </c>
      <c r="D230" s="7">
        <v>1.0833333333333599</v>
      </c>
      <c r="E230" s="30">
        <v>700</v>
      </c>
      <c r="F230" s="60">
        <v>542.15</v>
      </c>
      <c r="G230" s="4">
        <f t="shared" si="73"/>
        <v>157.85000000000002</v>
      </c>
      <c r="H230" s="9">
        <f t="shared" si="74"/>
        <v>3.9462500000000005E-2</v>
      </c>
      <c r="I230" s="11"/>
      <c r="J230" s="64">
        <v>540</v>
      </c>
      <c r="K230" s="31">
        <f t="shared" si="68"/>
        <v>2.1499999999999773</v>
      </c>
      <c r="L230" s="14">
        <f t="shared" si="71"/>
        <v>5.3749999999999436E-4</v>
      </c>
      <c r="M230" s="9"/>
    </row>
    <row r="231" spans="2:13">
      <c r="B231" s="47"/>
      <c r="C231" s="7">
        <v>1.0833333333333599</v>
      </c>
      <c r="D231" s="7">
        <v>1.09375000000003</v>
      </c>
      <c r="E231" s="30">
        <v>700</v>
      </c>
      <c r="F231" s="60">
        <v>542.97</v>
      </c>
      <c r="G231" s="4">
        <f t="shared" si="73"/>
        <v>157.02999999999997</v>
      </c>
      <c r="H231" s="9">
        <f t="shared" si="74"/>
        <v>3.9257499999999994E-2</v>
      </c>
      <c r="I231" s="11"/>
      <c r="J231" s="64">
        <v>540</v>
      </c>
      <c r="K231" s="31">
        <f t="shared" si="68"/>
        <v>2.9700000000000273</v>
      </c>
      <c r="L231" s="14">
        <f t="shared" si="71"/>
        <v>7.4250000000000683E-4</v>
      </c>
      <c r="M231" s="9"/>
    </row>
    <row r="232" spans="2:13">
      <c r="B232" s="4"/>
      <c r="C232" s="7">
        <v>1.09375000000003</v>
      </c>
      <c r="D232" s="7">
        <v>1.1041666666667</v>
      </c>
      <c r="E232" s="30">
        <v>700</v>
      </c>
      <c r="F232" s="60">
        <v>543.04999999999995</v>
      </c>
      <c r="G232" s="4">
        <f t="shared" si="73"/>
        <v>156.95000000000005</v>
      </c>
      <c r="H232" s="9">
        <f t="shared" si="74"/>
        <v>3.9237500000000008E-2</v>
      </c>
      <c r="I232" s="11"/>
      <c r="J232" s="64">
        <v>540</v>
      </c>
      <c r="K232" s="31">
        <f t="shared" si="68"/>
        <v>3.0499999999999545</v>
      </c>
      <c r="L232" s="14">
        <f t="shared" si="71"/>
        <v>7.6249999999998866E-4</v>
      </c>
      <c r="M232" s="9"/>
    </row>
    <row r="233" spans="2:13">
      <c r="B233" s="4"/>
      <c r="C233" s="7">
        <v>1.1041666666667</v>
      </c>
      <c r="D233" s="7">
        <v>1.1145833333333699</v>
      </c>
      <c r="E233" s="30">
        <v>700</v>
      </c>
      <c r="F233" s="60">
        <v>545.03</v>
      </c>
      <c r="G233" s="4">
        <f t="shared" si="73"/>
        <v>154.97000000000003</v>
      </c>
      <c r="H233" s="9">
        <f t="shared" si="74"/>
        <v>3.8742500000000006E-2</v>
      </c>
      <c r="I233" s="11"/>
      <c r="J233" s="64">
        <v>540</v>
      </c>
      <c r="K233" s="31">
        <f t="shared" si="68"/>
        <v>5.0299999999999727</v>
      </c>
      <c r="L233" s="14">
        <f t="shared" si="71"/>
        <v>1.2574999999999932E-3</v>
      </c>
      <c r="M233" s="9"/>
    </row>
    <row r="234" spans="2:13">
      <c r="B234" s="47"/>
      <c r="C234" s="7">
        <v>1.1145833333333699</v>
      </c>
      <c r="D234" s="7">
        <v>1.12500000000004</v>
      </c>
      <c r="E234" s="30">
        <v>700</v>
      </c>
      <c r="F234" s="60">
        <v>540.64</v>
      </c>
      <c r="G234" s="4">
        <f t="shared" si="73"/>
        <v>159.36000000000001</v>
      </c>
      <c r="H234" s="9">
        <f t="shared" si="74"/>
        <v>3.984E-2</v>
      </c>
      <c r="I234" s="11"/>
      <c r="J234" s="64">
        <v>540</v>
      </c>
      <c r="K234" s="31">
        <f t="shared" si="68"/>
        <v>0.63999999999998636</v>
      </c>
      <c r="L234" s="14">
        <f t="shared" si="71"/>
        <v>1.599999999999966E-4</v>
      </c>
      <c r="M234" s="9"/>
    </row>
    <row r="235" spans="2:13">
      <c r="B235" s="4"/>
      <c r="C235" s="7">
        <v>1.12500000000004</v>
      </c>
      <c r="D235" s="7">
        <v>1.13541666666671</v>
      </c>
      <c r="E235" s="30">
        <v>700</v>
      </c>
      <c r="F235" s="60">
        <v>540.45000000000005</v>
      </c>
      <c r="G235" s="4">
        <f t="shared" si="73"/>
        <v>159.54999999999995</v>
      </c>
      <c r="H235" s="9">
        <f t="shared" si="74"/>
        <v>3.9887499999999985E-2</v>
      </c>
      <c r="I235" s="11"/>
      <c r="J235" s="64">
        <v>540</v>
      </c>
      <c r="K235" s="31">
        <f t="shared" si="68"/>
        <v>0.45000000000004547</v>
      </c>
      <c r="L235" s="14">
        <f t="shared" si="71"/>
        <v>1.1250000000001137E-4</v>
      </c>
      <c r="M235" s="9"/>
    </row>
    <row r="236" spans="2:13">
      <c r="B236" s="47"/>
      <c r="C236" s="7">
        <v>1.13541666666671</v>
      </c>
      <c r="D236" s="7">
        <v>1.1458333333333801</v>
      </c>
      <c r="E236" s="30">
        <v>700</v>
      </c>
      <c r="F236" s="60">
        <v>542.11</v>
      </c>
      <c r="G236" s="4">
        <f t="shared" si="73"/>
        <v>157.88999999999999</v>
      </c>
      <c r="H236" s="9">
        <f t="shared" si="74"/>
        <v>3.9472499999999994E-2</v>
      </c>
      <c r="I236" s="11"/>
      <c r="J236" s="64">
        <v>540</v>
      </c>
      <c r="K236" s="31">
        <f t="shared" si="68"/>
        <v>2.1100000000000136</v>
      </c>
      <c r="L236" s="14">
        <f t="shared" si="71"/>
        <v>5.2750000000000344E-4</v>
      </c>
      <c r="M236" s="9"/>
    </row>
    <row r="237" spans="2:13">
      <c r="B237" s="47"/>
      <c r="C237" s="7">
        <v>1.1458333333333801</v>
      </c>
      <c r="D237" s="7">
        <v>1.15625000000005</v>
      </c>
      <c r="E237" s="30">
        <v>700</v>
      </c>
      <c r="F237" s="60">
        <v>542.73</v>
      </c>
      <c r="G237" s="4">
        <f t="shared" si="73"/>
        <v>157.26999999999998</v>
      </c>
      <c r="H237" s="9">
        <f t="shared" si="74"/>
        <v>3.9317499999999998E-2</v>
      </c>
      <c r="I237" s="11"/>
      <c r="J237" s="64">
        <v>540</v>
      </c>
      <c r="K237" s="31">
        <f t="shared" si="68"/>
        <v>2.7300000000000182</v>
      </c>
      <c r="L237" s="14">
        <f t="shared" si="71"/>
        <v>6.825000000000045E-4</v>
      </c>
      <c r="M237" s="9"/>
    </row>
    <row r="238" spans="2:13">
      <c r="B238" s="47"/>
      <c r="C238" s="7">
        <v>1.15625000000005</v>
      </c>
      <c r="D238" s="7">
        <v>1.16666666666672</v>
      </c>
      <c r="E238" s="30">
        <v>700</v>
      </c>
      <c r="F238" s="60">
        <v>538.28</v>
      </c>
      <c r="G238" s="4">
        <f t="shared" si="73"/>
        <v>161.72000000000003</v>
      </c>
      <c r="H238" s="9">
        <f t="shared" si="74"/>
        <v>4.0430000000000008E-2</v>
      </c>
      <c r="I238" s="11"/>
      <c r="J238" s="64">
        <v>540</v>
      </c>
      <c r="K238" s="31">
        <f t="shared" si="68"/>
        <v>-1.7200000000000273</v>
      </c>
      <c r="L238" s="14">
        <f t="shared" si="71"/>
        <v>0</v>
      </c>
      <c r="M238" s="9"/>
    </row>
    <row r="239" spans="2:13">
      <c r="B239" s="4"/>
      <c r="C239" s="7">
        <v>1.16666666666672</v>
      </c>
      <c r="D239" s="7">
        <v>1.1770833333333901</v>
      </c>
      <c r="E239" s="30">
        <v>700</v>
      </c>
      <c r="F239" s="60">
        <v>539.55999999999995</v>
      </c>
      <c r="G239" s="4">
        <f t="shared" si="73"/>
        <v>160.44000000000005</v>
      </c>
      <c r="H239" s="9">
        <f t="shared" si="74"/>
        <v>4.0110000000000014E-2</v>
      </c>
      <c r="I239" s="11"/>
      <c r="J239" s="64">
        <v>540</v>
      </c>
      <c r="K239" s="31">
        <f t="shared" si="68"/>
        <v>-0.44000000000005457</v>
      </c>
      <c r="L239" s="14">
        <f t="shared" si="71"/>
        <v>0</v>
      </c>
      <c r="M239" s="9"/>
    </row>
    <row r="240" spans="2:13">
      <c r="B240" s="4"/>
      <c r="C240" s="7">
        <v>1.1770833333333901</v>
      </c>
      <c r="D240" s="7">
        <v>1.18750000000006</v>
      </c>
      <c r="E240" s="30">
        <v>700</v>
      </c>
      <c r="F240" s="60">
        <v>539.79999999999995</v>
      </c>
      <c r="G240" s="4">
        <f t="shared" si="73"/>
        <v>160.20000000000005</v>
      </c>
      <c r="H240" s="9">
        <f t="shared" si="74"/>
        <v>4.0050000000000009E-2</v>
      </c>
      <c r="I240" s="11"/>
      <c r="J240" s="64">
        <v>540</v>
      </c>
      <c r="K240" s="31">
        <f t="shared" si="68"/>
        <v>-0.20000000000004547</v>
      </c>
      <c r="L240" s="14">
        <f t="shared" si="71"/>
        <v>0</v>
      </c>
      <c r="M240" s="9"/>
    </row>
    <row r="241" spans="2:13">
      <c r="B241" s="4"/>
      <c r="C241" s="7">
        <v>1.18750000000006</v>
      </c>
      <c r="D241" s="7">
        <v>1.19791666666673</v>
      </c>
      <c r="E241" s="30">
        <v>700</v>
      </c>
      <c r="F241" s="60">
        <v>542.02</v>
      </c>
      <c r="G241" s="4">
        <f t="shared" si="73"/>
        <v>157.98000000000002</v>
      </c>
      <c r="H241" s="9">
        <f t="shared" si="74"/>
        <v>3.9495000000000002E-2</v>
      </c>
      <c r="I241" s="11"/>
      <c r="J241" s="64">
        <v>540</v>
      </c>
      <c r="K241" s="31">
        <f t="shared" si="68"/>
        <v>2.0199999999999818</v>
      </c>
      <c r="L241" s="14">
        <f t="shared" si="71"/>
        <v>5.0499999999999547E-4</v>
      </c>
      <c r="M241" s="9"/>
    </row>
    <row r="242" spans="2:13" ht="15.75" thickBot="1">
      <c r="B242" s="47"/>
      <c r="C242" s="7">
        <v>1.19791666666673</v>
      </c>
      <c r="D242" s="35">
        <v>1.2083333333334001</v>
      </c>
      <c r="E242" s="30">
        <v>700</v>
      </c>
      <c r="F242" s="60">
        <v>542.13</v>
      </c>
      <c r="G242" s="4">
        <f t="shared" si="73"/>
        <v>157.87</v>
      </c>
      <c r="H242" s="9">
        <f t="shared" si="74"/>
        <v>3.9467500000000003E-2</v>
      </c>
      <c r="I242" s="33"/>
      <c r="J242" s="64">
        <v>540</v>
      </c>
      <c r="K242" s="31">
        <f t="shared" si="68"/>
        <v>2.1299999999999955</v>
      </c>
      <c r="L242" s="14">
        <f t="shared" si="71"/>
        <v>5.324999999999989E-4</v>
      </c>
      <c r="M242" s="9"/>
    </row>
    <row r="243" spans="2:13">
      <c r="B243" s="4"/>
      <c r="C243" s="7">
        <v>1.2083333333334001</v>
      </c>
      <c r="D243" s="7">
        <v>1.2187500000000699</v>
      </c>
      <c r="E243" s="30">
        <v>700</v>
      </c>
      <c r="F243" s="60">
        <v>601.36</v>
      </c>
      <c r="G243" s="4">
        <f t="shared" si="73"/>
        <v>98.639999999999986</v>
      </c>
      <c r="H243" s="9">
        <f t="shared" si="74"/>
        <v>2.4659999999999998E-2</v>
      </c>
      <c r="I243" s="40"/>
      <c r="J243" s="29">
        <f>J242+80</f>
        <v>620</v>
      </c>
      <c r="K243" s="31">
        <f t="shared" ref="K243:K296" si="76">F243-J243</f>
        <v>-18.639999999999986</v>
      </c>
      <c r="L243" s="14">
        <f t="shared" si="71"/>
        <v>0</v>
      </c>
      <c r="M243" s="9"/>
    </row>
    <row r="244" spans="2:13">
      <c r="B244" s="47"/>
      <c r="C244" s="7">
        <v>1.2187500000000699</v>
      </c>
      <c r="D244" s="7">
        <v>1.22916666666674</v>
      </c>
      <c r="E244" s="30">
        <v>700</v>
      </c>
      <c r="F244" s="60">
        <v>674.75</v>
      </c>
      <c r="G244" s="4">
        <f t="shared" si="73"/>
        <v>25.25</v>
      </c>
      <c r="H244" s="9">
        <f t="shared" si="74"/>
        <v>6.3125000000000004E-3</v>
      </c>
      <c r="I244" s="11"/>
      <c r="J244" s="64">
        <f t="shared" ref="J244" si="77">J243+80</f>
        <v>700</v>
      </c>
      <c r="K244" s="31">
        <f t="shared" si="76"/>
        <v>-25.25</v>
      </c>
      <c r="L244" s="14">
        <f t="shared" si="71"/>
        <v>0</v>
      </c>
      <c r="M244" s="9"/>
    </row>
    <row r="245" spans="2:13">
      <c r="B245" s="47"/>
      <c r="C245" s="7"/>
      <c r="D245" s="7"/>
      <c r="E245" s="30"/>
      <c r="F245" s="15"/>
      <c r="G245" s="4"/>
      <c r="H245" s="9"/>
      <c r="I245" s="40">
        <f>SUM(H223:H244)</f>
        <v>0.8215475000000001</v>
      </c>
      <c r="J245" s="29"/>
      <c r="K245" s="31"/>
      <c r="L245" s="14"/>
      <c r="M245" s="9">
        <f>SUM(L223:L244)</f>
        <v>9.6325000000000213E-3</v>
      </c>
    </row>
    <row r="246" spans="2:13">
      <c r="B246" s="34">
        <v>46029</v>
      </c>
      <c r="C246" s="7">
        <v>1.5104166666668299</v>
      </c>
      <c r="D246" s="7">
        <v>1.52083333333349</v>
      </c>
      <c r="E246" s="30">
        <v>700</v>
      </c>
      <c r="F246" s="60">
        <v>691</v>
      </c>
      <c r="G246" s="4">
        <f t="shared" si="73"/>
        <v>9</v>
      </c>
      <c r="H246" s="9">
        <f t="shared" si="74"/>
        <v>2.2499999999999998E-3</v>
      </c>
      <c r="I246" s="11"/>
      <c r="J246" s="29">
        <f>E246-30</f>
        <v>670</v>
      </c>
      <c r="K246" s="31"/>
      <c r="L246" s="14"/>
      <c r="M246" s="9"/>
    </row>
    <row r="247" spans="2:13">
      <c r="B247" s="47"/>
      <c r="C247" s="7">
        <v>1.5208333333335</v>
      </c>
      <c r="D247" s="7">
        <v>1.5312500000001601</v>
      </c>
      <c r="E247" s="30">
        <v>700</v>
      </c>
      <c r="F247" s="60">
        <v>602.34</v>
      </c>
      <c r="G247" s="4">
        <f t="shared" si="73"/>
        <v>97.659999999999968</v>
      </c>
      <c r="H247" s="9">
        <f t="shared" si="74"/>
        <v>2.4414999999999992E-2</v>
      </c>
      <c r="I247" s="11"/>
      <c r="J247" s="29">
        <f>J246-80</f>
        <v>590</v>
      </c>
      <c r="K247" s="31">
        <f t="shared" si="76"/>
        <v>12.340000000000032</v>
      </c>
      <c r="L247" s="14">
        <f t="shared" si="71"/>
        <v>3.0850000000000079E-3</v>
      </c>
      <c r="M247" s="9"/>
    </row>
    <row r="248" spans="2:13">
      <c r="B248" s="4"/>
      <c r="C248" s="7">
        <v>1.5312500000001701</v>
      </c>
      <c r="D248" s="7">
        <v>1.5416666666668299</v>
      </c>
      <c r="E248" s="30">
        <v>700</v>
      </c>
      <c r="F248" s="60">
        <v>510</v>
      </c>
      <c r="G248" s="4">
        <f t="shared" si="73"/>
        <v>190</v>
      </c>
      <c r="H248" s="9">
        <f t="shared" si="74"/>
        <v>4.7500000000000001E-2</v>
      </c>
      <c r="I248" s="11"/>
      <c r="J248" s="64">
        <v>540</v>
      </c>
      <c r="K248" s="31">
        <f t="shared" si="76"/>
        <v>-30</v>
      </c>
      <c r="L248" s="14">
        <f t="shared" si="71"/>
        <v>0</v>
      </c>
      <c r="M248" s="9"/>
    </row>
    <row r="249" spans="2:13">
      <c r="B249" s="4"/>
      <c r="C249" s="7">
        <v>1.5416666666668399</v>
      </c>
      <c r="D249" s="7">
        <v>1.5520833333335</v>
      </c>
      <c r="E249" s="30">
        <v>700</v>
      </c>
      <c r="F249" s="60">
        <v>544.91999999999996</v>
      </c>
      <c r="G249" s="4">
        <f t="shared" si="73"/>
        <v>155.08000000000004</v>
      </c>
      <c r="H249" s="9">
        <f t="shared" si="74"/>
        <v>3.8770000000000013E-2</v>
      </c>
      <c r="I249" s="11"/>
      <c r="J249" s="64">
        <v>540</v>
      </c>
      <c r="K249" s="31">
        <f t="shared" si="76"/>
        <v>4.9199999999999591</v>
      </c>
      <c r="L249" s="14">
        <f t="shared" si="71"/>
        <v>1.2299999999999898E-3</v>
      </c>
      <c r="M249" s="9"/>
    </row>
    <row r="250" spans="2:13">
      <c r="B250" s="47"/>
      <c r="C250" s="7">
        <v>1.55208333333351</v>
      </c>
      <c r="D250" s="7">
        <v>1.5625000000001701</v>
      </c>
      <c r="E250" s="30">
        <v>700</v>
      </c>
      <c r="F250" s="60">
        <v>539.44000000000005</v>
      </c>
      <c r="G250" s="4">
        <f t="shared" si="73"/>
        <v>160.55999999999995</v>
      </c>
      <c r="H250" s="9">
        <f t="shared" si="74"/>
        <v>4.0139999999999988E-2</v>
      </c>
      <c r="I250" s="11"/>
      <c r="J250" s="64">
        <v>540</v>
      </c>
      <c r="K250" s="31">
        <f t="shared" si="76"/>
        <v>-0.55999999999994543</v>
      </c>
      <c r="L250" s="14">
        <f t="shared" si="71"/>
        <v>0</v>
      </c>
      <c r="M250" s="9"/>
    </row>
    <row r="251" spans="2:13">
      <c r="B251" s="47"/>
      <c r="C251" s="7">
        <v>1.5625000000001801</v>
      </c>
      <c r="D251" s="7">
        <v>1.5729166666668399</v>
      </c>
      <c r="E251" s="30">
        <v>700</v>
      </c>
      <c r="F251" s="60">
        <v>543.14</v>
      </c>
      <c r="G251" s="4">
        <f t="shared" si="73"/>
        <v>156.86000000000001</v>
      </c>
      <c r="H251" s="9">
        <f t="shared" si="74"/>
        <v>3.9215000000000007E-2</v>
      </c>
      <c r="I251" s="11"/>
      <c r="J251" s="64">
        <v>540</v>
      </c>
      <c r="K251" s="31">
        <f t="shared" si="76"/>
        <v>3.1399999999999864</v>
      </c>
      <c r="L251" s="14">
        <f t="shared" si="71"/>
        <v>7.8499999999999664E-4</v>
      </c>
      <c r="M251" s="9"/>
    </row>
    <row r="252" spans="2:13">
      <c r="B252" s="4"/>
      <c r="C252" s="7">
        <v>1.5729166666668499</v>
      </c>
      <c r="D252" s="7">
        <v>1.58333333333351</v>
      </c>
      <c r="E252" s="30">
        <v>700</v>
      </c>
      <c r="F252" s="60">
        <v>544.51</v>
      </c>
      <c r="G252" s="4">
        <f t="shared" si="73"/>
        <v>155.49</v>
      </c>
      <c r="H252" s="9">
        <f t="shared" si="74"/>
        <v>3.8872500000000004E-2</v>
      </c>
      <c r="I252" s="11"/>
      <c r="J252" s="64">
        <v>540</v>
      </c>
      <c r="K252" s="31">
        <f t="shared" si="76"/>
        <v>4.5099999999999909</v>
      </c>
      <c r="L252" s="14">
        <f t="shared" si="71"/>
        <v>1.1274999999999976E-3</v>
      </c>
      <c r="M252" s="9"/>
    </row>
    <row r="253" spans="2:13">
      <c r="B253" s="4"/>
      <c r="C253" s="7">
        <v>1.58333333333352</v>
      </c>
      <c r="D253" s="7">
        <v>1.5937500000001801</v>
      </c>
      <c r="E253" s="30">
        <v>700</v>
      </c>
      <c r="F253" s="60">
        <v>543.87</v>
      </c>
      <c r="G253" s="4">
        <f t="shared" si="73"/>
        <v>156.13</v>
      </c>
      <c r="H253" s="9">
        <f t="shared" si="74"/>
        <v>3.9032499999999998E-2</v>
      </c>
      <c r="I253" s="11"/>
      <c r="J253" s="64">
        <v>540</v>
      </c>
      <c r="K253" s="31">
        <f t="shared" si="76"/>
        <v>3.8700000000000045</v>
      </c>
      <c r="L253" s="14">
        <f t="shared" si="71"/>
        <v>9.6750000000000113E-4</v>
      </c>
      <c r="M253" s="9"/>
    </row>
    <row r="254" spans="2:13">
      <c r="B254" s="47"/>
      <c r="C254" s="7">
        <v>1.5937500000001901</v>
      </c>
      <c r="D254" s="35">
        <v>1.6041666666668499</v>
      </c>
      <c r="E254" s="30">
        <v>700</v>
      </c>
      <c r="F254" s="60">
        <v>554.22</v>
      </c>
      <c r="G254" s="4">
        <f t="shared" si="73"/>
        <v>145.77999999999997</v>
      </c>
      <c r="H254" s="9">
        <f t="shared" si="74"/>
        <v>3.6444999999999991E-2</v>
      </c>
      <c r="I254" s="11"/>
      <c r="J254" s="64">
        <f>J253+30</f>
        <v>570</v>
      </c>
      <c r="K254" s="31">
        <f>J254-F254</f>
        <v>15.779999999999973</v>
      </c>
      <c r="L254" s="14">
        <f t="shared" ref="L254:L312" si="78">IF(K254/4000&gt;0,K254/4000,0)</f>
        <v>3.9449999999999928E-3</v>
      </c>
      <c r="M254" s="9"/>
    </row>
    <row r="255" spans="2:13">
      <c r="B255" s="47"/>
      <c r="C255" s="7">
        <v>1.6041666666668599</v>
      </c>
      <c r="D255" s="7">
        <v>1.61458333333352</v>
      </c>
      <c r="E255" s="30">
        <v>700</v>
      </c>
      <c r="F255" s="60">
        <v>664.28</v>
      </c>
      <c r="G255" s="4">
        <f t="shared" si="73"/>
        <v>35.720000000000027</v>
      </c>
      <c r="H255" s="9">
        <f t="shared" si="74"/>
        <v>8.9300000000000074E-3</v>
      </c>
      <c r="I255" s="11"/>
      <c r="J255" s="29">
        <f>J254+80</f>
        <v>650</v>
      </c>
      <c r="K255" s="31">
        <f t="shared" ref="K255:K256" si="79">J255-F255</f>
        <v>-14.279999999999973</v>
      </c>
      <c r="L255" s="14">
        <f t="shared" si="78"/>
        <v>0</v>
      </c>
      <c r="M255" s="9"/>
    </row>
    <row r="256" spans="2:13">
      <c r="B256" s="4"/>
      <c r="C256" s="7">
        <v>1.61458333333353</v>
      </c>
      <c r="D256" s="7">
        <v>1.6250000000001901</v>
      </c>
      <c r="E256" s="30">
        <v>700</v>
      </c>
      <c r="F256" s="60">
        <v>706.43</v>
      </c>
      <c r="G256" s="4">
        <f t="shared" si="73"/>
        <v>-6.42999999999995</v>
      </c>
      <c r="H256" s="76">
        <v>0</v>
      </c>
      <c r="I256" s="11"/>
      <c r="J256" s="64">
        <v>700</v>
      </c>
      <c r="K256" s="31">
        <f t="shared" si="79"/>
        <v>-6.42999999999995</v>
      </c>
      <c r="L256" s="14">
        <f t="shared" si="78"/>
        <v>0</v>
      </c>
      <c r="M256" s="9"/>
    </row>
    <row r="257" spans="2:13">
      <c r="B257" s="4"/>
      <c r="C257" s="7"/>
      <c r="D257" s="7"/>
      <c r="E257" s="30"/>
      <c r="F257" s="15"/>
      <c r="G257" s="4"/>
      <c r="H257" s="9"/>
      <c r="I257" s="40">
        <f>SUM(H246:H256)</f>
        <v>0.31556999999999996</v>
      </c>
      <c r="J257" s="29"/>
      <c r="K257" s="31"/>
      <c r="L257" s="14"/>
      <c r="M257" s="9">
        <f>SUM(L246:L256)</f>
        <v>1.1139999999999987E-2</v>
      </c>
    </row>
    <row r="258" spans="2:13">
      <c r="B258" s="34">
        <v>46029</v>
      </c>
      <c r="C258" s="7">
        <v>1.8541666666669501</v>
      </c>
      <c r="D258" s="7">
        <v>1.8645833333335999</v>
      </c>
      <c r="E258" s="30">
        <v>700</v>
      </c>
      <c r="F258" s="60">
        <v>641.11</v>
      </c>
      <c r="G258" s="4">
        <f t="shared" si="73"/>
        <v>58.889999999999986</v>
      </c>
      <c r="H258" s="9">
        <f t="shared" si="74"/>
        <v>1.4722499999999996E-2</v>
      </c>
      <c r="I258" s="11"/>
      <c r="J258" s="29">
        <f>E258-80</f>
        <v>620</v>
      </c>
      <c r="K258" s="31">
        <f t="shared" si="76"/>
        <v>21.110000000000014</v>
      </c>
      <c r="L258" s="14"/>
      <c r="M258" s="9"/>
    </row>
    <row r="259" spans="2:13">
      <c r="B259" s="47"/>
      <c r="C259" s="7">
        <v>1.8645833333336199</v>
      </c>
      <c r="D259" s="7">
        <v>1.87500000000027</v>
      </c>
      <c r="E259" s="30">
        <v>700</v>
      </c>
      <c r="F259" s="60">
        <v>561.41999999999996</v>
      </c>
      <c r="G259" s="4">
        <f t="shared" si="73"/>
        <v>138.58000000000004</v>
      </c>
      <c r="H259" s="9">
        <f t="shared" si="74"/>
        <v>3.4645000000000009E-2</v>
      </c>
      <c r="I259" s="40"/>
      <c r="J259" s="29">
        <f>J258-80</f>
        <v>540</v>
      </c>
      <c r="K259" s="31">
        <f t="shared" si="76"/>
        <v>21.419999999999959</v>
      </c>
      <c r="L259" s="14">
        <f t="shared" si="78"/>
        <v>5.35499999999999E-3</v>
      </c>
      <c r="M259" s="9"/>
    </row>
    <row r="260" spans="2:13">
      <c r="B260" s="47"/>
      <c r="C260" s="7">
        <v>1.87500000000029</v>
      </c>
      <c r="D260" s="7">
        <v>1.8854166666669401</v>
      </c>
      <c r="E260" s="30">
        <v>700</v>
      </c>
      <c r="F260" s="60">
        <v>545.94000000000005</v>
      </c>
      <c r="G260" s="4">
        <f t="shared" si="73"/>
        <v>154.05999999999995</v>
      </c>
      <c r="H260" s="9">
        <f t="shared" si="74"/>
        <v>3.8514999999999987E-2</v>
      </c>
      <c r="I260" s="11"/>
      <c r="J260" s="29">
        <v>540</v>
      </c>
      <c r="K260" s="31">
        <f t="shared" si="76"/>
        <v>5.9400000000000546</v>
      </c>
      <c r="L260" s="14">
        <f t="shared" si="78"/>
        <v>1.4850000000000137E-3</v>
      </c>
      <c r="M260" s="9"/>
    </row>
    <row r="261" spans="2:13">
      <c r="B261" s="4"/>
      <c r="C261" s="7">
        <v>1.8854166666669601</v>
      </c>
      <c r="D261" s="7">
        <v>1.8958333333336099</v>
      </c>
      <c r="E261" s="30">
        <v>700</v>
      </c>
      <c r="F261" s="60">
        <v>547.02</v>
      </c>
      <c r="G261" s="4">
        <f t="shared" si="73"/>
        <v>152.98000000000002</v>
      </c>
      <c r="H261" s="9">
        <f t="shared" si="74"/>
        <v>3.8245000000000001E-2</v>
      </c>
      <c r="I261" s="11"/>
      <c r="J261" s="64">
        <v>540</v>
      </c>
      <c r="K261" s="31">
        <f t="shared" si="76"/>
        <v>7.0199999999999818</v>
      </c>
      <c r="L261" s="14">
        <f t="shared" si="78"/>
        <v>1.7549999999999955E-3</v>
      </c>
      <c r="M261" s="9"/>
    </row>
    <row r="262" spans="2:13">
      <c r="B262" s="4"/>
      <c r="C262" s="7">
        <v>1.8958333333336299</v>
      </c>
      <c r="D262" s="7">
        <v>1.90625000000028</v>
      </c>
      <c r="E262" s="30">
        <v>700</v>
      </c>
      <c r="F262" s="60">
        <v>549.42999999999995</v>
      </c>
      <c r="G262" s="4">
        <f t="shared" si="73"/>
        <v>150.57000000000005</v>
      </c>
      <c r="H262" s="9">
        <f t="shared" si="74"/>
        <v>3.7642500000000009E-2</v>
      </c>
      <c r="I262" s="11"/>
      <c r="J262" s="64">
        <v>540</v>
      </c>
      <c r="K262" s="31">
        <f t="shared" si="76"/>
        <v>9.42999999999995</v>
      </c>
      <c r="L262" s="14">
        <f t="shared" si="78"/>
        <v>2.3574999999999876E-3</v>
      </c>
      <c r="M262" s="9"/>
    </row>
    <row r="263" spans="2:13">
      <c r="B263" s="47"/>
      <c r="C263" s="7">
        <v>1.9062500000003</v>
      </c>
      <c r="D263" s="7">
        <v>1.9166666666669501</v>
      </c>
      <c r="E263" s="30">
        <v>700</v>
      </c>
      <c r="F263" s="60">
        <v>546.03</v>
      </c>
      <c r="G263" s="4">
        <f t="shared" si="73"/>
        <v>153.97000000000003</v>
      </c>
      <c r="H263" s="9">
        <f t="shared" si="74"/>
        <v>3.8492500000000006E-2</v>
      </c>
      <c r="I263" s="11"/>
      <c r="J263" s="64">
        <v>540</v>
      </c>
      <c r="K263" s="31">
        <f t="shared" si="76"/>
        <v>6.0299999999999727</v>
      </c>
      <c r="L263" s="14">
        <f t="shared" si="78"/>
        <v>1.5074999999999932E-3</v>
      </c>
      <c r="M263" s="9"/>
    </row>
    <row r="264" spans="2:13">
      <c r="B264" s="47"/>
      <c r="C264" s="7">
        <v>1.9166666666669701</v>
      </c>
      <c r="D264" s="7">
        <v>1.9270833333336199</v>
      </c>
      <c r="E264" s="30">
        <v>700</v>
      </c>
      <c r="F264" s="60">
        <v>544.46</v>
      </c>
      <c r="G264" s="4">
        <f t="shared" ref="G264:G325" si="80">E264-F264</f>
        <v>155.53999999999996</v>
      </c>
      <c r="H264" s="9">
        <f t="shared" ref="H264:H325" si="81">G264/4000</f>
        <v>3.8884999999999989E-2</v>
      </c>
      <c r="I264" s="11"/>
      <c r="J264" s="64">
        <v>540</v>
      </c>
      <c r="K264" s="31">
        <f t="shared" si="76"/>
        <v>4.4600000000000364</v>
      </c>
      <c r="L264" s="14">
        <f t="shared" si="78"/>
        <v>1.115000000000009E-3</v>
      </c>
      <c r="M264" s="9"/>
    </row>
    <row r="265" spans="2:13">
      <c r="B265" s="4"/>
      <c r="C265" s="7">
        <v>1.9270833333336399</v>
      </c>
      <c r="D265" s="7">
        <v>1.93750000000029</v>
      </c>
      <c r="E265" s="30">
        <v>700</v>
      </c>
      <c r="F265" s="60">
        <v>543.9</v>
      </c>
      <c r="G265" s="4">
        <f t="shared" si="80"/>
        <v>156.10000000000002</v>
      </c>
      <c r="H265" s="9">
        <f t="shared" si="81"/>
        <v>3.9025000000000004E-2</v>
      </c>
      <c r="I265" s="11"/>
      <c r="J265" s="64">
        <v>540</v>
      </c>
      <c r="K265" s="31">
        <f t="shared" si="76"/>
        <v>3.8999999999999773</v>
      </c>
      <c r="L265" s="14">
        <f t="shared" si="78"/>
        <v>9.7499999999999432E-4</v>
      </c>
      <c r="M265" s="9"/>
    </row>
    <row r="266" spans="2:13">
      <c r="B266" s="4"/>
      <c r="C266" s="7">
        <v>1.93750000000031</v>
      </c>
      <c r="D266" s="7">
        <v>1.9479166666669601</v>
      </c>
      <c r="E266" s="30">
        <v>700</v>
      </c>
      <c r="F266" s="60">
        <v>544.38</v>
      </c>
      <c r="G266" s="4">
        <f t="shared" si="80"/>
        <v>155.62</v>
      </c>
      <c r="H266" s="9">
        <f t="shared" si="81"/>
        <v>3.8905000000000002E-2</v>
      </c>
      <c r="I266" s="11"/>
      <c r="J266" s="64">
        <v>540</v>
      </c>
      <c r="K266" s="31">
        <f t="shared" si="76"/>
        <v>4.3799999999999955</v>
      </c>
      <c r="L266" s="14">
        <f t="shared" si="78"/>
        <v>1.094999999999999E-3</v>
      </c>
      <c r="M266" s="9"/>
    </row>
    <row r="267" spans="2:13" ht="15.75" thickBot="1">
      <c r="B267" s="4"/>
      <c r="C267" s="7">
        <v>1.94791666666698</v>
      </c>
      <c r="D267" s="7">
        <v>1.9583333333336299</v>
      </c>
      <c r="E267" s="30">
        <v>700</v>
      </c>
      <c r="F267" s="60">
        <v>544.98</v>
      </c>
      <c r="G267" s="4">
        <f t="shared" si="80"/>
        <v>155.01999999999998</v>
      </c>
      <c r="H267" s="9">
        <f t="shared" si="81"/>
        <v>3.8754999999999998E-2</v>
      </c>
      <c r="I267" s="33"/>
      <c r="J267" s="64">
        <v>540</v>
      </c>
      <c r="K267" s="31">
        <f t="shared" si="76"/>
        <v>4.9800000000000182</v>
      </c>
      <c r="L267" s="14">
        <f t="shared" si="78"/>
        <v>1.2450000000000046E-3</v>
      </c>
      <c r="M267" s="19"/>
    </row>
    <row r="268" spans="2:13">
      <c r="B268" s="47"/>
      <c r="C268" s="7">
        <v>1.9583333333336499</v>
      </c>
      <c r="D268" s="7">
        <v>1.9687500000003</v>
      </c>
      <c r="E268" s="30">
        <v>700</v>
      </c>
      <c r="F268" s="60">
        <v>546.76</v>
      </c>
      <c r="G268" s="4">
        <f t="shared" si="80"/>
        <v>153.24</v>
      </c>
      <c r="H268" s="9">
        <f t="shared" si="81"/>
        <v>3.8310000000000004E-2</v>
      </c>
      <c r="I268" s="25"/>
      <c r="J268" s="64">
        <v>540</v>
      </c>
      <c r="K268" s="31">
        <f t="shared" si="76"/>
        <v>6.7599999999999909</v>
      </c>
      <c r="L268" s="14">
        <f t="shared" si="78"/>
        <v>1.6899999999999977E-3</v>
      </c>
      <c r="M268" s="26"/>
    </row>
    <row r="269" spans="2:13">
      <c r="B269" s="47"/>
      <c r="C269" s="7">
        <v>1.96875000000032</v>
      </c>
      <c r="D269" s="7">
        <v>1.9791666666669701</v>
      </c>
      <c r="E269" s="30">
        <v>700</v>
      </c>
      <c r="F269" s="60">
        <v>543.58000000000004</v>
      </c>
      <c r="G269" s="4">
        <f t="shared" si="80"/>
        <v>156.41999999999996</v>
      </c>
      <c r="H269" s="9">
        <f t="shared" si="81"/>
        <v>3.9104999999999987E-2</v>
      </c>
      <c r="I269" s="40"/>
      <c r="J269" s="64">
        <v>540</v>
      </c>
      <c r="K269" s="31">
        <f t="shared" si="76"/>
        <v>3.5800000000000409</v>
      </c>
      <c r="L269" s="14">
        <f t="shared" si="78"/>
        <v>8.9500000000001026E-4</v>
      </c>
      <c r="M269" s="9"/>
    </row>
    <row r="270" spans="2:13">
      <c r="B270" s="4"/>
      <c r="C270" s="7">
        <v>1.97916666666699</v>
      </c>
      <c r="D270" s="7">
        <v>1.9895833333336399</v>
      </c>
      <c r="E270" s="30">
        <v>700</v>
      </c>
      <c r="F270" s="60">
        <v>543.04</v>
      </c>
      <c r="G270" s="4">
        <f t="shared" si="80"/>
        <v>156.96000000000004</v>
      </c>
      <c r="H270" s="9">
        <f t="shared" si="81"/>
        <v>3.9240000000000011E-2</v>
      </c>
      <c r="I270" s="11"/>
      <c r="J270" s="64">
        <v>540</v>
      </c>
      <c r="K270" s="31">
        <f t="shared" si="76"/>
        <v>3.0399999999999636</v>
      </c>
      <c r="L270" s="14">
        <f t="shared" si="78"/>
        <v>7.5999999999999093E-4</v>
      </c>
      <c r="M270" s="9"/>
    </row>
    <row r="271" spans="2:13">
      <c r="B271" s="47"/>
      <c r="C271" s="7">
        <v>1.9895833333336601</v>
      </c>
      <c r="D271" s="7">
        <v>2.00000000000031</v>
      </c>
      <c r="E271" s="30">
        <v>700</v>
      </c>
      <c r="F271" s="61">
        <v>540.76</v>
      </c>
      <c r="G271" s="4">
        <f t="shared" si="80"/>
        <v>159.24</v>
      </c>
      <c r="H271" s="9">
        <f t="shared" si="81"/>
        <v>3.9810000000000005E-2</v>
      </c>
      <c r="I271" s="11"/>
      <c r="J271" s="64">
        <v>540</v>
      </c>
      <c r="K271" s="31">
        <f t="shared" si="76"/>
        <v>0.75999999999999091</v>
      </c>
      <c r="L271" s="14">
        <f t="shared" si="78"/>
        <v>1.8999999999999773E-4</v>
      </c>
      <c r="M271" s="9"/>
    </row>
    <row r="272" spans="2:13">
      <c r="B272" s="4"/>
      <c r="C272" s="7"/>
      <c r="D272" s="7"/>
      <c r="E272" s="30"/>
      <c r="F272" s="15"/>
      <c r="G272" s="4"/>
      <c r="H272" s="9"/>
      <c r="I272" s="40">
        <f>SUM(H258:H271)</f>
        <v>0.51429750000000007</v>
      </c>
      <c r="J272" s="29"/>
      <c r="K272" s="31"/>
      <c r="L272" s="14"/>
      <c r="M272" s="9">
        <f>SUM(L258:L271)</f>
        <v>2.0424999999999985E-2</v>
      </c>
    </row>
    <row r="273" spans="2:17">
      <c r="B273" s="34">
        <v>46030</v>
      </c>
      <c r="C273" s="7">
        <v>1</v>
      </c>
      <c r="D273" s="7">
        <v>1.0104166666666701</v>
      </c>
      <c r="E273" s="30">
        <v>750</v>
      </c>
      <c r="F273" s="60">
        <v>547.52</v>
      </c>
      <c r="G273" s="4">
        <f t="shared" si="80"/>
        <v>202.48000000000002</v>
      </c>
      <c r="H273" s="9">
        <f t="shared" si="81"/>
        <v>5.0620000000000005E-2</v>
      </c>
      <c r="I273" s="11"/>
      <c r="J273" s="29">
        <v>540</v>
      </c>
      <c r="K273" s="31">
        <f t="shared" si="76"/>
        <v>7.5199999999999818</v>
      </c>
      <c r="L273" s="14"/>
      <c r="M273" s="9"/>
    </row>
    <row r="274" spans="2:17" ht="15.75" thickBot="1">
      <c r="B274" s="4"/>
      <c r="C274" s="7">
        <v>1.0104166666666701</v>
      </c>
      <c r="D274" s="7">
        <v>1.0208333333333399</v>
      </c>
      <c r="E274" s="30">
        <v>750</v>
      </c>
      <c r="F274" s="60">
        <v>547.88</v>
      </c>
      <c r="G274" s="4">
        <f t="shared" si="80"/>
        <v>202.12</v>
      </c>
      <c r="H274" s="9">
        <f t="shared" si="81"/>
        <v>5.0529999999999999E-2</v>
      </c>
      <c r="I274" s="33"/>
      <c r="J274" s="29">
        <v>540</v>
      </c>
      <c r="K274" s="31">
        <f t="shared" si="76"/>
        <v>7.8799999999999955</v>
      </c>
      <c r="L274" s="14">
        <f t="shared" si="78"/>
        <v>1.9699999999999987E-3</v>
      </c>
      <c r="M274" s="19"/>
    </row>
    <row r="275" spans="2:17">
      <c r="B275" s="4"/>
      <c r="C275" s="7">
        <v>1.0208333333333399</v>
      </c>
      <c r="D275" s="7">
        <v>1.03125000000001</v>
      </c>
      <c r="E275" s="30">
        <v>750</v>
      </c>
      <c r="F275" s="60">
        <v>547.30999999999995</v>
      </c>
      <c r="G275" s="4">
        <f t="shared" si="80"/>
        <v>202.69000000000005</v>
      </c>
      <c r="H275" s="9">
        <f t="shared" si="81"/>
        <v>5.0672500000000016E-2</v>
      </c>
      <c r="I275" s="25"/>
      <c r="J275" s="64">
        <v>540</v>
      </c>
      <c r="K275" s="31">
        <f t="shared" si="76"/>
        <v>7.3099999999999454</v>
      </c>
      <c r="L275" s="14">
        <f t="shared" si="78"/>
        <v>1.8274999999999863E-3</v>
      </c>
      <c r="M275" s="26"/>
    </row>
    <row r="276" spans="2:17">
      <c r="B276" s="47"/>
      <c r="C276" s="7">
        <v>1.03125000000001</v>
      </c>
      <c r="D276" s="7">
        <v>1.0416666666666801</v>
      </c>
      <c r="E276" s="30">
        <v>750</v>
      </c>
      <c r="F276" s="60">
        <v>546.12</v>
      </c>
      <c r="G276" s="4">
        <f t="shared" si="80"/>
        <v>203.88</v>
      </c>
      <c r="H276" s="9">
        <f t="shared" si="81"/>
        <v>5.0970000000000001E-2</v>
      </c>
      <c r="I276" s="11"/>
      <c r="J276" s="64">
        <v>540</v>
      </c>
      <c r="K276" s="31">
        <f t="shared" si="76"/>
        <v>6.1200000000000045</v>
      </c>
      <c r="L276" s="14">
        <f t="shared" si="78"/>
        <v>1.5300000000000012E-3</v>
      </c>
      <c r="M276" s="9"/>
    </row>
    <row r="277" spans="2:17">
      <c r="B277" s="47"/>
      <c r="C277" s="7">
        <v>1.0416666666666801</v>
      </c>
      <c r="D277" s="7">
        <v>1.0520833333333499</v>
      </c>
      <c r="E277" s="30">
        <v>750</v>
      </c>
      <c r="F277" s="60">
        <v>544.64</v>
      </c>
      <c r="G277" s="4">
        <f t="shared" si="80"/>
        <v>205.36</v>
      </c>
      <c r="H277" s="9">
        <f t="shared" si="81"/>
        <v>5.1340000000000004E-2</v>
      </c>
      <c r="I277" s="11"/>
      <c r="J277" s="64">
        <v>540</v>
      </c>
      <c r="K277" s="31">
        <f t="shared" si="76"/>
        <v>4.6399999999999864</v>
      </c>
      <c r="L277" s="14">
        <f t="shared" si="78"/>
        <v>1.1599999999999965E-3</v>
      </c>
      <c r="M277" s="9"/>
    </row>
    <row r="278" spans="2:17">
      <c r="B278" s="4"/>
      <c r="C278" s="7">
        <v>1.0520833333333499</v>
      </c>
      <c r="D278" s="7">
        <v>1.06250000000002</v>
      </c>
      <c r="E278" s="30">
        <v>750</v>
      </c>
      <c r="F278" s="60">
        <v>544.75</v>
      </c>
      <c r="G278" s="4">
        <f t="shared" si="80"/>
        <v>205.25</v>
      </c>
      <c r="H278" s="9">
        <f t="shared" si="81"/>
        <v>5.1312499999999997E-2</v>
      </c>
      <c r="I278" s="11"/>
      <c r="J278" s="64">
        <v>540</v>
      </c>
      <c r="K278" s="31">
        <f t="shared" si="76"/>
        <v>4.75</v>
      </c>
      <c r="L278" s="14">
        <f t="shared" si="78"/>
        <v>1.1875E-3</v>
      </c>
      <c r="M278" s="9"/>
    </row>
    <row r="279" spans="2:17">
      <c r="B279" s="47"/>
      <c r="C279" s="7">
        <v>1.06250000000002</v>
      </c>
      <c r="D279" s="7">
        <v>1.0729166666666901</v>
      </c>
      <c r="E279" s="30">
        <v>750</v>
      </c>
      <c r="F279" s="60">
        <v>543.88</v>
      </c>
      <c r="G279" s="4">
        <f t="shared" si="80"/>
        <v>206.12</v>
      </c>
      <c r="H279" s="9">
        <f t="shared" si="81"/>
        <v>5.1529999999999999E-2</v>
      </c>
      <c r="I279" s="11"/>
      <c r="J279" s="64">
        <v>540</v>
      </c>
      <c r="K279" s="31">
        <f t="shared" si="76"/>
        <v>3.8799999999999955</v>
      </c>
      <c r="L279" s="14">
        <f t="shared" si="78"/>
        <v>9.6999999999999886E-4</v>
      </c>
      <c r="M279" s="9"/>
    </row>
    <row r="280" spans="2:17">
      <c r="B280" s="4"/>
      <c r="C280" s="7">
        <v>1.0729166666666901</v>
      </c>
      <c r="D280" s="7">
        <v>1.0833333333333599</v>
      </c>
      <c r="E280" s="30">
        <v>750</v>
      </c>
      <c r="F280" s="60">
        <v>545.39</v>
      </c>
      <c r="G280" s="4">
        <f t="shared" si="80"/>
        <v>204.61</v>
      </c>
      <c r="H280" s="9">
        <f t="shared" si="81"/>
        <v>5.1152500000000004E-2</v>
      </c>
      <c r="I280" s="11"/>
      <c r="J280" s="64">
        <v>540</v>
      </c>
      <c r="K280" s="31">
        <f t="shared" si="76"/>
        <v>5.3899999999999864</v>
      </c>
      <c r="L280" s="14">
        <f t="shared" si="78"/>
        <v>1.3474999999999965E-3</v>
      </c>
      <c r="M280" s="9"/>
    </row>
    <row r="281" spans="2:17" ht="15.75" thickBot="1">
      <c r="B281" s="4"/>
      <c r="C281" s="7">
        <v>1.0833333333333599</v>
      </c>
      <c r="D281" s="7">
        <v>1.09375000000003</v>
      </c>
      <c r="E281" s="30">
        <v>750</v>
      </c>
      <c r="F281" s="60">
        <v>546.26</v>
      </c>
      <c r="G281" s="4">
        <f t="shared" si="80"/>
        <v>203.74</v>
      </c>
      <c r="H281" s="9">
        <f t="shared" si="81"/>
        <v>5.0935000000000001E-2</v>
      </c>
      <c r="I281" s="33"/>
      <c r="J281" s="64">
        <v>540</v>
      </c>
      <c r="K281" s="31">
        <f t="shared" si="76"/>
        <v>6.2599999999999909</v>
      </c>
      <c r="L281" s="14">
        <f t="shared" si="78"/>
        <v>1.5649999999999978E-3</v>
      </c>
      <c r="M281" s="19"/>
    </row>
    <row r="282" spans="2:17">
      <c r="B282" s="47"/>
      <c r="C282" s="7">
        <v>1.09375000000003</v>
      </c>
      <c r="D282" s="7">
        <v>1.1041666666667</v>
      </c>
      <c r="E282" s="30">
        <v>750</v>
      </c>
      <c r="F282" s="60">
        <v>546.41999999999996</v>
      </c>
      <c r="G282" s="4">
        <f t="shared" si="80"/>
        <v>203.58000000000004</v>
      </c>
      <c r="H282" s="9">
        <f t="shared" si="81"/>
        <v>5.089500000000001E-2</v>
      </c>
      <c r="I282" s="25"/>
      <c r="J282" s="64">
        <v>540</v>
      </c>
      <c r="K282" s="31">
        <f t="shared" si="76"/>
        <v>6.4199999999999591</v>
      </c>
      <c r="L282" s="14">
        <f t="shared" si="78"/>
        <v>1.6049999999999897E-3</v>
      </c>
      <c r="M282" s="26"/>
      <c r="Q282" s="10"/>
    </row>
    <row r="283" spans="2:17">
      <c r="B283" s="47"/>
      <c r="C283" s="7">
        <v>1.1041666666667</v>
      </c>
      <c r="D283" s="7">
        <v>1.1145833333333699</v>
      </c>
      <c r="E283" s="30">
        <v>750</v>
      </c>
      <c r="F283" s="60">
        <v>546.01</v>
      </c>
      <c r="G283" s="4">
        <f t="shared" si="80"/>
        <v>203.99</v>
      </c>
      <c r="H283" s="9">
        <f t="shared" si="81"/>
        <v>5.0997500000000001E-2</v>
      </c>
      <c r="I283" s="11"/>
      <c r="J283" s="64">
        <v>540</v>
      </c>
      <c r="K283" s="31">
        <f t="shared" si="76"/>
        <v>6.0099999999999909</v>
      </c>
      <c r="L283" s="14">
        <f t="shared" si="78"/>
        <v>1.5024999999999978E-3</v>
      </c>
      <c r="M283" s="9"/>
    </row>
    <row r="284" spans="2:17">
      <c r="B284" s="4"/>
      <c r="C284" s="7">
        <v>1.1145833333333699</v>
      </c>
      <c r="D284" s="7">
        <v>1.12500000000004</v>
      </c>
      <c r="E284" s="30">
        <v>750</v>
      </c>
      <c r="F284" s="60">
        <v>544.82000000000005</v>
      </c>
      <c r="G284" s="4">
        <f t="shared" si="80"/>
        <v>205.17999999999995</v>
      </c>
      <c r="H284" s="9">
        <f t="shared" si="81"/>
        <v>5.1294999999999986E-2</v>
      </c>
      <c r="I284" s="11"/>
      <c r="J284" s="64">
        <v>540</v>
      </c>
      <c r="K284" s="31">
        <f t="shared" si="76"/>
        <v>4.82000000000005</v>
      </c>
      <c r="L284" s="14">
        <f t="shared" si="78"/>
        <v>1.2050000000000125E-3</v>
      </c>
      <c r="M284" s="9"/>
    </row>
    <row r="285" spans="2:17">
      <c r="B285" s="47"/>
      <c r="C285" s="7">
        <v>1.12500000000004</v>
      </c>
      <c r="D285" s="7">
        <v>1.13541666666671</v>
      </c>
      <c r="E285" s="30">
        <v>750</v>
      </c>
      <c r="F285" s="60">
        <v>542.95000000000005</v>
      </c>
      <c r="G285" s="4">
        <f t="shared" si="80"/>
        <v>207.04999999999995</v>
      </c>
      <c r="H285" s="9">
        <f t="shared" si="81"/>
        <v>5.1762499999999989E-2</v>
      </c>
      <c r="I285" s="11"/>
      <c r="J285" s="64">
        <v>540</v>
      </c>
      <c r="K285" s="31">
        <f t="shared" si="76"/>
        <v>2.9500000000000455</v>
      </c>
      <c r="L285" s="14">
        <f t="shared" si="78"/>
        <v>7.3750000000001137E-4</v>
      </c>
      <c r="M285" s="9"/>
    </row>
    <row r="286" spans="2:17">
      <c r="B286" s="47"/>
      <c r="C286" s="7">
        <v>1.13541666666671</v>
      </c>
      <c r="D286" s="7">
        <v>1.1458333333333801</v>
      </c>
      <c r="E286" s="30">
        <v>750</v>
      </c>
      <c r="F286" s="60">
        <v>544.16</v>
      </c>
      <c r="G286" s="4">
        <f t="shared" si="80"/>
        <v>205.84000000000003</v>
      </c>
      <c r="H286" s="9">
        <f t="shared" si="81"/>
        <v>5.1460000000000006E-2</v>
      </c>
      <c r="I286" s="11"/>
      <c r="J286" s="64">
        <v>540</v>
      </c>
      <c r="K286" s="31">
        <f t="shared" si="76"/>
        <v>4.1599999999999682</v>
      </c>
      <c r="L286" s="14">
        <f t="shared" si="78"/>
        <v>1.0399999999999921E-3</v>
      </c>
      <c r="M286" s="9"/>
    </row>
    <row r="287" spans="2:17" ht="16.5" customHeight="1">
      <c r="B287" s="4"/>
      <c r="C287" s="7">
        <v>1.1458333333333801</v>
      </c>
      <c r="D287" s="7">
        <v>1.15625000000005</v>
      </c>
      <c r="E287" s="30">
        <v>750</v>
      </c>
      <c r="F287" s="60">
        <v>541.98</v>
      </c>
      <c r="G287" s="4">
        <f t="shared" si="80"/>
        <v>208.01999999999998</v>
      </c>
      <c r="H287" s="9">
        <f t="shared" si="81"/>
        <v>5.2004999999999996E-2</v>
      </c>
      <c r="I287" s="27"/>
      <c r="J287" s="64">
        <v>540</v>
      </c>
      <c r="K287" s="31">
        <f t="shared" si="76"/>
        <v>1.9800000000000182</v>
      </c>
      <c r="L287" s="14">
        <f t="shared" si="78"/>
        <v>4.9500000000000455E-4</v>
      </c>
      <c r="M287" s="9"/>
    </row>
    <row r="288" spans="2:17">
      <c r="B288" s="4"/>
      <c r="C288" s="7">
        <v>1.15625000000005</v>
      </c>
      <c r="D288" s="7">
        <v>1.16666666666672</v>
      </c>
      <c r="E288" s="30">
        <v>750</v>
      </c>
      <c r="F288" s="60">
        <v>546.30999999999995</v>
      </c>
      <c r="G288" s="4">
        <f t="shared" si="80"/>
        <v>203.69000000000005</v>
      </c>
      <c r="H288" s="9">
        <f t="shared" si="81"/>
        <v>5.0922500000000016E-2</v>
      </c>
      <c r="I288" s="9"/>
      <c r="J288" s="64">
        <v>540</v>
      </c>
      <c r="K288" s="31">
        <f t="shared" si="76"/>
        <v>6.3099999999999454</v>
      </c>
      <c r="L288" s="14">
        <f t="shared" si="78"/>
        <v>1.5774999999999865E-3</v>
      </c>
      <c r="M288" s="9"/>
    </row>
    <row r="289" spans="2:13">
      <c r="B289" s="4"/>
      <c r="C289" s="7">
        <v>1.16666666666672</v>
      </c>
      <c r="D289" s="7">
        <v>1.1770833333333901</v>
      </c>
      <c r="E289" s="30">
        <v>750</v>
      </c>
      <c r="F289" s="60">
        <v>545.41999999999996</v>
      </c>
      <c r="G289" s="4">
        <f t="shared" si="80"/>
        <v>204.58000000000004</v>
      </c>
      <c r="H289" s="9">
        <f t="shared" si="81"/>
        <v>5.114500000000001E-2</v>
      </c>
      <c r="I289" s="4"/>
      <c r="J289" s="64">
        <v>540</v>
      </c>
      <c r="K289" s="31">
        <f t="shared" si="76"/>
        <v>5.4199999999999591</v>
      </c>
      <c r="L289" s="14">
        <f t="shared" si="78"/>
        <v>1.3549999999999897E-3</v>
      </c>
      <c r="M289" s="9"/>
    </row>
    <row r="290" spans="2:13">
      <c r="B290" s="4"/>
      <c r="C290" s="7">
        <v>1.1770833333333901</v>
      </c>
      <c r="D290" s="7">
        <v>1.18750000000006</v>
      </c>
      <c r="E290" s="30">
        <v>750</v>
      </c>
      <c r="F290" s="60">
        <v>549.64</v>
      </c>
      <c r="G290" s="4">
        <f t="shared" si="80"/>
        <v>200.36</v>
      </c>
      <c r="H290" s="9">
        <f t="shared" si="81"/>
        <v>5.0090000000000003E-2</v>
      </c>
      <c r="I290" s="4"/>
      <c r="J290" s="64">
        <v>540</v>
      </c>
      <c r="K290" s="31">
        <f t="shared" si="76"/>
        <v>9.6399999999999864</v>
      </c>
      <c r="L290" s="14">
        <f t="shared" si="78"/>
        <v>2.4099999999999968E-3</v>
      </c>
      <c r="M290" s="9"/>
    </row>
    <row r="291" spans="2:13">
      <c r="B291" s="4"/>
      <c r="C291" s="7">
        <v>1.18750000000006</v>
      </c>
      <c r="D291" s="7">
        <v>1.19791666666673</v>
      </c>
      <c r="E291" s="30">
        <v>750</v>
      </c>
      <c r="F291" s="60">
        <v>550.69000000000005</v>
      </c>
      <c r="G291" s="4">
        <f t="shared" si="80"/>
        <v>199.30999999999995</v>
      </c>
      <c r="H291" s="9">
        <f t="shared" si="81"/>
        <v>4.9827499999999983E-2</v>
      </c>
      <c r="I291" s="9"/>
      <c r="J291" s="64">
        <v>540</v>
      </c>
      <c r="K291" s="31">
        <f t="shared" si="76"/>
        <v>10.690000000000055</v>
      </c>
      <c r="L291" s="14">
        <f t="shared" si="78"/>
        <v>2.6725000000000138E-3</v>
      </c>
      <c r="M291" s="9"/>
    </row>
    <row r="292" spans="2:13">
      <c r="B292" s="47"/>
      <c r="C292" s="7">
        <v>1.19791666666673</v>
      </c>
      <c r="D292" s="7">
        <v>1.2083333333334001</v>
      </c>
      <c r="E292" s="30">
        <v>750</v>
      </c>
      <c r="F292" s="60">
        <v>547.6</v>
      </c>
      <c r="G292" s="4">
        <f t="shared" si="80"/>
        <v>202.39999999999998</v>
      </c>
      <c r="H292" s="9">
        <f t="shared" si="81"/>
        <v>5.0599999999999992E-2</v>
      </c>
      <c r="I292" s="4"/>
      <c r="J292" s="64">
        <v>540</v>
      </c>
      <c r="K292" s="31">
        <f t="shared" si="76"/>
        <v>7.6000000000000227</v>
      </c>
      <c r="L292" s="14">
        <f t="shared" si="78"/>
        <v>1.9000000000000056E-3</v>
      </c>
      <c r="M292" s="9"/>
    </row>
    <row r="293" spans="2:13">
      <c r="B293" s="4"/>
      <c r="C293" s="7">
        <v>1.2083333333334001</v>
      </c>
      <c r="D293" s="7">
        <v>1.2187500000000699</v>
      </c>
      <c r="E293" s="30">
        <v>750</v>
      </c>
      <c r="F293" s="60">
        <v>546.16999999999996</v>
      </c>
      <c r="G293" s="4">
        <f t="shared" si="80"/>
        <v>203.83000000000004</v>
      </c>
      <c r="H293" s="9">
        <f t="shared" si="81"/>
        <v>5.095750000000001E-2</v>
      </c>
      <c r="I293" s="4"/>
      <c r="J293" s="64">
        <v>540</v>
      </c>
      <c r="K293" s="31">
        <f t="shared" si="76"/>
        <v>6.1699999999999591</v>
      </c>
      <c r="L293" s="14">
        <f t="shared" si="78"/>
        <v>1.5424999999999898E-3</v>
      </c>
      <c r="M293" s="9"/>
    </row>
    <row r="294" spans="2:13">
      <c r="B294" s="4"/>
      <c r="C294" s="7">
        <v>1.2187500000000699</v>
      </c>
      <c r="D294" s="7">
        <v>1.22916666666674</v>
      </c>
      <c r="E294" s="30">
        <v>750</v>
      </c>
      <c r="F294" s="60">
        <v>549.35</v>
      </c>
      <c r="G294" s="4">
        <f t="shared" si="80"/>
        <v>200.64999999999998</v>
      </c>
      <c r="H294" s="9">
        <f t="shared" si="81"/>
        <v>5.0162499999999992E-2</v>
      </c>
      <c r="I294" s="4"/>
      <c r="J294" s="64">
        <v>540</v>
      </c>
      <c r="K294" s="31">
        <f t="shared" si="76"/>
        <v>9.3500000000000227</v>
      </c>
      <c r="L294" s="14">
        <f t="shared" si="78"/>
        <v>2.3375000000000058E-3</v>
      </c>
      <c r="M294" s="9"/>
    </row>
    <row r="295" spans="2:13">
      <c r="B295" s="4"/>
      <c r="C295" s="7">
        <v>1.22916666666674</v>
      </c>
      <c r="D295" s="7">
        <v>1.2395833333334101</v>
      </c>
      <c r="E295" s="30">
        <v>750</v>
      </c>
      <c r="F295" s="60">
        <v>547.71</v>
      </c>
      <c r="G295" s="4">
        <f t="shared" si="80"/>
        <v>202.28999999999996</v>
      </c>
      <c r="H295" s="9">
        <f t="shared" si="81"/>
        <v>5.0572499999999992E-2</v>
      </c>
      <c r="I295" s="4"/>
      <c r="J295" s="64">
        <v>540</v>
      </c>
      <c r="K295" s="31">
        <f t="shared" si="76"/>
        <v>7.7100000000000364</v>
      </c>
      <c r="L295" s="14">
        <f t="shared" si="78"/>
        <v>1.9275000000000091E-3</v>
      </c>
      <c r="M295" s="9"/>
    </row>
    <row r="296" spans="2:13">
      <c r="B296" s="4"/>
      <c r="C296" s="7">
        <v>1.2395833333334101</v>
      </c>
      <c r="D296" s="35">
        <v>1.2500000000000799</v>
      </c>
      <c r="E296" s="30">
        <v>750</v>
      </c>
      <c r="F296" s="60">
        <v>545.23</v>
      </c>
      <c r="G296" s="4">
        <f t="shared" si="80"/>
        <v>204.76999999999998</v>
      </c>
      <c r="H296" s="9">
        <f t="shared" si="81"/>
        <v>5.1192499999999995E-2</v>
      </c>
      <c r="I296" s="4"/>
      <c r="J296" s="64">
        <v>540</v>
      </c>
      <c r="K296" s="31">
        <f t="shared" si="76"/>
        <v>5.2300000000000182</v>
      </c>
      <c r="L296" s="14">
        <f t="shared" si="78"/>
        <v>1.3075000000000046E-3</v>
      </c>
      <c r="M296" s="9"/>
    </row>
    <row r="297" spans="2:13">
      <c r="B297" s="47"/>
      <c r="C297" s="7">
        <v>1.2500000000000799</v>
      </c>
      <c r="D297" s="7">
        <v>1.26041666666675</v>
      </c>
      <c r="E297" s="30">
        <v>750</v>
      </c>
      <c r="F297" s="60">
        <v>590.75</v>
      </c>
      <c r="G297" s="4">
        <f t="shared" si="80"/>
        <v>159.25</v>
      </c>
      <c r="H297" s="9">
        <f t="shared" si="81"/>
        <v>3.9812500000000001E-2</v>
      </c>
      <c r="I297" s="4"/>
      <c r="J297" s="29">
        <f>J296+80</f>
        <v>620</v>
      </c>
      <c r="K297" s="31">
        <f>J297-F297</f>
        <v>29.25</v>
      </c>
      <c r="L297" s="14">
        <f t="shared" si="78"/>
        <v>7.3125000000000004E-3</v>
      </c>
      <c r="M297" s="9"/>
    </row>
    <row r="298" spans="2:13">
      <c r="B298" s="4"/>
      <c r="C298" s="7">
        <v>1.26041666666675</v>
      </c>
      <c r="D298" s="7">
        <v>1.2708333333334201</v>
      </c>
      <c r="E298" s="30">
        <v>750</v>
      </c>
      <c r="F298" s="60">
        <v>674.66</v>
      </c>
      <c r="G298" s="4">
        <f t="shared" si="80"/>
        <v>75.340000000000032</v>
      </c>
      <c r="H298" s="9">
        <f t="shared" si="81"/>
        <v>1.8835000000000008E-2</v>
      </c>
      <c r="I298" s="4"/>
      <c r="J298" s="64">
        <f t="shared" ref="J298" si="82">J297+80</f>
        <v>700</v>
      </c>
      <c r="K298" s="31">
        <f t="shared" ref="K298:K299" si="83">J298-F298</f>
        <v>25.340000000000032</v>
      </c>
      <c r="L298" s="14">
        <f t="shared" si="78"/>
        <v>6.3350000000000082E-3</v>
      </c>
      <c r="M298" s="9"/>
    </row>
    <row r="299" spans="2:13">
      <c r="B299" s="4"/>
      <c r="C299" s="7">
        <v>1.2708333333334201</v>
      </c>
      <c r="D299" s="7">
        <v>1.2812500000000899</v>
      </c>
      <c r="E299" s="30">
        <v>750</v>
      </c>
      <c r="F299" s="60">
        <v>735.39</v>
      </c>
      <c r="G299" s="4">
        <f t="shared" si="80"/>
        <v>14.610000000000014</v>
      </c>
      <c r="H299" s="9">
        <f t="shared" si="81"/>
        <v>3.6525000000000034E-3</v>
      </c>
      <c r="I299" s="4"/>
      <c r="J299" s="64">
        <v>750</v>
      </c>
      <c r="K299" s="31">
        <f t="shared" si="83"/>
        <v>14.610000000000014</v>
      </c>
      <c r="L299" s="14">
        <f t="shared" si="78"/>
        <v>3.6525000000000034E-3</v>
      </c>
      <c r="M299" s="9"/>
    </row>
    <row r="300" spans="2:13">
      <c r="B300" s="4"/>
      <c r="C300" s="7"/>
      <c r="D300" s="7"/>
      <c r="E300" s="30"/>
      <c r="F300" s="15"/>
      <c r="G300" s="4"/>
      <c r="H300" s="9"/>
      <c r="I300" s="9">
        <f>SUM(H273:H299)</f>
        <v>1.2852474999999999</v>
      </c>
      <c r="J300" s="29"/>
      <c r="K300" s="31"/>
      <c r="L300" s="14"/>
      <c r="M300" s="9">
        <f>SUM(L273:L299)</f>
        <v>5.2472499999999991E-2</v>
      </c>
    </row>
    <row r="301" spans="2:13">
      <c r="B301" s="34">
        <v>46030</v>
      </c>
      <c r="C301" s="7">
        <v>1.9062500000003</v>
      </c>
      <c r="D301" s="7">
        <v>1.9166666666669501</v>
      </c>
      <c r="E301" s="30">
        <v>750</v>
      </c>
      <c r="F301" s="60">
        <v>753.23</v>
      </c>
      <c r="G301" s="4">
        <f t="shared" si="80"/>
        <v>-3.2300000000000182</v>
      </c>
      <c r="H301" s="76">
        <v>0</v>
      </c>
      <c r="I301" s="4"/>
      <c r="J301" s="29">
        <f>E301-30</f>
        <v>720</v>
      </c>
      <c r="K301" s="31">
        <f t="shared" ref="K301:K359" si="84">F301-J301</f>
        <v>33.230000000000018</v>
      </c>
      <c r="L301" s="14"/>
      <c r="M301" s="9"/>
    </row>
    <row r="302" spans="2:13">
      <c r="B302" s="4"/>
      <c r="C302" s="7">
        <v>1.9166666666669701</v>
      </c>
      <c r="D302" s="7">
        <v>1.9270833333336199</v>
      </c>
      <c r="E302" s="30">
        <v>750</v>
      </c>
      <c r="F302" s="60">
        <v>680.59</v>
      </c>
      <c r="G302" s="4">
        <f t="shared" si="80"/>
        <v>69.409999999999968</v>
      </c>
      <c r="H302" s="9">
        <f t="shared" si="81"/>
        <v>1.7352499999999993E-2</v>
      </c>
      <c r="I302" s="4"/>
      <c r="J302" s="29">
        <f>J301-80</f>
        <v>640</v>
      </c>
      <c r="K302" s="31">
        <f t="shared" si="84"/>
        <v>40.590000000000032</v>
      </c>
      <c r="L302" s="14">
        <f t="shared" si="78"/>
        <v>1.0147500000000007E-2</v>
      </c>
      <c r="M302" s="9"/>
    </row>
    <row r="303" spans="2:13">
      <c r="B303" s="4"/>
      <c r="C303" s="7">
        <v>1.9270833333336399</v>
      </c>
      <c r="D303" s="7">
        <v>1.93750000000029</v>
      </c>
      <c r="E303" s="30">
        <v>750</v>
      </c>
      <c r="F303" s="60">
        <v>604.79999999999995</v>
      </c>
      <c r="G303" s="4">
        <f t="shared" si="80"/>
        <v>145.20000000000005</v>
      </c>
      <c r="H303" s="9">
        <f t="shared" si="81"/>
        <v>3.6300000000000013E-2</v>
      </c>
      <c r="I303" s="4"/>
      <c r="J303" s="64">
        <f t="shared" ref="J303" si="85">J302-80</f>
        <v>560</v>
      </c>
      <c r="K303" s="31">
        <f t="shared" si="84"/>
        <v>44.799999999999955</v>
      </c>
      <c r="L303" s="14">
        <f t="shared" si="78"/>
        <v>1.1199999999999989E-2</v>
      </c>
      <c r="M303" s="9"/>
    </row>
    <row r="304" spans="2:13">
      <c r="B304" s="4"/>
      <c r="C304" s="7">
        <v>1.93750000000031</v>
      </c>
      <c r="D304" s="7">
        <v>1.9479166666669601</v>
      </c>
      <c r="E304" s="30">
        <v>750</v>
      </c>
      <c r="F304" s="60">
        <v>547.13</v>
      </c>
      <c r="G304" s="4">
        <f t="shared" si="80"/>
        <v>202.87</v>
      </c>
      <c r="H304" s="9">
        <f t="shared" si="81"/>
        <v>5.0717499999999999E-2</v>
      </c>
      <c r="I304" s="4"/>
      <c r="J304" s="64">
        <v>540</v>
      </c>
      <c r="K304" s="31">
        <f t="shared" si="84"/>
        <v>7.1299999999999955</v>
      </c>
      <c r="L304" s="14">
        <f t="shared" si="78"/>
        <v>1.7824999999999989E-3</v>
      </c>
      <c r="M304" s="9"/>
    </row>
    <row r="305" spans="2:13">
      <c r="B305" s="4"/>
      <c r="C305" s="7">
        <v>1.94791666666698</v>
      </c>
      <c r="D305" s="7">
        <v>1.9583333333336299</v>
      </c>
      <c r="E305" s="30">
        <v>750</v>
      </c>
      <c r="F305" s="60">
        <v>550.52</v>
      </c>
      <c r="G305" s="4">
        <f t="shared" si="80"/>
        <v>199.48000000000002</v>
      </c>
      <c r="H305" s="9">
        <f t="shared" si="81"/>
        <v>4.9870000000000005E-2</v>
      </c>
      <c r="I305" s="4"/>
      <c r="J305" s="64">
        <v>540</v>
      </c>
      <c r="K305" s="31">
        <f t="shared" si="84"/>
        <v>10.519999999999982</v>
      </c>
      <c r="L305" s="14">
        <f t="shared" si="78"/>
        <v>2.6299999999999956E-3</v>
      </c>
      <c r="M305" s="9"/>
    </row>
    <row r="306" spans="2:13">
      <c r="B306" s="4"/>
      <c r="C306" s="7">
        <v>1.9583333333336499</v>
      </c>
      <c r="D306" s="7">
        <v>1.9687500000003</v>
      </c>
      <c r="E306" s="30">
        <v>750</v>
      </c>
      <c r="F306" s="60">
        <v>549.58000000000004</v>
      </c>
      <c r="G306" s="4">
        <f t="shared" si="80"/>
        <v>200.41999999999996</v>
      </c>
      <c r="H306" s="9">
        <f t="shared" si="81"/>
        <v>5.010499999999999E-2</v>
      </c>
      <c r="I306" s="4"/>
      <c r="J306" s="64">
        <v>540</v>
      </c>
      <c r="K306" s="31">
        <f t="shared" si="84"/>
        <v>9.5800000000000409</v>
      </c>
      <c r="L306" s="14">
        <f t="shared" si="78"/>
        <v>2.3950000000000104E-3</v>
      </c>
      <c r="M306" s="9"/>
    </row>
    <row r="307" spans="2:13">
      <c r="B307" s="4"/>
      <c r="C307" s="7">
        <v>1.96875000000032</v>
      </c>
      <c r="D307" s="7">
        <v>1.9791666666669701</v>
      </c>
      <c r="E307" s="30">
        <v>750</v>
      </c>
      <c r="F307" s="60">
        <v>548.34</v>
      </c>
      <c r="G307" s="4">
        <f t="shared" si="80"/>
        <v>201.65999999999997</v>
      </c>
      <c r="H307" s="9">
        <f t="shared" si="81"/>
        <v>5.0414999999999995E-2</v>
      </c>
      <c r="I307" s="4"/>
      <c r="J307" s="64">
        <v>540</v>
      </c>
      <c r="K307" s="31">
        <f t="shared" si="84"/>
        <v>8.3400000000000318</v>
      </c>
      <c r="L307" s="14">
        <f t="shared" si="78"/>
        <v>2.0850000000000079E-3</v>
      </c>
      <c r="M307" s="9"/>
    </row>
    <row r="308" spans="2:13">
      <c r="B308" s="47"/>
      <c r="C308" s="7">
        <v>1.97916666666699</v>
      </c>
      <c r="D308" s="7">
        <v>1.9895833333336399</v>
      </c>
      <c r="E308" s="30">
        <v>750</v>
      </c>
      <c r="F308" s="60">
        <v>545.16999999999996</v>
      </c>
      <c r="G308" s="4">
        <f t="shared" si="80"/>
        <v>204.83000000000004</v>
      </c>
      <c r="H308" s="9">
        <f t="shared" si="81"/>
        <v>5.120750000000001E-2</v>
      </c>
      <c r="I308" s="4"/>
      <c r="J308" s="64">
        <v>540</v>
      </c>
      <c r="K308" s="31">
        <f t="shared" si="84"/>
        <v>5.1699999999999591</v>
      </c>
      <c r="L308" s="14">
        <f t="shared" si="78"/>
        <v>1.2924999999999898E-3</v>
      </c>
      <c r="M308" s="9"/>
    </row>
    <row r="309" spans="2:13">
      <c r="B309" s="4"/>
      <c r="C309" s="7">
        <v>1.9895833333336601</v>
      </c>
      <c r="D309" s="7">
        <v>2.00000000000031</v>
      </c>
      <c r="E309" s="30">
        <v>750</v>
      </c>
      <c r="F309" s="69">
        <v>548.30999999999995</v>
      </c>
      <c r="G309" s="4">
        <f t="shared" si="80"/>
        <v>201.69000000000005</v>
      </c>
      <c r="H309" s="9">
        <f t="shared" si="81"/>
        <v>5.0422500000000016E-2</v>
      </c>
      <c r="I309" s="4"/>
      <c r="J309" s="64">
        <v>540</v>
      </c>
      <c r="K309" s="31">
        <f t="shared" si="84"/>
        <v>8.3099999999999454</v>
      </c>
      <c r="L309" s="14">
        <f t="shared" si="78"/>
        <v>2.0774999999999865E-3</v>
      </c>
      <c r="M309" s="9"/>
    </row>
    <row r="310" spans="2:13">
      <c r="B310" s="4"/>
      <c r="C310" s="7"/>
      <c r="D310" s="7"/>
      <c r="E310" s="30"/>
      <c r="F310" s="15"/>
      <c r="G310" s="4"/>
      <c r="H310" s="9"/>
      <c r="I310" s="9">
        <f>SUM(H301:H309)</f>
        <v>0.35639000000000004</v>
      </c>
      <c r="J310" s="29"/>
      <c r="K310" s="31"/>
      <c r="L310" s="14"/>
      <c r="M310" s="9">
        <f>SUM(L301:L309)</f>
        <v>3.3609999999999994E-2</v>
      </c>
    </row>
    <row r="311" spans="2:13">
      <c r="B311" s="34">
        <v>46031</v>
      </c>
      <c r="C311" s="7">
        <v>1</v>
      </c>
      <c r="D311" s="7">
        <v>1.0104166666666701</v>
      </c>
      <c r="E311" s="30">
        <v>750</v>
      </c>
      <c r="F311" s="60">
        <v>547.98</v>
      </c>
      <c r="G311" s="4">
        <f t="shared" si="80"/>
        <v>202.01999999999998</v>
      </c>
      <c r="H311" s="9">
        <f t="shared" si="81"/>
        <v>5.0504999999999994E-2</v>
      </c>
      <c r="I311" s="4"/>
      <c r="J311" s="29">
        <v>540</v>
      </c>
      <c r="K311" s="31">
        <f t="shared" si="84"/>
        <v>7.9800000000000182</v>
      </c>
      <c r="L311" s="14"/>
      <c r="M311" s="9"/>
    </row>
    <row r="312" spans="2:13">
      <c r="B312" s="4"/>
      <c r="C312" s="7">
        <v>1.0104166666666701</v>
      </c>
      <c r="D312" s="7">
        <v>1.0208333333333399</v>
      </c>
      <c r="E312" s="30">
        <v>750</v>
      </c>
      <c r="F312" s="60">
        <v>544.01</v>
      </c>
      <c r="G312" s="4">
        <f t="shared" si="80"/>
        <v>205.99</v>
      </c>
      <c r="H312" s="9">
        <f t="shared" si="81"/>
        <v>5.1497500000000002E-2</v>
      </c>
      <c r="I312" s="4"/>
      <c r="J312" s="29">
        <v>540</v>
      </c>
      <c r="K312" s="31">
        <f t="shared" si="84"/>
        <v>4.0099999999999909</v>
      </c>
      <c r="L312" s="14">
        <f t="shared" si="78"/>
        <v>1.0024999999999978E-3</v>
      </c>
      <c r="M312" s="4"/>
    </row>
    <row r="313" spans="2:13">
      <c r="B313" s="4"/>
      <c r="C313" s="7">
        <v>1.0208333333333399</v>
      </c>
      <c r="D313" s="7">
        <v>1.03125000000001</v>
      </c>
      <c r="E313" s="30">
        <v>750</v>
      </c>
      <c r="F313" s="60">
        <v>548.59</v>
      </c>
      <c r="G313" s="4">
        <f t="shared" si="80"/>
        <v>201.40999999999997</v>
      </c>
      <c r="H313" s="9">
        <f t="shared" si="81"/>
        <v>5.0352499999999994E-2</v>
      </c>
      <c r="I313" s="9"/>
      <c r="J313" s="64">
        <v>540</v>
      </c>
      <c r="K313" s="31">
        <f t="shared" si="84"/>
        <v>8.5900000000000318</v>
      </c>
      <c r="L313" s="14">
        <f t="shared" ref="L313:L367" si="86">IF(K313/4000&gt;0,K313/4000,0)</f>
        <v>2.1475000000000079E-3</v>
      </c>
      <c r="M313" s="9"/>
    </row>
    <row r="314" spans="2:13">
      <c r="B314" s="47"/>
      <c r="C314" s="7">
        <v>1.03125000000001</v>
      </c>
      <c r="D314" s="7">
        <v>1.0416666666666801</v>
      </c>
      <c r="E314" s="30">
        <v>750</v>
      </c>
      <c r="F314" s="60">
        <v>547.01</v>
      </c>
      <c r="G314" s="4">
        <f t="shared" si="80"/>
        <v>202.99</v>
      </c>
      <c r="H314" s="9">
        <f t="shared" si="81"/>
        <v>5.0747500000000001E-2</v>
      </c>
      <c r="I314" s="4"/>
      <c r="J314" s="64">
        <v>540</v>
      </c>
      <c r="K314" s="31">
        <f t="shared" si="84"/>
        <v>7.0099999999999909</v>
      </c>
      <c r="L314" s="14">
        <f t="shared" si="86"/>
        <v>1.7524999999999978E-3</v>
      </c>
      <c r="M314" s="4"/>
    </row>
    <row r="315" spans="2:13">
      <c r="B315" s="47"/>
      <c r="C315" s="7">
        <v>1.0416666666666801</v>
      </c>
      <c r="D315" s="7">
        <v>1.0520833333333499</v>
      </c>
      <c r="E315" s="30">
        <v>750</v>
      </c>
      <c r="F315" s="60">
        <v>549.23</v>
      </c>
      <c r="G315" s="4">
        <f t="shared" si="80"/>
        <v>200.76999999999998</v>
      </c>
      <c r="H315" s="9">
        <f t="shared" si="81"/>
        <v>5.0192499999999994E-2</v>
      </c>
      <c r="I315" s="9"/>
      <c r="J315" s="64">
        <v>540</v>
      </c>
      <c r="K315" s="31">
        <f t="shared" si="84"/>
        <v>9.2300000000000182</v>
      </c>
      <c r="L315" s="14">
        <f t="shared" si="86"/>
        <v>2.3075000000000044E-3</v>
      </c>
      <c r="M315" s="4"/>
    </row>
    <row r="316" spans="2:13">
      <c r="B316" s="47"/>
      <c r="C316" s="7">
        <v>1.0520833333333499</v>
      </c>
      <c r="D316" s="7">
        <v>1.06250000000002</v>
      </c>
      <c r="E316" s="30">
        <v>750</v>
      </c>
      <c r="F316" s="60">
        <v>550.84</v>
      </c>
      <c r="G316" s="4">
        <f t="shared" si="80"/>
        <v>199.15999999999997</v>
      </c>
      <c r="H316" s="9">
        <f t="shared" si="81"/>
        <v>4.9789999999999994E-2</v>
      </c>
      <c r="I316" s="4"/>
      <c r="J316" s="64">
        <v>540</v>
      </c>
      <c r="K316" s="31">
        <f t="shared" si="84"/>
        <v>10.840000000000032</v>
      </c>
      <c r="L316" s="14">
        <f t="shared" si="86"/>
        <v>2.710000000000008E-3</v>
      </c>
      <c r="M316" s="4"/>
    </row>
    <row r="317" spans="2:13">
      <c r="B317" s="4"/>
      <c r="C317" s="7">
        <v>1.06250000000002</v>
      </c>
      <c r="D317" s="7">
        <v>1.0729166666666901</v>
      </c>
      <c r="E317" s="30">
        <v>750</v>
      </c>
      <c r="F317" s="60">
        <v>549.70000000000005</v>
      </c>
      <c r="G317" s="4">
        <f t="shared" si="80"/>
        <v>200.29999999999995</v>
      </c>
      <c r="H317" s="9">
        <f t="shared" si="81"/>
        <v>5.0074999999999988E-2</v>
      </c>
      <c r="I317" s="4"/>
      <c r="J317" s="64">
        <v>540</v>
      </c>
      <c r="K317" s="31">
        <f t="shared" si="84"/>
        <v>9.7000000000000455</v>
      </c>
      <c r="L317" s="14">
        <f t="shared" si="86"/>
        <v>2.4250000000000113E-3</v>
      </c>
      <c r="M317" s="9"/>
    </row>
    <row r="318" spans="2:13">
      <c r="B318" s="4"/>
      <c r="C318" s="7">
        <v>1.0729166666666901</v>
      </c>
      <c r="D318" s="7">
        <v>1.0833333333333599</v>
      </c>
      <c r="E318" s="30">
        <v>750</v>
      </c>
      <c r="F318" s="60">
        <v>548.57000000000005</v>
      </c>
      <c r="G318" s="4">
        <f t="shared" si="80"/>
        <v>201.42999999999995</v>
      </c>
      <c r="H318" s="9">
        <f t="shared" si="81"/>
        <v>5.0357499999999986E-2</v>
      </c>
      <c r="I318" s="4"/>
      <c r="J318" s="64">
        <v>540</v>
      </c>
      <c r="K318" s="31">
        <f t="shared" si="84"/>
        <v>8.57000000000005</v>
      </c>
      <c r="L318" s="14">
        <f t="shared" si="86"/>
        <v>2.1425000000000125E-3</v>
      </c>
      <c r="M318" s="4"/>
    </row>
    <row r="319" spans="2:13" ht="15.75" thickBot="1">
      <c r="B319" s="4"/>
      <c r="C319" s="7">
        <v>1.0833333333333599</v>
      </c>
      <c r="D319" s="7">
        <v>1.09375000000003</v>
      </c>
      <c r="E319" s="30">
        <v>750</v>
      </c>
      <c r="F319" s="60">
        <v>548.23</v>
      </c>
      <c r="G319" s="4">
        <f t="shared" si="80"/>
        <v>201.76999999999998</v>
      </c>
      <c r="H319" s="9">
        <f t="shared" si="81"/>
        <v>5.0442499999999994E-2</v>
      </c>
      <c r="I319" s="19"/>
      <c r="J319" s="64">
        <v>540</v>
      </c>
      <c r="K319" s="31">
        <f t="shared" si="84"/>
        <v>8.2300000000000182</v>
      </c>
      <c r="L319" s="14">
        <f t="shared" si="86"/>
        <v>2.0575000000000046E-3</v>
      </c>
      <c r="M319" s="32"/>
    </row>
    <row r="320" spans="2:13">
      <c r="B320" s="4"/>
      <c r="C320" s="7">
        <v>1.09375000000003</v>
      </c>
      <c r="D320" s="7">
        <v>1.1041666666667</v>
      </c>
      <c r="E320" s="30">
        <v>750</v>
      </c>
      <c r="F320" s="60">
        <v>545.54</v>
      </c>
      <c r="G320" s="4">
        <f t="shared" si="80"/>
        <v>204.46000000000004</v>
      </c>
      <c r="H320" s="9">
        <f t="shared" si="81"/>
        <v>5.1115000000000008E-2</v>
      </c>
      <c r="I320" s="5"/>
      <c r="J320" s="64">
        <v>540</v>
      </c>
      <c r="K320" s="31">
        <f t="shared" si="84"/>
        <v>5.5399999999999636</v>
      </c>
      <c r="L320" s="14">
        <f t="shared" si="86"/>
        <v>1.3849999999999908E-3</v>
      </c>
      <c r="M320" s="5"/>
    </row>
    <row r="321" spans="2:13">
      <c r="B321" s="4"/>
      <c r="C321" s="7">
        <v>1.1041666666667</v>
      </c>
      <c r="D321" s="7">
        <v>1.1145833333333699</v>
      </c>
      <c r="E321" s="30">
        <v>750</v>
      </c>
      <c r="F321" s="60">
        <v>548.51</v>
      </c>
      <c r="G321" s="4">
        <f t="shared" si="80"/>
        <v>201.49</v>
      </c>
      <c r="H321" s="9">
        <f t="shared" si="81"/>
        <v>5.0372500000000001E-2</v>
      </c>
      <c r="I321" s="9"/>
      <c r="J321" s="64">
        <v>540</v>
      </c>
      <c r="K321" s="31">
        <f t="shared" si="84"/>
        <v>8.5099999999999909</v>
      </c>
      <c r="L321" s="14">
        <f t="shared" si="86"/>
        <v>2.1274999999999979E-3</v>
      </c>
      <c r="M321" s="4"/>
    </row>
    <row r="322" spans="2:13">
      <c r="B322" s="47"/>
      <c r="C322" s="7">
        <v>1.1145833333333699</v>
      </c>
      <c r="D322" s="7">
        <v>1.12500000000004</v>
      </c>
      <c r="E322" s="30">
        <v>750</v>
      </c>
      <c r="F322" s="60">
        <v>546.23</v>
      </c>
      <c r="G322" s="4">
        <f t="shared" si="80"/>
        <v>203.76999999999998</v>
      </c>
      <c r="H322" s="9">
        <f t="shared" si="81"/>
        <v>5.0942499999999995E-2</v>
      </c>
      <c r="I322" s="4"/>
      <c r="J322" s="64">
        <v>540</v>
      </c>
      <c r="K322" s="31">
        <f t="shared" si="84"/>
        <v>6.2300000000000182</v>
      </c>
      <c r="L322" s="14">
        <f t="shared" si="86"/>
        <v>1.5575000000000046E-3</v>
      </c>
      <c r="M322" s="4"/>
    </row>
    <row r="323" spans="2:13">
      <c r="B323" s="4"/>
      <c r="C323" s="7">
        <v>1.12500000000004</v>
      </c>
      <c r="D323" s="7">
        <v>1.13541666666671</v>
      </c>
      <c r="E323" s="30">
        <v>750</v>
      </c>
      <c r="F323" s="60">
        <v>549.46</v>
      </c>
      <c r="G323" s="4">
        <f t="shared" si="80"/>
        <v>200.53999999999996</v>
      </c>
      <c r="H323" s="9">
        <f t="shared" si="81"/>
        <v>5.0134999999999992E-2</v>
      </c>
      <c r="I323" s="4"/>
      <c r="J323" s="64">
        <v>540</v>
      </c>
      <c r="K323" s="31">
        <f t="shared" si="84"/>
        <v>9.4600000000000364</v>
      </c>
      <c r="L323" s="14">
        <f t="shared" si="86"/>
        <v>2.365000000000009E-3</v>
      </c>
      <c r="M323" s="4"/>
    </row>
    <row r="324" spans="2:13">
      <c r="B324" s="4"/>
      <c r="C324" s="7">
        <v>1.13541666666671</v>
      </c>
      <c r="D324" s="7">
        <v>1.1458333333333801</v>
      </c>
      <c r="E324" s="30">
        <v>750</v>
      </c>
      <c r="F324" s="60">
        <v>547.99</v>
      </c>
      <c r="G324" s="4">
        <f t="shared" si="80"/>
        <v>202.01</v>
      </c>
      <c r="H324" s="9">
        <f t="shared" si="81"/>
        <v>5.0502499999999999E-2</v>
      </c>
      <c r="I324" s="4"/>
      <c r="J324" s="64">
        <v>540</v>
      </c>
      <c r="K324" s="31">
        <f t="shared" si="84"/>
        <v>7.9900000000000091</v>
      </c>
      <c r="L324" s="14">
        <f t="shared" si="86"/>
        <v>1.9975000000000023E-3</v>
      </c>
      <c r="M324" s="4"/>
    </row>
    <row r="325" spans="2:13">
      <c r="B325" s="4"/>
      <c r="C325" s="7">
        <v>1.1458333333333801</v>
      </c>
      <c r="D325" s="7">
        <v>1.15625000000005</v>
      </c>
      <c r="E325" s="30">
        <v>750</v>
      </c>
      <c r="F325" s="60">
        <v>547.4</v>
      </c>
      <c r="G325" s="4">
        <f t="shared" si="80"/>
        <v>202.60000000000002</v>
      </c>
      <c r="H325" s="9">
        <f t="shared" si="81"/>
        <v>5.0650000000000008E-2</v>
      </c>
      <c r="I325" s="4"/>
      <c r="J325" s="64">
        <v>540</v>
      </c>
      <c r="K325" s="31">
        <f t="shared" si="84"/>
        <v>7.3999999999999773</v>
      </c>
      <c r="L325" s="14">
        <f t="shared" si="86"/>
        <v>1.8499999999999942E-3</v>
      </c>
      <c r="M325" s="4"/>
    </row>
    <row r="326" spans="2:13">
      <c r="B326" s="4"/>
      <c r="C326" s="7">
        <v>1.15625000000005</v>
      </c>
      <c r="D326" s="7">
        <v>1.16666666666672</v>
      </c>
      <c r="E326" s="30">
        <v>750</v>
      </c>
      <c r="F326" s="60">
        <v>552.36</v>
      </c>
      <c r="G326" s="4">
        <f t="shared" ref="G326:G382" si="87">E326-F326</f>
        <v>197.64</v>
      </c>
      <c r="H326" s="9">
        <f t="shared" ref="H326:H382" si="88">G326/4000</f>
        <v>4.9409999999999996E-2</v>
      </c>
      <c r="I326" s="9"/>
      <c r="J326" s="64">
        <v>540</v>
      </c>
      <c r="K326" s="31">
        <f t="shared" si="84"/>
        <v>12.360000000000014</v>
      </c>
      <c r="L326" s="14">
        <f t="shared" si="86"/>
        <v>3.0900000000000033E-3</v>
      </c>
      <c r="M326" s="4"/>
    </row>
    <row r="327" spans="2:13">
      <c r="B327" s="47"/>
      <c r="C327" s="7">
        <v>1.16666666666672</v>
      </c>
      <c r="D327" s="7">
        <v>1.1770833333333901</v>
      </c>
      <c r="E327" s="30">
        <v>750</v>
      </c>
      <c r="F327" s="60">
        <v>553.57000000000005</v>
      </c>
      <c r="G327" s="4">
        <f t="shared" si="87"/>
        <v>196.42999999999995</v>
      </c>
      <c r="H327" s="9">
        <f t="shared" si="88"/>
        <v>4.9107499999999984E-2</v>
      </c>
      <c r="I327" s="4"/>
      <c r="J327" s="64">
        <v>540</v>
      </c>
      <c r="K327" s="31">
        <f t="shared" si="84"/>
        <v>13.57000000000005</v>
      </c>
      <c r="L327" s="14">
        <f t="shared" si="86"/>
        <v>3.3925000000000127E-3</v>
      </c>
      <c r="M327" s="4"/>
    </row>
    <row r="328" spans="2:13">
      <c r="B328" s="4"/>
      <c r="C328" s="7">
        <v>1.1770833333333901</v>
      </c>
      <c r="D328" s="7">
        <v>1.18750000000006</v>
      </c>
      <c r="E328" s="30">
        <v>750</v>
      </c>
      <c r="F328" s="60">
        <v>548.74</v>
      </c>
      <c r="G328" s="4">
        <f t="shared" si="87"/>
        <v>201.26</v>
      </c>
      <c r="H328" s="9">
        <f t="shared" si="88"/>
        <v>5.0314999999999999E-2</v>
      </c>
      <c r="I328" s="4"/>
      <c r="J328" s="64">
        <v>540</v>
      </c>
      <c r="K328" s="31">
        <f t="shared" si="84"/>
        <v>8.7400000000000091</v>
      </c>
      <c r="L328" s="14">
        <f t="shared" si="86"/>
        <v>2.1850000000000025E-3</v>
      </c>
      <c r="M328" s="4"/>
    </row>
    <row r="329" spans="2:13">
      <c r="B329" s="4"/>
      <c r="C329" s="7">
        <v>1.18750000000006</v>
      </c>
      <c r="D329" s="7">
        <v>1.19791666666673</v>
      </c>
      <c r="E329" s="30">
        <v>750</v>
      </c>
      <c r="F329" s="60">
        <v>549.62</v>
      </c>
      <c r="G329" s="4">
        <f t="shared" si="87"/>
        <v>200.38</v>
      </c>
      <c r="H329" s="9">
        <f t="shared" si="88"/>
        <v>5.0095000000000001E-2</v>
      </c>
      <c r="I329" s="4"/>
      <c r="J329" s="64">
        <v>540</v>
      </c>
      <c r="K329" s="31">
        <f t="shared" si="84"/>
        <v>9.6200000000000045</v>
      </c>
      <c r="L329" s="14">
        <f t="shared" si="86"/>
        <v>2.4050000000000013E-3</v>
      </c>
      <c r="M329" s="4"/>
    </row>
    <row r="330" spans="2:13">
      <c r="B330" s="4"/>
      <c r="C330" s="7">
        <v>1.19791666666673</v>
      </c>
      <c r="D330" s="35">
        <v>1.2083333333334001</v>
      </c>
      <c r="E330" s="30">
        <v>750</v>
      </c>
      <c r="F330" s="60">
        <v>548.16</v>
      </c>
      <c r="G330" s="4">
        <f t="shared" si="87"/>
        <v>201.84000000000003</v>
      </c>
      <c r="H330" s="9">
        <f t="shared" si="88"/>
        <v>5.0460000000000005E-2</v>
      </c>
      <c r="I330" s="4"/>
      <c r="J330" s="64">
        <v>540</v>
      </c>
      <c r="K330" s="31">
        <f t="shared" si="84"/>
        <v>8.1599999999999682</v>
      </c>
      <c r="L330" s="14">
        <f t="shared" si="86"/>
        <v>2.0399999999999919E-3</v>
      </c>
      <c r="M330" s="4"/>
    </row>
    <row r="331" spans="2:13">
      <c r="B331" s="4"/>
      <c r="C331" s="7">
        <v>1.2083333333334001</v>
      </c>
      <c r="D331" s="7">
        <v>1.2187500000000699</v>
      </c>
      <c r="E331" s="30">
        <v>750</v>
      </c>
      <c r="F331" s="60">
        <v>599.89</v>
      </c>
      <c r="G331" s="4">
        <f t="shared" si="87"/>
        <v>150.11000000000001</v>
      </c>
      <c r="H331" s="9">
        <f t="shared" si="88"/>
        <v>3.7527500000000005E-2</v>
      </c>
      <c r="I331" s="41"/>
      <c r="J331" s="29">
        <f>J330+80</f>
        <v>620</v>
      </c>
      <c r="K331" s="31">
        <f>J331-F331</f>
        <v>20.110000000000014</v>
      </c>
      <c r="L331" s="14">
        <f t="shared" si="86"/>
        <v>5.0275000000000033E-3</v>
      </c>
      <c r="M331" s="4"/>
    </row>
    <row r="332" spans="2:13">
      <c r="B332" s="4"/>
      <c r="C332" s="7">
        <v>1.2187500000000699</v>
      </c>
      <c r="D332" s="7">
        <v>1.22916666666674</v>
      </c>
      <c r="E332" s="30">
        <v>750</v>
      </c>
      <c r="F332" s="60">
        <v>712.79</v>
      </c>
      <c r="G332" s="4">
        <f t="shared" si="87"/>
        <v>37.210000000000036</v>
      </c>
      <c r="H332" s="9">
        <f t="shared" si="88"/>
        <v>9.3025000000000087E-3</v>
      </c>
      <c r="I332" s="42"/>
      <c r="J332" s="64">
        <f t="shared" ref="J332" si="89">J331+80</f>
        <v>700</v>
      </c>
      <c r="K332" s="31">
        <f t="shared" ref="K332:K333" si="90">J332-F332</f>
        <v>-12.789999999999964</v>
      </c>
      <c r="L332" s="14">
        <f t="shared" si="86"/>
        <v>0</v>
      </c>
      <c r="M332" s="42"/>
    </row>
    <row r="333" spans="2:13">
      <c r="B333" s="4"/>
      <c r="C333" s="7">
        <v>1.22916666666674</v>
      </c>
      <c r="D333" s="7">
        <v>1.2395833333334101</v>
      </c>
      <c r="E333" s="30">
        <v>750</v>
      </c>
      <c r="F333" s="60">
        <v>762.97</v>
      </c>
      <c r="G333" s="4">
        <f t="shared" si="87"/>
        <v>-12.970000000000027</v>
      </c>
      <c r="H333" s="76">
        <v>0</v>
      </c>
      <c r="I333" s="4"/>
      <c r="J333" s="64">
        <v>750</v>
      </c>
      <c r="K333" s="31">
        <f t="shared" si="90"/>
        <v>-12.970000000000027</v>
      </c>
      <c r="L333" s="14">
        <f t="shared" si="86"/>
        <v>0</v>
      </c>
      <c r="M333" s="4"/>
    </row>
    <row r="334" spans="2:13">
      <c r="B334" s="47"/>
      <c r="C334" s="7"/>
      <c r="D334" s="7"/>
      <c r="E334" s="30"/>
      <c r="F334" s="15"/>
      <c r="G334" s="4"/>
      <c r="H334" s="9"/>
      <c r="I334" s="9">
        <f>SUM(H311:H333)</f>
        <v>1.0538949999999998</v>
      </c>
      <c r="J334" s="29"/>
      <c r="K334" s="31"/>
      <c r="L334" s="14"/>
      <c r="M334" s="4">
        <f>SUM(L311:L333)</f>
        <v>4.5967500000000057E-2</v>
      </c>
    </row>
    <row r="335" spans="2:13">
      <c r="B335" s="34">
        <v>46031</v>
      </c>
      <c r="C335" s="7">
        <v>1.9583333333336499</v>
      </c>
      <c r="D335" s="7">
        <v>1.9687500000003</v>
      </c>
      <c r="E335" s="30">
        <v>750</v>
      </c>
      <c r="F335" s="60">
        <v>727.78</v>
      </c>
      <c r="G335" s="4">
        <f t="shared" si="87"/>
        <v>22.220000000000027</v>
      </c>
      <c r="H335" s="9">
        <f t="shared" si="88"/>
        <v>5.555000000000007E-3</v>
      </c>
      <c r="I335" s="4"/>
      <c r="J335" s="29">
        <f>E335-80</f>
        <v>670</v>
      </c>
      <c r="K335" s="31">
        <f t="shared" si="84"/>
        <v>57.779999999999973</v>
      </c>
      <c r="L335" s="14"/>
      <c r="M335" s="4"/>
    </row>
    <row r="336" spans="2:13">
      <c r="B336" s="4"/>
      <c r="C336" s="7">
        <v>1.96875000000032</v>
      </c>
      <c r="D336" s="7">
        <v>1.9791666666669701</v>
      </c>
      <c r="E336" s="30">
        <v>750</v>
      </c>
      <c r="F336" s="60">
        <v>649.79999999999995</v>
      </c>
      <c r="G336" s="4">
        <f t="shared" si="87"/>
        <v>100.20000000000005</v>
      </c>
      <c r="H336" s="9">
        <f t="shared" si="88"/>
        <v>2.505000000000001E-2</v>
      </c>
      <c r="I336" s="4"/>
      <c r="J336" s="29">
        <f>J335-80</f>
        <v>590</v>
      </c>
      <c r="K336" s="31">
        <f t="shared" si="84"/>
        <v>59.799999999999955</v>
      </c>
      <c r="L336" s="14">
        <f t="shared" si="86"/>
        <v>1.4949999999999989E-2</v>
      </c>
      <c r="M336" s="4"/>
    </row>
    <row r="337" spans="2:13">
      <c r="B337" s="4"/>
      <c r="C337" s="7">
        <v>1.97916666666699</v>
      </c>
      <c r="D337" s="7">
        <v>1.9895833333336399</v>
      </c>
      <c r="E337" s="30">
        <v>750</v>
      </c>
      <c r="F337" s="60">
        <v>587.84</v>
      </c>
      <c r="G337" s="4">
        <f t="shared" si="87"/>
        <v>162.15999999999997</v>
      </c>
      <c r="H337" s="9">
        <f t="shared" si="88"/>
        <v>4.0539999999999993E-2</v>
      </c>
      <c r="I337" s="4"/>
      <c r="J337" s="64">
        <v>540</v>
      </c>
      <c r="K337" s="31">
        <f t="shared" si="84"/>
        <v>47.840000000000032</v>
      </c>
      <c r="L337" s="14">
        <f t="shared" si="86"/>
        <v>1.1960000000000009E-2</v>
      </c>
      <c r="M337" s="4"/>
    </row>
    <row r="338" spans="2:13">
      <c r="B338" s="4"/>
      <c r="C338" s="7">
        <v>1.9895833333336601</v>
      </c>
      <c r="D338" s="35">
        <v>2.00000000000031</v>
      </c>
      <c r="E338" s="30">
        <v>750</v>
      </c>
      <c r="F338" s="61">
        <v>554.66</v>
      </c>
      <c r="G338" s="4">
        <f t="shared" si="87"/>
        <v>195.34000000000003</v>
      </c>
      <c r="H338" s="9">
        <f t="shared" si="88"/>
        <v>4.883500000000001E-2</v>
      </c>
      <c r="I338" s="4"/>
      <c r="J338" s="64">
        <v>540</v>
      </c>
      <c r="K338" s="31">
        <f t="shared" si="84"/>
        <v>14.659999999999968</v>
      </c>
      <c r="L338" s="14">
        <f t="shared" si="86"/>
        <v>3.664999999999992E-3</v>
      </c>
      <c r="M338" s="4"/>
    </row>
    <row r="339" spans="2:13">
      <c r="B339" s="4"/>
      <c r="C339" s="7"/>
      <c r="D339" s="7"/>
      <c r="E339" s="30"/>
      <c r="F339" s="15"/>
      <c r="G339" s="4"/>
      <c r="H339" s="9"/>
      <c r="I339" s="9">
        <f>SUM(H335:H338)</f>
        <v>0.11998000000000003</v>
      </c>
      <c r="J339" s="29"/>
      <c r="K339" s="31"/>
      <c r="L339" s="14"/>
      <c r="M339" s="9">
        <f>SUM(L335:L338)</f>
        <v>3.0574999999999988E-2</v>
      </c>
    </row>
    <row r="340" spans="2:13">
      <c r="B340" s="34">
        <v>46032</v>
      </c>
      <c r="C340" s="7">
        <v>1</v>
      </c>
      <c r="D340" s="7">
        <v>1.0104166666666701</v>
      </c>
      <c r="E340" s="30">
        <v>750</v>
      </c>
      <c r="F340" s="15">
        <v>548.66999999999996</v>
      </c>
      <c r="G340" s="4">
        <f t="shared" si="87"/>
        <v>201.33000000000004</v>
      </c>
      <c r="H340" s="9">
        <f t="shared" si="88"/>
        <v>5.0332500000000009E-2</v>
      </c>
      <c r="I340" s="4"/>
      <c r="J340" s="29">
        <v>540</v>
      </c>
      <c r="K340" s="31">
        <f t="shared" si="84"/>
        <v>8.6699999999999591</v>
      </c>
      <c r="L340" s="14"/>
      <c r="M340" s="4"/>
    </row>
    <row r="341" spans="2:13">
      <c r="B341" s="4"/>
      <c r="C341" s="7">
        <v>1.0104166666666701</v>
      </c>
      <c r="D341" s="7">
        <v>1.0208333333333399</v>
      </c>
      <c r="E341" s="30">
        <v>750</v>
      </c>
      <c r="F341" s="15">
        <v>544.59</v>
      </c>
      <c r="G341" s="4">
        <f t="shared" si="87"/>
        <v>205.40999999999997</v>
      </c>
      <c r="H341" s="9">
        <f t="shared" si="88"/>
        <v>5.1352499999999995E-2</v>
      </c>
      <c r="I341" s="4"/>
      <c r="J341" s="29">
        <v>540</v>
      </c>
      <c r="K341" s="31">
        <f t="shared" si="84"/>
        <v>4.5900000000000318</v>
      </c>
      <c r="L341" s="14">
        <f t="shared" si="86"/>
        <v>1.1475000000000079E-3</v>
      </c>
      <c r="M341" s="4"/>
    </row>
    <row r="342" spans="2:13">
      <c r="B342" s="4"/>
      <c r="C342" s="7">
        <v>1.0208333333333399</v>
      </c>
      <c r="D342" s="7">
        <v>1.03125000000001</v>
      </c>
      <c r="E342" s="30">
        <v>750</v>
      </c>
      <c r="F342" s="15">
        <v>543.79</v>
      </c>
      <c r="G342" s="4">
        <f t="shared" si="87"/>
        <v>206.21000000000004</v>
      </c>
      <c r="H342" s="9">
        <f t="shared" si="88"/>
        <v>5.1552500000000008E-2</v>
      </c>
      <c r="I342" s="4"/>
      <c r="J342" s="64">
        <v>540</v>
      </c>
      <c r="K342" s="31">
        <f t="shared" si="84"/>
        <v>3.7899999999999636</v>
      </c>
      <c r="L342" s="14">
        <f t="shared" si="86"/>
        <v>9.4749999999999088E-4</v>
      </c>
      <c r="M342" s="4"/>
    </row>
    <row r="343" spans="2:13">
      <c r="B343" s="47"/>
      <c r="C343" s="7">
        <v>1.03125000000001</v>
      </c>
      <c r="D343" s="7">
        <v>1.0416666666666801</v>
      </c>
      <c r="E343" s="30">
        <v>750</v>
      </c>
      <c r="F343" s="15">
        <v>547.91</v>
      </c>
      <c r="G343" s="4">
        <f t="shared" si="87"/>
        <v>202.09000000000003</v>
      </c>
      <c r="H343" s="9">
        <f t="shared" si="88"/>
        <v>5.0522500000000005E-2</v>
      </c>
      <c r="I343" s="4"/>
      <c r="J343" s="64">
        <v>540</v>
      </c>
      <c r="K343" s="31">
        <f t="shared" si="84"/>
        <v>7.9099999999999682</v>
      </c>
      <c r="L343" s="14">
        <f t="shared" si="86"/>
        <v>1.9774999999999919E-3</v>
      </c>
      <c r="M343" s="4"/>
    </row>
    <row r="344" spans="2:13">
      <c r="B344" s="47"/>
      <c r="C344" s="7">
        <v>1.0416666666666801</v>
      </c>
      <c r="D344" s="7">
        <v>1.0520833333333499</v>
      </c>
      <c r="E344" s="30">
        <v>750</v>
      </c>
      <c r="F344" s="15">
        <v>545.76</v>
      </c>
      <c r="G344" s="4">
        <f t="shared" si="87"/>
        <v>204.24</v>
      </c>
      <c r="H344" s="9">
        <f t="shared" si="88"/>
        <v>5.1060000000000001E-2</v>
      </c>
      <c r="I344" s="4"/>
      <c r="J344" s="64">
        <v>540</v>
      </c>
      <c r="K344" s="31">
        <f t="shared" si="84"/>
        <v>5.7599999999999909</v>
      </c>
      <c r="L344" s="14">
        <f t="shared" si="86"/>
        <v>1.4399999999999977E-3</v>
      </c>
      <c r="M344" s="4"/>
    </row>
    <row r="345" spans="2:13">
      <c r="B345" s="4"/>
      <c r="C345" s="7">
        <v>1.0520833333333499</v>
      </c>
      <c r="D345" s="7">
        <v>1.06250000000002</v>
      </c>
      <c r="E345" s="30">
        <v>750</v>
      </c>
      <c r="F345" s="15">
        <v>548.29</v>
      </c>
      <c r="G345" s="4">
        <f t="shared" si="87"/>
        <v>201.71000000000004</v>
      </c>
      <c r="H345" s="9">
        <f t="shared" si="88"/>
        <v>5.0427500000000007E-2</v>
      </c>
      <c r="I345" s="4"/>
      <c r="J345" s="64">
        <v>540</v>
      </c>
      <c r="K345" s="31">
        <f t="shared" si="84"/>
        <v>8.2899999999999636</v>
      </c>
      <c r="L345" s="14">
        <f t="shared" si="86"/>
        <v>2.072499999999991E-3</v>
      </c>
      <c r="M345" s="4"/>
    </row>
    <row r="346" spans="2:13">
      <c r="B346" s="4"/>
      <c r="C346" s="7">
        <v>1.06250000000002</v>
      </c>
      <c r="D346" s="7">
        <v>1.0729166666666901</v>
      </c>
      <c r="E346" s="30">
        <v>750</v>
      </c>
      <c r="F346" s="15">
        <v>545.77</v>
      </c>
      <c r="G346" s="4">
        <f t="shared" si="87"/>
        <v>204.23000000000002</v>
      </c>
      <c r="H346" s="9">
        <f t="shared" si="88"/>
        <v>5.1057500000000006E-2</v>
      </c>
      <c r="I346" s="9"/>
      <c r="J346" s="64">
        <v>540</v>
      </c>
      <c r="K346" s="31">
        <f t="shared" si="84"/>
        <v>5.7699999999999818</v>
      </c>
      <c r="L346" s="14">
        <f t="shared" si="86"/>
        <v>1.4424999999999954E-3</v>
      </c>
      <c r="M346" s="4"/>
    </row>
    <row r="347" spans="2:13">
      <c r="B347" s="47"/>
      <c r="C347" s="7">
        <v>1.0729166666666901</v>
      </c>
      <c r="D347" s="7">
        <v>1.0833333333333599</v>
      </c>
      <c r="E347" s="30">
        <v>750</v>
      </c>
      <c r="F347" s="15">
        <v>545.83000000000004</v>
      </c>
      <c r="G347" s="4">
        <f t="shared" si="87"/>
        <v>204.16999999999996</v>
      </c>
      <c r="H347" s="9">
        <f t="shared" si="88"/>
        <v>5.1042499999999991E-2</v>
      </c>
      <c r="I347" s="4"/>
      <c r="J347" s="64">
        <v>540</v>
      </c>
      <c r="K347" s="31">
        <f t="shared" si="84"/>
        <v>5.8300000000000409</v>
      </c>
      <c r="L347" s="14">
        <f t="shared" si="86"/>
        <v>1.4575000000000102E-3</v>
      </c>
      <c r="M347" s="4"/>
    </row>
    <row r="348" spans="2:13">
      <c r="B348" s="4"/>
      <c r="C348" s="7">
        <v>1.0833333333333599</v>
      </c>
      <c r="D348" s="7">
        <v>1.09375000000003</v>
      </c>
      <c r="E348" s="30">
        <v>750</v>
      </c>
      <c r="F348" s="15">
        <v>546.15</v>
      </c>
      <c r="G348" s="4">
        <f t="shared" si="87"/>
        <v>203.85000000000002</v>
      </c>
      <c r="H348" s="9">
        <f t="shared" si="88"/>
        <v>5.0962500000000008E-2</v>
      </c>
      <c r="I348" s="4"/>
      <c r="J348" s="64">
        <v>540</v>
      </c>
      <c r="K348" s="31">
        <f t="shared" si="84"/>
        <v>6.1499999999999773</v>
      </c>
      <c r="L348" s="14">
        <f t="shared" si="86"/>
        <v>1.5374999999999944E-3</v>
      </c>
      <c r="M348" s="4"/>
    </row>
    <row r="349" spans="2:13">
      <c r="B349" s="4"/>
      <c r="C349" s="7">
        <v>1.09375000000003</v>
      </c>
      <c r="D349" s="7">
        <v>1.1041666666667</v>
      </c>
      <c r="E349" s="30">
        <v>750</v>
      </c>
      <c r="F349" s="15">
        <v>546.67999999999995</v>
      </c>
      <c r="G349" s="4">
        <f t="shared" si="87"/>
        <v>203.32000000000005</v>
      </c>
      <c r="H349" s="9">
        <f t="shared" si="88"/>
        <v>5.0830000000000014E-2</v>
      </c>
      <c r="I349" s="4"/>
      <c r="J349" s="64">
        <v>540</v>
      </c>
      <c r="K349" s="31">
        <f t="shared" si="84"/>
        <v>6.67999999999995</v>
      </c>
      <c r="L349" s="14">
        <f t="shared" si="86"/>
        <v>1.6699999999999875E-3</v>
      </c>
      <c r="M349" s="4"/>
    </row>
    <row r="350" spans="2:13">
      <c r="B350" s="4"/>
      <c r="C350" s="7">
        <v>1.1041666666667</v>
      </c>
      <c r="D350" s="7">
        <v>1.1145833333333699</v>
      </c>
      <c r="E350" s="30">
        <v>750</v>
      </c>
      <c r="F350" s="15">
        <v>545.35</v>
      </c>
      <c r="G350" s="4">
        <f t="shared" si="87"/>
        <v>204.64999999999998</v>
      </c>
      <c r="H350" s="9">
        <f t="shared" si="88"/>
        <v>5.1162499999999993E-2</v>
      </c>
      <c r="I350" s="4"/>
      <c r="J350" s="64">
        <v>540</v>
      </c>
      <c r="K350" s="31">
        <f t="shared" si="84"/>
        <v>5.3500000000000227</v>
      </c>
      <c r="L350" s="14">
        <f t="shared" si="86"/>
        <v>1.3375000000000058E-3</v>
      </c>
      <c r="M350" s="4"/>
    </row>
    <row r="351" spans="2:13">
      <c r="B351" s="4"/>
      <c r="C351" s="7">
        <v>1.1145833333333699</v>
      </c>
      <c r="D351" s="7">
        <v>1.12500000000004</v>
      </c>
      <c r="E351" s="30">
        <v>750</v>
      </c>
      <c r="F351" s="15">
        <v>545.86</v>
      </c>
      <c r="G351" s="4">
        <f t="shared" si="87"/>
        <v>204.14</v>
      </c>
      <c r="H351" s="9">
        <f t="shared" si="88"/>
        <v>5.1034999999999997E-2</v>
      </c>
      <c r="I351" s="4"/>
      <c r="J351" s="64">
        <v>540</v>
      </c>
      <c r="K351" s="31">
        <f t="shared" si="84"/>
        <v>5.8600000000000136</v>
      </c>
      <c r="L351" s="14">
        <f t="shared" si="86"/>
        <v>1.4650000000000034E-3</v>
      </c>
      <c r="M351" s="4"/>
    </row>
    <row r="352" spans="2:13">
      <c r="B352" s="4"/>
      <c r="C352" s="7">
        <v>1.12500000000004</v>
      </c>
      <c r="D352" s="7">
        <v>1.13541666666671</v>
      </c>
      <c r="E352" s="30">
        <v>750</v>
      </c>
      <c r="F352" s="15">
        <v>545.92999999999995</v>
      </c>
      <c r="G352" s="4">
        <f t="shared" si="87"/>
        <v>204.07000000000005</v>
      </c>
      <c r="H352" s="9">
        <f t="shared" si="88"/>
        <v>5.1017500000000014E-2</v>
      </c>
      <c r="I352" s="4"/>
      <c r="J352" s="64">
        <v>540</v>
      </c>
      <c r="K352" s="31">
        <f t="shared" si="84"/>
        <v>5.92999999999995</v>
      </c>
      <c r="L352" s="14">
        <f t="shared" si="86"/>
        <v>1.4824999999999875E-3</v>
      </c>
      <c r="M352" s="4"/>
    </row>
    <row r="353" spans="2:13">
      <c r="B353" s="4"/>
      <c r="C353" s="7">
        <v>1.13541666666671</v>
      </c>
      <c r="D353" s="7">
        <v>1.1458333333333801</v>
      </c>
      <c r="E353" s="30">
        <v>750</v>
      </c>
      <c r="F353" s="15">
        <v>543.85</v>
      </c>
      <c r="G353" s="4">
        <f t="shared" si="87"/>
        <v>206.14999999999998</v>
      </c>
      <c r="H353" s="9">
        <f t="shared" si="88"/>
        <v>5.1537499999999993E-2</v>
      </c>
      <c r="I353" s="4"/>
      <c r="J353" s="64">
        <v>540</v>
      </c>
      <c r="K353" s="31">
        <f t="shared" si="84"/>
        <v>3.8500000000000227</v>
      </c>
      <c r="L353" s="14">
        <f t="shared" si="86"/>
        <v>9.6250000000000567E-4</v>
      </c>
      <c r="M353" s="4"/>
    </row>
    <row r="354" spans="2:13">
      <c r="B354" s="4"/>
      <c r="C354" s="7">
        <v>1.1458333333333801</v>
      </c>
      <c r="D354" s="7">
        <v>1.15625000000005</v>
      </c>
      <c r="E354" s="30">
        <v>750</v>
      </c>
      <c r="F354" s="15">
        <v>546.79999999999995</v>
      </c>
      <c r="G354" s="4">
        <f t="shared" si="87"/>
        <v>203.20000000000005</v>
      </c>
      <c r="H354" s="9">
        <f t="shared" si="88"/>
        <v>5.0800000000000012E-2</v>
      </c>
      <c r="I354" s="4"/>
      <c r="J354" s="64">
        <v>540</v>
      </c>
      <c r="K354" s="31">
        <f t="shared" si="84"/>
        <v>6.7999999999999545</v>
      </c>
      <c r="L354" s="14">
        <f t="shared" si="86"/>
        <v>1.6999999999999886E-3</v>
      </c>
      <c r="M354" s="4"/>
    </row>
    <row r="355" spans="2:13">
      <c r="B355" s="47"/>
      <c r="C355" s="7">
        <v>1.15625000000005</v>
      </c>
      <c r="D355" s="7">
        <v>1.16666666666672</v>
      </c>
      <c r="E355" s="30">
        <v>750</v>
      </c>
      <c r="F355" s="15">
        <v>549.48</v>
      </c>
      <c r="G355" s="4">
        <f t="shared" si="87"/>
        <v>200.51999999999998</v>
      </c>
      <c r="H355" s="9">
        <f t="shared" si="88"/>
        <v>5.0129999999999994E-2</v>
      </c>
      <c r="I355" s="4"/>
      <c r="J355" s="64">
        <v>540</v>
      </c>
      <c r="K355" s="31">
        <f t="shared" si="84"/>
        <v>9.4800000000000182</v>
      </c>
      <c r="L355" s="14">
        <f t="shared" si="86"/>
        <v>2.3700000000000045E-3</v>
      </c>
      <c r="M355" s="4"/>
    </row>
    <row r="356" spans="2:13">
      <c r="B356" s="4"/>
      <c r="C356" s="7">
        <v>1.16666666666672</v>
      </c>
      <c r="D356" s="7">
        <v>1.1770833333333901</v>
      </c>
      <c r="E356" s="30">
        <v>750</v>
      </c>
      <c r="F356" s="15">
        <v>546.74</v>
      </c>
      <c r="G356" s="4">
        <f t="shared" si="87"/>
        <v>203.26</v>
      </c>
      <c r="H356" s="9">
        <f t="shared" si="88"/>
        <v>5.0814999999999999E-2</v>
      </c>
      <c r="I356" s="4"/>
      <c r="J356" s="64">
        <v>540</v>
      </c>
      <c r="K356" s="31">
        <f t="shared" si="84"/>
        <v>6.7400000000000091</v>
      </c>
      <c r="L356" s="14">
        <f t="shared" si="86"/>
        <v>1.6850000000000023E-3</v>
      </c>
      <c r="M356" s="4"/>
    </row>
    <row r="357" spans="2:13">
      <c r="B357" s="4"/>
      <c r="C357" s="7">
        <v>1.1770833333333901</v>
      </c>
      <c r="D357" s="7">
        <v>1.18750000000006</v>
      </c>
      <c r="E357" s="30">
        <v>750</v>
      </c>
      <c r="F357" s="15">
        <v>547.75</v>
      </c>
      <c r="G357" s="4">
        <f t="shared" si="87"/>
        <v>202.25</v>
      </c>
      <c r="H357" s="9">
        <f t="shared" si="88"/>
        <v>5.0562500000000003E-2</v>
      </c>
      <c r="I357" s="4"/>
      <c r="J357" s="64">
        <v>540</v>
      </c>
      <c r="K357" s="31">
        <f t="shared" si="84"/>
        <v>7.75</v>
      </c>
      <c r="L357" s="14">
        <f t="shared" si="86"/>
        <v>1.9375E-3</v>
      </c>
      <c r="M357" s="4"/>
    </row>
    <row r="358" spans="2:13">
      <c r="B358" s="4"/>
      <c r="C358" s="7">
        <v>1.18750000000006</v>
      </c>
      <c r="D358" s="7">
        <v>1.19791666666673</v>
      </c>
      <c r="E358" s="30">
        <v>750</v>
      </c>
      <c r="F358" s="15">
        <v>546.39</v>
      </c>
      <c r="G358" s="4">
        <f t="shared" si="87"/>
        <v>203.61</v>
      </c>
      <c r="H358" s="9">
        <f t="shared" si="88"/>
        <v>5.0902500000000003E-2</v>
      </c>
      <c r="I358" s="4"/>
      <c r="J358" s="64">
        <v>540</v>
      </c>
      <c r="K358" s="31">
        <f t="shared" si="84"/>
        <v>6.3899999999999864</v>
      </c>
      <c r="L358" s="14">
        <f t="shared" si="86"/>
        <v>1.5974999999999965E-3</v>
      </c>
      <c r="M358" s="4"/>
    </row>
    <row r="359" spans="2:13">
      <c r="B359" s="4"/>
      <c r="C359" s="7">
        <v>1.19791666666673</v>
      </c>
      <c r="D359" s="35">
        <v>1.2083333333334001</v>
      </c>
      <c r="E359" s="30">
        <v>750</v>
      </c>
      <c r="F359" s="15">
        <v>547.09</v>
      </c>
      <c r="G359" s="4">
        <f t="shared" si="87"/>
        <v>202.90999999999997</v>
      </c>
      <c r="H359" s="9">
        <f t="shared" si="88"/>
        <v>5.0727499999999995E-2</v>
      </c>
      <c r="I359" s="4"/>
      <c r="J359" s="64">
        <v>540</v>
      </c>
      <c r="K359" s="31">
        <f t="shared" si="84"/>
        <v>7.0900000000000318</v>
      </c>
      <c r="L359" s="14">
        <f t="shared" si="86"/>
        <v>1.772500000000008E-3</v>
      </c>
      <c r="M359" s="4"/>
    </row>
    <row r="360" spans="2:13">
      <c r="B360" s="4"/>
      <c r="C360" s="7">
        <v>1.2083333333334001</v>
      </c>
      <c r="D360" s="7">
        <v>1.2187500000000699</v>
      </c>
      <c r="E360" s="30">
        <v>750</v>
      </c>
      <c r="F360" s="15">
        <v>604.04</v>
      </c>
      <c r="G360" s="4">
        <f t="shared" si="87"/>
        <v>145.96000000000004</v>
      </c>
      <c r="H360" s="9">
        <f t="shared" si="88"/>
        <v>3.6490000000000009E-2</v>
      </c>
      <c r="I360" s="4"/>
      <c r="J360" s="29">
        <f>J359+80</f>
        <v>620</v>
      </c>
      <c r="K360" s="31">
        <f>J360-F360</f>
        <v>15.960000000000036</v>
      </c>
      <c r="L360" s="14">
        <f t="shared" si="86"/>
        <v>3.9900000000000092E-3</v>
      </c>
      <c r="M360" s="9"/>
    </row>
    <row r="361" spans="2:13">
      <c r="B361" s="4"/>
      <c r="C361" s="7">
        <v>1.2187500000000699</v>
      </c>
      <c r="D361" s="7">
        <v>1.22916666666674</v>
      </c>
      <c r="E361" s="30">
        <v>750</v>
      </c>
      <c r="F361" s="15">
        <v>672.13</v>
      </c>
      <c r="G361" s="4">
        <f t="shared" si="87"/>
        <v>77.87</v>
      </c>
      <c r="H361" s="9">
        <f t="shared" si="88"/>
        <v>1.9467500000000002E-2</v>
      </c>
      <c r="I361" s="4"/>
      <c r="J361" s="64">
        <f t="shared" ref="J361" si="91">J360+80</f>
        <v>700</v>
      </c>
      <c r="K361" s="31">
        <f t="shared" ref="K361:K362" si="92">J361-F361</f>
        <v>27.870000000000005</v>
      </c>
      <c r="L361" s="14">
        <f t="shared" si="86"/>
        <v>6.9675000000000015E-3</v>
      </c>
      <c r="M361" s="4"/>
    </row>
    <row r="362" spans="2:13">
      <c r="B362" s="4"/>
      <c r="C362" s="7">
        <v>1.22916666666674</v>
      </c>
      <c r="D362" s="7">
        <v>1.2395833333334101</v>
      </c>
      <c r="E362" s="30">
        <v>750</v>
      </c>
      <c r="F362" s="15">
        <v>725.82</v>
      </c>
      <c r="G362" s="4">
        <f t="shared" si="87"/>
        <v>24.17999999999995</v>
      </c>
      <c r="H362" s="9">
        <f t="shared" si="88"/>
        <v>6.0449999999999879E-3</v>
      </c>
      <c r="I362" s="4"/>
      <c r="J362" s="64">
        <v>750</v>
      </c>
      <c r="K362" s="31">
        <f t="shared" si="92"/>
        <v>24.17999999999995</v>
      </c>
      <c r="L362" s="14">
        <f t="shared" si="86"/>
        <v>6.0449999999999879E-3</v>
      </c>
      <c r="M362" s="4"/>
    </row>
    <row r="363" spans="2:13">
      <c r="B363" s="47"/>
      <c r="C363" s="7"/>
      <c r="D363" s="7"/>
      <c r="E363" s="30"/>
      <c r="F363" s="15"/>
      <c r="G363" s="4"/>
      <c r="H363" s="9"/>
      <c r="I363" s="9">
        <f>SUM(H340:H362)</f>
        <v>1.0798325000000002</v>
      </c>
      <c r="J363" s="29"/>
      <c r="K363" s="31"/>
      <c r="L363" s="14"/>
      <c r="M363" s="4">
        <f>SUM(L340:L362)</f>
        <v>4.7004999999999963E-2</v>
      </c>
    </row>
    <row r="364" spans="2:13">
      <c r="B364" s="34">
        <v>46032</v>
      </c>
      <c r="C364" s="7">
        <v>1.5416666666668399</v>
      </c>
      <c r="D364" s="7">
        <v>1.5520833333335</v>
      </c>
      <c r="E364" s="30">
        <v>750</v>
      </c>
      <c r="F364" s="15">
        <v>746.23</v>
      </c>
      <c r="G364" s="4">
        <f t="shared" si="87"/>
        <v>3.7699999999999818</v>
      </c>
      <c r="H364" s="9">
        <f t="shared" si="88"/>
        <v>9.4249999999999542E-4</v>
      </c>
      <c r="I364" s="4"/>
      <c r="J364" s="29">
        <f>E364-30</f>
        <v>720</v>
      </c>
      <c r="K364" s="31">
        <f t="shared" ref="K364:K413" si="93">F364-J364</f>
        <v>26.230000000000018</v>
      </c>
      <c r="L364" s="14"/>
      <c r="M364" s="4"/>
    </row>
    <row r="365" spans="2:13">
      <c r="B365" s="4"/>
      <c r="C365" s="7">
        <v>1.55208333333351</v>
      </c>
      <c r="D365" s="35">
        <v>1.5625000000001701</v>
      </c>
      <c r="E365" s="30">
        <v>750</v>
      </c>
      <c r="F365" s="15">
        <v>648.94000000000005</v>
      </c>
      <c r="G365" s="4">
        <f t="shared" si="87"/>
        <v>101.05999999999995</v>
      </c>
      <c r="H365" s="9">
        <f t="shared" si="88"/>
        <v>2.5264999999999985E-2</v>
      </c>
      <c r="I365" s="4"/>
      <c r="J365" s="29">
        <f>J364-80</f>
        <v>640</v>
      </c>
      <c r="K365" s="31">
        <f t="shared" si="93"/>
        <v>8.9400000000000546</v>
      </c>
      <c r="L365" s="14">
        <f t="shared" si="86"/>
        <v>2.2350000000000135E-3</v>
      </c>
      <c r="M365" s="4"/>
    </row>
    <row r="366" spans="2:13">
      <c r="B366" s="4"/>
      <c r="C366" s="7">
        <v>1.5625000000001801</v>
      </c>
      <c r="D366" s="7">
        <v>1.5729166666668399</v>
      </c>
      <c r="E366" s="30">
        <v>750</v>
      </c>
      <c r="F366" s="15">
        <v>630.55999999999995</v>
      </c>
      <c r="G366" s="4">
        <f t="shared" si="87"/>
        <v>119.44000000000005</v>
      </c>
      <c r="H366" s="9">
        <f t="shared" si="88"/>
        <v>2.9860000000000015E-2</v>
      </c>
      <c r="I366" s="4"/>
      <c r="J366" s="29">
        <f>J365+80</f>
        <v>720</v>
      </c>
      <c r="K366" s="31">
        <f>J366-F366</f>
        <v>89.440000000000055</v>
      </c>
      <c r="L366" s="14">
        <f t="shared" si="86"/>
        <v>2.2360000000000015E-2</v>
      </c>
      <c r="M366" s="4"/>
    </row>
    <row r="367" spans="2:13">
      <c r="B367" s="47"/>
      <c r="C367" s="7">
        <v>1.5729166666668499</v>
      </c>
      <c r="D367" s="7">
        <v>1.58333333333351</v>
      </c>
      <c r="E367" s="30">
        <v>750</v>
      </c>
      <c r="F367" s="15">
        <v>726.2</v>
      </c>
      <c r="G367" s="4">
        <f t="shared" si="87"/>
        <v>23.799999999999955</v>
      </c>
      <c r="H367" s="9">
        <f t="shared" si="88"/>
        <v>5.9499999999999883E-3</v>
      </c>
      <c r="I367" s="9"/>
      <c r="J367" s="29">
        <v>750</v>
      </c>
      <c r="K367" s="31">
        <f>J367-F367</f>
        <v>23.799999999999955</v>
      </c>
      <c r="L367" s="14">
        <f t="shared" si="86"/>
        <v>5.9499999999999883E-3</v>
      </c>
      <c r="M367" s="4"/>
    </row>
    <row r="368" spans="2:13">
      <c r="B368" s="4"/>
      <c r="C368" s="57"/>
      <c r="D368" s="57"/>
      <c r="E368" s="30"/>
      <c r="F368" s="4"/>
      <c r="G368" s="4"/>
      <c r="H368" s="9"/>
      <c r="I368" s="9">
        <f>SUM(H364:H367)</f>
        <v>6.2017499999999982E-2</v>
      </c>
      <c r="J368" s="29"/>
      <c r="K368" s="31"/>
      <c r="L368" s="14"/>
      <c r="M368" s="4">
        <f>SUM(L364:L367)</f>
        <v>3.0545000000000017E-2</v>
      </c>
    </row>
    <row r="369" spans="2:13" ht="15.75" thickBot="1">
      <c r="B369" s="34">
        <v>46032</v>
      </c>
      <c r="C369" s="7">
        <v>1.87500000000029</v>
      </c>
      <c r="D369" s="7">
        <v>1.8854166666669401</v>
      </c>
      <c r="E369" s="30">
        <v>750</v>
      </c>
      <c r="F369" s="15">
        <v>692.51</v>
      </c>
      <c r="G369" s="4">
        <f t="shared" si="87"/>
        <v>57.490000000000009</v>
      </c>
      <c r="H369" s="9">
        <f t="shared" si="88"/>
        <v>1.4372500000000002E-2</v>
      </c>
      <c r="I369" s="19"/>
      <c r="J369" s="29">
        <f>E369-80</f>
        <v>670</v>
      </c>
      <c r="K369" s="31">
        <f t="shared" si="93"/>
        <v>22.509999999999991</v>
      </c>
      <c r="L369" s="14"/>
      <c r="M369" s="32"/>
    </row>
    <row r="370" spans="2:13">
      <c r="B370" s="4"/>
      <c r="C370" s="7">
        <v>1.8854166666669601</v>
      </c>
      <c r="D370" s="7">
        <v>1.8958333333336099</v>
      </c>
      <c r="E370" s="30">
        <v>750</v>
      </c>
      <c r="F370" s="15">
        <v>638.53</v>
      </c>
      <c r="G370" s="4">
        <f t="shared" si="87"/>
        <v>111.47000000000003</v>
      </c>
      <c r="H370" s="9">
        <f t="shared" si="88"/>
        <v>2.7867500000000007E-2</v>
      </c>
      <c r="I370" s="5"/>
      <c r="J370" s="29">
        <f>J369-80</f>
        <v>590</v>
      </c>
      <c r="K370" s="31">
        <f t="shared" si="93"/>
        <v>48.529999999999973</v>
      </c>
      <c r="L370" s="14">
        <f t="shared" ref="L370:L427" si="94">IF(K370/4000&gt;0,K370/4000,0)</f>
        <v>1.2132499999999994E-2</v>
      </c>
      <c r="M370" s="5"/>
    </row>
    <row r="371" spans="2:13">
      <c r="B371" s="47"/>
      <c r="C371" s="7">
        <v>1.8958333333336299</v>
      </c>
      <c r="D371" s="7">
        <v>1.90625000000028</v>
      </c>
      <c r="E371" s="30">
        <v>750</v>
      </c>
      <c r="F371" s="15">
        <v>583.70000000000005</v>
      </c>
      <c r="G371" s="4">
        <f t="shared" si="87"/>
        <v>166.29999999999995</v>
      </c>
      <c r="H371" s="9">
        <f t="shared" si="88"/>
        <v>4.1574999999999987E-2</v>
      </c>
      <c r="I371" s="4"/>
      <c r="J371" s="64">
        <v>540</v>
      </c>
      <c r="K371" s="31">
        <f t="shared" si="93"/>
        <v>43.700000000000045</v>
      </c>
      <c r="L371" s="14">
        <f t="shared" si="94"/>
        <v>1.0925000000000011E-2</v>
      </c>
      <c r="M371" s="4"/>
    </row>
    <row r="372" spans="2:13">
      <c r="B372" s="4"/>
      <c r="C372" s="7">
        <v>1.9062500000003</v>
      </c>
      <c r="D372" s="7">
        <v>1.9166666666669501</v>
      </c>
      <c r="E372" s="30">
        <v>750</v>
      </c>
      <c r="F372" s="15">
        <v>547.71</v>
      </c>
      <c r="G372" s="4">
        <f t="shared" si="87"/>
        <v>202.28999999999996</v>
      </c>
      <c r="H372" s="9">
        <f t="shared" si="88"/>
        <v>5.0572499999999992E-2</v>
      </c>
      <c r="I372" s="4"/>
      <c r="J372" s="64">
        <v>540</v>
      </c>
      <c r="K372" s="31">
        <f t="shared" si="93"/>
        <v>7.7100000000000364</v>
      </c>
      <c r="L372" s="14">
        <f t="shared" si="94"/>
        <v>1.9275000000000091E-3</v>
      </c>
      <c r="M372" s="9"/>
    </row>
    <row r="373" spans="2:13">
      <c r="B373" s="4"/>
      <c r="C373" s="7">
        <v>1.9166666666669701</v>
      </c>
      <c r="D373" s="7">
        <v>1.9270833333336199</v>
      </c>
      <c r="E373" s="30">
        <v>750</v>
      </c>
      <c r="F373" s="15">
        <v>547.79999999999995</v>
      </c>
      <c r="G373" s="4">
        <f t="shared" si="87"/>
        <v>202.20000000000005</v>
      </c>
      <c r="H373" s="9">
        <f t="shared" si="88"/>
        <v>5.0550000000000012E-2</v>
      </c>
      <c r="I373" s="4"/>
      <c r="J373" s="64">
        <v>540</v>
      </c>
      <c r="K373" s="31">
        <f t="shared" si="93"/>
        <v>7.7999999999999545</v>
      </c>
      <c r="L373" s="14">
        <f t="shared" si="94"/>
        <v>1.9499999999999886E-3</v>
      </c>
      <c r="M373" s="4"/>
    </row>
    <row r="374" spans="2:13">
      <c r="B374" s="4"/>
      <c r="C374" s="7">
        <v>1.9270833333336399</v>
      </c>
      <c r="D374" s="7">
        <v>1.93750000000029</v>
      </c>
      <c r="E374" s="30">
        <v>750</v>
      </c>
      <c r="F374" s="15">
        <v>549.1</v>
      </c>
      <c r="G374" s="4">
        <f t="shared" si="87"/>
        <v>200.89999999999998</v>
      </c>
      <c r="H374" s="9">
        <f t="shared" si="88"/>
        <v>5.0224999999999992E-2</v>
      </c>
      <c r="I374" s="4"/>
      <c r="J374" s="64">
        <v>540</v>
      </c>
      <c r="K374" s="31">
        <f t="shared" si="93"/>
        <v>9.1000000000000227</v>
      </c>
      <c r="L374" s="14">
        <f t="shared" si="94"/>
        <v>2.2750000000000058E-3</v>
      </c>
      <c r="M374" s="4"/>
    </row>
    <row r="375" spans="2:13" ht="15.75" thickBot="1">
      <c r="B375" s="4"/>
      <c r="C375" s="7">
        <v>1.93750000000031</v>
      </c>
      <c r="D375" s="7">
        <v>1.9479166666669601</v>
      </c>
      <c r="E375" s="30">
        <v>750</v>
      </c>
      <c r="F375" s="15">
        <v>543.63</v>
      </c>
      <c r="G375" s="4">
        <f t="shared" si="87"/>
        <v>206.37</v>
      </c>
      <c r="H375" s="9">
        <f t="shared" si="88"/>
        <v>5.1592499999999999E-2</v>
      </c>
      <c r="I375" s="19"/>
      <c r="J375" s="64">
        <v>540</v>
      </c>
      <c r="K375" s="31">
        <f t="shared" si="93"/>
        <v>3.6299999999999955</v>
      </c>
      <c r="L375" s="14">
        <f t="shared" si="94"/>
        <v>9.0749999999999891E-4</v>
      </c>
      <c r="M375" s="32"/>
    </row>
    <row r="376" spans="2:13">
      <c r="B376" s="4"/>
      <c r="C376" s="7">
        <v>1.94791666666698</v>
      </c>
      <c r="D376" s="7">
        <v>1.9583333333336299</v>
      </c>
      <c r="E376" s="30">
        <v>750</v>
      </c>
      <c r="F376" s="15">
        <v>546.33000000000004</v>
      </c>
      <c r="G376" s="4">
        <f t="shared" si="87"/>
        <v>203.66999999999996</v>
      </c>
      <c r="H376" s="9">
        <f t="shared" si="88"/>
        <v>5.0917499999999991E-2</v>
      </c>
      <c r="I376" s="5"/>
      <c r="J376" s="64">
        <v>540</v>
      </c>
      <c r="K376" s="31">
        <f t="shared" si="93"/>
        <v>6.3300000000000409</v>
      </c>
      <c r="L376" s="14">
        <f t="shared" si="94"/>
        <v>1.5825000000000103E-3</v>
      </c>
      <c r="M376" s="5"/>
    </row>
    <row r="377" spans="2:13">
      <c r="B377" s="47"/>
      <c r="C377" s="7">
        <v>1.9583333333336499</v>
      </c>
      <c r="D377" s="7">
        <v>1.9687500000003</v>
      </c>
      <c r="E377" s="30">
        <v>750</v>
      </c>
      <c r="F377" s="15">
        <v>545.88</v>
      </c>
      <c r="G377" s="4">
        <f t="shared" si="87"/>
        <v>204.12</v>
      </c>
      <c r="H377" s="9">
        <f t="shared" si="88"/>
        <v>5.1029999999999999E-2</v>
      </c>
      <c r="I377" s="4"/>
      <c r="J377" s="64">
        <v>540</v>
      </c>
      <c r="K377" s="31">
        <f t="shared" si="93"/>
        <v>5.8799999999999955</v>
      </c>
      <c r="L377" s="14">
        <f t="shared" si="94"/>
        <v>1.4699999999999989E-3</v>
      </c>
      <c r="M377" s="4"/>
    </row>
    <row r="378" spans="2:13">
      <c r="B378" s="4"/>
      <c r="C378" s="7">
        <v>1.96875000000032</v>
      </c>
      <c r="D378" s="7">
        <v>1.9791666666669701</v>
      </c>
      <c r="E378" s="30">
        <v>750</v>
      </c>
      <c r="F378" s="15">
        <v>542.55999999999995</v>
      </c>
      <c r="G378" s="4">
        <f t="shared" si="87"/>
        <v>207.44000000000005</v>
      </c>
      <c r="H378" s="9">
        <f t="shared" si="88"/>
        <v>5.186000000000001E-2</v>
      </c>
      <c r="I378" s="4"/>
      <c r="J378" s="64">
        <v>540</v>
      </c>
      <c r="K378" s="31">
        <f t="shared" si="93"/>
        <v>2.5599999999999454</v>
      </c>
      <c r="L378" s="14">
        <f t="shared" si="94"/>
        <v>6.3999999999998639E-4</v>
      </c>
      <c r="M378" s="4"/>
    </row>
    <row r="379" spans="2:13">
      <c r="B379" s="4"/>
      <c r="C379" s="7">
        <v>1.97916666666699</v>
      </c>
      <c r="D379" s="7">
        <v>1.9895833333336399</v>
      </c>
      <c r="E379" s="30">
        <v>750</v>
      </c>
      <c r="F379" s="15">
        <v>541.75</v>
      </c>
      <c r="G379" s="4">
        <f t="shared" si="87"/>
        <v>208.25</v>
      </c>
      <c r="H379" s="9">
        <f t="shared" si="88"/>
        <v>5.2062499999999998E-2</v>
      </c>
      <c r="I379" s="4"/>
      <c r="J379" s="64">
        <v>540</v>
      </c>
      <c r="K379" s="31">
        <f t="shared" si="93"/>
        <v>1.75</v>
      </c>
      <c r="L379" s="14">
        <f t="shared" si="94"/>
        <v>4.3750000000000001E-4</v>
      </c>
      <c r="M379" s="4"/>
    </row>
    <row r="380" spans="2:13">
      <c r="B380" s="4"/>
      <c r="C380" s="7">
        <v>1.9895833333336601</v>
      </c>
      <c r="D380" s="35">
        <v>2.00000000000031</v>
      </c>
      <c r="E380" s="30">
        <v>750</v>
      </c>
      <c r="F380" s="48">
        <v>546.58000000000004</v>
      </c>
      <c r="G380" s="4">
        <f t="shared" si="87"/>
        <v>203.41999999999996</v>
      </c>
      <c r="H380" s="9">
        <f t="shared" si="88"/>
        <v>5.085499999999999E-2</v>
      </c>
      <c r="I380" s="4"/>
      <c r="J380" s="64">
        <v>540</v>
      </c>
      <c r="K380" s="31">
        <f t="shared" si="93"/>
        <v>6.5800000000000409</v>
      </c>
      <c r="L380" s="14">
        <f t="shared" si="94"/>
        <v>1.6450000000000102E-3</v>
      </c>
      <c r="M380" s="4"/>
    </row>
    <row r="381" spans="2:13">
      <c r="B381" s="4"/>
      <c r="C381" s="7"/>
      <c r="D381" s="7"/>
      <c r="E381" s="30"/>
      <c r="F381" s="15"/>
      <c r="G381" s="4"/>
      <c r="H381" s="9"/>
      <c r="I381" s="9">
        <f>SUM(H369:H380)</f>
        <v>0.54348000000000007</v>
      </c>
      <c r="J381" s="29"/>
      <c r="K381" s="31"/>
      <c r="L381" s="14"/>
      <c r="M381" s="4">
        <f>SUM(L369:L380)</f>
        <v>3.5892500000000015E-2</v>
      </c>
    </row>
    <row r="382" spans="2:13">
      <c r="B382" s="34">
        <v>46033</v>
      </c>
      <c r="C382" s="7">
        <v>1</v>
      </c>
      <c r="D382" s="7">
        <v>1.0104166666666701</v>
      </c>
      <c r="E382" s="30">
        <v>750</v>
      </c>
      <c r="F382" s="15">
        <v>545.37</v>
      </c>
      <c r="G382" s="4">
        <f t="shared" si="87"/>
        <v>204.63</v>
      </c>
      <c r="H382" s="9">
        <f t="shared" si="88"/>
        <v>5.1157500000000002E-2</v>
      </c>
      <c r="I382" s="9"/>
      <c r="J382" s="29">
        <v>540</v>
      </c>
      <c r="K382" s="31">
        <f t="shared" si="93"/>
        <v>5.3700000000000045</v>
      </c>
      <c r="L382" s="14"/>
      <c r="M382" s="4"/>
    </row>
    <row r="383" spans="2:13">
      <c r="B383" s="47"/>
      <c r="C383" s="7">
        <v>1.0104166666666701</v>
      </c>
      <c r="D383" s="7">
        <v>1.0208333333333399</v>
      </c>
      <c r="E383" s="30">
        <v>750</v>
      </c>
      <c r="F383" s="15">
        <v>541.53</v>
      </c>
      <c r="G383" s="4">
        <f t="shared" ref="G383:G440" si="95">E383-F383</f>
        <v>208.47000000000003</v>
      </c>
      <c r="H383" s="9">
        <f t="shared" ref="H383:H440" si="96">G383/4000</f>
        <v>5.2117500000000004E-2</v>
      </c>
      <c r="I383" s="9"/>
      <c r="J383" s="29">
        <v>540</v>
      </c>
      <c r="K383" s="31">
        <f t="shared" si="93"/>
        <v>1.5299999999999727</v>
      </c>
      <c r="L383" s="14">
        <f t="shared" si="94"/>
        <v>3.824999999999932E-4</v>
      </c>
      <c r="M383" s="9"/>
    </row>
    <row r="384" spans="2:13">
      <c r="B384" s="47"/>
      <c r="C384" s="7">
        <v>1.0208333333333399</v>
      </c>
      <c r="D384" s="7">
        <v>1.03125000000001</v>
      </c>
      <c r="E384" s="30">
        <v>750</v>
      </c>
      <c r="F384" s="15">
        <v>544.47</v>
      </c>
      <c r="G384" s="4">
        <f t="shared" si="95"/>
        <v>205.52999999999997</v>
      </c>
      <c r="H384" s="9">
        <f t="shared" si="96"/>
        <v>5.1382499999999991E-2</v>
      </c>
      <c r="I384" s="4"/>
      <c r="J384" s="64">
        <v>540</v>
      </c>
      <c r="K384" s="31">
        <f t="shared" si="93"/>
        <v>4.4700000000000273</v>
      </c>
      <c r="L384" s="14">
        <f t="shared" si="94"/>
        <v>1.1175000000000067E-3</v>
      </c>
      <c r="M384" s="4"/>
    </row>
    <row r="385" spans="2:13">
      <c r="B385" s="4"/>
      <c r="C385" s="7">
        <v>1.03125000000001</v>
      </c>
      <c r="D385" s="7">
        <v>1.0416666666666801</v>
      </c>
      <c r="E385" s="30">
        <v>750</v>
      </c>
      <c r="F385" s="15">
        <v>544.83000000000004</v>
      </c>
      <c r="G385" s="4">
        <f t="shared" si="95"/>
        <v>205.16999999999996</v>
      </c>
      <c r="H385" s="9">
        <f t="shared" si="96"/>
        <v>5.1292499999999991E-2</v>
      </c>
      <c r="I385" s="4"/>
      <c r="J385" s="64">
        <v>540</v>
      </c>
      <c r="K385" s="31">
        <f t="shared" si="93"/>
        <v>4.8300000000000409</v>
      </c>
      <c r="L385" s="14">
        <f t="shared" si="94"/>
        <v>1.2075000000000102E-3</v>
      </c>
      <c r="M385" s="4"/>
    </row>
    <row r="386" spans="2:13">
      <c r="B386" s="4"/>
      <c r="C386" s="7">
        <v>1.0416666666666801</v>
      </c>
      <c r="D386" s="7">
        <v>1.0520833333333499</v>
      </c>
      <c r="E386" s="30">
        <v>750</v>
      </c>
      <c r="F386" s="15">
        <v>545.80999999999995</v>
      </c>
      <c r="G386" s="4">
        <f t="shared" si="95"/>
        <v>204.19000000000005</v>
      </c>
      <c r="H386" s="9">
        <f t="shared" si="96"/>
        <v>5.1047500000000016E-2</v>
      </c>
      <c r="I386" s="4"/>
      <c r="J386" s="64">
        <v>540</v>
      </c>
      <c r="K386" s="31">
        <f t="shared" si="93"/>
        <v>5.8099999999999454</v>
      </c>
      <c r="L386" s="14">
        <f t="shared" si="94"/>
        <v>1.4524999999999864E-3</v>
      </c>
      <c r="M386" s="4"/>
    </row>
    <row r="387" spans="2:13">
      <c r="B387" s="4"/>
      <c r="C387" s="7">
        <v>1.0520833333333499</v>
      </c>
      <c r="D387" s="7">
        <v>1.06250000000002</v>
      </c>
      <c r="E387" s="30">
        <v>750</v>
      </c>
      <c r="F387" s="15">
        <v>544.34</v>
      </c>
      <c r="G387" s="4">
        <f t="shared" si="95"/>
        <v>205.65999999999997</v>
      </c>
      <c r="H387" s="9">
        <f t="shared" si="96"/>
        <v>5.1414999999999995E-2</v>
      </c>
      <c r="I387" s="4"/>
      <c r="J387" s="64">
        <v>540</v>
      </c>
      <c r="K387" s="31">
        <f t="shared" si="93"/>
        <v>4.3400000000000318</v>
      </c>
      <c r="L387" s="14">
        <f t="shared" si="94"/>
        <v>1.0850000000000081E-3</v>
      </c>
      <c r="M387" s="4"/>
    </row>
    <row r="388" spans="2:13">
      <c r="B388" s="4"/>
      <c r="C388" s="7">
        <v>1.06250000000002</v>
      </c>
      <c r="D388" s="7">
        <v>1.0729166666666901</v>
      </c>
      <c r="E388" s="30">
        <v>750</v>
      </c>
      <c r="F388" s="15">
        <v>541.34</v>
      </c>
      <c r="G388" s="4">
        <f t="shared" si="95"/>
        <v>208.65999999999997</v>
      </c>
      <c r="H388" s="9">
        <f t="shared" si="96"/>
        <v>5.2164999999999989E-2</v>
      </c>
      <c r="I388" s="4"/>
      <c r="J388" s="64">
        <v>540</v>
      </c>
      <c r="K388" s="31">
        <f t="shared" si="93"/>
        <v>1.3400000000000318</v>
      </c>
      <c r="L388" s="14">
        <f t="shared" si="94"/>
        <v>3.3500000000000798E-4</v>
      </c>
      <c r="M388" s="4"/>
    </row>
    <row r="389" spans="2:13">
      <c r="B389" s="4"/>
      <c r="C389" s="7">
        <v>1.0729166666666901</v>
      </c>
      <c r="D389" s="7">
        <v>1.0833333333333599</v>
      </c>
      <c r="E389" s="30">
        <v>750</v>
      </c>
      <c r="F389" s="15">
        <v>542.49</v>
      </c>
      <c r="G389" s="4">
        <f t="shared" si="95"/>
        <v>207.51</v>
      </c>
      <c r="H389" s="9">
        <f t="shared" si="96"/>
        <v>5.18775E-2</v>
      </c>
      <c r="I389" s="4"/>
      <c r="J389" s="64">
        <v>540</v>
      </c>
      <c r="K389" s="31">
        <f t="shared" si="93"/>
        <v>2.4900000000000091</v>
      </c>
      <c r="L389" s="14">
        <f t="shared" si="94"/>
        <v>6.2250000000000228E-4</v>
      </c>
      <c r="M389" s="4"/>
    </row>
    <row r="390" spans="2:13">
      <c r="B390" s="4"/>
      <c r="C390" s="7">
        <v>1.0833333333333599</v>
      </c>
      <c r="D390" s="7">
        <v>1.09375000000003</v>
      </c>
      <c r="E390" s="30">
        <v>750</v>
      </c>
      <c r="F390" s="15">
        <v>544.98</v>
      </c>
      <c r="G390" s="4">
        <f t="shared" si="95"/>
        <v>205.01999999999998</v>
      </c>
      <c r="H390" s="9">
        <f t="shared" si="96"/>
        <v>5.1254999999999995E-2</v>
      </c>
      <c r="I390" s="4"/>
      <c r="J390" s="64">
        <v>540</v>
      </c>
      <c r="K390" s="31">
        <f t="shared" si="93"/>
        <v>4.9800000000000182</v>
      </c>
      <c r="L390" s="14">
        <f t="shared" si="94"/>
        <v>1.2450000000000046E-3</v>
      </c>
      <c r="M390" s="4"/>
    </row>
    <row r="391" spans="2:13">
      <c r="B391" s="4"/>
      <c r="C391" s="7">
        <v>1.09375000000003</v>
      </c>
      <c r="D391" s="7">
        <v>1.1041666666667</v>
      </c>
      <c r="E391" s="30">
        <v>750</v>
      </c>
      <c r="F391" s="15">
        <v>544.16</v>
      </c>
      <c r="G391" s="4">
        <f t="shared" si="95"/>
        <v>205.84000000000003</v>
      </c>
      <c r="H391" s="9">
        <f t="shared" si="96"/>
        <v>5.1460000000000006E-2</v>
      </c>
      <c r="I391" s="4"/>
      <c r="J391" s="64">
        <v>540</v>
      </c>
      <c r="K391" s="31">
        <f t="shared" si="93"/>
        <v>4.1599999999999682</v>
      </c>
      <c r="L391" s="14">
        <f t="shared" si="94"/>
        <v>1.0399999999999921E-3</v>
      </c>
      <c r="M391" s="4"/>
    </row>
    <row r="392" spans="2:13">
      <c r="B392" s="4"/>
      <c r="C392" s="7">
        <v>1.1041666666667</v>
      </c>
      <c r="D392" s="7">
        <v>1.1145833333333699</v>
      </c>
      <c r="E392" s="30">
        <v>750</v>
      </c>
      <c r="F392" s="15">
        <v>543.4</v>
      </c>
      <c r="G392" s="4">
        <f t="shared" si="95"/>
        <v>206.60000000000002</v>
      </c>
      <c r="H392" s="9">
        <f t="shared" si="96"/>
        <v>5.1650000000000008E-2</v>
      </c>
      <c r="I392" s="4"/>
      <c r="J392" s="64">
        <v>540</v>
      </c>
      <c r="K392" s="31">
        <f t="shared" si="93"/>
        <v>3.3999999999999773</v>
      </c>
      <c r="L392" s="14">
        <f t="shared" si="94"/>
        <v>8.4999999999999431E-4</v>
      </c>
      <c r="M392" s="4"/>
    </row>
    <row r="393" spans="2:13">
      <c r="B393" s="4"/>
      <c r="C393" s="7">
        <v>1.1145833333333699</v>
      </c>
      <c r="D393" s="7">
        <v>1.12500000000004</v>
      </c>
      <c r="E393" s="30">
        <v>750</v>
      </c>
      <c r="F393" s="15">
        <v>544.66</v>
      </c>
      <c r="G393" s="4">
        <f t="shared" si="95"/>
        <v>205.34000000000003</v>
      </c>
      <c r="H393" s="9">
        <f t="shared" si="96"/>
        <v>5.1335000000000006E-2</v>
      </c>
      <c r="I393" s="4"/>
      <c r="J393" s="64">
        <v>540</v>
      </c>
      <c r="K393" s="31">
        <f t="shared" si="93"/>
        <v>4.6599999999999682</v>
      </c>
      <c r="L393" s="14">
        <f t="shared" si="94"/>
        <v>1.164999999999992E-3</v>
      </c>
      <c r="M393" s="4"/>
    </row>
    <row r="394" spans="2:13">
      <c r="B394" s="4"/>
      <c r="C394" s="7">
        <v>1.12500000000004</v>
      </c>
      <c r="D394" s="7">
        <v>1.13541666666671</v>
      </c>
      <c r="E394" s="30">
        <v>750</v>
      </c>
      <c r="F394" s="15">
        <v>544.65</v>
      </c>
      <c r="G394" s="4">
        <f t="shared" si="95"/>
        <v>205.35000000000002</v>
      </c>
      <c r="H394" s="9">
        <f t="shared" si="96"/>
        <v>5.1337500000000008E-2</v>
      </c>
      <c r="I394" s="4"/>
      <c r="J394" s="64">
        <v>540</v>
      </c>
      <c r="K394" s="31">
        <f t="shared" si="93"/>
        <v>4.6499999999999773</v>
      </c>
      <c r="L394" s="14">
        <f t="shared" si="94"/>
        <v>1.1624999999999943E-3</v>
      </c>
      <c r="M394" s="4"/>
    </row>
    <row r="395" spans="2:13">
      <c r="B395" s="4"/>
      <c r="C395" s="7">
        <v>1.13541666666671</v>
      </c>
      <c r="D395" s="7">
        <v>1.1458333333333801</v>
      </c>
      <c r="E395" s="30">
        <v>750</v>
      </c>
      <c r="F395" s="15">
        <v>544.44000000000005</v>
      </c>
      <c r="G395" s="4">
        <f t="shared" si="95"/>
        <v>205.55999999999995</v>
      </c>
      <c r="H395" s="9">
        <f t="shared" si="96"/>
        <v>5.1389999999999984E-2</v>
      </c>
      <c r="I395" s="9"/>
      <c r="J395" s="64">
        <v>540</v>
      </c>
      <c r="K395" s="31">
        <f t="shared" si="93"/>
        <v>4.4400000000000546</v>
      </c>
      <c r="L395" s="14">
        <f t="shared" si="94"/>
        <v>1.1100000000000135E-3</v>
      </c>
      <c r="M395" s="9"/>
    </row>
    <row r="396" spans="2:13">
      <c r="B396" s="47"/>
      <c r="C396" s="7">
        <v>1.1458333333333801</v>
      </c>
      <c r="D396" s="7">
        <v>1.15625000000005</v>
      </c>
      <c r="E396" s="30">
        <v>750</v>
      </c>
      <c r="F396" s="15">
        <v>542.11</v>
      </c>
      <c r="G396" s="4">
        <f t="shared" si="95"/>
        <v>207.89</v>
      </c>
      <c r="H396" s="9">
        <f t="shared" si="96"/>
        <v>5.1972499999999998E-2</v>
      </c>
      <c r="I396" s="4"/>
      <c r="J396" s="64">
        <v>540</v>
      </c>
      <c r="K396" s="31">
        <f t="shared" si="93"/>
        <v>2.1100000000000136</v>
      </c>
      <c r="L396" s="14">
        <f t="shared" si="94"/>
        <v>5.2750000000000344E-4</v>
      </c>
      <c r="M396" s="4"/>
    </row>
    <row r="397" spans="2:13">
      <c r="B397" s="4"/>
      <c r="C397" s="7">
        <v>1.15625000000005</v>
      </c>
      <c r="D397" s="7">
        <v>1.16666666666672</v>
      </c>
      <c r="E397" s="30">
        <v>750</v>
      </c>
      <c r="F397" s="15">
        <v>542.55999999999995</v>
      </c>
      <c r="G397" s="4">
        <f t="shared" si="95"/>
        <v>207.44000000000005</v>
      </c>
      <c r="H397" s="9">
        <f t="shared" si="96"/>
        <v>5.186000000000001E-2</v>
      </c>
      <c r="I397" s="4"/>
      <c r="J397" s="64">
        <v>540</v>
      </c>
      <c r="K397" s="31">
        <f t="shared" si="93"/>
        <v>2.5599999999999454</v>
      </c>
      <c r="L397" s="14">
        <f t="shared" si="94"/>
        <v>6.3999999999998639E-4</v>
      </c>
      <c r="M397" s="4"/>
    </row>
    <row r="398" spans="2:13">
      <c r="B398" s="4"/>
      <c r="C398" s="7">
        <v>1.16666666666672</v>
      </c>
      <c r="D398" s="7">
        <v>1.1770833333333901</v>
      </c>
      <c r="E398" s="30">
        <v>750</v>
      </c>
      <c r="F398" s="15">
        <v>544.05999999999995</v>
      </c>
      <c r="G398" s="4">
        <f t="shared" si="95"/>
        <v>205.94000000000005</v>
      </c>
      <c r="H398" s="9">
        <f t="shared" si="96"/>
        <v>5.1485000000000017E-2</v>
      </c>
      <c r="I398" s="4"/>
      <c r="J398" s="64">
        <v>540</v>
      </c>
      <c r="K398" s="31">
        <f t="shared" si="93"/>
        <v>4.0599999999999454</v>
      </c>
      <c r="L398" s="14">
        <f t="shared" si="94"/>
        <v>1.0149999999999864E-3</v>
      </c>
      <c r="M398" s="4"/>
    </row>
    <row r="399" spans="2:13">
      <c r="B399" s="4"/>
      <c r="C399" s="7">
        <v>1.1770833333333901</v>
      </c>
      <c r="D399" s="7">
        <v>1.18750000000006</v>
      </c>
      <c r="E399" s="30">
        <v>750</v>
      </c>
      <c r="F399" s="15">
        <v>544.75</v>
      </c>
      <c r="G399" s="4">
        <f t="shared" si="95"/>
        <v>205.25</v>
      </c>
      <c r="H399" s="9">
        <f t="shared" si="96"/>
        <v>5.1312499999999997E-2</v>
      </c>
      <c r="I399" s="4"/>
      <c r="J399" s="64">
        <v>540</v>
      </c>
      <c r="K399" s="31">
        <f t="shared" si="93"/>
        <v>4.75</v>
      </c>
      <c r="L399" s="14">
        <f t="shared" si="94"/>
        <v>1.1875E-3</v>
      </c>
      <c r="M399" s="4"/>
    </row>
    <row r="400" spans="2:13">
      <c r="B400" s="4"/>
      <c r="C400" s="7">
        <v>1.18750000000006</v>
      </c>
      <c r="D400" s="7">
        <v>1.19791666666673</v>
      </c>
      <c r="E400" s="30">
        <v>750</v>
      </c>
      <c r="F400" s="15">
        <v>545.49</v>
      </c>
      <c r="G400" s="4">
        <f t="shared" si="95"/>
        <v>204.51</v>
      </c>
      <c r="H400" s="9">
        <f t="shared" si="96"/>
        <v>5.1127499999999999E-2</v>
      </c>
      <c r="I400" s="4"/>
      <c r="J400" s="64">
        <v>540</v>
      </c>
      <c r="K400" s="31">
        <f t="shared" si="93"/>
        <v>5.4900000000000091</v>
      </c>
      <c r="L400" s="14">
        <f t="shared" si="94"/>
        <v>1.3725000000000022E-3</v>
      </c>
      <c r="M400" s="4"/>
    </row>
    <row r="401" spans="2:13" ht="15.75" thickBot="1">
      <c r="B401" s="4"/>
      <c r="C401" s="7">
        <v>1.19791666666673</v>
      </c>
      <c r="D401" s="35">
        <v>1.2083333333334001</v>
      </c>
      <c r="E401" s="30">
        <v>750</v>
      </c>
      <c r="F401" s="15">
        <v>559.47</v>
      </c>
      <c r="G401" s="4">
        <f t="shared" si="95"/>
        <v>190.52999999999997</v>
      </c>
      <c r="H401" s="9">
        <f t="shared" si="96"/>
        <v>4.7632499999999994E-2</v>
      </c>
      <c r="I401" s="19"/>
      <c r="J401" s="64">
        <f>J400+55</f>
        <v>595</v>
      </c>
      <c r="K401" s="31">
        <f>J401-F401</f>
        <v>35.529999999999973</v>
      </c>
      <c r="L401" s="14">
        <f t="shared" si="94"/>
        <v>8.8824999999999928E-3</v>
      </c>
      <c r="M401" s="32"/>
    </row>
    <row r="402" spans="2:13">
      <c r="B402" s="4"/>
      <c r="C402" s="7">
        <v>1.2083333333334001</v>
      </c>
      <c r="D402" s="7">
        <v>1.2187500000000699</v>
      </c>
      <c r="E402" s="30">
        <v>750</v>
      </c>
      <c r="F402" s="15">
        <v>659.88</v>
      </c>
      <c r="G402" s="4">
        <f t="shared" si="95"/>
        <v>90.12</v>
      </c>
      <c r="H402" s="9">
        <f t="shared" si="96"/>
        <v>2.2530000000000001E-2</v>
      </c>
      <c r="I402" s="5"/>
      <c r="J402" s="29">
        <f>J401+80</f>
        <v>675</v>
      </c>
      <c r="K402" s="31">
        <f t="shared" ref="K402:K403" si="97">J402-F402</f>
        <v>15.120000000000005</v>
      </c>
      <c r="L402" s="14">
        <f t="shared" si="94"/>
        <v>3.7800000000000012E-3</v>
      </c>
      <c r="M402" s="5"/>
    </row>
    <row r="403" spans="2:13">
      <c r="B403" s="47"/>
      <c r="C403" s="7">
        <v>1.2187500000000699</v>
      </c>
      <c r="D403" s="7">
        <v>1.22916666666674</v>
      </c>
      <c r="E403" s="30">
        <v>750</v>
      </c>
      <c r="F403" s="15">
        <v>729.84</v>
      </c>
      <c r="G403" s="4">
        <f t="shared" si="95"/>
        <v>20.159999999999968</v>
      </c>
      <c r="H403" s="9">
        <f t="shared" si="96"/>
        <v>5.0399999999999924E-3</v>
      </c>
      <c r="I403" s="4"/>
      <c r="J403" s="64">
        <v>750</v>
      </c>
      <c r="K403" s="31">
        <f t="shared" si="97"/>
        <v>20.159999999999968</v>
      </c>
      <c r="L403" s="14">
        <f t="shared" si="94"/>
        <v>5.0399999999999924E-3</v>
      </c>
      <c r="M403" s="4"/>
    </row>
    <row r="404" spans="2:13">
      <c r="B404" s="4"/>
      <c r="C404" s="7"/>
      <c r="D404" s="7"/>
      <c r="E404" s="30"/>
      <c r="F404" s="15"/>
      <c r="G404" s="4"/>
      <c r="H404" s="9"/>
      <c r="I404" s="9">
        <f>SUM(H382:H403)</f>
        <v>1.0538424999999998</v>
      </c>
      <c r="J404" s="64"/>
      <c r="K404" s="31"/>
      <c r="L404" s="14"/>
      <c r="M404" s="4">
        <f>SUM(L382:L403)</f>
        <v>3.5219999999999974E-2</v>
      </c>
    </row>
    <row r="405" spans="2:13">
      <c r="B405" s="34">
        <v>46033</v>
      </c>
      <c r="C405" s="7">
        <v>1.6041666666668599</v>
      </c>
      <c r="D405" s="7">
        <v>1.61458333333352</v>
      </c>
      <c r="E405" s="30">
        <v>750</v>
      </c>
      <c r="F405" s="15">
        <v>742.1</v>
      </c>
      <c r="G405" s="4">
        <f t="shared" si="95"/>
        <v>7.8999999999999773</v>
      </c>
      <c r="H405" s="9">
        <f t="shared" si="96"/>
        <v>1.9749999999999941E-3</v>
      </c>
      <c r="I405" s="5"/>
      <c r="J405" s="29">
        <f>E405-55</f>
        <v>695</v>
      </c>
      <c r="K405" s="31">
        <f t="shared" si="93"/>
        <v>47.100000000000023</v>
      </c>
      <c r="L405" s="14"/>
      <c r="M405" s="5"/>
    </row>
    <row r="406" spans="2:13">
      <c r="B406" s="4"/>
      <c r="C406" s="7">
        <v>1.61458333333353</v>
      </c>
      <c r="D406" s="7">
        <v>1.6250000000001901</v>
      </c>
      <c r="E406" s="30">
        <v>750</v>
      </c>
      <c r="F406" s="15">
        <v>635.96</v>
      </c>
      <c r="G406" s="4">
        <f t="shared" si="95"/>
        <v>114.03999999999996</v>
      </c>
      <c r="H406" s="9">
        <f t="shared" si="96"/>
        <v>2.850999999999999E-2</v>
      </c>
      <c r="I406" s="9"/>
      <c r="J406" s="29">
        <f>J405-80</f>
        <v>615</v>
      </c>
      <c r="K406" s="31">
        <f t="shared" si="93"/>
        <v>20.960000000000036</v>
      </c>
      <c r="L406" s="14">
        <f t="shared" si="94"/>
        <v>5.2400000000000094E-3</v>
      </c>
      <c r="M406" s="9"/>
    </row>
    <row r="407" spans="2:13">
      <c r="B407" s="47"/>
      <c r="C407" s="7">
        <v>1.6250000000002001</v>
      </c>
      <c r="D407" s="7">
        <v>1.6354166666668599</v>
      </c>
      <c r="E407" s="30">
        <v>750</v>
      </c>
      <c r="F407" s="15">
        <v>553.74</v>
      </c>
      <c r="G407" s="4">
        <f t="shared" si="95"/>
        <v>196.26</v>
      </c>
      <c r="H407" s="9">
        <f t="shared" si="96"/>
        <v>4.9064999999999998E-2</v>
      </c>
      <c r="I407" s="4"/>
      <c r="J407" s="64">
        <v>540</v>
      </c>
      <c r="K407" s="31">
        <f t="shared" si="93"/>
        <v>13.740000000000009</v>
      </c>
      <c r="L407" s="14">
        <f t="shared" si="94"/>
        <v>3.4350000000000023E-3</v>
      </c>
      <c r="M407" s="4"/>
    </row>
    <row r="408" spans="2:13">
      <c r="B408" s="4"/>
      <c r="C408" s="7">
        <v>1.6354166666668699</v>
      </c>
      <c r="D408" s="7">
        <v>1.64583333333353</v>
      </c>
      <c r="E408" s="30">
        <v>750</v>
      </c>
      <c r="F408" s="15">
        <v>549.98</v>
      </c>
      <c r="G408" s="4">
        <f t="shared" si="95"/>
        <v>200.01999999999998</v>
      </c>
      <c r="H408" s="9">
        <f t="shared" si="96"/>
        <v>5.0004999999999994E-2</v>
      </c>
      <c r="I408" s="4"/>
      <c r="J408" s="64">
        <v>540</v>
      </c>
      <c r="K408" s="31">
        <f t="shared" si="93"/>
        <v>9.9800000000000182</v>
      </c>
      <c r="L408" s="14">
        <f t="shared" si="94"/>
        <v>2.4950000000000046E-3</v>
      </c>
      <c r="M408" s="4"/>
    </row>
    <row r="409" spans="2:13" ht="15.75" thickBot="1">
      <c r="B409" s="4"/>
      <c r="C409" s="7">
        <v>1.64583333333354</v>
      </c>
      <c r="D409" s="7">
        <v>1.6562500000002001</v>
      </c>
      <c r="E409" s="30">
        <v>750</v>
      </c>
      <c r="F409" s="15">
        <v>545.94000000000005</v>
      </c>
      <c r="G409" s="4">
        <f t="shared" si="95"/>
        <v>204.05999999999995</v>
      </c>
      <c r="H409" s="9">
        <f t="shared" si="96"/>
        <v>5.1014999999999984E-2</v>
      </c>
      <c r="I409" s="19"/>
      <c r="J409" s="64">
        <v>540</v>
      </c>
      <c r="K409" s="31">
        <f t="shared" si="93"/>
        <v>5.9400000000000546</v>
      </c>
      <c r="L409" s="14">
        <f t="shared" si="94"/>
        <v>1.4850000000000137E-3</v>
      </c>
      <c r="M409" s="32"/>
    </row>
    <row r="410" spans="2:13">
      <c r="B410" s="4"/>
      <c r="C410" s="7">
        <v>1.6562500000002101</v>
      </c>
      <c r="D410" s="7">
        <v>1.6666666666668699</v>
      </c>
      <c r="E410" s="30">
        <v>750</v>
      </c>
      <c r="F410" s="15">
        <v>542.46</v>
      </c>
      <c r="G410" s="4">
        <f t="shared" si="95"/>
        <v>207.53999999999996</v>
      </c>
      <c r="H410" s="9">
        <f t="shared" si="96"/>
        <v>5.1884999999999994E-2</v>
      </c>
      <c r="I410" s="5"/>
      <c r="J410" s="64">
        <v>540</v>
      </c>
      <c r="K410" s="31">
        <f t="shared" si="93"/>
        <v>2.4600000000000364</v>
      </c>
      <c r="L410" s="14">
        <f t="shared" si="94"/>
        <v>6.1500000000000909E-4</v>
      </c>
      <c r="M410" s="5"/>
    </row>
    <row r="411" spans="2:13">
      <c r="B411" s="47"/>
      <c r="C411" s="7">
        <v>1.6666666666668899</v>
      </c>
      <c r="D411" s="7">
        <v>1.67708333333354</v>
      </c>
      <c r="E411" s="30">
        <v>750</v>
      </c>
      <c r="F411" s="15">
        <v>544.91</v>
      </c>
      <c r="G411" s="4">
        <f t="shared" si="95"/>
        <v>205.09000000000003</v>
      </c>
      <c r="H411" s="9">
        <f t="shared" si="96"/>
        <v>5.1272500000000006E-2</v>
      </c>
      <c r="I411" s="4"/>
      <c r="J411" s="64">
        <v>540</v>
      </c>
      <c r="K411" s="31">
        <f t="shared" si="93"/>
        <v>4.9099999999999682</v>
      </c>
      <c r="L411" s="14">
        <f t="shared" si="94"/>
        <v>1.2274999999999921E-3</v>
      </c>
      <c r="M411" s="9"/>
    </row>
    <row r="412" spans="2:13">
      <c r="B412" s="4"/>
      <c r="C412" s="7">
        <v>1.67708333333356</v>
      </c>
      <c r="D412" s="7">
        <v>1.6875000000002101</v>
      </c>
      <c r="E412" s="30">
        <v>750</v>
      </c>
      <c r="F412" s="15">
        <v>540.02</v>
      </c>
      <c r="G412" s="4">
        <f t="shared" si="95"/>
        <v>209.98000000000002</v>
      </c>
      <c r="H412" s="9">
        <f t="shared" si="96"/>
        <v>5.2495000000000007E-2</v>
      </c>
      <c r="I412" s="4"/>
      <c r="J412" s="64">
        <v>540</v>
      </c>
      <c r="K412" s="31">
        <f t="shared" si="93"/>
        <v>1.999999999998181E-2</v>
      </c>
      <c r="L412" s="14">
        <f t="shared" si="94"/>
        <v>4.9999999999954527E-6</v>
      </c>
      <c r="M412" s="9"/>
    </row>
    <row r="413" spans="2:13">
      <c r="B413" s="4"/>
      <c r="C413" s="7">
        <v>1.68750000000023</v>
      </c>
      <c r="D413" s="7">
        <v>1.6979166666668799</v>
      </c>
      <c r="E413" s="30">
        <v>750</v>
      </c>
      <c r="F413" s="15">
        <v>545.39</v>
      </c>
      <c r="G413" s="4">
        <f t="shared" si="95"/>
        <v>204.61</v>
      </c>
      <c r="H413" s="9">
        <f t="shared" si="96"/>
        <v>5.1152500000000004E-2</v>
      </c>
      <c r="I413" s="4"/>
      <c r="J413" s="64">
        <v>540</v>
      </c>
      <c r="K413" s="31">
        <f t="shared" si="93"/>
        <v>5.3899999999999864</v>
      </c>
      <c r="L413" s="14">
        <f t="shared" si="94"/>
        <v>1.3474999999999965E-3</v>
      </c>
      <c r="M413" s="9"/>
    </row>
    <row r="414" spans="2:13">
      <c r="B414" s="4"/>
      <c r="C414" s="7">
        <v>1.6979166666669001</v>
      </c>
      <c r="D414" s="35">
        <v>1.70833333333355</v>
      </c>
      <c r="E414" s="30">
        <v>750</v>
      </c>
      <c r="F414" s="15">
        <v>570.54999999999995</v>
      </c>
      <c r="G414" s="4">
        <f t="shared" si="95"/>
        <v>179.45000000000005</v>
      </c>
      <c r="H414" s="9">
        <f t="shared" si="96"/>
        <v>4.4862500000000013E-2</v>
      </c>
      <c r="I414" s="4"/>
      <c r="J414" s="64">
        <f>J413+55</f>
        <v>595</v>
      </c>
      <c r="K414" s="31">
        <f>J414-F414</f>
        <v>24.450000000000045</v>
      </c>
      <c r="L414" s="14">
        <f t="shared" si="94"/>
        <v>6.1125000000000112E-3</v>
      </c>
      <c r="M414" s="9"/>
    </row>
    <row r="415" spans="2:13">
      <c r="B415" s="47"/>
      <c r="C415" s="7">
        <v>1.70833333333356</v>
      </c>
      <c r="D415" s="7">
        <v>1.71875000000022</v>
      </c>
      <c r="E415" s="30">
        <v>750</v>
      </c>
      <c r="F415" s="15">
        <v>695.34</v>
      </c>
      <c r="G415" s="4">
        <f t="shared" si="95"/>
        <v>54.659999999999968</v>
      </c>
      <c r="H415" s="9">
        <f t="shared" si="96"/>
        <v>1.3664999999999991E-2</v>
      </c>
      <c r="I415" s="4"/>
      <c r="J415" s="29">
        <f>J414+80</f>
        <v>675</v>
      </c>
      <c r="K415" s="31">
        <f t="shared" ref="K415:K416" si="98">J415-F415</f>
        <v>-20.340000000000032</v>
      </c>
      <c r="L415" s="14">
        <f t="shared" si="94"/>
        <v>0</v>
      </c>
      <c r="M415" s="9"/>
    </row>
    <row r="416" spans="2:13">
      <c r="B416" s="4"/>
      <c r="C416" s="7">
        <v>1.71875000000023</v>
      </c>
      <c r="D416" s="7">
        <v>1.7291666666668899</v>
      </c>
      <c r="E416" s="30">
        <v>750</v>
      </c>
      <c r="F416" s="15">
        <v>755.14</v>
      </c>
      <c r="G416" s="4">
        <f t="shared" si="95"/>
        <v>-5.1399999999999864</v>
      </c>
      <c r="H416" s="76">
        <v>0</v>
      </c>
      <c r="I416" s="4"/>
      <c r="J416" s="64">
        <v>750</v>
      </c>
      <c r="K416" s="31">
        <f t="shared" si="98"/>
        <v>-5.1399999999999864</v>
      </c>
      <c r="L416" s="14">
        <f t="shared" si="94"/>
        <v>0</v>
      </c>
      <c r="M416" s="9"/>
    </row>
    <row r="417" spans="2:13">
      <c r="B417" s="4"/>
      <c r="C417" s="7"/>
      <c r="D417" s="7"/>
      <c r="E417" s="30"/>
      <c r="F417" s="15"/>
      <c r="G417" s="4"/>
      <c r="H417" s="9"/>
      <c r="I417" s="9">
        <f>SUM(H405:H416)</f>
        <v>0.44590249999999998</v>
      </c>
      <c r="J417" s="29"/>
      <c r="K417" s="31"/>
      <c r="L417" s="14"/>
      <c r="M417" s="9">
        <f>SUM(L405:L416)</f>
        <v>2.1962500000000034E-2</v>
      </c>
    </row>
    <row r="418" spans="2:13">
      <c r="B418" s="34">
        <v>46033</v>
      </c>
      <c r="C418" s="7">
        <v>1.9270833333336399</v>
      </c>
      <c r="D418" s="7">
        <v>1.93750000000029</v>
      </c>
      <c r="E418" s="30">
        <v>750</v>
      </c>
      <c r="F418" s="15">
        <v>745.01</v>
      </c>
      <c r="G418" s="4">
        <f t="shared" si="95"/>
        <v>4.9900000000000091</v>
      </c>
      <c r="H418" s="9">
        <f t="shared" si="96"/>
        <v>1.2475000000000023E-3</v>
      </c>
      <c r="I418" s="4"/>
      <c r="J418" s="29">
        <f>E418-30</f>
        <v>720</v>
      </c>
      <c r="K418" s="31">
        <f t="shared" ref="K418:K475" si="99">F418-J418</f>
        <v>25.009999999999991</v>
      </c>
      <c r="L418" s="14"/>
      <c r="M418" s="9"/>
    </row>
    <row r="419" spans="2:13">
      <c r="B419" s="47"/>
      <c r="C419" s="7">
        <v>1.93750000000031</v>
      </c>
      <c r="D419" s="7">
        <v>1.9479166666669601</v>
      </c>
      <c r="E419" s="30">
        <v>750</v>
      </c>
      <c r="F419" s="15">
        <v>654.46</v>
      </c>
      <c r="G419" s="4">
        <f t="shared" si="95"/>
        <v>95.539999999999964</v>
      </c>
      <c r="H419" s="9">
        <f t="shared" si="96"/>
        <v>2.388499999999999E-2</v>
      </c>
      <c r="I419" s="9"/>
      <c r="J419" s="29">
        <f>J418-80</f>
        <v>640</v>
      </c>
      <c r="K419" s="31">
        <f t="shared" si="99"/>
        <v>14.460000000000036</v>
      </c>
      <c r="L419" s="14">
        <f t="shared" si="94"/>
        <v>3.6150000000000093E-3</v>
      </c>
      <c r="M419" s="9"/>
    </row>
    <row r="420" spans="2:13">
      <c r="B420" s="47"/>
      <c r="C420" s="7">
        <v>1.94791666666698</v>
      </c>
      <c r="D420" s="7">
        <v>1.9583333333336299</v>
      </c>
      <c r="E420" s="30">
        <v>750</v>
      </c>
      <c r="F420" s="15">
        <v>557.24</v>
      </c>
      <c r="G420" s="4">
        <f t="shared" si="95"/>
        <v>192.76</v>
      </c>
      <c r="H420" s="9">
        <f t="shared" si="96"/>
        <v>4.8189999999999997E-2</v>
      </c>
      <c r="I420" s="4"/>
      <c r="J420" s="64">
        <f>J419-80</f>
        <v>560</v>
      </c>
      <c r="K420" s="31">
        <f t="shared" si="99"/>
        <v>-2.7599999999999909</v>
      </c>
      <c r="L420" s="14">
        <f t="shared" si="94"/>
        <v>0</v>
      </c>
      <c r="M420" s="9"/>
    </row>
    <row r="421" spans="2:13">
      <c r="B421" s="4"/>
      <c r="C421" s="7">
        <v>1.9583333333336499</v>
      </c>
      <c r="D421" s="7">
        <v>1.9687500000003</v>
      </c>
      <c r="E421" s="30">
        <v>750</v>
      </c>
      <c r="F421" s="15">
        <v>545.64</v>
      </c>
      <c r="G421" s="4">
        <f t="shared" si="95"/>
        <v>204.36</v>
      </c>
      <c r="H421" s="9">
        <f t="shared" si="96"/>
        <v>5.1090000000000003E-2</v>
      </c>
      <c r="I421" s="4"/>
      <c r="J421" s="29">
        <v>540</v>
      </c>
      <c r="K421" s="31">
        <f t="shared" si="99"/>
        <v>5.6399999999999864</v>
      </c>
      <c r="L421" s="14">
        <f t="shared" si="94"/>
        <v>1.4099999999999965E-3</v>
      </c>
      <c r="M421" s="9"/>
    </row>
    <row r="422" spans="2:13">
      <c r="B422" s="4"/>
      <c r="C422" s="7">
        <v>1.96875000000032</v>
      </c>
      <c r="D422" s="7">
        <v>1.9791666666669701</v>
      </c>
      <c r="E422" s="30">
        <v>750</v>
      </c>
      <c r="F422" s="15">
        <v>545.78</v>
      </c>
      <c r="G422" s="4">
        <f t="shared" si="95"/>
        <v>204.22000000000003</v>
      </c>
      <c r="H422" s="9">
        <f t="shared" si="96"/>
        <v>5.105500000000001E-2</v>
      </c>
      <c r="I422" s="4"/>
      <c r="J422" s="64">
        <v>540</v>
      </c>
      <c r="K422" s="31">
        <f t="shared" si="99"/>
        <v>5.7799999999999727</v>
      </c>
      <c r="L422" s="14">
        <f t="shared" si="94"/>
        <v>1.4449999999999932E-3</v>
      </c>
      <c r="M422" s="9"/>
    </row>
    <row r="423" spans="2:13">
      <c r="B423" s="4"/>
      <c r="C423" s="7">
        <v>1.97916666666699</v>
      </c>
      <c r="D423" s="7">
        <v>1.9895833333336399</v>
      </c>
      <c r="E423" s="30">
        <v>750</v>
      </c>
      <c r="F423" s="15">
        <v>549.42999999999995</v>
      </c>
      <c r="G423" s="4">
        <f t="shared" si="95"/>
        <v>200.57000000000005</v>
      </c>
      <c r="H423" s="9">
        <f t="shared" si="96"/>
        <v>5.0142500000000013E-2</v>
      </c>
      <c r="I423" s="4"/>
      <c r="J423" s="64">
        <v>540</v>
      </c>
      <c r="K423" s="31">
        <f t="shared" si="99"/>
        <v>9.42999999999995</v>
      </c>
      <c r="L423" s="14">
        <f t="shared" si="94"/>
        <v>2.3574999999999876E-3</v>
      </c>
      <c r="M423" s="9"/>
    </row>
    <row r="424" spans="2:13">
      <c r="B424" s="4"/>
      <c r="C424" s="7">
        <v>1.9895833333336601</v>
      </c>
      <c r="D424" s="35">
        <v>2.00000000000031</v>
      </c>
      <c r="E424" s="30">
        <v>750</v>
      </c>
      <c r="F424" s="48">
        <v>543.6</v>
      </c>
      <c r="G424" s="4">
        <f t="shared" si="95"/>
        <v>206.39999999999998</v>
      </c>
      <c r="H424" s="9">
        <f t="shared" si="96"/>
        <v>5.1599999999999993E-2</v>
      </c>
      <c r="I424" s="4"/>
      <c r="J424" s="64">
        <v>540</v>
      </c>
      <c r="K424" s="31">
        <f t="shared" si="99"/>
        <v>3.6000000000000227</v>
      </c>
      <c r="L424" s="14">
        <f t="shared" si="94"/>
        <v>9.0000000000000572E-4</v>
      </c>
      <c r="M424" s="9"/>
    </row>
    <row r="425" spans="2:13">
      <c r="B425" s="4"/>
      <c r="C425" s="7"/>
      <c r="D425" s="7"/>
      <c r="E425" s="30"/>
      <c r="F425" s="15"/>
      <c r="G425" s="4"/>
      <c r="H425" s="9"/>
      <c r="I425" s="9">
        <f>SUM(H418:H424)</f>
        <v>0.27721000000000001</v>
      </c>
      <c r="J425" s="29"/>
      <c r="K425" s="31"/>
      <c r="L425" s="14"/>
      <c r="M425" s="9">
        <f>SUM(L418:L424)</f>
        <v>9.7274999999999914E-3</v>
      </c>
    </row>
    <row r="426" spans="2:13">
      <c r="B426" s="34">
        <v>46034</v>
      </c>
      <c r="C426" s="7">
        <v>1</v>
      </c>
      <c r="D426" s="7">
        <v>1.0104166666666701</v>
      </c>
      <c r="E426" s="30">
        <v>750</v>
      </c>
      <c r="F426" s="15">
        <v>547.1</v>
      </c>
      <c r="G426" s="4">
        <f t="shared" si="95"/>
        <v>202.89999999999998</v>
      </c>
      <c r="H426" s="9">
        <f t="shared" si="96"/>
        <v>5.0724999999999992E-2</v>
      </c>
      <c r="I426" s="4"/>
      <c r="J426" s="29">
        <v>540</v>
      </c>
      <c r="K426" s="31">
        <f t="shared" si="99"/>
        <v>7.1000000000000227</v>
      </c>
      <c r="L426" s="14"/>
      <c r="M426" s="9"/>
    </row>
    <row r="427" spans="2:13">
      <c r="B427" s="4"/>
      <c r="C427" s="7">
        <v>1.0104166666666701</v>
      </c>
      <c r="D427" s="7">
        <v>1.0208333333333399</v>
      </c>
      <c r="E427" s="30">
        <v>750</v>
      </c>
      <c r="F427" s="15">
        <v>548.70000000000005</v>
      </c>
      <c r="G427" s="4">
        <f t="shared" si="95"/>
        <v>201.29999999999995</v>
      </c>
      <c r="H427" s="9">
        <f t="shared" si="96"/>
        <v>5.0324999999999988E-2</v>
      </c>
      <c r="I427" s="4"/>
      <c r="J427" s="29">
        <v>540</v>
      </c>
      <c r="K427" s="31">
        <f t="shared" si="99"/>
        <v>8.7000000000000455</v>
      </c>
      <c r="L427" s="14">
        <f t="shared" si="94"/>
        <v>2.1750000000000116E-3</v>
      </c>
      <c r="M427" s="9"/>
    </row>
    <row r="428" spans="2:13" ht="15.75" thickBot="1">
      <c r="B428" s="4"/>
      <c r="C428" s="7">
        <v>1.0208333333333399</v>
      </c>
      <c r="D428" s="7">
        <v>1.03125000000001</v>
      </c>
      <c r="E428" s="30">
        <v>750</v>
      </c>
      <c r="F428" s="15">
        <v>541.94000000000005</v>
      </c>
      <c r="G428" s="4">
        <f t="shared" si="95"/>
        <v>208.05999999999995</v>
      </c>
      <c r="H428" s="9">
        <f t="shared" si="96"/>
        <v>5.2014999999999985E-2</v>
      </c>
      <c r="I428" s="19"/>
      <c r="J428" s="64">
        <v>540</v>
      </c>
      <c r="K428" s="31">
        <f t="shared" si="99"/>
        <v>1.9400000000000546</v>
      </c>
      <c r="L428" s="14">
        <f t="shared" ref="L428:L487" si="100">IF(K428/4000&gt;0,K428/4000,0)</f>
        <v>4.8500000000001363E-4</v>
      </c>
      <c r="M428" s="19"/>
    </row>
    <row r="429" spans="2:13">
      <c r="B429" s="47"/>
      <c r="C429" s="7">
        <v>1.03125000000001</v>
      </c>
      <c r="D429" s="7">
        <v>1.0416666666666801</v>
      </c>
      <c r="E429" s="30">
        <v>750</v>
      </c>
      <c r="F429" s="15">
        <v>543.13</v>
      </c>
      <c r="G429" s="4">
        <f t="shared" si="95"/>
        <v>206.87</v>
      </c>
      <c r="H429" s="9">
        <f t="shared" si="96"/>
        <v>5.17175E-2</v>
      </c>
      <c r="I429" s="5"/>
      <c r="J429" s="64">
        <v>540</v>
      </c>
      <c r="K429" s="31">
        <f t="shared" si="99"/>
        <v>3.1299999999999955</v>
      </c>
      <c r="L429" s="14">
        <f t="shared" si="100"/>
        <v>7.8249999999999891E-4</v>
      </c>
      <c r="M429" s="26"/>
    </row>
    <row r="430" spans="2:13">
      <c r="B430" s="4"/>
      <c r="C430" s="7">
        <v>1.0416666666666801</v>
      </c>
      <c r="D430" s="7">
        <v>1.0520833333333499</v>
      </c>
      <c r="E430" s="30">
        <v>750</v>
      </c>
      <c r="F430" s="15">
        <v>547.94000000000005</v>
      </c>
      <c r="G430" s="4">
        <f t="shared" si="95"/>
        <v>202.05999999999995</v>
      </c>
      <c r="H430" s="9">
        <f t="shared" si="96"/>
        <v>5.0514999999999984E-2</v>
      </c>
      <c r="I430" s="4"/>
      <c r="J430" s="64">
        <v>540</v>
      </c>
      <c r="K430" s="31">
        <f t="shared" si="99"/>
        <v>7.9400000000000546</v>
      </c>
      <c r="L430" s="14">
        <f t="shared" si="100"/>
        <v>1.9850000000000137E-3</v>
      </c>
      <c r="M430" s="9"/>
    </row>
    <row r="431" spans="2:13">
      <c r="B431" s="4"/>
      <c r="C431" s="7">
        <v>1.0520833333333499</v>
      </c>
      <c r="D431" s="7">
        <v>1.06250000000002</v>
      </c>
      <c r="E431" s="30">
        <v>750</v>
      </c>
      <c r="F431" s="15">
        <v>546.02</v>
      </c>
      <c r="G431" s="4">
        <f t="shared" si="95"/>
        <v>203.98000000000002</v>
      </c>
      <c r="H431" s="9">
        <f t="shared" si="96"/>
        <v>5.0995000000000006E-2</v>
      </c>
      <c r="I431" s="4"/>
      <c r="J431" s="64">
        <v>540</v>
      </c>
      <c r="K431" s="31">
        <f t="shared" si="99"/>
        <v>6.0199999999999818</v>
      </c>
      <c r="L431" s="14">
        <f t="shared" si="100"/>
        <v>1.5049999999999955E-3</v>
      </c>
      <c r="M431" s="9"/>
    </row>
    <row r="432" spans="2:13">
      <c r="B432" s="4"/>
      <c r="C432" s="7">
        <v>1.06250000000002</v>
      </c>
      <c r="D432" s="7">
        <v>1.0729166666666901</v>
      </c>
      <c r="E432" s="30">
        <v>750</v>
      </c>
      <c r="F432" s="15">
        <v>547.54</v>
      </c>
      <c r="G432" s="4">
        <f t="shared" si="95"/>
        <v>202.46000000000004</v>
      </c>
      <c r="H432" s="9">
        <f t="shared" si="96"/>
        <v>5.0615000000000007E-2</v>
      </c>
      <c r="I432" s="4"/>
      <c r="J432" s="64">
        <v>540</v>
      </c>
      <c r="K432" s="31">
        <f t="shared" si="99"/>
        <v>7.5399999999999636</v>
      </c>
      <c r="L432" s="14">
        <f t="shared" si="100"/>
        <v>1.8849999999999908E-3</v>
      </c>
      <c r="M432" s="9"/>
    </row>
    <row r="433" spans="2:13">
      <c r="B433" s="4"/>
      <c r="C433" s="7">
        <v>1.0729166666666901</v>
      </c>
      <c r="D433" s="7">
        <v>1.0833333333333599</v>
      </c>
      <c r="E433" s="30">
        <v>750</v>
      </c>
      <c r="F433" s="15">
        <v>545.77</v>
      </c>
      <c r="G433" s="4">
        <f t="shared" si="95"/>
        <v>204.23000000000002</v>
      </c>
      <c r="H433" s="9">
        <f t="shared" si="96"/>
        <v>5.1057500000000006E-2</v>
      </c>
      <c r="I433" s="9"/>
      <c r="J433" s="64">
        <v>540</v>
      </c>
      <c r="K433" s="31">
        <f t="shared" si="99"/>
        <v>5.7699999999999818</v>
      </c>
      <c r="L433" s="14">
        <f t="shared" si="100"/>
        <v>1.4424999999999954E-3</v>
      </c>
      <c r="M433" s="9"/>
    </row>
    <row r="434" spans="2:13">
      <c r="B434" s="47"/>
      <c r="C434" s="7">
        <v>1.0833333333333599</v>
      </c>
      <c r="D434" s="7">
        <v>1.09375000000003</v>
      </c>
      <c r="E434" s="30">
        <v>750</v>
      </c>
      <c r="F434" s="15">
        <v>543.11</v>
      </c>
      <c r="G434" s="4">
        <f t="shared" si="95"/>
        <v>206.89</v>
      </c>
      <c r="H434" s="9">
        <f t="shared" si="96"/>
        <v>5.1722499999999998E-2</v>
      </c>
      <c r="I434" s="4"/>
      <c r="J434" s="64">
        <v>540</v>
      </c>
      <c r="K434" s="31">
        <f t="shared" si="99"/>
        <v>3.1100000000000136</v>
      </c>
      <c r="L434" s="14">
        <f t="shared" si="100"/>
        <v>7.7750000000000345E-4</v>
      </c>
      <c r="M434" s="9"/>
    </row>
    <row r="435" spans="2:13">
      <c r="B435" s="4"/>
      <c r="C435" s="7">
        <v>1.09375000000003</v>
      </c>
      <c r="D435" s="7">
        <v>1.1041666666667</v>
      </c>
      <c r="E435" s="30">
        <v>750</v>
      </c>
      <c r="F435" s="15">
        <v>543.6</v>
      </c>
      <c r="G435" s="4">
        <f t="shared" si="95"/>
        <v>206.39999999999998</v>
      </c>
      <c r="H435" s="9">
        <f t="shared" si="96"/>
        <v>5.1599999999999993E-2</v>
      </c>
      <c r="I435" s="4"/>
      <c r="J435" s="64">
        <v>540</v>
      </c>
      <c r="K435" s="31">
        <f t="shared" si="99"/>
        <v>3.6000000000000227</v>
      </c>
      <c r="L435" s="14">
        <f t="shared" si="100"/>
        <v>9.0000000000000572E-4</v>
      </c>
      <c r="M435" s="9"/>
    </row>
    <row r="436" spans="2:13">
      <c r="B436" s="4"/>
      <c r="C436" s="7">
        <v>1.1041666666667</v>
      </c>
      <c r="D436" s="7">
        <v>1.1145833333333699</v>
      </c>
      <c r="E436" s="30">
        <v>750</v>
      </c>
      <c r="F436" s="15">
        <v>543.22</v>
      </c>
      <c r="G436" s="4">
        <f t="shared" si="95"/>
        <v>206.77999999999997</v>
      </c>
      <c r="H436" s="9">
        <f t="shared" si="96"/>
        <v>5.1694999999999991E-2</v>
      </c>
      <c r="I436" s="4"/>
      <c r="J436" s="64">
        <v>540</v>
      </c>
      <c r="K436" s="31">
        <f t="shared" si="99"/>
        <v>3.2200000000000273</v>
      </c>
      <c r="L436" s="14">
        <f t="shared" si="100"/>
        <v>8.0500000000000677E-4</v>
      </c>
      <c r="M436" s="9"/>
    </row>
    <row r="437" spans="2:13">
      <c r="B437" s="4"/>
      <c r="C437" s="7">
        <v>1.1145833333333699</v>
      </c>
      <c r="D437" s="7">
        <v>1.12500000000004</v>
      </c>
      <c r="E437" s="30">
        <v>750</v>
      </c>
      <c r="F437" s="15">
        <v>544.4</v>
      </c>
      <c r="G437" s="4">
        <f t="shared" si="95"/>
        <v>205.60000000000002</v>
      </c>
      <c r="H437" s="9">
        <f t="shared" si="96"/>
        <v>5.1400000000000008E-2</v>
      </c>
      <c r="I437" s="4"/>
      <c r="J437" s="64">
        <v>540</v>
      </c>
      <c r="K437" s="31">
        <f t="shared" si="99"/>
        <v>4.3999999999999773</v>
      </c>
      <c r="L437" s="14">
        <f t="shared" si="100"/>
        <v>1.0999999999999942E-3</v>
      </c>
      <c r="M437" s="9"/>
    </row>
    <row r="438" spans="2:13">
      <c r="B438" s="4"/>
      <c r="C438" s="7">
        <v>1.12500000000004</v>
      </c>
      <c r="D438" s="7">
        <v>1.13541666666671</v>
      </c>
      <c r="E438" s="30">
        <v>750</v>
      </c>
      <c r="F438" s="15">
        <v>547.28</v>
      </c>
      <c r="G438" s="4">
        <f t="shared" si="95"/>
        <v>202.72000000000003</v>
      </c>
      <c r="H438" s="9">
        <f t="shared" si="96"/>
        <v>5.068000000000001E-2</v>
      </c>
      <c r="I438" s="4"/>
      <c r="J438" s="64">
        <v>540</v>
      </c>
      <c r="K438" s="31">
        <f t="shared" si="99"/>
        <v>7.2799999999999727</v>
      </c>
      <c r="L438" s="14">
        <f t="shared" si="100"/>
        <v>1.8199999999999933E-3</v>
      </c>
      <c r="M438" s="9"/>
    </row>
    <row r="439" spans="2:13">
      <c r="B439" s="4"/>
      <c r="C439" s="7">
        <v>1.13541666666671</v>
      </c>
      <c r="D439" s="7">
        <v>1.1458333333333801</v>
      </c>
      <c r="E439" s="30">
        <v>750</v>
      </c>
      <c r="F439" s="15">
        <v>546.91</v>
      </c>
      <c r="G439" s="4">
        <f t="shared" si="95"/>
        <v>203.09000000000003</v>
      </c>
      <c r="H439" s="9">
        <f t="shared" si="96"/>
        <v>5.0772500000000005E-2</v>
      </c>
      <c r="I439" s="4"/>
      <c r="J439" s="64">
        <v>540</v>
      </c>
      <c r="K439" s="31">
        <f t="shared" si="99"/>
        <v>6.9099999999999682</v>
      </c>
      <c r="L439" s="14">
        <f t="shared" si="100"/>
        <v>1.7274999999999921E-3</v>
      </c>
      <c r="M439" s="9"/>
    </row>
    <row r="440" spans="2:13">
      <c r="B440" s="4"/>
      <c r="C440" s="7">
        <v>1.1458333333333801</v>
      </c>
      <c r="D440" s="7">
        <v>1.15625000000005</v>
      </c>
      <c r="E440" s="30">
        <v>750</v>
      </c>
      <c r="F440" s="15">
        <v>543.07000000000005</v>
      </c>
      <c r="G440" s="4">
        <f t="shared" si="95"/>
        <v>206.92999999999995</v>
      </c>
      <c r="H440" s="9">
        <f t="shared" si="96"/>
        <v>5.1732499999999987E-2</v>
      </c>
      <c r="I440" s="9"/>
      <c r="J440" s="64">
        <v>540</v>
      </c>
      <c r="K440" s="31">
        <f t="shared" si="99"/>
        <v>3.07000000000005</v>
      </c>
      <c r="L440" s="14">
        <f t="shared" si="100"/>
        <v>7.6750000000001253E-4</v>
      </c>
      <c r="M440" s="9"/>
    </row>
    <row r="441" spans="2:13">
      <c r="B441" s="47"/>
      <c r="C441" s="7">
        <v>1.15625000000005</v>
      </c>
      <c r="D441" s="7">
        <v>1.16666666666672</v>
      </c>
      <c r="E441" s="30">
        <v>750</v>
      </c>
      <c r="F441" s="15">
        <v>544.41999999999996</v>
      </c>
      <c r="G441" s="4">
        <f t="shared" ref="G441:G497" si="101">E441-F441</f>
        <v>205.58000000000004</v>
      </c>
      <c r="H441" s="9">
        <f t="shared" ref="H441:H497" si="102">G441/4000</f>
        <v>5.139500000000001E-2</v>
      </c>
      <c r="I441" s="4"/>
      <c r="J441" s="64">
        <v>540</v>
      </c>
      <c r="K441" s="31">
        <f t="shared" si="99"/>
        <v>4.4199999999999591</v>
      </c>
      <c r="L441" s="14">
        <f t="shared" si="100"/>
        <v>1.1049999999999897E-3</v>
      </c>
      <c r="M441" s="9"/>
    </row>
    <row r="442" spans="2:13">
      <c r="B442" s="4"/>
      <c r="C442" s="7">
        <v>1.16666666666672</v>
      </c>
      <c r="D442" s="7">
        <v>1.1770833333333901</v>
      </c>
      <c r="E442" s="30">
        <v>750</v>
      </c>
      <c r="F442" s="15">
        <v>542.02</v>
      </c>
      <c r="G442" s="4">
        <f t="shared" si="101"/>
        <v>207.98000000000002</v>
      </c>
      <c r="H442" s="9">
        <f t="shared" si="102"/>
        <v>5.1995000000000006E-2</v>
      </c>
      <c r="I442" s="4"/>
      <c r="J442" s="64">
        <v>540</v>
      </c>
      <c r="K442" s="31">
        <f t="shared" si="99"/>
        <v>2.0199999999999818</v>
      </c>
      <c r="L442" s="14">
        <f t="shared" si="100"/>
        <v>5.0499999999999547E-4</v>
      </c>
      <c r="M442" s="9"/>
    </row>
    <row r="443" spans="2:13">
      <c r="B443" s="4"/>
      <c r="C443" s="7">
        <v>1.1770833333333901</v>
      </c>
      <c r="D443" s="7">
        <v>1.18750000000006</v>
      </c>
      <c r="E443" s="30">
        <v>750</v>
      </c>
      <c r="F443" s="15">
        <v>544.73</v>
      </c>
      <c r="G443" s="4">
        <f t="shared" si="101"/>
        <v>205.26999999999998</v>
      </c>
      <c r="H443" s="9">
        <f t="shared" si="102"/>
        <v>5.1317499999999995E-2</v>
      </c>
      <c r="I443" s="4"/>
      <c r="J443" s="64">
        <v>540</v>
      </c>
      <c r="K443" s="31">
        <f t="shared" si="99"/>
        <v>4.7300000000000182</v>
      </c>
      <c r="L443" s="14">
        <f t="shared" si="100"/>
        <v>1.1825000000000045E-3</v>
      </c>
      <c r="M443" s="9"/>
    </row>
    <row r="444" spans="2:13">
      <c r="B444" s="4"/>
      <c r="C444" s="7">
        <v>1.18750000000006</v>
      </c>
      <c r="D444" s="7">
        <v>1.19791666666673</v>
      </c>
      <c r="E444" s="30">
        <v>750</v>
      </c>
      <c r="F444" s="15">
        <v>544.30999999999995</v>
      </c>
      <c r="G444" s="4">
        <f t="shared" si="101"/>
        <v>205.69000000000005</v>
      </c>
      <c r="H444" s="9">
        <f t="shared" si="102"/>
        <v>5.1422500000000017E-2</v>
      </c>
      <c r="I444" s="4"/>
      <c r="J444" s="64">
        <v>540</v>
      </c>
      <c r="K444" s="31">
        <f t="shared" si="99"/>
        <v>4.3099999999999454</v>
      </c>
      <c r="L444" s="14">
        <f t="shared" si="100"/>
        <v>1.0774999999999865E-3</v>
      </c>
      <c r="M444" s="9"/>
    </row>
    <row r="445" spans="2:13">
      <c r="B445" s="4"/>
      <c r="C445" s="7">
        <v>1.19791666666673</v>
      </c>
      <c r="D445" s="7">
        <v>1.2083333333334001</v>
      </c>
      <c r="E445" s="30">
        <v>750</v>
      </c>
      <c r="F445" s="15">
        <v>547.76</v>
      </c>
      <c r="G445" s="4">
        <f t="shared" si="101"/>
        <v>202.24</v>
      </c>
      <c r="H445" s="9">
        <f t="shared" si="102"/>
        <v>5.0560000000000001E-2</v>
      </c>
      <c r="I445" s="4"/>
      <c r="J445" s="64">
        <v>540</v>
      </c>
      <c r="K445" s="31">
        <f t="shared" si="99"/>
        <v>7.7599999999999909</v>
      </c>
      <c r="L445" s="14">
        <f t="shared" si="100"/>
        <v>1.9399999999999977E-3</v>
      </c>
      <c r="M445" s="9"/>
    </row>
    <row r="446" spans="2:13">
      <c r="B446" s="4"/>
      <c r="C446" s="7">
        <v>1.2083333333334001</v>
      </c>
      <c r="D446" s="35">
        <v>1.2187500000000699</v>
      </c>
      <c r="E446" s="30">
        <v>750</v>
      </c>
      <c r="F446" s="15">
        <v>551.01</v>
      </c>
      <c r="G446" s="4">
        <f t="shared" si="101"/>
        <v>198.99</v>
      </c>
      <c r="H446" s="9">
        <f t="shared" si="102"/>
        <v>4.97475E-2</v>
      </c>
      <c r="I446" s="4"/>
      <c r="J446" s="64">
        <f>J445+30</f>
        <v>570</v>
      </c>
      <c r="K446" s="31">
        <f>J446-F446</f>
        <v>18.990000000000009</v>
      </c>
      <c r="L446" s="14">
        <f t="shared" si="100"/>
        <v>4.7475000000000026E-3</v>
      </c>
      <c r="M446" s="9"/>
    </row>
    <row r="447" spans="2:13">
      <c r="B447" s="4"/>
      <c r="C447" s="7">
        <v>1.2187500000000699</v>
      </c>
      <c r="D447" s="7">
        <v>1.22916666666674</v>
      </c>
      <c r="E447" s="30">
        <v>750</v>
      </c>
      <c r="F447" s="15">
        <v>666.29</v>
      </c>
      <c r="G447" s="4">
        <f t="shared" si="101"/>
        <v>83.710000000000036</v>
      </c>
      <c r="H447" s="9">
        <f t="shared" si="102"/>
        <v>2.0927500000000009E-2</v>
      </c>
      <c r="I447" s="4"/>
      <c r="J447" s="29">
        <f>J446+80</f>
        <v>650</v>
      </c>
      <c r="K447" s="31">
        <f t="shared" ref="K447:K449" si="103">J447-F447</f>
        <v>-16.289999999999964</v>
      </c>
      <c r="L447" s="14">
        <f t="shared" si="100"/>
        <v>0</v>
      </c>
      <c r="M447" s="9"/>
    </row>
    <row r="448" spans="2:13">
      <c r="B448" s="4"/>
      <c r="C448" s="7">
        <v>1.22916666666674</v>
      </c>
      <c r="D448" s="7">
        <v>1.2395833333334101</v>
      </c>
      <c r="E448" s="30">
        <v>750</v>
      </c>
      <c r="F448" s="15">
        <v>730.77</v>
      </c>
      <c r="G448" s="4">
        <f t="shared" si="101"/>
        <v>19.230000000000018</v>
      </c>
      <c r="H448" s="9">
        <f t="shared" si="102"/>
        <v>4.8075000000000045E-3</v>
      </c>
      <c r="I448" s="4"/>
      <c r="J448" s="64">
        <f t="shared" ref="J448" si="104">J447+80</f>
        <v>730</v>
      </c>
      <c r="K448" s="31">
        <f t="shared" si="103"/>
        <v>-0.76999999999998181</v>
      </c>
      <c r="L448" s="14">
        <f t="shared" si="100"/>
        <v>0</v>
      </c>
      <c r="M448" s="9"/>
    </row>
    <row r="449" spans="2:13" ht="15.75" thickBot="1">
      <c r="B449" s="4"/>
      <c r="C449" s="7">
        <v>1.2395833333334101</v>
      </c>
      <c r="D449" s="7">
        <v>1.2500000000000799</v>
      </c>
      <c r="E449" s="30">
        <v>750</v>
      </c>
      <c r="F449" s="15">
        <v>758.73</v>
      </c>
      <c r="G449" s="4">
        <f t="shared" si="101"/>
        <v>-8.7300000000000182</v>
      </c>
      <c r="H449" s="76">
        <v>0</v>
      </c>
      <c r="I449" s="19"/>
      <c r="J449" s="64">
        <v>750</v>
      </c>
      <c r="K449" s="31">
        <f t="shared" si="103"/>
        <v>-8.7300000000000182</v>
      </c>
      <c r="L449" s="14">
        <f t="shared" si="100"/>
        <v>0</v>
      </c>
      <c r="M449" s="19"/>
    </row>
    <row r="450" spans="2:13">
      <c r="B450" s="4"/>
      <c r="C450" s="7"/>
      <c r="D450" s="7"/>
      <c r="E450" s="30"/>
      <c r="F450" s="15"/>
      <c r="G450" s="4"/>
      <c r="H450" s="9"/>
      <c r="I450" s="26">
        <f>SUM(H426:H449)</f>
        <v>1.0997400000000002</v>
      </c>
      <c r="J450" s="64"/>
      <c r="K450" s="31"/>
      <c r="L450" s="14"/>
      <c r="M450" s="26">
        <f>SUM(L426:L449)</f>
        <v>2.8714999999999997E-2</v>
      </c>
    </row>
    <row r="451" spans="2:13">
      <c r="B451" s="34">
        <v>46034</v>
      </c>
      <c r="C451" s="7">
        <v>1.94791666666698</v>
      </c>
      <c r="D451" s="7">
        <v>1.9583333333336299</v>
      </c>
      <c r="E451" s="30">
        <v>750</v>
      </c>
      <c r="F451" s="15">
        <v>677.72</v>
      </c>
      <c r="G451" s="4">
        <f t="shared" si="101"/>
        <v>72.279999999999973</v>
      </c>
      <c r="H451" s="9">
        <f t="shared" si="102"/>
        <v>1.8069999999999992E-2</v>
      </c>
      <c r="I451" s="4"/>
      <c r="J451" s="29">
        <f>E451-80</f>
        <v>670</v>
      </c>
      <c r="K451" s="31">
        <f t="shared" si="99"/>
        <v>7.7200000000000273</v>
      </c>
      <c r="L451" s="14"/>
      <c r="M451" s="9"/>
    </row>
    <row r="452" spans="2:13" ht="15.75" thickBot="1">
      <c r="B452" s="4"/>
      <c r="C452" s="7">
        <v>1.9583333333336499</v>
      </c>
      <c r="D452" s="7">
        <v>1.9687500000003</v>
      </c>
      <c r="E452" s="30">
        <v>750</v>
      </c>
      <c r="F452" s="15">
        <v>596.21</v>
      </c>
      <c r="G452" s="4">
        <f t="shared" si="101"/>
        <v>153.78999999999996</v>
      </c>
      <c r="H452" s="9">
        <f t="shared" si="102"/>
        <v>3.8447499999999989E-2</v>
      </c>
      <c r="I452" s="19"/>
      <c r="J452" s="29">
        <f>J451-80</f>
        <v>590</v>
      </c>
      <c r="K452" s="31">
        <f t="shared" si="99"/>
        <v>6.2100000000000364</v>
      </c>
      <c r="L452" s="14">
        <f t="shared" si="100"/>
        <v>1.5525000000000092E-3</v>
      </c>
      <c r="M452" s="19"/>
    </row>
    <row r="453" spans="2:13">
      <c r="B453" s="4"/>
      <c r="C453" s="7">
        <v>1.96875000000032</v>
      </c>
      <c r="D453" s="7">
        <v>1.9791666666669701</v>
      </c>
      <c r="E453" s="30">
        <v>750</v>
      </c>
      <c r="F453" s="15">
        <v>545.74</v>
      </c>
      <c r="G453" s="4">
        <f t="shared" si="101"/>
        <v>204.26</v>
      </c>
      <c r="H453" s="9">
        <f t="shared" si="102"/>
        <v>5.1064999999999999E-2</v>
      </c>
      <c r="I453" s="5"/>
      <c r="J453" s="64">
        <v>540</v>
      </c>
      <c r="K453" s="31">
        <f t="shared" si="99"/>
        <v>5.7400000000000091</v>
      </c>
      <c r="L453" s="14">
        <f t="shared" si="100"/>
        <v>1.4350000000000022E-3</v>
      </c>
      <c r="M453" s="26"/>
    </row>
    <row r="454" spans="2:13">
      <c r="B454" s="47"/>
      <c r="C454" s="7">
        <v>1.97916666666699</v>
      </c>
      <c r="D454" s="7">
        <v>1.9895833333336399</v>
      </c>
      <c r="E454" s="30">
        <v>750</v>
      </c>
      <c r="F454" s="15">
        <v>545.71</v>
      </c>
      <c r="G454" s="4">
        <f t="shared" si="101"/>
        <v>204.28999999999996</v>
      </c>
      <c r="H454" s="9">
        <f t="shared" si="102"/>
        <v>5.1072499999999993E-2</v>
      </c>
      <c r="I454" s="4"/>
      <c r="J454" s="64">
        <v>540</v>
      </c>
      <c r="K454" s="31">
        <f t="shared" si="99"/>
        <v>5.7100000000000364</v>
      </c>
      <c r="L454" s="14">
        <f t="shared" si="100"/>
        <v>1.4275000000000091E-3</v>
      </c>
      <c r="M454" s="9"/>
    </row>
    <row r="455" spans="2:13">
      <c r="B455" s="4"/>
      <c r="C455" s="7">
        <v>1.9895833333336601</v>
      </c>
      <c r="D455" s="35">
        <v>2.00000000000031</v>
      </c>
      <c r="E455" s="30">
        <v>750</v>
      </c>
      <c r="F455" s="48">
        <v>544.07000000000005</v>
      </c>
      <c r="G455" s="4">
        <f t="shared" si="101"/>
        <v>205.92999999999995</v>
      </c>
      <c r="H455" s="9">
        <f t="shared" si="102"/>
        <v>5.1482499999999987E-2</v>
      </c>
      <c r="I455" s="4"/>
      <c r="J455" s="64">
        <v>540</v>
      </c>
      <c r="K455" s="31">
        <f t="shared" si="99"/>
        <v>4.07000000000005</v>
      </c>
      <c r="L455" s="14">
        <f t="shared" si="100"/>
        <v>1.0175000000000125E-3</v>
      </c>
      <c r="M455" s="9"/>
    </row>
    <row r="456" spans="2:13">
      <c r="B456" s="4"/>
      <c r="C456" s="7"/>
      <c r="D456" s="7"/>
      <c r="E456" s="30"/>
      <c r="F456" s="15"/>
      <c r="G456" s="4"/>
      <c r="H456" s="9"/>
      <c r="I456" s="9">
        <f>SUM(H451:H455)</f>
        <v>0.21013749999999998</v>
      </c>
      <c r="J456" s="29"/>
      <c r="K456" s="31"/>
      <c r="L456" s="14"/>
      <c r="M456" s="4">
        <f>SUM(L451:L455)</f>
        <v>5.4325000000000328E-3</v>
      </c>
    </row>
    <row r="457" spans="2:13">
      <c r="B457" s="34">
        <v>46035</v>
      </c>
      <c r="C457" s="7">
        <v>1</v>
      </c>
      <c r="D457" s="7">
        <v>1.0104166666666701</v>
      </c>
      <c r="E457" s="30">
        <v>750</v>
      </c>
      <c r="F457" s="15">
        <v>541.41</v>
      </c>
      <c r="G457" s="4">
        <f t="shared" si="101"/>
        <v>208.59000000000003</v>
      </c>
      <c r="H457" s="9">
        <f t="shared" si="102"/>
        <v>5.2147500000000006E-2</v>
      </c>
      <c r="I457" s="4"/>
      <c r="J457" s="29">
        <v>540</v>
      </c>
      <c r="K457" s="31">
        <f t="shared" si="99"/>
        <v>1.4099999999999682</v>
      </c>
      <c r="L457" s="14"/>
      <c r="M457" s="4"/>
    </row>
    <row r="458" spans="2:13">
      <c r="B458" s="4"/>
      <c r="C458" s="7">
        <v>1.0104166666666701</v>
      </c>
      <c r="D458" s="7">
        <v>1.0208333333333399</v>
      </c>
      <c r="E458" s="30">
        <v>750</v>
      </c>
      <c r="F458" s="15">
        <v>544.41</v>
      </c>
      <c r="G458" s="4">
        <f t="shared" si="101"/>
        <v>205.59000000000003</v>
      </c>
      <c r="H458" s="9">
        <f t="shared" si="102"/>
        <v>5.1397500000000006E-2</v>
      </c>
      <c r="I458" s="9"/>
      <c r="J458" s="29">
        <v>540</v>
      </c>
      <c r="K458" s="31">
        <f t="shared" si="99"/>
        <v>4.4099999999999682</v>
      </c>
      <c r="L458" s="14">
        <f t="shared" si="100"/>
        <v>1.1024999999999919E-3</v>
      </c>
      <c r="M458" s="9"/>
    </row>
    <row r="459" spans="2:13">
      <c r="B459" s="47"/>
      <c r="C459" s="7">
        <v>1.0208333333333399</v>
      </c>
      <c r="D459" s="7">
        <v>1.03125000000001</v>
      </c>
      <c r="E459" s="30">
        <v>750</v>
      </c>
      <c r="F459" s="15">
        <v>545.01</v>
      </c>
      <c r="G459" s="4">
        <f t="shared" si="101"/>
        <v>204.99</v>
      </c>
      <c r="H459" s="9">
        <f t="shared" si="102"/>
        <v>5.1247500000000001E-2</v>
      </c>
      <c r="I459" s="4"/>
      <c r="J459" s="64">
        <v>540</v>
      </c>
      <c r="K459" s="31">
        <f t="shared" si="99"/>
        <v>5.0099999999999909</v>
      </c>
      <c r="L459" s="14">
        <f t="shared" si="100"/>
        <v>1.2524999999999978E-3</v>
      </c>
      <c r="M459" s="4"/>
    </row>
    <row r="460" spans="2:13">
      <c r="B460" s="4"/>
      <c r="C460" s="7">
        <v>1.03125000000001</v>
      </c>
      <c r="D460" s="7">
        <v>1.0416666666666801</v>
      </c>
      <c r="E460" s="30">
        <v>750</v>
      </c>
      <c r="F460" s="15">
        <v>542.24</v>
      </c>
      <c r="G460" s="4">
        <f t="shared" si="101"/>
        <v>207.76</v>
      </c>
      <c r="H460" s="9">
        <f t="shared" si="102"/>
        <v>5.194E-2</v>
      </c>
      <c r="I460" s="4"/>
      <c r="J460" s="64">
        <v>540</v>
      </c>
      <c r="K460" s="31">
        <f t="shared" si="99"/>
        <v>2.2400000000000091</v>
      </c>
      <c r="L460" s="14">
        <f t="shared" si="100"/>
        <v>5.6000000000000223E-4</v>
      </c>
      <c r="M460" s="4"/>
    </row>
    <row r="461" spans="2:13">
      <c r="B461" s="4"/>
      <c r="C461" s="7">
        <v>1.0416666666666801</v>
      </c>
      <c r="D461" s="7">
        <v>1.0520833333333499</v>
      </c>
      <c r="E461" s="30">
        <v>750</v>
      </c>
      <c r="F461" s="15">
        <v>548.5</v>
      </c>
      <c r="G461" s="4">
        <f t="shared" si="101"/>
        <v>201.5</v>
      </c>
      <c r="H461" s="9">
        <f t="shared" si="102"/>
        <v>5.0375000000000003E-2</v>
      </c>
      <c r="I461" s="4"/>
      <c r="J461" s="64">
        <v>540</v>
      </c>
      <c r="K461" s="31">
        <f t="shared" si="99"/>
        <v>8.5</v>
      </c>
      <c r="L461" s="14">
        <f t="shared" si="100"/>
        <v>2.1250000000000002E-3</v>
      </c>
      <c r="M461" s="4"/>
    </row>
    <row r="462" spans="2:13" s="53" customFormat="1">
      <c r="B462" s="42"/>
      <c r="C462" s="7">
        <v>1.0520833333333499</v>
      </c>
      <c r="D462" s="7">
        <v>1.06250000000002</v>
      </c>
      <c r="E462" s="30">
        <v>750</v>
      </c>
      <c r="F462" s="15">
        <v>544.16</v>
      </c>
      <c r="G462" s="4">
        <f t="shared" si="101"/>
        <v>205.84000000000003</v>
      </c>
      <c r="H462" s="9">
        <f t="shared" si="102"/>
        <v>5.1460000000000006E-2</v>
      </c>
      <c r="I462" s="42"/>
      <c r="J462" s="64">
        <v>540</v>
      </c>
      <c r="K462" s="31">
        <f t="shared" si="99"/>
        <v>4.1599999999999682</v>
      </c>
      <c r="L462" s="14">
        <f t="shared" si="100"/>
        <v>1.0399999999999921E-3</v>
      </c>
      <c r="M462" s="42"/>
    </row>
    <row r="463" spans="2:13" s="53" customFormat="1">
      <c r="B463" s="54"/>
      <c r="C463" s="7">
        <v>1.06250000000002</v>
      </c>
      <c r="D463" s="7">
        <v>1.0729166666666901</v>
      </c>
      <c r="E463" s="30">
        <v>750</v>
      </c>
      <c r="F463" s="15">
        <v>546.12</v>
      </c>
      <c r="G463" s="4">
        <f t="shared" si="101"/>
        <v>203.88</v>
      </c>
      <c r="H463" s="9">
        <f t="shared" si="102"/>
        <v>5.0970000000000001E-2</v>
      </c>
      <c r="I463" s="42"/>
      <c r="J463" s="64">
        <v>540</v>
      </c>
      <c r="K463" s="31">
        <f t="shared" si="99"/>
        <v>6.1200000000000045</v>
      </c>
      <c r="L463" s="14">
        <f t="shared" si="100"/>
        <v>1.5300000000000012E-3</v>
      </c>
      <c r="M463" s="42"/>
    </row>
    <row r="464" spans="2:13" s="53" customFormat="1">
      <c r="B464" s="42"/>
      <c r="C464" s="7">
        <v>1.0729166666666901</v>
      </c>
      <c r="D464" s="7">
        <v>1.0833333333333599</v>
      </c>
      <c r="E464" s="30">
        <v>750</v>
      </c>
      <c r="F464" s="15">
        <v>544.59</v>
      </c>
      <c r="G464" s="4">
        <f t="shared" si="101"/>
        <v>205.40999999999997</v>
      </c>
      <c r="H464" s="9">
        <f t="shared" si="102"/>
        <v>5.1352499999999995E-2</v>
      </c>
      <c r="I464" s="42"/>
      <c r="J464" s="64">
        <v>540</v>
      </c>
      <c r="K464" s="31">
        <f t="shared" si="99"/>
        <v>4.5900000000000318</v>
      </c>
      <c r="L464" s="14">
        <f t="shared" si="100"/>
        <v>1.1475000000000079E-3</v>
      </c>
      <c r="M464" s="42"/>
    </row>
    <row r="465" spans="2:13" s="53" customFormat="1">
      <c r="B465" s="42"/>
      <c r="C465" s="7">
        <v>1.0833333333333599</v>
      </c>
      <c r="D465" s="7">
        <v>1.09375000000003</v>
      </c>
      <c r="E465" s="30">
        <v>750</v>
      </c>
      <c r="F465" s="15">
        <v>545.02</v>
      </c>
      <c r="G465" s="4">
        <f t="shared" si="101"/>
        <v>204.98000000000002</v>
      </c>
      <c r="H465" s="9">
        <f t="shared" si="102"/>
        <v>5.1245000000000006E-2</v>
      </c>
      <c r="I465" s="51"/>
      <c r="J465" s="64">
        <v>540</v>
      </c>
      <c r="K465" s="31">
        <f t="shared" si="99"/>
        <v>5.0199999999999818</v>
      </c>
      <c r="L465" s="14">
        <f t="shared" si="100"/>
        <v>1.2549999999999955E-3</v>
      </c>
      <c r="M465" s="51"/>
    </row>
    <row r="466" spans="2:13">
      <c r="B466" s="47"/>
      <c r="C466" s="7">
        <v>1.09375000000003</v>
      </c>
      <c r="D466" s="7">
        <v>1.1041666666667</v>
      </c>
      <c r="E466" s="30">
        <v>750</v>
      </c>
      <c r="F466" s="15">
        <v>547.77</v>
      </c>
      <c r="G466" s="4">
        <f t="shared" si="101"/>
        <v>202.23000000000002</v>
      </c>
      <c r="H466" s="9">
        <f t="shared" si="102"/>
        <v>5.0557500000000005E-2</v>
      </c>
      <c r="I466" s="4"/>
      <c r="J466" s="64">
        <v>540</v>
      </c>
      <c r="K466" s="31">
        <f t="shared" si="99"/>
        <v>7.7699999999999818</v>
      </c>
      <c r="L466" s="14">
        <f t="shared" si="100"/>
        <v>1.9424999999999954E-3</v>
      </c>
      <c r="M466" s="9"/>
    </row>
    <row r="467" spans="2:13">
      <c r="B467" s="4"/>
      <c r="C467" s="7">
        <v>1.1041666666667</v>
      </c>
      <c r="D467" s="7">
        <v>1.1145833333333699</v>
      </c>
      <c r="E467" s="30">
        <v>750</v>
      </c>
      <c r="F467" s="15">
        <v>547.59</v>
      </c>
      <c r="G467" s="4">
        <f t="shared" si="101"/>
        <v>202.40999999999997</v>
      </c>
      <c r="H467" s="9">
        <f t="shared" si="102"/>
        <v>5.0602499999999995E-2</v>
      </c>
      <c r="I467" s="4"/>
      <c r="J467" s="64">
        <v>540</v>
      </c>
      <c r="K467" s="31">
        <f t="shared" si="99"/>
        <v>7.5900000000000318</v>
      </c>
      <c r="L467" s="14">
        <f t="shared" si="100"/>
        <v>1.8975000000000079E-3</v>
      </c>
      <c r="M467" s="4"/>
    </row>
    <row r="468" spans="2:13">
      <c r="B468" s="4"/>
      <c r="C468" s="7">
        <v>1.1145833333333699</v>
      </c>
      <c r="D468" s="7">
        <v>1.12500000000004</v>
      </c>
      <c r="E468" s="30">
        <v>750</v>
      </c>
      <c r="F468" s="15">
        <v>545.37</v>
      </c>
      <c r="G468" s="4">
        <f t="shared" si="101"/>
        <v>204.63</v>
      </c>
      <c r="H468" s="9">
        <f t="shared" si="102"/>
        <v>5.1157500000000002E-2</v>
      </c>
      <c r="I468" s="4"/>
      <c r="J468" s="64">
        <v>540</v>
      </c>
      <c r="K468" s="31">
        <f t="shared" si="99"/>
        <v>5.3700000000000045</v>
      </c>
      <c r="L468" s="14">
        <f t="shared" si="100"/>
        <v>1.3425000000000012E-3</v>
      </c>
      <c r="M468" s="4"/>
    </row>
    <row r="469" spans="2:13">
      <c r="B469" s="4"/>
      <c r="C469" s="7">
        <v>1.12500000000004</v>
      </c>
      <c r="D469" s="7">
        <v>1.13541666666671</v>
      </c>
      <c r="E469" s="30">
        <v>750</v>
      </c>
      <c r="F469" s="15">
        <v>542.27</v>
      </c>
      <c r="G469" s="4">
        <f t="shared" si="101"/>
        <v>207.73000000000002</v>
      </c>
      <c r="H469" s="9">
        <f t="shared" si="102"/>
        <v>5.1932500000000006E-2</v>
      </c>
      <c r="I469" s="4"/>
      <c r="J469" s="64">
        <v>540</v>
      </c>
      <c r="K469" s="31">
        <f t="shared" si="99"/>
        <v>2.2699999999999818</v>
      </c>
      <c r="L469" s="14">
        <f t="shared" si="100"/>
        <v>5.6749999999999542E-4</v>
      </c>
      <c r="M469" s="4"/>
    </row>
    <row r="470" spans="2:13" ht="15.75" thickBot="1">
      <c r="B470" s="4"/>
      <c r="C470" s="7">
        <v>1.13541666666671</v>
      </c>
      <c r="D470" s="7">
        <v>1.1458333333333801</v>
      </c>
      <c r="E470" s="30">
        <v>750</v>
      </c>
      <c r="F470" s="15">
        <v>546.20000000000005</v>
      </c>
      <c r="G470" s="4">
        <f t="shared" si="101"/>
        <v>203.79999999999995</v>
      </c>
      <c r="H470" s="9">
        <f t="shared" si="102"/>
        <v>5.0949999999999988E-2</v>
      </c>
      <c r="I470" s="19"/>
      <c r="J470" s="64">
        <v>540</v>
      </c>
      <c r="K470" s="31">
        <f t="shared" si="99"/>
        <v>6.2000000000000455</v>
      </c>
      <c r="L470" s="14">
        <f t="shared" si="100"/>
        <v>1.5500000000000114E-3</v>
      </c>
      <c r="M470" s="32"/>
    </row>
    <row r="471" spans="2:13">
      <c r="B471" s="47"/>
      <c r="C471" s="7">
        <v>1.1458333333333801</v>
      </c>
      <c r="D471" s="7">
        <v>1.15625000000005</v>
      </c>
      <c r="E471" s="30">
        <v>750</v>
      </c>
      <c r="F471" s="15">
        <v>543.76</v>
      </c>
      <c r="G471" s="4">
        <f t="shared" si="101"/>
        <v>206.24</v>
      </c>
      <c r="H471" s="9">
        <f t="shared" si="102"/>
        <v>5.1560000000000002E-2</v>
      </c>
      <c r="I471" s="5"/>
      <c r="J471" s="64">
        <v>540</v>
      </c>
      <c r="K471" s="31">
        <f t="shared" si="99"/>
        <v>3.7599999999999909</v>
      </c>
      <c r="L471" s="14">
        <f t="shared" si="100"/>
        <v>9.399999999999977E-4</v>
      </c>
      <c r="M471" s="5"/>
    </row>
    <row r="472" spans="2:13">
      <c r="B472" s="4"/>
      <c r="C472" s="7">
        <v>1.15625000000005</v>
      </c>
      <c r="D472" s="7">
        <v>1.16666666666672</v>
      </c>
      <c r="E472" s="30">
        <v>750</v>
      </c>
      <c r="F472" s="15">
        <v>542.83000000000004</v>
      </c>
      <c r="G472" s="4">
        <f t="shared" si="101"/>
        <v>207.16999999999996</v>
      </c>
      <c r="H472" s="9">
        <f t="shared" si="102"/>
        <v>5.1792499999999991E-2</v>
      </c>
      <c r="I472" s="4"/>
      <c r="J472" s="64">
        <v>540</v>
      </c>
      <c r="K472" s="31">
        <f t="shared" si="99"/>
        <v>2.8300000000000409</v>
      </c>
      <c r="L472" s="14">
        <f t="shared" si="100"/>
        <v>7.075000000000102E-4</v>
      </c>
      <c r="M472" s="4"/>
    </row>
    <row r="473" spans="2:13">
      <c r="B473" s="47"/>
      <c r="C473" s="7">
        <v>1.16666666666672</v>
      </c>
      <c r="D473" s="7">
        <v>1.1770833333333901</v>
      </c>
      <c r="E473" s="30">
        <v>750</v>
      </c>
      <c r="F473" s="15">
        <v>544.92999999999995</v>
      </c>
      <c r="G473" s="4">
        <f t="shared" si="101"/>
        <v>205.07000000000005</v>
      </c>
      <c r="H473" s="9">
        <f t="shared" si="102"/>
        <v>5.1267500000000014E-2</v>
      </c>
      <c r="I473" s="4"/>
      <c r="J473" s="64">
        <v>540</v>
      </c>
      <c r="K473" s="31">
        <f t="shared" si="99"/>
        <v>4.92999999999995</v>
      </c>
      <c r="L473" s="14">
        <f t="shared" si="100"/>
        <v>1.2324999999999875E-3</v>
      </c>
      <c r="M473" s="4"/>
    </row>
    <row r="474" spans="2:13">
      <c r="B474" s="4"/>
      <c r="C474" s="7">
        <v>1.1770833333333901</v>
      </c>
      <c r="D474" s="7">
        <v>1.18750000000006</v>
      </c>
      <c r="E474" s="30">
        <v>750</v>
      </c>
      <c r="F474" s="15">
        <v>545.63</v>
      </c>
      <c r="G474" s="4">
        <f t="shared" si="101"/>
        <v>204.37</v>
      </c>
      <c r="H474" s="9">
        <f t="shared" si="102"/>
        <v>5.1092499999999999E-2</v>
      </c>
      <c r="I474" s="4"/>
      <c r="J474" s="64">
        <v>540</v>
      </c>
      <c r="K474" s="31">
        <f t="shared" si="99"/>
        <v>5.6299999999999955</v>
      </c>
      <c r="L474" s="14">
        <f t="shared" si="100"/>
        <v>1.4074999999999988E-3</v>
      </c>
      <c r="M474" s="4"/>
    </row>
    <row r="475" spans="2:13">
      <c r="B475" s="4"/>
      <c r="C475" s="7">
        <v>1.18750000000006</v>
      </c>
      <c r="D475" s="7">
        <v>1.19791666666673</v>
      </c>
      <c r="E475" s="30">
        <v>750</v>
      </c>
      <c r="F475" s="15">
        <v>544.64</v>
      </c>
      <c r="G475" s="4">
        <f t="shared" si="101"/>
        <v>205.36</v>
      </c>
      <c r="H475" s="9">
        <f t="shared" si="102"/>
        <v>5.1340000000000004E-2</v>
      </c>
      <c r="I475" s="4"/>
      <c r="J475" s="64">
        <v>540</v>
      </c>
      <c r="K475" s="31">
        <f t="shared" si="99"/>
        <v>4.6399999999999864</v>
      </c>
      <c r="L475" s="14">
        <f t="shared" si="100"/>
        <v>1.1599999999999965E-3</v>
      </c>
      <c r="M475" s="4"/>
    </row>
    <row r="476" spans="2:13">
      <c r="B476" s="4"/>
      <c r="C476" s="7">
        <v>1.19791666666673</v>
      </c>
      <c r="D476" s="35">
        <v>1.2083333333334001</v>
      </c>
      <c r="E476" s="30">
        <v>750</v>
      </c>
      <c r="F476" s="15">
        <v>547.27</v>
      </c>
      <c r="G476" s="4">
        <f t="shared" si="101"/>
        <v>202.73000000000002</v>
      </c>
      <c r="H476" s="9">
        <f t="shared" si="102"/>
        <v>5.0682500000000005E-2</v>
      </c>
      <c r="I476" s="4"/>
      <c r="J476" s="64">
        <v>540</v>
      </c>
      <c r="K476" s="31">
        <f t="shared" ref="K476:K528" si="105">F476-J476</f>
        <v>7.2699999999999818</v>
      </c>
      <c r="L476" s="14">
        <f t="shared" si="100"/>
        <v>1.8174999999999956E-3</v>
      </c>
      <c r="M476" s="4"/>
    </row>
    <row r="477" spans="2:13">
      <c r="B477" s="4"/>
      <c r="C477" s="7">
        <v>1.2083333333334001</v>
      </c>
      <c r="D477" s="7">
        <v>1.2187500000000699</v>
      </c>
      <c r="E477" s="30">
        <v>750</v>
      </c>
      <c r="F477" s="15">
        <v>618.65</v>
      </c>
      <c r="G477" s="4">
        <f t="shared" si="101"/>
        <v>131.35000000000002</v>
      </c>
      <c r="H477" s="9">
        <f t="shared" si="102"/>
        <v>3.2837500000000006E-2</v>
      </c>
      <c r="I477" s="4"/>
      <c r="J477" s="29">
        <f>J476+80</f>
        <v>620</v>
      </c>
      <c r="K477" s="31">
        <f>J477-F477</f>
        <v>1.3500000000000227</v>
      </c>
      <c r="L477" s="14">
        <f t="shared" si="100"/>
        <v>3.3750000000000571E-4</v>
      </c>
      <c r="M477" s="9"/>
    </row>
    <row r="478" spans="2:13">
      <c r="B478" s="4"/>
      <c r="C478" s="7">
        <v>1.2187500000000699</v>
      </c>
      <c r="D478" s="7">
        <v>1.22916666666674</v>
      </c>
      <c r="E478" s="30">
        <v>750</v>
      </c>
      <c r="F478" s="15">
        <v>708.34</v>
      </c>
      <c r="G478" s="4">
        <f t="shared" si="101"/>
        <v>41.659999999999968</v>
      </c>
      <c r="H478" s="9">
        <f t="shared" si="102"/>
        <v>1.0414999999999992E-2</v>
      </c>
      <c r="I478" s="4"/>
      <c r="J478" s="64">
        <f t="shared" ref="J478" si="106">J477+80</f>
        <v>700</v>
      </c>
      <c r="K478" s="31">
        <f t="shared" ref="K478:K479" si="107">J478-F478</f>
        <v>-8.3400000000000318</v>
      </c>
      <c r="L478" s="14">
        <f t="shared" si="100"/>
        <v>0</v>
      </c>
      <c r="M478" s="4"/>
    </row>
    <row r="479" spans="2:13">
      <c r="B479" s="4"/>
      <c r="C479" s="7">
        <v>1.22916666666674</v>
      </c>
      <c r="D479" s="7">
        <v>1.2395833333334101</v>
      </c>
      <c r="E479" s="30">
        <v>750</v>
      </c>
      <c r="F479" s="15">
        <v>751.82</v>
      </c>
      <c r="G479" s="4">
        <f t="shared" si="101"/>
        <v>-1.82000000000005</v>
      </c>
      <c r="H479" s="76">
        <v>0</v>
      </c>
      <c r="I479" s="4"/>
      <c r="J479" s="64">
        <v>750</v>
      </c>
      <c r="K479" s="31">
        <f t="shared" si="107"/>
        <v>-1.82000000000005</v>
      </c>
      <c r="L479" s="14">
        <f t="shared" si="100"/>
        <v>0</v>
      </c>
      <c r="M479" s="4"/>
    </row>
    <row r="480" spans="2:13">
      <c r="B480" s="4"/>
      <c r="C480" s="7"/>
      <c r="D480" s="7"/>
      <c r="E480" s="30"/>
      <c r="F480" s="15"/>
      <c r="G480" s="4"/>
      <c r="H480" s="9"/>
      <c r="I480" s="9">
        <f>SUM(H457:H479)</f>
        <v>1.0683225000000003</v>
      </c>
      <c r="J480" s="64"/>
      <c r="K480" s="31"/>
      <c r="L480" s="14"/>
      <c r="M480" s="9">
        <f>SUM(L457:L479)</f>
        <v>2.4914999999999993E-2</v>
      </c>
    </row>
    <row r="481" spans="2:13">
      <c r="B481" s="34">
        <v>46035</v>
      </c>
      <c r="C481" s="7">
        <v>1.5312500000001701</v>
      </c>
      <c r="D481" s="7">
        <v>1.5416666666668299</v>
      </c>
      <c r="E481" s="30">
        <v>750</v>
      </c>
      <c r="F481" s="15">
        <v>756.78</v>
      </c>
      <c r="G481" s="4">
        <f t="shared" si="101"/>
        <v>-6.7799999999999727</v>
      </c>
      <c r="H481" s="76">
        <v>0</v>
      </c>
      <c r="I481" s="5"/>
      <c r="J481" s="29">
        <f>E481-30</f>
        <v>720</v>
      </c>
      <c r="K481" s="31">
        <f t="shared" si="105"/>
        <v>36.779999999999973</v>
      </c>
      <c r="L481" s="14"/>
      <c r="M481" s="5"/>
    </row>
    <row r="482" spans="2:13">
      <c r="B482" s="47"/>
      <c r="C482" s="7">
        <v>1.5416666666668399</v>
      </c>
      <c r="D482" s="7">
        <v>1.5520833333335</v>
      </c>
      <c r="E482" s="30">
        <v>750</v>
      </c>
      <c r="F482" s="15">
        <v>656.93</v>
      </c>
      <c r="G482" s="4">
        <f t="shared" si="101"/>
        <v>93.07000000000005</v>
      </c>
      <c r="H482" s="9">
        <f t="shared" si="102"/>
        <v>2.3267500000000014E-2</v>
      </c>
      <c r="I482" s="4"/>
      <c r="J482" s="29">
        <f>J481-80</f>
        <v>640</v>
      </c>
      <c r="K482" s="31">
        <f t="shared" si="105"/>
        <v>16.92999999999995</v>
      </c>
      <c r="L482" s="14">
        <f t="shared" si="100"/>
        <v>4.2324999999999871E-3</v>
      </c>
      <c r="M482" s="9"/>
    </row>
    <row r="483" spans="2:13">
      <c r="B483" s="4"/>
      <c r="C483" s="7">
        <v>1.55208333333351</v>
      </c>
      <c r="D483" s="7">
        <v>1.5625000000001701</v>
      </c>
      <c r="E483" s="30">
        <v>750</v>
      </c>
      <c r="F483" s="15">
        <v>563.55999999999995</v>
      </c>
      <c r="G483" s="4">
        <f t="shared" si="101"/>
        <v>186.44000000000005</v>
      </c>
      <c r="H483" s="9">
        <f t="shared" si="102"/>
        <v>4.6610000000000013E-2</v>
      </c>
      <c r="I483" s="4"/>
      <c r="J483" s="64">
        <f t="shared" ref="J483" si="108">J482-80</f>
        <v>560</v>
      </c>
      <c r="K483" s="31">
        <f t="shared" si="105"/>
        <v>3.5599999999999454</v>
      </c>
      <c r="L483" s="14">
        <f t="shared" si="100"/>
        <v>8.899999999999864E-4</v>
      </c>
      <c r="M483" s="9"/>
    </row>
    <row r="484" spans="2:13">
      <c r="B484" s="4"/>
      <c r="C484" s="7">
        <v>1.5625000000001801</v>
      </c>
      <c r="D484" s="7">
        <v>1.5729166666668399</v>
      </c>
      <c r="E484" s="30">
        <v>750</v>
      </c>
      <c r="F484" s="15">
        <v>546.51</v>
      </c>
      <c r="G484" s="4">
        <f t="shared" si="101"/>
        <v>203.49</v>
      </c>
      <c r="H484" s="9">
        <f t="shared" si="102"/>
        <v>5.0872500000000001E-2</v>
      </c>
      <c r="I484" s="4"/>
      <c r="J484" s="64">
        <v>540</v>
      </c>
      <c r="K484" s="31">
        <f t="shared" si="105"/>
        <v>6.5099999999999909</v>
      </c>
      <c r="L484" s="14">
        <f t="shared" si="100"/>
        <v>1.6274999999999977E-3</v>
      </c>
      <c r="M484" s="9"/>
    </row>
    <row r="485" spans="2:13">
      <c r="B485" s="4"/>
      <c r="C485" s="7">
        <v>1.5729166666668499</v>
      </c>
      <c r="D485" s="35">
        <v>1.58333333333351</v>
      </c>
      <c r="E485" s="30">
        <v>750</v>
      </c>
      <c r="F485" s="15">
        <v>545.25</v>
      </c>
      <c r="G485" s="4">
        <f t="shared" si="101"/>
        <v>204.75</v>
      </c>
      <c r="H485" s="9">
        <f t="shared" si="102"/>
        <v>5.1187499999999997E-2</v>
      </c>
      <c r="I485" s="4"/>
      <c r="J485" s="64">
        <v>540</v>
      </c>
      <c r="K485" s="31">
        <f t="shared" si="105"/>
        <v>5.25</v>
      </c>
      <c r="L485" s="14">
        <f t="shared" si="100"/>
        <v>1.3125000000000001E-3</v>
      </c>
      <c r="M485" s="9"/>
    </row>
    <row r="486" spans="2:13">
      <c r="B486" s="47"/>
      <c r="C486" s="7">
        <v>1.58333333333352</v>
      </c>
      <c r="D486" s="7">
        <v>1.5937500000001801</v>
      </c>
      <c r="E486" s="30">
        <v>750</v>
      </c>
      <c r="F486" s="15">
        <v>594.20000000000005</v>
      </c>
      <c r="G486" s="4">
        <f t="shared" si="101"/>
        <v>155.79999999999995</v>
      </c>
      <c r="H486" s="9">
        <f t="shared" si="102"/>
        <v>3.8949999999999992E-2</v>
      </c>
      <c r="I486" s="4"/>
      <c r="J486" s="29">
        <f>J485+80</f>
        <v>620</v>
      </c>
      <c r="K486" s="31">
        <f>J486-F486</f>
        <v>25.799999999999955</v>
      </c>
      <c r="L486" s="14">
        <f t="shared" si="100"/>
        <v>6.4499999999999887E-3</v>
      </c>
      <c r="M486" s="9"/>
    </row>
    <row r="487" spans="2:13">
      <c r="B487" s="4"/>
      <c r="C487" s="7">
        <v>1.5937500000001901</v>
      </c>
      <c r="D487" s="7">
        <v>1.6041666666668499</v>
      </c>
      <c r="E487" s="30">
        <v>750</v>
      </c>
      <c r="F487" s="15">
        <v>709.75</v>
      </c>
      <c r="G487" s="4">
        <f t="shared" si="101"/>
        <v>40.25</v>
      </c>
      <c r="H487" s="9">
        <f t="shared" si="102"/>
        <v>1.00625E-2</v>
      </c>
      <c r="I487" s="4"/>
      <c r="J487" s="64">
        <f t="shared" ref="J487" si="109">J486+80</f>
        <v>700</v>
      </c>
      <c r="K487" s="31">
        <f t="shared" ref="K487:K488" si="110">J487-F487</f>
        <v>-9.75</v>
      </c>
      <c r="L487" s="14">
        <f t="shared" si="100"/>
        <v>0</v>
      </c>
      <c r="M487" s="9"/>
    </row>
    <row r="488" spans="2:13">
      <c r="B488" s="4"/>
      <c r="C488" s="7">
        <v>1.6041666666668599</v>
      </c>
      <c r="D488" s="7">
        <v>1.61458333333352</v>
      </c>
      <c r="E488" s="30">
        <v>750</v>
      </c>
      <c r="F488" s="15">
        <v>754.19</v>
      </c>
      <c r="G488" s="4">
        <f t="shared" si="101"/>
        <v>-4.1900000000000546</v>
      </c>
      <c r="H488" s="76">
        <v>0</v>
      </c>
      <c r="I488" s="4"/>
      <c r="J488" s="64">
        <v>750</v>
      </c>
      <c r="K488" s="31">
        <f t="shared" si="110"/>
        <v>-4.1900000000000546</v>
      </c>
      <c r="L488" s="14">
        <f t="shared" ref="L488:L539" si="111">IF(K488/4000&gt;0,K488/4000,0)</f>
        <v>0</v>
      </c>
      <c r="M488" s="9"/>
    </row>
    <row r="489" spans="2:13">
      <c r="B489" s="4"/>
      <c r="C489" s="7"/>
      <c r="D489" s="7"/>
      <c r="E489" s="30"/>
      <c r="F489" s="15"/>
      <c r="G489" s="4"/>
      <c r="H489" s="9"/>
      <c r="I489" s="9">
        <f>SUM(H481:H488)</f>
        <v>0.22095000000000001</v>
      </c>
      <c r="J489" s="29"/>
      <c r="K489" s="31"/>
      <c r="L489" s="14"/>
      <c r="M489" s="4">
        <f>SUM(L481:L488)</f>
        <v>1.4512499999999959E-2</v>
      </c>
    </row>
    <row r="490" spans="2:13" ht="15.75" thickBot="1">
      <c r="B490" s="34">
        <v>46035</v>
      </c>
      <c r="C490" s="7">
        <v>1.97916666666699</v>
      </c>
      <c r="D490" s="7">
        <v>1.9895833333336399</v>
      </c>
      <c r="E490" s="30">
        <v>750</v>
      </c>
      <c r="F490" s="15">
        <v>736.74</v>
      </c>
      <c r="G490" s="4">
        <f t="shared" si="101"/>
        <v>13.259999999999991</v>
      </c>
      <c r="H490" s="9">
        <f t="shared" si="102"/>
        <v>3.3149999999999976E-3</v>
      </c>
      <c r="I490" s="19"/>
      <c r="J490" s="29">
        <f>E490-55</f>
        <v>695</v>
      </c>
      <c r="K490" s="31">
        <f t="shared" si="105"/>
        <v>41.740000000000009</v>
      </c>
      <c r="L490" s="14"/>
      <c r="M490" s="32"/>
    </row>
    <row r="491" spans="2:13">
      <c r="B491" s="4"/>
      <c r="C491" s="7">
        <v>1.9895833333336601</v>
      </c>
      <c r="D491" s="7">
        <v>2.00000000000031</v>
      </c>
      <c r="E491" s="30">
        <v>750</v>
      </c>
      <c r="F491" s="48">
        <v>646.32000000000005</v>
      </c>
      <c r="G491" s="4">
        <f t="shared" si="101"/>
        <v>103.67999999999995</v>
      </c>
      <c r="H491" s="9">
        <f t="shared" si="102"/>
        <v>2.5919999999999988E-2</v>
      </c>
      <c r="I491" s="5"/>
      <c r="J491" s="29">
        <f>J490-80</f>
        <v>615</v>
      </c>
      <c r="K491" s="31">
        <f t="shared" si="105"/>
        <v>31.32000000000005</v>
      </c>
      <c r="L491" s="14">
        <f t="shared" si="111"/>
        <v>7.8300000000000123E-3</v>
      </c>
      <c r="M491" s="5"/>
    </row>
    <row r="492" spans="2:13">
      <c r="B492" s="47"/>
      <c r="C492" s="7"/>
      <c r="D492" s="7"/>
      <c r="E492" s="30"/>
      <c r="F492" s="15"/>
      <c r="G492" s="4"/>
      <c r="H492" s="9"/>
      <c r="I492" s="9">
        <f>SUM(H490:H491)</f>
        <v>2.9234999999999987E-2</v>
      </c>
      <c r="J492" s="29"/>
      <c r="K492" s="31"/>
      <c r="L492" s="14"/>
      <c r="M492" s="4">
        <f>SUM(L490:L491)</f>
        <v>7.8300000000000123E-3</v>
      </c>
    </row>
    <row r="493" spans="2:13">
      <c r="B493" s="34">
        <v>46036</v>
      </c>
      <c r="C493" s="7">
        <v>1</v>
      </c>
      <c r="D493" s="7">
        <v>1.0104166666666701</v>
      </c>
      <c r="E493" s="30">
        <v>750</v>
      </c>
      <c r="F493" s="60">
        <v>554.20000000000005</v>
      </c>
      <c r="G493" s="4">
        <f t="shared" si="101"/>
        <v>195.79999999999995</v>
      </c>
      <c r="H493" s="9">
        <f t="shared" si="102"/>
        <v>4.8949999999999987E-2</v>
      </c>
      <c r="I493" s="4"/>
      <c r="J493" s="29">
        <v>540</v>
      </c>
      <c r="K493" s="31">
        <f t="shared" si="105"/>
        <v>14.200000000000045</v>
      </c>
      <c r="L493" s="14"/>
      <c r="M493" s="4"/>
    </row>
    <row r="494" spans="2:13">
      <c r="B494" s="4"/>
      <c r="C494" s="7">
        <v>1.0104166666666701</v>
      </c>
      <c r="D494" s="7">
        <v>1.0208333333333399</v>
      </c>
      <c r="E494" s="30">
        <v>750</v>
      </c>
      <c r="F494" s="60">
        <v>552.9</v>
      </c>
      <c r="G494" s="4">
        <f t="shared" si="101"/>
        <v>197.10000000000002</v>
      </c>
      <c r="H494" s="9">
        <f t="shared" si="102"/>
        <v>4.9275000000000006E-2</v>
      </c>
      <c r="I494" s="4"/>
      <c r="J494" s="29">
        <v>540</v>
      </c>
      <c r="K494" s="31">
        <f>F494-J494</f>
        <v>12.899999999999977</v>
      </c>
      <c r="L494" s="14">
        <f t="shared" si="111"/>
        <v>3.2249999999999944E-3</v>
      </c>
      <c r="M494" s="4"/>
    </row>
    <row r="495" spans="2:13">
      <c r="B495" s="47"/>
      <c r="C495" s="7">
        <v>1.0208333333333399</v>
      </c>
      <c r="D495" s="7">
        <v>1.03125000000001</v>
      </c>
      <c r="E495" s="30">
        <v>750</v>
      </c>
      <c r="F495" s="60">
        <v>549.22</v>
      </c>
      <c r="G495" s="4">
        <f t="shared" si="101"/>
        <v>200.77999999999997</v>
      </c>
      <c r="H495" s="9">
        <f t="shared" si="102"/>
        <v>5.0194999999999997E-2</v>
      </c>
      <c r="I495" s="4"/>
      <c r="J495" s="64">
        <v>540</v>
      </c>
      <c r="K495" s="31">
        <f>F495-J495</f>
        <v>9.2200000000000273</v>
      </c>
      <c r="L495" s="14">
        <f t="shared" si="111"/>
        <v>2.3050000000000067E-3</v>
      </c>
      <c r="M495" s="4"/>
    </row>
    <row r="496" spans="2:13">
      <c r="B496" s="4"/>
      <c r="C496" s="7">
        <v>1.03125000000001</v>
      </c>
      <c r="D496" s="7">
        <v>1.0416666666666801</v>
      </c>
      <c r="E496" s="30">
        <v>750</v>
      </c>
      <c r="F496" s="60">
        <v>540.38</v>
      </c>
      <c r="G496" s="4">
        <f t="shared" si="101"/>
        <v>209.62</v>
      </c>
      <c r="H496" s="9">
        <f t="shared" si="102"/>
        <v>5.2405E-2</v>
      </c>
      <c r="I496" s="4"/>
      <c r="J496" s="64">
        <v>540</v>
      </c>
      <c r="K496" s="31">
        <f t="shared" si="105"/>
        <v>0.37999999999999545</v>
      </c>
      <c r="L496" s="14">
        <f t="shared" si="111"/>
        <v>9.4999999999998867E-5</v>
      </c>
      <c r="M496" s="4"/>
    </row>
    <row r="497" spans="2:13">
      <c r="B497" s="4"/>
      <c r="C497" s="7">
        <v>1.0416666666666801</v>
      </c>
      <c r="D497" s="7">
        <v>1.0520833333333499</v>
      </c>
      <c r="E497" s="30">
        <v>750</v>
      </c>
      <c r="F497" s="60">
        <v>538.78</v>
      </c>
      <c r="G497" s="4">
        <f t="shared" si="101"/>
        <v>211.22000000000003</v>
      </c>
      <c r="H497" s="9">
        <f t="shared" si="102"/>
        <v>5.2805000000000005E-2</v>
      </c>
      <c r="I497" s="4"/>
      <c r="J497" s="64">
        <v>540</v>
      </c>
      <c r="K497" s="31">
        <f t="shared" si="105"/>
        <v>-1.2200000000000273</v>
      </c>
      <c r="L497" s="14">
        <f t="shared" si="111"/>
        <v>0</v>
      </c>
      <c r="M497" s="9"/>
    </row>
    <row r="498" spans="2:13">
      <c r="B498" s="4"/>
      <c r="C498" s="7">
        <v>1.0520833333333499</v>
      </c>
      <c r="D498" s="7">
        <v>1.06250000000002</v>
      </c>
      <c r="E498" s="30">
        <v>750</v>
      </c>
      <c r="F498" s="60">
        <v>543.32000000000005</v>
      </c>
      <c r="G498" s="4">
        <f t="shared" ref="G498:G554" si="112">E498-F498</f>
        <v>206.67999999999995</v>
      </c>
      <c r="H498" s="9">
        <f t="shared" ref="H498:H554" si="113">G498/4000</f>
        <v>5.1669999999999987E-2</v>
      </c>
      <c r="I498" s="4"/>
      <c r="J498" s="64">
        <v>540</v>
      </c>
      <c r="K498" s="31">
        <f t="shared" si="105"/>
        <v>3.32000000000005</v>
      </c>
      <c r="L498" s="14">
        <f t="shared" si="111"/>
        <v>8.3000000000001248E-4</v>
      </c>
      <c r="M498" s="4"/>
    </row>
    <row r="499" spans="2:13">
      <c r="B499" s="4"/>
      <c r="C499" s="7">
        <v>1.06250000000002</v>
      </c>
      <c r="D499" s="7">
        <v>1.0729166666666901</v>
      </c>
      <c r="E499" s="30">
        <v>750</v>
      </c>
      <c r="F499" s="60">
        <v>545.82000000000005</v>
      </c>
      <c r="G499" s="4">
        <f t="shared" si="112"/>
        <v>204.17999999999995</v>
      </c>
      <c r="H499" s="9">
        <f t="shared" si="113"/>
        <v>5.1044999999999986E-2</v>
      </c>
      <c r="I499" s="4"/>
      <c r="J499" s="64">
        <v>540</v>
      </c>
      <c r="K499" s="31">
        <f t="shared" si="105"/>
        <v>5.82000000000005</v>
      </c>
      <c r="L499" s="14">
        <f t="shared" si="111"/>
        <v>1.4550000000000125E-3</v>
      </c>
      <c r="M499" s="4"/>
    </row>
    <row r="500" spans="2:13">
      <c r="B500" s="47"/>
      <c r="C500" s="7">
        <v>1.0729166666666901</v>
      </c>
      <c r="D500" s="7">
        <v>1.0833333333333599</v>
      </c>
      <c r="E500" s="30">
        <v>750</v>
      </c>
      <c r="F500" s="60">
        <v>543.86</v>
      </c>
      <c r="G500" s="4">
        <f t="shared" si="112"/>
        <v>206.14</v>
      </c>
      <c r="H500" s="9">
        <f t="shared" si="113"/>
        <v>5.1534999999999997E-2</v>
      </c>
      <c r="I500" s="4"/>
      <c r="J500" s="64">
        <v>540</v>
      </c>
      <c r="K500" s="31">
        <f t="shared" si="105"/>
        <v>3.8600000000000136</v>
      </c>
      <c r="L500" s="14">
        <f t="shared" si="111"/>
        <v>9.650000000000034E-4</v>
      </c>
      <c r="M500" s="4"/>
    </row>
    <row r="501" spans="2:13">
      <c r="B501" s="4"/>
      <c r="C501" s="7">
        <v>1.0833333333333599</v>
      </c>
      <c r="D501" s="7">
        <v>1.09375000000003</v>
      </c>
      <c r="E501" s="30">
        <v>750</v>
      </c>
      <c r="F501" s="60">
        <v>542.22</v>
      </c>
      <c r="G501" s="4">
        <f t="shared" si="112"/>
        <v>207.77999999999997</v>
      </c>
      <c r="H501" s="9">
        <f t="shared" si="113"/>
        <v>5.1944999999999991E-2</v>
      </c>
      <c r="I501" s="4"/>
      <c r="J501" s="64">
        <v>540</v>
      </c>
      <c r="K501" s="31">
        <f t="shared" si="105"/>
        <v>2.2200000000000273</v>
      </c>
      <c r="L501" s="14">
        <f t="shared" si="111"/>
        <v>5.5500000000000677E-4</v>
      </c>
      <c r="M501" s="4"/>
    </row>
    <row r="502" spans="2:13">
      <c r="B502" s="4"/>
      <c r="C502" s="7">
        <v>1.09375000000003</v>
      </c>
      <c r="D502" s="7">
        <v>1.1041666666667</v>
      </c>
      <c r="E502" s="30">
        <v>750</v>
      </c>
      <c r="F502" s="60">
        <v>543.05999999999995</v>
      </c>
      <c r="G502" s="4">
        <f t="shared" si="112"/>
        <v>206.94000000000005</v>
      </c>
      <c r="H502" s="9">
        <f t="shared" si="113"/>
        <v>5.1735000000000017E-2</v>
      </c>
      <c r="I502" s="26"/>
      <c r="J502" s="64">
        <v>540</v>
      </c>
      <c r="K502" s="31">
        <f t="shared" si="105"/>
        <v>3.0599999999999454</v>
      </c>
      <c r="L502" s="14">
        <f t="shared" si="111"/>
        <v>7.6499999999998639E-4</v>
      </c>
      <c r="M502" s="26"/>
    </row>
    <row r="503" spans="2:13">
      <c r="B503" s="47"/>
      <c r="C503" s="7">
        <v>1.1041666666667</v>
      </c>
      <c r="D503" s="7">
        <v>1.1145833333333699</v>
      </c>
      <c r="E503" s="30">
        <v>750</v>
      </c>
      <c r="F503" s="60">
        <v>544.08000000000004</v>
      </c>
      <c r="G503" s="4">
        <f t="shared" si="112"/>
        <v>205.91999999999996</v>
      </c>
      <c r="H503" s="9">
        <f t="shared" si="113"/>
        <v>5.1479999999999991E-2</v>
      </c>
      <c r="I503" s="4"/>
      <c r="J503" s="64">
        <v>540</v>
      </c>
      <c r="K503" s="31">
        <f t="shared" si="105"/>
        <v>4.0800000000000409</v>
      </c>
      <c r="L503" s="14">
        <f t="shared" si="111"/>
        <v>1.0200000000000103E-3</v>
      </c>
      <c r="M503" s="4"/>
    </row>
    <row r="504" spans="2:13">
      <c r="B504" s="4"/>
      <c r="C504" s="7">
        <v>1.1145833333333699</v>
      </c>
      <c r="D504" s="7">
        <v>1.12500000000004</v>
      </c>
      <c r="E504" s="30">
        <v>750</v>
      </c>
      <c r="F504" s="60">
        <v>541.64</v>
      </c>
      <c r="G504" s="4">
        <f t="shared" si="112"/>
        <v>208.36</v>
      </c>
      <c r="H504" s="9">
        <f t="shared" si="113"/>
        <v>5.2090000000000004E-2</v>
      </c>
      <c r="I504" s="4"/>
      <c r="J504" s="64">
        <v>540</v>
      </c>
      <c r="K504" s="31">
        <f t="shared" si="105"/>
        <v>1.6399999999999864</v>
      </c>
      <c r="L504" s="14">
        <f t="shared" si="111"/>
        <v>4.0999999999999658E-4</v>
      </c>
      <c r="M504" s="4"/>
    </row>
    <row r="505" spans="2:13">
      <c r="B505" s="4"/>
      <c r="C505" s="7">
        <v>1.12500000000004</v>
      </c>
      <c r="D505" s="7">
        <v>1.13541666666671</v>
      </c>
      <c r="E505" s="30">
        <v>750</v>
      </c>
      <c r="F505" s="60">
        <v>541.39</v>
      </c>
      <c r="G505" s="4">
        <f t="shared" si="112"/>
        <v>208.61</v>
      </c>
      <c r="H505" s="9">
        <f t="shared" si="113"/>
        <v>5.2152500000000004E-2</v>
      </c>
      <c r="I505" s="4"/>
      <c r="J505" s="64">
        <v>540</v>
      </c>
      <c r="K505" s="31">
        <f t="shared" si="105"/>
        <v>1.3899999999999864</v>
      </c>
      <c r="L505" s="14">
        <f t="shared" si="111"/>
        <v>3.4749999999999657E-4</v>
      </c>
      <c r="M505" s="4"/>
    </row>
    <row r="506" spans="2:13">
      <c r="B506" s="4"/>
      <c r="C506" s="7">
        <v>1.13541666666671</v>
      </c>
      <c r="D506" s="7">
        <v>1.1458333333333801</v>
      </c>
      <c r="E506" s="30">
        <v>750</v>
      </c>
      <c r="F506" s="60">
        <v>543.16</v>
      </c>
      <c r="G506" s="4">
        <f t="shared" si="112"/>
        <v>206.84000000000003</v>
      </c>
      <c r="H506" s="9">
        <f t="shared" si="113"/>
        <v>5.1710000000000006E-2</v>
      </c>
      <c r="I506" s="4"/>
      <c r="J506" s="64">
        <v>540</v>
      </c>
      <c r="K506" s="31">
        <f t="shared" si="105"/>
        <v>3.1599999999999682</v>
      </c>
      <c r="L506" s="14">
        <f t="shared" si="111"/>
        <v>7.8999999999999199E-4</v>
      </c>
      <c r="M506" s="4"/>
    </row>
    <row r="507" spans="2:13" ht="15.75" customHeight="1">
      <c r="B507" s="4"/>
      <c r="C507" s="7">
        <v>1.1458333333333801</v>
      </c>
      <c r="D507" s="7">
        <v>1.15625000000005</v>
      </c>
      <c r="E507" s="30">
        <v>750</v>
      </c>
      <c r="F507" s="60">
        <v>545.01</v>
      </c>
      <c r="G507" s="4">
        <f t="shared" si="112"/>
        <v>204.99</v>
      </c>
      <c r="H507" s="9">
        <f t="shared" si="113"/>
        <v>5.1247500000000001E-2</v>
      </c>
      <c r="I507" s="4"/>
      <c r="J507" s="64">
        <v>540</v>
      </c>
      <c r="K507" s="31">
        <f t="shared" si="105"/>
        <v>5.0099999999999909</v>
      </c>
      <c r="L507" s="14">
        <f t="shared" si="111"/>
        <v>1.2524999999999978E-3</v>
      </c>
      <c r="M507" s="4"/>
    </row>
    <row r="508" spans="2:13">
      <c r="B508" s="4"/>
      <c r="C508" s="7">
        <v>1.15625000000005</v>
      </c>
      <c r="D508" s="7">
        <v>1.16666666666672</v>
      </c>
      <c r="E508" s="30">
        <v>750</v>
      </c>
      <c r="F508" s="60">
        <v>542.13</v>
      </c>
      <c r="G508" s="4">
        <f t="shared" si="112"/>
        <v>207.87</v>
      </c>
      <c r="H508" s="9">
        <f t="shared" si="113"/>
        <v>5.19675E-2</v>
      </c>
      <c r="I508" s="9"/>
      <c r="J508" s="64">
        <v>540</v>
      </c>
      <c r="K508" s="31">
        <f t="shared" si="105"/>
        <v>2.1299999999999955</v>
      </c>
      <c r="L508" s="14">
        <f t="shared" si="111"/>
        <v>5.324999999999989E-4</v>
      </c>
      <c r="M508" s="4"/>
    </row>
    <row r="509" spans="2:13">
      <c r="B509" s="47"/>
      <c r="C509" s="7">
        <v>1.16666666666672</v>
      </c>
      <c r="D509" s="7">
        <v>1.1770833333333901</v>
      </c>
      <c r="E509" s="30">
        <v>750</v>
      </c>
      <c r="F509" s="60">
        <v>540.72</v>
      </c>
      <c r="G509" s="4">
        <f t="shared" si="112"/>
        <v>209.27999999999997</v>
      </c>
      <c r="H509" s="9">
        <f t="shared" si="113"/>
        <v>5.2319999999999992E-2</v>
      </c>
      <c r="I509" s="9"/>
      <c r="J509" s="64">
        <v>540</v>
      </c>
      <c r="K509" s="31">
        <f t="shared" si="105"/>
        <v>0.72000000000002728</v>
      </c>
      <c r="L509" s="14">
        <f t="shared" si="111"/>
        <v>1.8000000000000681E-4</v>
      </c>
      <c r="M509" s="4"/>
    </row>
    <row r="510" spans="2:13">
      <c r="B510" s="47"/>
      <c r="C510" s="7">
        <v>1.1770833333333901</v>
      </c>
      <c r="D510" s="7">
        <v>1.18750000000006</v>
      </c>
      <c r="E510" s="30">
        <v>750</v>
      </c>
      <c r="F510" s="60">
        <v>544.23</v>
      </c>
      <c r="G510" s="4">
        <f t="shared" si="112"/>
        <v>205.76999999999998</v>
      </c>
      <c r="H510" s="9">
        <f t="shared" si="113"/>
        <v>5.1442499999999995E-2</v>
      </c>
      <c r="I510" s="9"/>
      <c r="J510" s="64">
        <v>540</v>
      </c>
      <c r="K510" s="31">
        <f t="shared" si="105"/>
        <v>4.2300000000000182</v>
      </c>
      <c r="L510" s="14">
        <f t="shared" si="111"/>
        <v>1.0575000000000046E-3</v>
      </c>
      <c r="M510" s="4"/>
    </row>
    <row r="511" spans="2:13">
      <c r="B511" s="4"/>
      <c r="C511" s="7">
        <v>1.18750000000006</v>
      </c>
      <c r="D511" s="7">
        <v>1.19791666666673</v>
      </c>
      <c r="E511" s="30">
        <v>750</v>
      </c>
      <c r="F511" s="60">
        <v>547.41</v>
      </c>
      <c r="G511" s="4">
        <f t="shared" si="112"/>
        <v>202.59000000000003</v>
      </c>
      <c r="H511" s="9">
        <f t="shared" si="113"/>
        <v>5.0647500000000005E-2</v>
      </c>
      <c r="I511" s="4"/>
      <c r="J511" s="64">
        <v>540</v>
      </c>
      <c r="K511" s="31">
        <f t="shared" si="105"/>
        <v>7.4099999999999682</v>
      </c>
      <c r="L511" s="14">
        <f t="shared" si="111"/>
        <v>1.852499999999992E-3</v>
      </c>
      <c r="M511" s="4"/>
    </row>
    <row r="512" spans="2:13">
      <c r="B512" s="47"/>
      <c r="C512" s="7">
        <v>1.19791666666673</v>
      </c>
      <c r="D512" s="35">
        <v>1.2083333333334001</v>
      </c>
      <c r="E512" s="30">
        <v>750</v>
      </c>
      <c r="F512" s="60">
        <v>553.33000000000004</v>
      </c>
      <c r="G512" s="4">
        <f t="shared" si="112"/>
        <v>196.66999999999996</v>
      </c>
      <c r="H512" s="9">
        <f t="shared" si="113"/>
        <v>4.9167499999999989E-2</v>
      </c>
      <c r="I512" s="9"/>
      <c r="J512" s="64">
        <f>J511+55</f>
        <v>595</v>
      </c>
      <c r="K512" s="31">
        <f>J512-F512</f>
        <v>41.669999999999959</v>
      </c>
      <c r="L512" s="14">
        <f t="shared" si="111"/>
        <v>1.0417499999999989E-2</v>
      </c>
      <c r="M512" s="4"/>
    </row>
    <row r="513" spans="2:13">
      <c r="B513" s="4"/>
      <c r="C513" s="7">
        <v>1.2083333333334001</v>
      </c>
      <c r="D513" s="7">
        <v>1.2187500000000699</v>
      </c>
      <c r="E513" s="30">
        <v>750</v>
      </c>
      <c r="F513" s="60">
        <v>646.29</v>
      </c>
      <c r="G513" s="4">
        <f t="shared" si="112"/>
        <v>103.71000000000004</v>
      </c>
      <c r="H513" s="9">
        <f t="shared" si="113"/>
        <v>2.592750000000001E-2</v>
      </c>
      <c r="I513" s="4"/>
      <c r="J513" s="56">
        <f>J512+80</f>
        <v>675</v>
      </c>
      <c r="K513" s="31">
        <f t="shared" ref="K513:K514" si="114">J513-F513</f>
        <v>28.710000000000036</v>
      </c>
      <c r="L513" s="14">
        <f t="shared" si="111"/>
        <v>7.1775000000000094E-3</v>
      </c>
      <c r="M513" s="4"/>
    </row>
    <row r="514" spans="2:13">
      <c r="B514" s="4"/>
      <c r="C514" s="7">
        <v>1.2187500000000699</v>
      </c>
      <c r="D514" s="7">
        <v>1.22916666666674</v>
      </c>
      <c r="E514" s="30">
        <v>750</v>
      </c>
      <c r="F514" s="60">
        <v>744.8</v>
      </c>
      <c r="G514" s="4">
        <f t="shared" si="112"/>
        <v>5.2000000000000455</v>
      </c>
      <c r="H514" s="9">
        <f t="shared" si="113"/>
        <v>1.3000000000000114E-3</v>
      </c>
      <c r="I514" s="4"/>
      <c r="J514" s="56">
        <v>750</v>
      </c>
      <c r="K514" s="31">
        <f t="shared" si="114"/>
        <v>5.2000000000000455</v>
      </c>
      <c r="L514" s="14">
        <f t="shared" si="111"/>
        <v>1.3000000000000114E-3</v>
      </c>
      <c r="M514" s="4"/>
    </row>
    <row r="515" spans="2:13">
      <c r="B515" s="4"/>
      <c r="C515" s="7"/>
      <c r="D515" s="7"/>
      <c r="E515" s="30"/>
      <c r="F515" s="60"/>
      <c r="G515" s="4"/>
      <c r="H515" s="9"/>
      <c r="I515" s="9">
        <f>SUM(H493:H514)</f>
        <v>1.0530125000000001</v>
      </c>
      <c r="J515" s="52"/>
      <c r="K515" s="31"/>
      <c r="L515" s="14"/>
      <c r="M515" s="4">
        <f>SUM(L493:L514)</f>
        <v>3.653250000000003E-2</v>
      </c>
    </row>
    <row r="516" spans="2:13">
      <c r="B516" s="34">
        <v>46036</v>
      </c>
      <c r="C516" s="7">
        <v>1.47916666666682</v>
      </c>
      <c r="D516" s="7">
        <v>1.48958333333348</v>
      </c>
      <c r="E516" s="30">
        <v>750</v>
      </c>
      <c r="F516" s="60">
        <v>715.64</v>
      </c>
      <c r="G516" s="4">
        <f t="shared" si="112"/>
        <v>34.360000000000014</v>
      </c>
      <c r="H516" s="9">
        <f t="shared" si="113"/>
        <v>8.5900000000000039E-3</v>
      </c>
      <c r="I516" s="4"/>
      <c r="J516" s="29">
        <f>E516-80</f>
        <v>670</v>
      </c>
      <c r="K516" s="31">
        <f t="shared" si="105"/>
        <v>45.639999999999986</v>
      </c>
      <c r="L516" s="14"/>
      <c r="M516" s="4"/>
    </row>
    <row r="517" spans="2:13">
      <c r="B517" s="4"/>
      <c r="C517" s="7">
        <v>1.48958333333349</v>
      </c>
      <c r="D517" s="7">
        <v>1.5000000000001501</v>
      </c>
      <c r="E517" s="30">
        <v>750</v>
      </c>
      <c r="F517" s="60">
        <v>651.97</v>
      </c>
      <c r="G517" s="4">
        <f t="shared" si="112"/>
        <v>98.029999999999973</v>
      </c>
      <c r="H517" s="9">
        <f t="shared" si="113"/>
        <v>2.4507499999999995E-2</v>
      </c>
      <c r="I517" s="4"/>
      <c r="J517" s="29">
        <f>J516-80</f>
        <v>590</v>
      </c>
      <c r="K517" s="31">
        <f t="shared" si="105"/>
        <v>61.970000000000027</v>
      </c>
      <c r="L517" s="14">
        <f t="shared" si="111"/>
        <v>1.5492500000000006E-2</v>
      </c>
      <c r="M517" s="4"/>
    </row>
    <row r="518" spans="2:13">
      <c r="B518" s="4"/>
      <c r="C518" s="7">
        <v>1.5000000000001601</v>
      </c>
      <c r="D518" s="7">
        <v>1.51041666666682</v>
      </c>
      <c r="E518" s="30">
        <v>750</v>
      </c>
      <c r="F518" s="60">
        <v>600.82000000000005</v>
      </c>
      <c r="G518" s="4">
        <f t="shared" si="112"/>
        <v>149.17999999999995</v>
      </c>
      <c r="H518" s="9">
        <f t="shared" si="113"/>
        <v>3.7294999999999988E-2</v>
      </c>
      <c r="I518" s="4"/>
      <c r="J518" s="29">
        <v>540</v>
      </c>
      <c r="K518" s="31">
        <f t="shared" si="105"/>
        <v>60.82000000000005</v>
      </c>
      <c r="L518" s="14">
        <f t="shared" si="111"/>
        <v>1.5205000000000012E-2</v>
      </c>
      <c r="M518" s="4"/>
    </row>
    <row r="519" spans="2:13">
      <c r="B519" s="4"/>
      <c r="C519" s="7">
        <v>1.5104166666668299</v>
      </c>
      <c r="D519" s="7">
        <v>1.52083333333349</v>
      </c>
      <c r="E519" s="30">
        <v>750</v>
      </c>
      <c r="F519" s="60">
        <v>579.14</v>
      </c>
      <c r="G519" s="4">
        <f t="shared" si="112"/>
        <v>170.86</v>
      </c>
      <c r="H519" s="9">
        <f t="shared" si="113"/>
        <v>4.2715000000000003E-2</v>
      </c>
      <c r="I519" s="4"/>
      <c r="J519" s="64">
        <v>540</v>
      </c>
      <c r="K519" s="31">
        <f t="shared" si="105"/>
        <v>39.139999999999986</v>
      </c>
      <c r="L519" s="14">
        <f t="shared" si="111"/>
        <v>9.7849999999999968E-3</v>
      </c>
      <c r="M519" s="4"/>
    </row>
    <row r="520" spans="2:13">
      <c r="B520" s="4"/>
      <c r="C520" s="7">
        <v>1.5208333333335</v>
      </c>
      <c r="D520" s="7">
        <v>1.5312500000001601</v>
      </c>
      <c r="E520" s="30">
        <v>750</v>
      </c>
      <c r="F520" s="60">
        <v>557.37</v>
      </c>
      <c r="G520" s="4">
        <f t="shared" si="112"/>
        <v>192.63</v>
      </c>
      <c r="H520" s="9">
        <f t="shared" si="113"/>
        <v>4.8157499999999999E-2</v>
      </c>
      <c r="I520" s="4"/>
      <c r="J520" s="64">
        <v>540</v>
      </c>
      <c r="K520" s="31">
        <f t="shared" si="105"/>
        <v>17.370000000000005</v>
      </c>
      <c r="L520" s="14">
        <f t="shared" si="111"/>
        <v>4.3425000000000009E-3</v>
      </c>
      <c r="M520" s="4"/>
    </row>
    <row r="521" spans="2:13">
      <c r="B521" s="4"/>
      <c r="C521" s="7">
        <v>1.5312500000001701</v>
      </c>
      <c r="D521" s="7">
        <v>1.5416666666668299</v>
      </c>
      <c r="E521" s="30">
        <v>750</v>
      </c>
      <c r="F521" s="60">
        <v>550.54</v>
      </c>
      <c r="G521" s="4">
        <f t="shared" si="112"/>
        <v>199.46000000000004</v>
      </c>
      <c r="H521" s="9">
        <f t="shared" si="113"/>
        <v>4.9865000000000007E-2</v>
      </c>
      <c r="I521" s="4"/>
      <c r="J521" s="64">
        <v>540</v>
      </c>
      <c r="K521" s="31">
        <f t="shared" si="105"/>
        <v>10.539999999999964</v>
      </c>
      <c r="L521" s="14">
        <f t="shared" si="111"/>
        <v>2.6349999999999911E-3</v>
      </c>
      <c r="M521" s="4"/>
    </row>
    <row r="522" spans="2:13">
      <c r="B522" s="4"/>
      <c r="C522" s="7">
        <v>1.5416666666668399</v>
      </c>
      <c r="D522" s="7">
        <v>1.5520833333335</v>
      </c>
      <c r="E522" s="30">
        <v>750</v>
      </c>
      <c r="F522" s="60">
        <v>543.11</v>
      </c>
      <c r="G522" s="4">
        <f t="shared" si="112"/>
        <v>206.89</v>
      </c>
      <c r="H522" s="9">
        <f t="shared" si="113"/>
        <v>5.1722499999999998E-2</v>
      </c>
      <c r="I522" s="4"/>
      <c r="J522" s="64">
        <v>540</v>
      </c>
      <c r="K522" s="31">
        <f t="shared" si="105"/>
        <v>3.1100000000000136</v>
      </c>
      <c r="L522" s="14">
        <f t="shared" si="111"/>
        <v>7.7750000000000345E-4</v>
      </c>
      <c r="M522" s="9"/>
    </row>
    <row r="523" spans="2:13">
      <c r="B523" s="4"/>
      <c r="C523" s="7">
        <v>1.55208333333351</v>
      </c>
      <c r="D523" s="7">
        <v>1.5625000000001701</v>
      </c>
      <c r="E523" s="30">
        <v>750</v>
      </c>
      <c r="F523" s="60">
        <v>544.95000000000005</v>
      </c>
      <c r="G523" s="4">
        <f t="shared" si="112"/>
        <v>205.04999999999995</v>
      </c>
      <c r="H523" s="9">
        <f t="shared" si="113"/>
        <v>5.1262499999999989E-2</v>
      </c>
      <c r="I523" s="4"/>
      <c r="J523" s="64">
        <v>540</v>
      </c>
      <c r="K523" s="31">
        <f t="shared" si="105"/>
        <v>4.9500000000000455</v>
      </c>
      <c r="L523" s="14">
        <f t="shared" si="111"/>
        <v>1.2375000000000114E-3</v>
      </c>
      <c r="M523" s="4"/>
    </row>
    <row r="524" spans="2:13">
      <c r="B524" s="4"/>
      <c r="C524" s="7">
        <v>1.5625000000001801</v>
      </c>
      <c r="D524" s="7">
        <v>1.5729166666668399</v>
      </c>
      <c r="E524" s="30">
        <v>750</v>
      </c>
      <c r="F524" s="60">
        <v>549.42999999999995</v>
      </c>
      <c r="G524" s="4">
        <f t="shared" si="112"/>
        <v>200.57000000000005</v>
      </c>
      <c r="H524" s="9">
        <f t="shared" si="113"/>
        <v>5.0142500000000013E-2</v>
      </c>
      <c r="I524" s="4"/>
      <c r="J524" s="64">
        <v>540</v>
      </c>
      <c r="K524" s="31">
        <f t="shared" si="105"/>
        <v>9.42999999999995</v>
      </c>
      <c r="L524" s="14">
        <f t="shared" si="111"/>
        <v>2.3574999999999876E-3</v>
      </c>
      <c r="M524" s="4"/>
    </row>
    <row r="525" spans="2:13">
      <c r="B525" s="4"/>
      <c r="C525" s="7">
        <v>1.5729166666668499</v>
      </c>
      <c r="D525" s="7">
        <v>1.58333333333351</v>
      </c>
      <c r="E525" s="30">
        <v>750</v>
      </c>
      <c r="F525" s="60">
        <v>544</v>
      </c>
      <c r="G525" s="4">
        <f t="shared" si="112"/>
        <v>206</v>
      </c>
      <c r="H525" s="9">
        <f t="shared" si="113"/>
        <v>5.1499999999999997E-2</v>
      </c>
      <c r="I525" s="4"/>
      <c r="J525" s="64">
        <v>540</v>
      </c>
      <c r="K525" s="31">
        <f t="shared" si="105"/>
        <v>4</v>
      </c>
      <c r="L525" s="14">
        <f t="shared" si="111"/>
        <v>1E-3</v>
      </c>
      <c r="M525" s="4"/>
    </row>
    <row r="526" spans="2:13">
      <c r="B526" s="4"/>
      <c r="C526" s="7">
        <v>1.58333333333352</v>
      </c>
      <c r="D526" s="7">
        <v>1.5937500000001801</v>
      </c>
      <c r="E526" s="30">
        <v>750</v>
      </c>
      <c r="F526" s="60">
        <v>556.32000000000005</v>
      </c>
      <c r="G526" s="4">
        <f t="shared" si="112"/>
        <v>193.67999999999995</v>
      </c>
      <c r="H526" s="9">
        <f t="shared" si="113"/>
        <v>4.8419999999999991E-2</v>
      </c>
      <c r="I526" s="9"/>
      <c r="J526" s="64">
        <v>540</v>
      </c>
      <c r="K526" s="31">
        <f t="shared" si="105"/>
        <v>16.32000000000005</v>
      </c>
      <c r="L526" s="14">
        <f t="shared" si="111"/>
        <v>4.0800000000000124E-3</v>
      </c>
      <c r="M526" s="4"/>
    </row>
    <row r="527" spans="2:13">
      <c r="B527" s="4"/>
      <c r="C527" s="7">
        <v>1.5937500000001901</v>
      </c>
      <c r="D527" s="7">
        <v>1.6041666666668499</v>
      </c>
      <c r="E527" s="30">
        <v>750</v>
      </c>
      <c r="F527" s="60">
        <v>547.13</v>
      </c>
      <c r="G527" s="4">
        <f t="shared" si="112"/>
        <v>202.87</v>
      </c>
      <c r="H527" s="9">
        <f t="shared" si="113"/>
        <v>5.0717499999999999E-2</v>
      </c>
      <c r="I527" s="9"/>
      <c r="J527" s="64">
        <v>540</v>
      </c>
      <c r="K527" s="31">
        <f t="shared" si="105"/>
        <v>7.1299999999999955</v>
      </c>
      <c r="L527" s="14">
        <f t="shared" si="111"/>
        <v>1.7824999999999989E-3</v>
      </c>
      <c r="M527" s="26"/>
    </row>
    <row r="528" spans="2:13">
      <c r="B528" s="47"/>
      <c r="C528" s="7">
        <v>1.6041666666668599</v>
      </c>
      <c r="D528" s="35">
        <v>1.61458333333352</v>
      </c>
      <c r="E528" s="30">
        <v>750</v>
      </c>
      <c r="F528" s="60">
        <v>543.9</v>
      </c>
      <c r="G528" s="4">
        <f t="shared" si="112"/>
        <v>206.10000000000002</v>
      </c>
      <c r="H528" s="9">
        <f t="shared" si="113"/>
        <v>5.1525000000000008E-2</v>
      </c>
      <c r="I528" s="4"/>
      <c r="J528" s="64">
        <v>540</v>
      </c>
      <c r="K528" s="31">
        <f t="shared" si="105"/>
        <v>3.8999999999999773</v>
      </c>
      <c r="L528" s="14">
        <f t="shared" si="111"/>
        <v>9.7499999999999432E-4</v>
      </c>
      <c r="M528" s="4"/>
    </row>
    <row r="529" spans="2:13">
      <c r="B529" s="4"/>
      <c r="C529" s="7">
        <v>1.61458333333353</v>
      </c>
      <c r="D529" s="7">
        <v>1.6250000000001901</v>
      </c>
      <c r="E529" s="30">
        <v>750</v>
      </c>
      <c r="F529" s="60">
        <v>586.08000000000004</v>
      </c>
      <c r="G529" s="4">
        <f t="shared" si="112"/>
        <v>163.91999999999996</v>
      </c>
      <c r="H529" s="9">
        <f t="shared" si="113"/>
        <v>4.0979999999999989E-2</v>
      </c>
      <c r="I529" s="4"/>
      <c r="J529" s="29">
        <f>J528+80</f>
        <v>620</v>
      </c>
      <c r="K529" s="31">
        <f>J529-F529</f>
        <v>33.919999999999959</v>
      </c>
      <c r="L529" s="14">
        <f t="shared" si="111"/>
        <v>8.4799999999999893E-3</v>
      </c>
      <c r="M529" s="4"/>
    </row>
    <row r="530" spans="2:13">
      <c r="B530" s="4"/>
      <c r="C530" s="7">
        <v>1.6250000000002001</v>
      </c>
      <c r="D530" s="7">
        <v>1.6354166666668599</v>
      </c>
      <c r="E530" s="30">
        <v>750</v>
      </c>
      <c r="F530" s="60">
        <v>668.24</v>
      </c>
      <c r="G530" s="4">
        <f t="shared" si="112"/>
        <v>81.759999999999991</v>
      </c>
      <c r="H530" s="9">
        <f t="shared" si="113"/>
        <v>2.0439999999999996E-2</v>
      </c>
      <c r="I530" s="4"/>
      <c r="J530" s="64">
        <f t="shared" ref="J530" si="115">J529+80</f>
        <v>700</v>
      </c>
      <c r="K530" s="31">
        <f t="shared" ref="K530:K531" si="116">J530-F530</f>
        <v>31.759999999999991</v>
      </c>
      <c r="L530" s="14">
        <f t="shared" si="111"/>
        <v>7.9399999999999974E-3</v>
      </c>
      <c r="M530" s="4"/>
    </row>
    <row r="531" spans="2:13">
      <c r="B531" s="4"/>
      <c r="C531" s="7">
        <v>1.6354166666668699</v>
      </c>
      <c r="D531" s="7">
        <v>1.64583333333353</v>
      </c>
      <c r="E531" s="30">
        <v>750</v>
      </c>
      <c r="F531" s="60">
        <v>727.34</v>
      </c>
      <c r="G531" s="4">
        <f t="shared" si="112"/>
        <v>22.659999999999968</v>
      </c>
      <c r="H531" s="9">
        <f t="shared" si="113"/>
        <v>5.6649999999999921E-3</v>
      </c>
      <c r="I531" s="4"/>
      <c r="J531" s="64">
        <v>750</v>
      </c>
      <c r="K531" s="31">
        <f t="shared" si="116"/>
        <v>22.659999999999968</v>
      </c>
      <c r="L531" s="14">
        <f t="shared" si="111"/>
        <v>5.6649999999999921E-3</v>
      </c>
      <c r="M531" s="4"/>
    </row>
    <row r="532" spans="2:13">
      <c r="B532" s="4"/>
      <c r="C532" s="7"/>
      <c r="D532" s="7"/>
      <c r="E532" s="30"/>
      <c r="F532" s="60"/>
      <c r="G532" s="4"/>
      <c r="H532" s="9"/>
      <c r="I532" s="9">
        <f>SUM(H516:H531)</f>
        <v>0.6335050000000001</v>
      </c>
      <c r="J532" s="64"/>
      <c r="K532" s="31"/>
      <c r="L532" s="14"/>
      <c r="M532" s="4">
        <f>SUM(L516:L531)</f>
        <v>8.1754999999999994E-2</v>
      </c>
    </row>
    <row r="533" spans="2:13">
      <c r="B533" s="34">
        <v>46036</v>
      </c>
      <c r="C533" s="7">
        <v>1.6562500000002101</v>
      </c>
      <c r="D533" s="7">
        <v>1.6666666666668699</v>
      </c>
      <c r="E533" s="30">
        <v>750</v>
      </c>
      <c r="F533" s="60">
        <v>744.78</v>
      </c>
      <c r="G533" s="4">
        <f t="shared" si="112"/>
        <v>5.2200000000000273</v>
      </c>
      <c r="H533" s="9">
        <f t="shared" si="113"/>
        <v>1.3050000000000069E-3</v>
      </c>
      <c r="I533" s="4"/>
      <c r="J533" s="29">
        <f>E533-55</f>
        <v>695</v>
      </c>
      <c r="K533" s="31">
        <f t="shared" ref="K533:K589" si="117">F533-J533</f>
        <v>49.779999999999973</v>
      </c>
      <c r="L533" s="14"/>
      <c r="M533" s="4"/>
    </row>
    <row r="534" spans="2:13">
      <c r="B534" s="4"/>
      <c r="C534" s="7">
        <v>1.6666666666668899</v>
      </c>
      <c r="D534" s="7">
        <v>1.67708333333354</v>
      </c>
      <c r="E534" s="30">
        <v>750</v>
      </c>
      <c r="F534" s="60">
        <v>680.07</v>
      </c>
      <c r="G534" s="4">
        <f t="shared" si="112"/>
        <v>69.92999999999995</v>
      </c>
      <c r="H534" s="9">
        <f t="shared" si="113"/>
        <v>1.7482499999999988E-2</v>
      </c>
      <c r="I534" s="4"/>
      <c r="J534" s="29">
        <f>J533-80</f>
        <v>615</v>
      </c>
      <c r="K534" s="31">
        <f t="shared" si="117"/>
        <v>65.07000000000005</v>
      </c>
      <c r="L534" s="14">
        <f t="shared" si="111"/>
        <v>1.6267500000000011E-2</v>
      </c>
      <c r="M534" s="4"/>
    </row>
    <row r="535" spans="2:13">
      <c r="B535" s="4"/>
      <c r="C535" s="7">
        <v>1.67708333333356</v>
      </c>
      <c r="D535" s="7">
        <v>1.6875000000002101</v>
      </c>
      <c r="E535" s="30">
        <v>750</v>
      </c>
      <c r="F535" s="60">
        <v>630.16999999999996</v>
      </c>
      <c r="G535" s="4">
        <f t="shared" si="112"/>
        <v>119.83000000000004</v>
      </c>
      <c r="H535" s="9">
        <f t="shared" si="113"/>
        <v>2.9957500000000012E-2</v>
      </c>
      <c r="I535" s="4"/>
      <c r="J535" s="64">
        <v>540</v>
      </c>
      <c r="K535" s="31">
        <f t="shared" si="117"/>
        <v>90.169999999999959</v>
      </c>
      <c r="L535" s="14">
        <f t="shared" si="111"/>
        <v>2.254249999999999E-2</v>
      </c>
      <c r="M535" s="4"/>
    </row>
    <row r="536" spans="2:13">
      <c r="B536" s="4"/>
      <c r="C536" s="7">
        <v>1.68750000000023</v>
      </c>
      <c r="D536" s="35">
        <v>1.6979166666668799</v>
      </c>
      <c r="E536" s="30">
        <v>750</v>
      </c>
      <c r="F536" s="60">
        <v>569.17999999999995</v>
      </c>
      <c r="G536" s="4">
        <f t="shared" si="112"/>
        <v>180.82000000000005</v>
      </c>
      <c r="H536" s="9">
        <f t="shared" si="113"/>
        <v>4.5205000000000009E-2</v>
      </c>
      <c r="I536" s="4"/>
      <c r="J536" s="64">
        <f>J535+30</f>
        <v>570</v>
      </c>
      <c r="K536" s="31">
        <f>J536-F536</f>
        <v>0.82000000000005002</v>
      </c>
      <c r="L536" s="14">
        <f t="shared" si="111"/>
        <v>2.0500000000001252E-4</v>
      </c>
      <c r="M536" s="4"/>
    </row>
    <row r="537" spans="2:13">
      <c r="B537" s="4"/>
      <c r="C537" s="7">
        <v>1.6979166666669001</v>
      </c>
      <c r="D537" s="7">
        <v>1.70833333333355</v>
      </c>
      <c r="E537" s="30">
        <v>750</v>
      </c>
      <c r="F537" s="60">
        <v>632.30999999999995</v>
      </c>
      <c r="G537" s="4">
        <f t="shared" si="112"/>
        <v>117.69000000000005</v>
      </c>
      <c r="H537" s="9">
        <f t="shared" si="113"/>
        <v>2.9422500000000015E-2</v>
      </c>
      <c r="I537" s="4"/>
      <c r="J537" s="29">
        <f>J536+80</f>
        <v>650</v>
      </c>
      <c r="K537" s="31">
        <f t="shared" ref="K537:K539" si="118">J537-F537</f>
        <v>17.690000000000055</v>
      </c>
      <c r="L537" s="14">
        <f t="shared" si="111"/>
        <v>4.4225000000000132E-3</v>
      </c>
      <c r="M537" s="9"/>
    </row>
    <row r="538" spans="2:13">
      <c r="B538" s="4"/>
      <c r="C538" s="7">
        <v>1.70833333333356</v>
      </c>
      <c r="D538" s="7">
        <v>1.71875000000022</v>
      </c>
      <c r="E538" s="30">
        <v>750</v>
      </c>
      <c r="F538" s="60">
        <v>716.11</v>
      </c>
      <c r="G538" s="4">
        <f t="shared" si="112"/>
        <v>33.889999999999986</v>
      </c>
      <c r="H538" s="9">
        <f t="shared" si="113"/>
        <v>8.4724999999999974E-3</v>
      </c>
      <c r="I538" s="4"/>
      <c r="J538" s="64">
        <f t="shared" ref="J538" si="119">J537+80</f>
        <v>730</v>
      </c>
      <c r="K538" s="31">
        <f t="shared" si="118"/>
        <v>13.889999999999986</v>
      </c>
      <c r="L538" s="14">
        <f t="shared" si="111"/>
        <v>3.4724999999999964E-3</v>
      </c>
      <c r="M538" s="4"/>
    </row>
    <row r="539" spans="2:13">
      <c r="B539" s="4"/>
      <c r="C539" s="7">
        <v>1.71875000000023</v>
      </c>
      <c r="D539" s="7">
        <v>1.7291666666668899</v>
      </c>
      <c r="E539" s="30">
        <v>750</v>
      </c>
      <c r="F539" s="60">
        <v>761.3</v>
      </c>
      <c r="G539" s="4">
        <f t="shared" si="112"/>
        <v>-11.299999999999955</v>
      </c>
      <c r="H539" s="76">
        <v>0</v>
      </c>
      <c r="I539" s="4"/>
      <c r="J539" s="64">
        <v>750</v>
      </c>
      <c r="K539" s="31">
        <f t="shared" si="118"/>
        <v>-11.299999999999955</v>
      </c>
      <c r="L539" s="14">
        <f t="shared" si="111"/>
        <v>0</v>
      </c>
      <c r="M539" s="4"/>
    </row>
    <row r="540" spans="2:13">
      <c r="B540" s="4"/>
      <c r="C540" s="7"/>
      <c r="D540" s="7"/>
      <c r="E540" s="30"/>
      <c r="F540" s="60"/>
      <c r="G540" s="4"/>
      <c r="H540" s="9"/>
      <c r="I540" s="9">
        <f>SUM(H533:H539)</f>
        <v>0.13184500000000005</v>
      </c>
      <c r="J540" s="64"/>
      <c r="K540" s="31"/>
      <c r="L540" s="14"/>
      <c r="M540" s="4">
        <f>SUM(L533:L539)</f>
        <v>4.6910000000000014E-2</v>
      </c>
    </row>
    <row r="541" spans="2:13">
      <c r="B541" s="34">
        <v>46036</v>
      </c>
      <c r="C541" s="7">
        <v>1.9583333333336499</v>
      </c>
      <c r="D541" s="7">
        <v>1.9687500000003</v>
      </c>
      <c r="E541" s="30">
        <v>750</v>
      </c>
      <c r="F541" s="60">
        <v>751.45</v>
      </c>
      <c r="G541" s="4">
        <f t="shared" si="112"/>
        <v>-1.4500000000000455</v>
      </c>
      <c r="H541" s="76">
        <v>0</v>
      </c>
      <c r="I541" s="5"/>
      <c r="J541" s="29">
        <f>E541-30</f>
        <v>720</v>
      </c>
      <c r="K541" s="31">
        <f t="shared" si="117"/>
        <v>31.450000000000045</v>
      </c>
      <c r="L541" s="14"/>
      <c r="M541" s="5"/>
    </row>
    <row r="542" spans="2:13">
      <c r="B542" s="47"/>
      <c r="C542" s="7">
        <v>1.96875000000032</v>
      </c>
      <c r="D542" s="7">
        <v>1.9791666666669701</v>
      </c>
      <c r="E542" s="30">
        <v>750</v>
      </c>
      <c r="F542" s="60">
        <v>684.43</v>
      </c>
      <c r="G542" s="4">
        <f t="shared" si="112"/>
        <v>65.57000000000005</v>
      </c>
      <c r="H542" s="9">
        <f t="shared" si="113"/>
        <v>1.6392500000000011E-2</v>
      </c>
      <c r="I542" s="4"/>
      <c r="J542" s="29">
        <f>J541-80</f>
        <v>640</v>
      </c>
      <c r="K542" s="31">
        <f t="shared" si="117"/>
        <v>44.42999999999995</v>
      </c>
      <c r="L542" s="14">
        <f t="shared" ref="L542:L603" si="120">IF(K542/4000&gt;0,K542/4000,0)</f>
        <v>1.1107499999999987E-2</v>
      </c>
      <c r="M542" s="4"/>
    </row>
    <row r="543" spans="2:13">
      <c r="B543" s="4"/>
      <c r="C543" s="7">
        <v>1.97916666666699</v>
      </c>
      <c r="D543" s="7">
        <v>1.9895833333336399</v>
      </c>
      <c r="E543" s="30">
        <v>750</v>
      </c>
      <c r="F543" s="60">
        <v>588.57000000000005</v>
      </c>
      <c r="G543" s="4">
        <f t="shared" si="112"/>
        <v>161.42999999999995</v>
      </c>
      <c r="H543" s="9">
        <f t="shared" si="113"/>
        <v>4.0357499999999991E-2</v>
      </c>
      <c r="I543" s="4"/>
      <c r="J543" s="64">
        <f t="shared" ref="J543" si="121">J542-80</f>
        <v>560</v>
      </c>
      <c r="K543" s="31">
        <f t="shared" si="117"/>
        <v>28.57000000000005</v>
      </c>
      <c r="L543" s="14">
        <f t="shared" si="120"/>
        <v>7.1425000000000126E-3</v>
      </c>
      <c r="M543" s="4"/>
    </row>
    <row r="544" spans="2:13">
      <c r="B544" s="4"/>
      <c r="C544" s="7">
        <v>1.9895833333336601</v>
      </c>
      <c r="D544" s="35">
        <v>2.00000000000031</v>
      </c>
      <c r="E544" s="30">
        <v>750</v>
      </c>
      <c r="F544" s="61">
        <v>545.51</v>
      </c>
      <c r="G544" s="4">
        <f t="shared" si="112"/>
        <v>204.49</v>
      </c>
      <c r="H544" s="9">
        <f t="shared" si="113"/>
        <v>5.1122500000000001E-2</v>
      </c>
      <c r="I544" s="4"/>
      <c r="J544" s="64">
        <v>540</v>
      </c>
      <c r="K544" s="31">
        <f t="shared" si="117"/>
        <v>5.5099999999999909</v>
      </c>
      <c r="L544" s="14">
        <f t="shared" si="120"/>
        <v>1.3774999999999976E-3</v>
      </c>
      <c r="M544" s="4"/>
    </row>
    <row r="545" spans="2:25">
      <c r="B545" s="4"/>
      <c r="C545" s="7"/>
      <c r="D545" s="7"/>
      <c r="E545" s="30"/>
      <c r="F545" s="36"/>
      <c r="G545" s="4"/>
      <c r="H545" s="9"/>
      <c r="I545" s="9">
        <f>SUM(H541:H544)</f>
        <v>0.10787250000000001</v>
      </c>
      <c r="J545" s="64"/>
      <c r="K545" s="31"/>
      <c r="L545" s="14"/>
      <c r="M545" s="4">
        <f>SUM(L541:L544)</f>
        <v>1.9627499999999996E-2</v>
      </c>
    </row>
    <row r="546" spans="2:25">
      <c r="B546" s="34">
        <v>46037</v>
      </c>
      <c r="C546" s="7">
        <v>1</v>
      </c>
      <c r="D546" s="7">
        <v>1.0104166666666701</v>
      </c>
      <c r="E546" s="30">
        <v>750</v>
      </c>
      <c r="F546" s="60">
        <v>539.88</v>
      </c>
      <c r="G546" s="4">
        <f t="shared" si="112"/>
        <v>210.12</v>
      </c>
      <c r="H546" s="9">
        <f t="shared" si="113"/>
        <v>5.253E-2</v>
      </c>
      <c r="I546" s="4"/>
      <c r="J546" s="29">
        <v>540</v>
      </c>
      <c r="K546" s="31">
        <f t="shared" si="117"/>
        <v>-0.12000000000000455</v>
      </c>
      <c r="L546" s="14"/>
      <c r="M546" s="4"/>
    </row>
    <row r="547" spans="2:25">
      <c r="B547" s="4"/>
      <c r="C547" s="7">
        <v>1.0104166666666701</v>
      </c>
      <c r="D547" s="7">
        <v>1.0208333333333399</v>
      </c>
      <c r="E547" s="30">
        <v>750</v>
      </c>
      <c r="F547" s="60">
        <v>545.63</v>
      </c>
      <c r="G547" s="4">
        <f t="shared" si="112"/>
        <v>204.37</v>
      </c>
      <c r="H547" s="9">
        <f t="shared" si="113"/>
        <v>5.1092499999999999E-2</v>
      </c>
      <c r="I547" s="4"/>
      <c r="J547" s="29">
        <v>540</v>
      </c>
      <c r="K547" s="31">
        <f t="shared" si="117"/>
        <v>5.6299999999999955</v>
      </c>
      <c r="L547" s="14">
        <f t="shared" si="120"/>
        <v>1.4074999999999988E-3</v>
      </c>
      <c r="M547" s="4"/>
    </row>
    <row r="548" spans="2:25">
      <c r="B548" s="47"/>
      <c r="C548" s="7">
        <v>1.0208333333333399</v>
      </c>
      <c r="D548" s="7">
        <v>1.03125000000001</v>
      </c>
      <c r="E548" s="30">
        <v>750</v>
      </c>
      <c r="F548" s="60">
        <v>542.24</v>
      </c>
      <c r="G548" s="4">
        <f t="shared" si="112"/>
        <v>207.76</v>
      </c>
      <c r="H548" s="9">
        <f t="shared" si="113"/>
        <v>5.194E-2</v>
      </c>
      <c r="I548" s="4"/>
      <c r="J548" s="64">
        <v>540</v>
      </c>
      <c r="K548" s="31">
        <f t="shared" si="117"/>
        <v>2.2400000000000091</v>
      </c>
      <c r="L548" s="14">
        <f t="shared" si="120"/>
        <v>5.6000000000000223E-4</v>
      </c>
      <c r="M548" s="4"/>
    </row>
    <row r="549" spans="2:25">
      <c r="B549" s="4"/>
      <c r="C549" s="7">
        <v>1.03125000000001</v>
      </c>
      <c r="D549" s="7">
        <v>1.0416666666666801</v>
      </c>
      <c r="E549" s="30">
        <v>750</v>
      </c>
      <c r="F549" s="60">
        <v>541.76</v>
      </c>
      <c r="G549" s="4">
        <f t="shared" si="112"/>
        <v>208.24</v>
      </c>
      <c r="H549" s="9">
        <f t="shared" si="113"/>
        <v>5.2060000000000002E-2</v>
      </c>
      <c r="I549" s="4"/>
      <c r="J549" s="64">
        <v>540</v>
      </c>
      <c r="K549" s="31">
        <f t="shared" si="117"/>
        <v>1.7599999999999909</v>
      </c>
      <c r="L549" s="14">
        <f t="shared" si="120"/>
        <v>4.3999999999999774E-4</v>
      </c>
      <c r="M549" s="4"/>
    </row>
    <row r="550" spans="2:25">
      <c r="B550" s="4"/>
      <c r="C550" s="7">
        <v>1.0416666666666801</v>
      </c>
      <c r="D550" s="7">
        <v>1.0520833333333499</v>
      </c>
      <c r="E550" s="30">
        <v>750</v>
      </c>
      <c r="F550" s="60">
        <v>546.57000000000005</v>
      </c>
      <c r="G550" s="4">
        <f t="shared" si="112"/>
        <v>203.42999999999995</v>
      </c>
      <c r="H550" s="9">
        <f t="shared" si="113"/>
        <v>5.0857499999999986E-2</v>
      </c>
      <c r="I550" s="4"/>
      <c r="J550" s="64">
        <v>540</v>
      </c>
      <c r="K550" s="31">
        <f t="shared" si="117"/>
        <v>6.57000000000005</v>
      </c>
      <c r="L550" s="14">
        <f t="shared" si="120"/>
        <v>1.6425000000000124E-3</v>
      </c>
      <c r="M550" s="4"/>
    </row>
    <row r="551" spans="2:25">
      <c r="B551" s="4"/>
      <c r="C551" s="7">
        <v>1.0520833333333499</v>
      </c>
      <c r="D551" s="7">
        <v>1.06250000000002</v>
      </c>
      <c r="E551" s="30">
        <v>750</v>
      </c>
      <c r="F551" s="60">
        <v>544.45000000000005</v>
      </c>
      <c r="G551" s="4">
        <f t="shared" si="112"/>
        <v>205.54999999999995</v>
      </c>
      <c r="H551" s="9">
        <f t="shared" si="113"/>
        <v>5.1387499999999989E-2</v>
      </c>
      <c r="I551" s="9"/>
      <c r="J551" s="64">
        <v>540</v>
      </c>
      <c r="K551" s="31">
        <f t="shared" si="117"/>
        <v>4.4500000000000455</v>
      </c>
      <c r="L551" s="14">
        <f t="shared" si="120"/>
        <v>1.1125000000000113E-3</v>
      </c>
      <c r="M551" s="9"/>
    </row>
    <row r="552" spans="2:25">
      <c r="B552" s="47"/>
      <c r="C552" s="7">
        <v>1.06250000000002</v>
      </c>
      <c r="D552" s="7">
        <v>1.0729166666666901</v>
      </c>
      <c r="E552" s="30">
        <v>750</v>
      </c>
      <c r="F552" s="60">
        <v>542.6</v>
      </c>
      <c r="G552" s="4">
        <f t="shared" si="112"/>
        <v>207.39999999999998</v>
      </c>
      <c r="H552" s="9">
        <f t="shared" si="113"/>
        <v>5.1849999999999993E-2</v>
      </c>
      <c r="I552" s="4"/>
      <c r="J552" s="64">
        <v>540</v>
      </c>
      <c r="K552" s="31">
        <f t="shared" si="117"/>
        <v>2.6000000000000227</v>
      </c>
      <c r="L552" s="14">
        <f t="shared" si="120"/>
        <v>6.5000000000000572E-4</v>
      </c>
      <c r="M552" s="4"/>
      <c r="X552" s="51">
        <v>3.1E-2</v>
      </c>
      <c r="Y552" s="4"/>
    </row>
    <row r="553" spans="2:25">
      <c r="B553" s="4"/>
      <c r="C553" s="7">
        <v>1.0729166666666901</v>
      </c>
      <c r="D553" s="7">
        <v>1.0833333333333599</v>
      </c>
      <c r="E553" s="30">
        <v>750</v>
      </c>
      <c r="F553" s="60">
        <v>543.19000000000005</v>
      </c>
      <c r="G553" s="4">
        <f t="shared" si="112"/>
        <v>206.80999999999995</v>
      </c>
      <c r="H553" s="9">
        <f t="shared" si="113"/>
        <v>5.1702499999999985E-2</v>
      </c>
      <c r="I553" s="4"/>
      <c r="J553" s="64">
        <v>540</v>
      </c>
      <c r="K553" s="31">
        <f t="shared" si="117"/>
        <v>3.1900000000000546</v>
      </c>
      <c r="L553" s="14">
        <f t="shared" si="120"/>
        <v>7.9750000000001369E-4</v>
      </c>
      <c r="M553" s="4"/>
      <c r="X553" s="51">
        <v>6.0000000000000001E-3</v>
      </c>
      <c r="Y553" s="4"/>
    </row>
    <row r="554" spans="2:25">
      <c r="B554" s="4"/>
      <c r="C554" s="7">
        <v>1.0833333333333599</v>
      </c>
      <c r="D554" s="7">
        <v>1.09375000000003</v>
      </c>
      <c r="E554" s="30">
        <v>750</v>
      </c>
      <c r="F554" s="60">
        <v>545.29999999999995</v>
      </c>
      <c r="G554" s="4">
        <f t="shared" si="112"/>
        <v>204.70000000000005</v>
      </c>
      <c r="H554" s="9">
        <f t="shared" si="113"/>
        <v>5.1175000000000012E-2</v>
      </c>
      <c r="I554" s="4"/>
      <c r="J554" s="64">
        <v>540</v>
      </c>
      <c r="K554" s="31">
        <f t="shared" si="117"/>
        <v>5.2999999999999545</v>
      </c>
      <c r="L554" s="14">
        <f t="shared" si="120"/>
        <v>1.3249999999999887E-3</v>
      </c>
      <c r="M554" s="9"/>
      <c r="X554" s="51">
        <v>1E-3</v>
      </c>
      <c r="Y554" s="4"/>
    </row>
    <row r="555" spans="2:25">
      <c r="B555" s="4"/>
      <c r="C555" s="7">
        <v>1.09375000000003</v>
      </c>
      <c r="D555" s="7">
        <v>1.1041666666667</v>
      </c>
      <c r="E555" s="30">
        <v>750</v>
      </c>
      <c r="F555" s="60">
        <v>542.58000000000004</v>
      </c>
      <c r="G555" s="4">
        <f t="shared" ref="G555:G614" si="122">E555-F555</f>
        <v>207.41999999999996</v>
      </c>
      <c r="H555" s="9">
        <f t="shared" ref="H555:H614" si="123">G555/4000</f>
        <v>5.1854999999999991E-2</v>
      </c>
      <c r="I555" s="9"/>
      <c r="J555" s="64">
        <v>540</v>
      </c>
      <c r="K555" s="31">
        <f t="shared" si="117"/>
        <v>2.5800000000000409</v>
      </c>
      <c r="L555" s="14">
        <f t="shared" si="120"/>
        <v>6.4500000000001026E-4</v>
      </c>
      <c r="S555" s="50">
        <v>0.99305555555555547</v>
      </c>
      <c r="T555">
        <v>24</v>
      </c>
      <c r="U555">
        <v>540</v>
      </c>
      <c r="V555">
        <v>800</v>
      </c>
      <c r="X555" s="9"/>
      <c r="Y555" s="9">
        <f>SUM(X552:X554)</f>
        <v>3.7999999999999999E-2</v>
      </c>
    </row>
    <row r="556" spans="2:25">
      <c r="B556" s="47"/>
      <c r="C556" s="7">
        <v>1.1041666666667</v>
      </c>
      <c r="D556" s="7">
        <v>1.1145833333333699</v>
      </c>
      <c r="E556" s="30">
        <v>750</v>
      </c>
      <c r="F556" s="60">
        <v>542.38</v>
      </c>
      <c r="G556" s="4">
        <f t="shared" si="122"/>
        <v>207.62</v>
      </c>
      <c r="H556" s="9">
        <f t="shared" si="123"/>
        <v>5.1905E-2</v>
      </c>
      <c r="I556" s="4"/>
      <c r="J556" s="64">
        <v>540</v>
      </c>
      <c r="K556" s="31">
        <f t="shared" si="117"/>
        <v>2.3799999999999955</v>
      </c>
      <c r="L556" s="14">
        <f t="shared" si="120"/>
        <v>5.9499999999999885E-4</v>
      </c>
      <c r="M556" s="4"/>
    </row>
    <row r="557" spans="2:25">
      <c r="B557" s="47"/>
      <c r="C557" s="7">
        <v>1.1145833333333699</v>
      </c>
      <c r="D557" s="7">
        <v>1.12500000000004</v>
      </c>
      <c r="E557" s="30">
        <v>750</v>
      </c>
      <c r="F557" s="60">
        <v>544.44000000000005</v>
      </c>
      <c r="G557" s="4">
        <f t="shared" si="122"/>
        <v>205.55999999999995</v>
      </c>
      <c r="H557" s="9">
        <f t="shared" si="123"/>
        <v>5.1389999999999984E-2</v>
      </c>
      <c r="I557" s="4"/>
      <c r="J557" s="64">
        <v>540</v>
      </c>
      <c r="K557" s="31">
        <f t="shared" si="117"/>
        <v>4.4400000000000546</v>
      </c>
      <c r="L557" s="14">
        <f t="shared" si="120"/>
        <v>1.1100000000000135E-3</v>
      </c>
      <c r="M557" s="4"/>
    </row>
    <row r="558" spans="2:25">
      <c r="B558" s="4"/>
      <c r="C558" s="7">
        <v>1.12500000000004</v>
      </c>
      <c r="D558" s="7">
        <v>1.13541666666671</v>
      </c>
      <c r="E558" s="30">
        <v>750</v>
      </c>
      <c r="F558" s="60">
        <v>545.12</v>
      </c>
      <c r="G558" s="4">
        <f t="shared" si="122"/>
        <v>204.88</v>
      </c>
      <c r="H558" s="9">
        <f t="shared" si="123"/>
        <v>5.1220000000000002E-2</v>
      </c>
      <c r="I558" s="4"/>
      <c r="J558" s="64">
        <v>540</v>
      </c>
      <c r="K558" s="31">
        <f t="shared" si="117"/>
        <v>5.1200000000000045</v>
      </c>
      <c r="L558" s="14">
        <f t="shared" si="120"/>
        <v>1.2800000000000012E-3</v>
      </c>
      <c r="M558" s="4"/>
    </row>
    <row r="559" spans="2:25">
      <c r="B559" s="4"/>
      <c r="C559" s="7">
        <v>1.13541666666671</v>
      </c>
      <c r="D559" s="7">
        <v>1.1458333333333801</v>
      </c>
      <c r="E559" s="30">
        <v>750</v>
      </c>
      <c r="F559" s="60">
        <v>543.12</v>
      </c>
      <c r="G559" s="4">
        <f t="shared" si="122"/>
        <v>206.88</v>
      </c>
      <c r="H559" s="9">
        <f t="shared" si="123"/>
        <v>5.1720000000000002E-2</v>
      </c>
      <c r="I559" s="4"/>
      <c r="J559" s="64">
        <v>540</v>
      </c>
      <c r="K559" s="31">
        <f t="shared" si="117"/>
        <v>3.1200000000000045</v>
      </c>
      <c r="L559" s="14">
        <f t="shared" si="120"/>
        <v>7.8000000000000118E-4</v>
      </c>
      <c r="M559" s="4"/>
    </row>
    <row r="560" spans="2:25">
      <c r="B560" s="4"/>
      <c r="C560" s="7">
        <v>1.1458333333333801</v>
      </c>
      <c r="D560" s="7">
        <v>1.15625000000005</v>
      </c>
      <c r="E560" s="30">
        <v>750</v>
      </c>
      <c r="F560" s="60">
        <v>545.85</v>
      </c>
      <c r="G560" s="4">
        <f t="shared" si="122"/>
        <v>204.14999999999998</v>
      </c>
      <c r="H560" s="9">
        <f t="shared" si="123"/>
        <v>5.1037499999999993E-2</v>
      </c>
      <c r="I560" s="9"/>
      <c r="J560" s="64">
        <v>540</v>
      </c>
      <c r="K560" s="31">
        <f t="shared" si="117"/>
        <v>5.8500000000000227</v>
      </c>
      <c r="L560" s="14">
        <f t="shared" si="120"/>
        <v>1.4625000000000057E-3</v>
      </c>
      <c r="M560" s="9"/>
    </row>
    <row r="561" spans="2:13">
      <c r="B561" s="47"/>
      <c r="C561" s="7">
        <v>1.15625000000005</v>
      </c>
      <c r="D561" s="7">
        <v>1.16666666666672</v>
      </c>
      <c r="E561" s="30">
        <v>750</v>
      </c>
      <c r="F561" s="60">
        <v>543.91999999999996</v>
      </c>
      <c r="G561" s="4">
        <f t="shared" si="122"/>
        <v>206.08000000000004</v>
      </c>
      <c r="H561" s="9">
        <f t="shared" si="123"/>
        <v>5.152000000000001E-2</v>
      </c>
      <c r="I561" s="4"/>
      <c r="J561" s="64">
        <v>540</v>
      </c>
      <c r="K561" s="31">
        <f t="shared" si="117"/>
        <v>3.9199999999999591</v>
      </c>
      <c r="L561" s="14">
        <f t="shared" si="120"/>
        <v>9.7999999999998978E-4</v>
      </c>
      <c r="M561" s="4"/>
    </row>
    <row r="562" spans="2:13">
      <c r="B562" s="4"/>
      <c r="C562" s="7">
        <v>1.16666666666672</v>
      </c>
      <c r="D562" s="7">
        <v>1.1770833333333901</v>
      </c>
      <c r="E562" s="30">
        <v>750</v>
      </c>
      <c r="F562" s="60">
        <v>543.29</v>
      </c>
      <c r="G562" s="4">
        <f t="shared" si="122"/>
        <v>206.71000000000004</v>
      </c>
      <c r="H562" s="9">
        <f t="shared" si="123"/>
        <v>5.1677500000000008E-2</v>
      </c>
      <c r="I562" s="4"/>
      <c r="J562" s="64">
        <v>540</v>
      </c>
      <c r="K562" s="31">
        <f t="shared" si="117"/>
        <v>3.2899999999999636</v>
      </c>
      <c r="L562" s="14">
        <f t="shared" si="120"/>
        <v>8.2249999999999088E-4</v>
      </c>
      <c r="M562" s="4"/>
    </row>
    <row r="563" spans="2:13">
      <c r="B563" s="4"/>
      <c r="C563" s="7">
        <v>1.1770833333333901</v>
      </c>
      <c r="D563" s="7">
        <v>1.18750000000006</v>
      </c>
      <c r="E563" s="30">
        <v>750</v>
      </c>
      <c r="F563" s="60">
        <v>544.30999999999995</v>
      </c>
      <c r="G563" s="4">
        <f t="shared" si="122"/>
        <v>205.69000000000005</v>
      </c>
      <c r="H563" s="9">
        <f t="shared" si="123"/>
        <v>5.1422500000000017E-2</v>
      </c>
      <c r="I563" s="4"/>
      <c r="J563" s="64">
        <v>540</v>
      </c>
      <c r="K563" s="31">
        <f t="shared" si="117"/>
        <v>4.3099999999999454</v>
      </c>
      <c r="L563" s="14">
        <f t="shared" si="120"/>
        <v>1.0774999999999865E-3</v>
      </c>
      <c r="M563" s="4"/>
    </row>
    <row r="564" spans="2:13">
      <c r="B564" s="4"/>
      <c r="C564" s="7">
        <v>1.18750000000006</v>
      </c>
      <c r="D564" s="7">
        <v>1.19791666666673</v>
      </c>
      <c r="E564" s="30">
        <v>750</v>
      </c>
      <c r="F564" s="60">
        <v>544.57000000000005</v>
      </c>
      <c r="G564" s="4">
        <f t="shared" si="122"/>
        <v>205.42999999999995</v>
      </c>
      <c r="H564" s="9">
        <f t="shared" si="123"/>
        <v>5.1357499999999986E-2</v>
      </c>
      <c r="I564" s="4"/>
      <c r="J564" s="64">
        <v>540</v>
      </c>
      <c r="K564" s="31">
        <f t="shared" si="117"/>
        <v>4.57000000000005</v>
      </c>
      <c r="L564" s="14">
        <f t="shared" si="120"/>
        <v>1.1425000000000124E-3</v>
      </c>
      <c r="M564" s="4"/>
    </row>
    <row r="565" spans="2:13">
      <c r="B565" s="4"/>
      <c r="C565" s="7">
        <v>1.19791666666673</v>
      </c>
      <c r="D565" s="35">
        <v>1.2083333333334001</v>
      </c>
      <c r="E565" s="30">
        <v>750</v>
      </c>
      <c r="F565" s="60">
        <v>547.28</v>
      </c>
      <c r="G565" s="4">
        <f t="shared" si="122"/>
        <v>202.72000000000003</v>
      </c>
      <c r="H565" s="9">
        <f t="shared" si="123"/>
        <v>5.068000000000001E-2</v>
      </c>
      <c r="I565" s="4"/>
      <c r="J565" s="64">
        <v>540</v>
      </c>
      <c r="K565" s="31">
        <f t="shared" si="117"/>
        <v>7.2799999999999727</v>
      </c>
      <c r="L565" s="14">
        <f t="shared" si="120"/>
        <v>1.8199999999999933E-3</v>
      </c>
      <c r="M565" s="4"/>
    </row>
    <row r="566" spans="2:13">
      <c r="B566" s="4"/>
      <c r="C566" s="7">
        <v>1.2083333333334001</v>
      </c>
      <c r="D566" s="7">
        <v>1.2187500000000699</v>
      </c>
      <c r="E566" s="30">
        <v>750</v>
      </c>
      <c r="F566" s="60">
        <v>633.14</v>
      </c>
      <c r="G566" s="4">
        <f t="shared" si="122"/>
        <v>116.86000000000001</v>
      </c>
      <c r="H566" s="9">
        <f t="shared" si="123"/>
        <v>2.9215000000000005E-2</v>
      </c>
      <c r="I566" s="9"/>
      <c r="J566" s="29">
        <f>J565+80</f>
        <v>620</v>
      </c>
      <c r="K566" s="31">
        <f>J566-F566</f>
        <v>-13.139999999999986</v>
      </c>
      <c r="L566" s="14">
        <f t="shared" si="120"/>
        <v>0</v>
      </c>
      <c r="M566" s="9"/>
    </row>
    <row r="567" spans="2:13">
      <c r="B567" s="47"/>
      <c r="C567" s="7">
        <v>1.2187500000000699</v>
      </c>
      <c r="D567" s="7">
        <v>1.22916666666674</v>
      </c>
      <c r="E567" s="30">
        <v>750</v>
      </c>
      <c r="F567" s="60">
        <v>735.61</v>
      </c>
      <c r="G567" s="4">
        <f t="shared" si="122"/>
        <v>14.389999999999986</v>
      </c>
      <c r="H567" s="9">
        <f t="shared" si="123"/>
        <v>3.5974999999999965E-3</v>
      </c>
      <c r="I567" s="4"/>
      <c r="J567" s="64">
        <f t="shared" ref="J567" si="124">J566+80</f>
        <v>700</v>
      </c>
      <c r="K567" s="31">
        <f t="shared" ref="K567:K568" si="125">J567-F567</f>
        <v>-35.610000000000014</v>
      </c>
      <c r="L567" s="14">
        <f t="shared" si="120"/>
        <v>0</v>
      </c>
      <c r="M567" s="4"/>
    </row>
    <row r="568" spans="2:13">
      <c r="B568" s="4"/>
      <c r="C568" s="7">
        <v>1.22916666666674</v>
      </c>
      <c r="D568" s="7">
        <v>1.2395833333334101</v>
      </c>
      <c r="E568" s="30">
        <v>750</v>
      </c>
      <c r="F568" s="60">
        <v>756.4</v>
      </c>
      <c r="G568" s="4">
        <f t="shared" si="122"/>
        <v>-6.3999999999999773</v>
      </c>
      <c r="H568" s="76">
        <v>0</v>
      </c>
      <c r="I568" s="9"/>
      <c r="J568" s="64">
        <v>750</v>
      </c>
      <c r="K568" s="31">
        <f t="shared" si="125"/>
        <v>-6.3999999999999773</v>
      </c>
      <c r="L568" s="14">
        <f t="shared" si="120"/>
        <v>0</v>
      </c>
      <c r="M568" s="4"/>
    </row>
    <row r="569" spans="2:13">
      <c r="B569" s="47"/>
      <c r="C569" s="7"/>
      <c r="D569" s="7"/>
      <c r="E569" s="30"/>
      <c r="F569" s="60"/>
      <c r="G569" s="4"/>
      <c r="H569" s="9"/>
      <c r="I569" s="9">
        <f>SUM(H546:H568)</f>
        <v>1.0631924999999998</v>
      </c>
      <c r="J569" s="64"/>
      <c r="K569" s="31"/>
      <c r="L569" s="14"/>
      <c r="M569" s="4">
        <f>SUM(L546:L568)</f>
        <v>1.9650000000000032E-2</v>
      </c>
    </row>
    <row r="570" spans="2:13">
      <c r="B570" s="34">
        <v>46037</v>
      </c>
      <c r="C570" s="7">
        <v>1.4166666666668</v>
      </c>
      <c r="D570" s="7">
        <v>1.42708333333346</v>
      </c>
      <c r="E570" s="30">
        <v>750</v>
      </c>
      <c r="F570" s="60">
        <v>757.49</v>
      </c>
      <c r="G570" s="4">
        <f t="shared" si="122"/>
        <v>-7.4900000000000091</v>
      </c>
      <c r="H570" s="76">
        <v>0</v>
      </c>
      <c r="I570" s="4"/>
      <c r="J570" s="64">
        <f>E570-30</f>
        <v>720</v>
      </c>
      <c r="K570" s="31">
        <f t="shared" si="117"/>
        <v>37.490000000000009</v>
      </c>
      <c r="L570" s="14"/>
      <c r="M570" s="4"/>
    </row>
    <row r="571" spans="2:13">
      <c r="B571" s="4"/>
      <c r="C571" s="7">
        <v>1.42708333333347</v>
      </c>
      <c r="D571" s="7">
        <v>1.4375000000001299</v>
      </c>
      <c r="E571" s="30">
        <v>750</v>
      </c>
      <c r="F571" s="60">
        <v>752.45</v>
      </c>
      <c r="G571" s="4">
        <f t="shared" si="122"/>
        <v>-2.4500000000000455</v>
      </c>
      <c r="H571" s="76">
        <v>0</v>
      </c>
      <c r="I571" s="4"/>
      <c r="J571" s="29">
        <f>J570-80</f>
        <v>640</v>
      </c>
      <c r="K571" s="31">
        <f t="shared" si="117"/>
        <v>112.45000000000005</v>
      </c>
      <c r="L571" s="14">
        <f t="shared" si="120"/>
        <v>2.8112500000000012E-2</v>
      </c>
      <c r="M571" s="4"/>
    </row>
    <row r="572" spans="2:13">
      <c r="B572" s="4"/>
      <c r="C572" s="7">
        <v>1.4375000000001401</v>
      </c>
      <c r="D572" s="7">
        <v>1.4479166666668</v>
      </c>
      <c r="E572" s="30">
        <v>750</v>
      </c>
      <c r="F572" s="60">
        <v>756.07</v>
      </c>
      <c r="G572" s="4">
        <f t="shared" si="122"/>
        <v>-6.07000000000005</v>
      </c>
      <c r="H572" s="76">
        <v>0</v>
      </c>
      <c r="I572" s="4"/>
      <c r="J572" s="64">
        <f t="shared" ref="J572" si="126">J571-80</f>
        <v>560</v>
      </c>
      <c r="K572" s="31">
        <f t="shared" si="117"/>
        <v>196.07000000000005</v>
      </c>
      <c r="L572" s="14">
        <f t="shared" si="120"/>
        <v>4.9017500000000012E-2</v>
      </c>
      <c r="M572" s="9"/>
    </row>
    <row r="573" spans="2:13">
      <c r="B573" s="4"/>
      <c r="C573" s="7">
        <v>1.44791666666681</v>
      </c>
      <c r="D573" s="7">
        <v>1.45833333333347</v>
      </c>
      <c r="E573" s="30">
        <v>750</v>
      </c>
      <c r="F573" s="60">
        <v>754.1</v>
      </c>
      <c r="G573" s="4">
        <f t="shared" si="122"/>
        <v>-4.1000000000000227</v>
      </c>
      <c r="H573" s="76">
        <v>0</v>
      </c>
      <c r="I573" s="4"/>
      <c r="J573" s="64">
        <v>540</v>
      </c>
      <c r="K573" s="31">
        <f t="shared" si="117"/>
        <v>214.10000000000002</v>
      </c>
      <c r="L573" s="14">
        <f t="shared" si="120"/>
        <v>5.3525000000000003E-2</v>
      </c>
      <c r="M573" s="4"/>
    </row>
    <row r="574" spans="2:13">
      <c r="B574" s="4"/>
      <c r="C574" s="7">
        <v>1.45833333333348</v>
      </c>
      <c r="D574" s="7">
        <v>1.4687500000001401</v>
      </c>
      <c r="E574" s="30">
        <v>750</v>
      </c>
      <c r="F574" s="60">
        <v>730.69</v>
      </c>
      <c r="G574" s="4">
        <f t="shared" si="122"/>
        <v>19.309999999999945</v>
      </c>
      <c r="H574" s="9">
        <f t="shared" si="123"/>
        <v>4.8274999999999863E-3</v>
      </c>
      <c r="I574" s="4"/>
      <c r="J574" s="64">
        <v>540</v>
      </c>
      <c r="K574" s="31">
        <f t="shared" si="117"/>
        <v>190.69000000000005</v>
      </c>
      <c r="L574" s="14">
        <f t="shared" si="120"/>
        <v>4.7672500000000013E-2</v>
      </c>
      <c r="M574" s="4"/>
    </row>
    <row r="575" spans="2:13">
      <c r="B575" s="4"/>
      <c r="C575" s="7">
        <v>1.4687500000001501</v>
      </c>
      <c r="D575" s="7">
        <v>1.47916666666681</v>
      </c>
      <c r="E575" s="30">
        <v>750</v>
      </c>
      <c r="F575" s="60">
        <v>646.14</v>
      </c>
      <c r="G575" s="4">
        <f t="shared" si="122"/>
        <v>103.86000000000001</v>
      </c>
      <c r="H575" s="9">
        <f t="shared" si="123"/>
        <v>2.5965000000000002E-2</v>
      </c>
      <c r="I575" s="4"/>
      <c r="J575" s="64">
        <v>540</v>
      </c>
      <c r="K575" s="31">
        <f t="shared" si="117"/>
        <v>106.13999999999999</v>
      </c>
      <c r="L575" s="14">
        <f t="shared" si="120"/>
        <v>2.6534999999999996E-2</v>
      </c>
      <c r="M575" s="4"/>
    </row>
    <row r="576" spans="2:13" ht="15.75" thickBot="1">
      <c r="B576" s="4"/>
      <c r="C576" s="7">
        <v>1.47916666666682</v>
      </c>
      <c r="D576" s="7">
        <v>1.48958333333348</v>
      </c>
      <c r="E576" s="30">
        <v>750</v>
      </c>
      <c r="F576" s="60">
        <v>583.88</v>
      </c>
      <c r="G576" s="4">
        <f t="shared" si="122"/>
        <v>166.12</v>
      </c>
      <c r="H576" s="9">
        <f t="shared" si="123"/>
        <v>4.1530000000000004E-2</v>
      </c>
      <c r="I576" s="19"/>
      <c r="J576" s="64">
        <v>540</v>
      </c>
      <c r="K576" s="31">
        <f t="shared" si="117"/>
        <v>43.879999999999995</v>
      </c>
      <c r="L576" s="14">
        <f t="shared" si="120"/>
        <v>1.0969999999999999E-2</v>
      </c>
      <c r="M576" s="32"/>
    </row>
    <row r="577" spans="2:13">
      <c r="B577" s="4"/>
      <c r="C577" s="7">
        <v>1.48958333333349</v>
      </c>
      <c r="D577" s="7">
        <v>1.5000000000001501</v>
      </c>
      <c r="E577" s="30">
        <v>750</v>
      </c>
      <c r="F577" s="60">
        <v>542.5</v>
      </c>
      <c r="G577" s="4">
        <f t="shared" si="122"/>
        <v>207.5</v>
      </c>
      <c r="H577" s="9">
        <f t="shared" si="123"/>
        <v>5.1874999999999998E-2</v>
      </c>
      <c r="I577" s="5"/>
      <c r="J577" s="64">
        <v>540</v>
      </c>
      <c r="K577" s="31">
        <f t="shared" si="117"/>
        <v>2.5</v>
      </c>
      <c r="L577" s="14">
        <f t="shared" si="120"/>
        <v>6.2500000000000001E-4</v>
      </c>
      <c r="M577" s="5"/>
    </row>
    <row r="578" spans="2:13">
      <c r="B578" s="47"/>
      <c r="C578" s="7">
        <v>1.5000000000001601</v>
      </c>
      <c r="D578" s="7">
        <v>1.51041666666682</v>
      </c>
      <c r="E578" s="30">
        <v>750</v>
      </c>
      <c r="F578" s="60">
        <v>545.79</v>
      </c>
      <c r="G578" s="4">
        <f t="shared" si="122"/>
        <v>204.21000000000004</v>
      </c>
      <c r="H578" s="9">
        <f t="shared" si="123"/>
        <v>5.1052500000000008E-2</v>
      </c>
      <c r="I578" s="4"/>
      <c r="J578" s="64">
        <v>540</v>
      </c>
      <c r="K578" s="31">
        <f t="shared" si="117"/>
        <v>5.7899999999999636</v>
      </c>
      <c r="L578" s="14">
        <f t="shared" si="120"/>
        <v>1.4474999999999909E-3</v>
      </c>
      <c r="M578" s="4"/>
    </row>
    <row r="579" spans="2:13">
      <c r="B579" s="4"/>
      <c r="C579" s="7">
        <v>1.5104166666668299</v>
      </c>
      <c r="D579" s="7">
        <v>1.52083333333349</v>
      </c>
      <c r="E579" s="30">
        <v>750</v>
      </c>
      <c r="F579" s="60">
        <v>545.57000000000005</v>
      </c>
      <c r="G579" s="4">
        <f t="shared" si="122"/>
        <v>204.42999999999995</v>
      </c>
      <c r="H579" s="9">
        <f t="shared" si="123"/>
        <v>5.1107499999999986E-2</v>
      </c>
      <c r="I579" s="4"/>
      <c r="J579" s="64">
        <v>540</v>
      </c>
      <c r="K579" s="31">
        <f t="shared" si="117"/>
        <v>5.57000000000005</v>
      </c>
      <c r="L579" s="14">
        <f t="shared" si="120"/>
        <v>1.3925000000000124E-3</v>
      </c>
      <c r="M579" s="4"/>
    </row>
    <row r="580" spans="2:13">
      <c r="B580" s="4"/>
      <c r="C580" s="7">
        <v>1.5208333333335</v>
      </c>
      <c r="D580" s="7">
        <v>1.5312500000001601</v>
      </c>
      <c r="E580" s="30">
        <v>750</v>
      </c>
      <c r="F580" s="60">
        <v>542.71</v>
      </c>
      <c r="G580" s="4">
        <f t="shared" si="122"/>
        <v>207.28999999999996</v>
      </c>
      <c r="H580" s="9">
        <f t="shared" si="123"/>
        <v>5.1822499999999994E-2</v>
      </c>
      <c r="I580" s="4"/>
      <c r="J580" s="64">
        <v>540</v>
      </c>
      <c r="K580" s="31">
        <f t="shared" si="117"/>
        <v>2.7100000000000364</v>
      </c>
      <c r="L580" s="14">
        <f t="shared" si="120"/>
        <v>6.7750000000000904E-4</v>
      </c>
      <c r="M580" s="4"/>
    </row>
    <row r="581" spans="2:13">
      <c r="B581" s="4"/>
      <c r="C581" s="7">
        <v>1.5312500000001701</v>
      </c>
      <c r="D581" s="7">
        <v>1.5416666666668299</v>
      </c>
      <c r="E581" s="30">
        <v>750</v>
      </c>
      <c r="F581" s="60">
        <v>541.1</v>
      </c>
      <c r="G581" s="4">
        <f t="shared" si="122"/>
        <v>208.89999999999998</v>
      </c>
      <c r="H581" s="9">
        <f t="shared" si="123"/>
        <v>5.2224999999999994E-2</v>
      </c>
      <c r="I581" s="9"/>
      <c r="J581" s="64">
        <v>540</v>
      </c>
      <c r="K581" s="31">
        <f t="shared" si="117"/>
        <v>1.1000000000000227</v>
      </c>
      <c r="L581" s="14">
        <f t="shared" si="120"/>
        <v>2.7500000000000571E-4</v>
      </c>
      <c r="M581" s="4"/>
    </row>
    <row r="582" spans="2:13">
      <c r="B582" s="47"/>
      <c r="C582" s="7">
        <v>1.5416666666668399</v>
      </c>
      <c r="D582" s="7">
        <v>1.5520833333335</v>
      </c>
      <c r="E582" s="30">
        <v>750</v>
      </c>
      <c r="F582" s="60">
        <v>543.12</v>
      </c>
      <c r="G582" s="4">
        <f t="shared" si="122"/>
        <v>206.88</v>
      </c>
      <c r="H582" s="9">
        <f t="shared" si="123"/>
        <v>5.1720000000000002E-2</v>
      </c>
      <c r="I582" s="9"/>
      <c r="J582" s="64">
        <v>540</v>
      </c>
      <c r="K582" s="31">
        <f t="shared" si="117"/>
        <v>3.1200000000000045</v>
      </c>
      <c r="L582" s="14">
        <f t="shared" si="120"/>
        <v>7.8000000000000118E-4</v>
      </c>
      <c r="M582" s="9"/>
    </row>
    <row r="583" spans="2:13">
      <c r="B583" s="47"/>
      <c r="C583" s="7">
        <v>1.55208333333351</v>
      </c>
      <c r="D583" s="7">
        <v>1.5625000000001701</v>
      </c>
      <c r="E583" s="30">
        <v>750</v>
      </c>
      <c r="F583" s="60">
        <v>543.29</v>
      </c>
      <c r="G583" s="4">
        <f t="shared" si="122"/>
        <v>206.71000000000004</v>
      </c>
      <c r="H583" s="9">
        <f t="shared" si="123"/>
        <v>5.1677500000000008E-2</v>
      </c>
      <c r="I583" s="4"/>
      <c r="J583" s="64">
        <v>540</v>
      </c>
      <c r="K583" s="31">
        <f t="shared" si="117"/>
        <v>3.2899999999999636</v>
      </c>
      <c r="L583" s="14">
        <f t="shared" si="120"/>
        <v>8.2249999999999088E-4</v>
      </c>
      <c r="M583" s="4"/>
    </row>
    <row r="584" spans="2:13">
      <c r="B584" s="4"/>
      <c r="C584" s="7">
        <v>1.5625000000001801</v>
      </c>
      <c r="D584" s="7">
        <v>1.5729166666668399</v>
      </c>
      <c r="E584" s="30">
        <v>750</v>
      </c>
      <c r="F584" s="60">
        <v>546.32000000000005</v>
      </c>
      <c r="G584" s="4">
        <f t="shared" si="122"/>
        <v>203.67999999999995</v>
      </c>
      <c r="H584" s="9">
        <f t="shared" si="123"/>
        <v>5.0919999999999986E-2</v>
      </c>
      <c r="I584" s="4"/>
      <c r="J584" s="64">
        <v>540</v>
      </c>
      <c r="K584" s="31">
        <f t="shared" si="117"/>
        <v>6.32000000000005</v>
      </c>
      <c r="L584" s="14">
        <f t="shared" si="120"/>
        <v>1.5800000000000126E-3</v>
      </c>
      <c r="M584" s="4"/>
    </row>
    <row r="585" spans="2:13">
      <c r="B585" s="4"/>
      <c r="C585" s="7">
        <v>1.5729166666668499</v>
      </c>
      <c r="D585" s="7">
        <v>1.58333333333351</v>
      </c>
      <c r="E585" s="30">
        <v>750</v>
      </c>
      <c r="F585" s="60">
        <v>547.26</v>
      </c>
      <c r="G585" s="4">
        <f t="shared" si="122"/>
        <v>202.74</v>
      </c>
      <c r="H585" s="9">
        <f t="shared" si="123"/>
        <v>5.0685000000000001E-2</v>
      </c>
      <c r="I585" s="4"/>
      <c r="J585" s="64">
        <v>540</v>
      </c>
      <c r="K585" s="31">
        <f t="shared" si="117"/>
        <v>7.2599999999999909</v>
      </c>
      <c r="L585" s="14">
        <f t="shared" si="120"/>
        <v>1.8149999999999978E-3</v>
      </c>
      <c r="M585" s="4"/>
    </row>
    <row r="586" spans="2:13">
      <c r="B586" s="4"/>
      <c r="C586" s="7">
        <v>1.58333333333352</v>
      </c>
      <c r="D586" s="7">
        <v>1.5937500000001801</v>
      </c>
      <c r="E586" s="30">
        <v>750</v>
      </c>
      <c r="F586" s="60">
        <v>543.04</v>
      </c>
      <c r="G586" s="4">
        <f t="shared" si="122"/>
        <v>206.96000000000004</v>
      </c>
      <c r="H586" s="9">
        <f t="shared" si="123"/>
        <v>5.1740000000000008E-2</v>
      </c>
      <c r="I586" s="4"/>
      <c r="J586" s="64">
        <v>540</v>
      </c>
      <c r="K586" s="31">
        <f t="shared" si="117"/>
        <v>3.0399999999999636</v>
      </c>
      <c r="L586" s="14">
        <f t="shared" si="120"/>
        <v>7.5999999999999093E-4</v>
      </c>
      <c r="M586" s="4"/>
    </row>
    <row r="587" spans="2:13">
      <c r="B587" s="4"/>
      <c r="C587" s="7">
        <v>1.5937500000001901</v>
      </c>
      <c r="D587" s="7">
        <v>1.6041666666668499</v>
      </c>
      <c r="E587" s="30">
        <v>750</v>
      </c>
      <c r="F587" s="60">
        <v>541.54999999999995</v>
      </c>
      <c r="G587" s="4">
        <f t="shared" si="122"/>
        <v>208.45000000000005</v>
      </c>
      <c r="H587" s="9">
        <f t="shared" si="123"/>
        <v>5.2112500000000013E-2</v>
      </c>
      <c r="I587" s="4"/>
      <c r="J587" s="64">
        <v>540</v>
      </c>
      <c r="K587" s="31">
        <f t="shared" si="117"/>
        <v>1.5499999999999545</v>
      </c>
      <c r="L587" s="14">
        <f t="shared" si="120"/>
        <v>3.8749999999998866E-4</v>
      </c>
      <c r="M587" s="4"/>
    </row>
    <row r="588" spans="2:13">
      <c r="B588" s="4"/>
      <c r="C588" s="7">
        <v>1.6041666666668599</v>
      </c>
      <c r="D588" s="7">
        <v>1.61458333333352</v>
      </c>
      <c r="E588" s="30">
        <v>750</v>
      </c>
      <c r="F588" s="60">
        <v>544.20000000000005</v>
      </c>
      <c r="G588" s="4">
        <f t="shared" si="122"/>
        <v>205.79999999999995</v>
      </c>
      <c r="H588" s="9">
        <f t="shared" si="123"/>
        <v>5.1449999999999989E-2</v>
      </c>
      <c r="I588" s="4"/>
      <c r="J588" s="64">
        <v>540</v>
      </c>
      <c r="K588" s="31">
        <f t="shared" si="117"/>
        <v>4.2000000000000455</v>
      </c>
      <c r="L588" s="14">
        <f t="shared" si="120"/>
        <v>1.0500000000000114E-3</v>
      </c>
      <c r="M588" s="9"/>
    </row>
    <row r="589" spans="2:13">
      <c r="B589" s="4"/>
      <c r="C589" s="7">
        <v>1.61458333333353</v>
      </c>
      <c r="D589" s="7">
        <v>1.6250000000001901</v>
      </c>
      <c r="E589" s="30">
        <v>750</v>
      </c>
      <c r="F589" s="60">
        <v>543.94000000000005</v>
      </c>
      <c r="G589" s="4">
        <f t="shared" si="122"/>
        <v>206.05999999999995</v>
      </c>
      <c r="H589" s="9">
        <f t="shared" si="123"/>
        <v>5.1514999999999984E-2</v>
      </c>
      <c r="I589" s="9"/>
      <c r="J589" s="64">
        <v>540</v>
      </c>
      <c r="K589" s="31">
        <f t="shared" si="117"/>
        <v>3.9400000000000546</v>
      </c>
      <c r="L589" s="14">
        <f t="shared" si="120"/>
        <v>9.8500000000001364E-4</v>
      </c>
      <c r="M589" s="9"/>
    </row>
    <row r="590" spans="2:13">
      <c r="B590" s="47"/>
      <c r="C590" s="7">
        <v>1.6250000000002001</v>
      </c>
      <c r="D590" s="7">
        <v>1.6354166666668599</v>
      </c>
      <c r="E590" s="30">
        <v>750</v>
      </c>
      <c r="F590" s="60">
        <v>543.66</v>
      </c>
      <c r="G590" s="4">
        <f t="shared" si="122"/>
        <v>206.34000000000003</v>
      </c>
      <c r="H590" s="9">
        <f t="shared" si="123"/>
        <v>5.1585000000000006E-2</v>
      </c>
      <c r="I590" s="4"/>
      <c r="J590" s="64">
        <v>540</v>
      </c>
      <c r="K590" s="31">
        <f t="shared" ref="K590:K649" si="127">F590-J590</f>
        <v>3.6599999999999682</v>
      </c>
      <c r="L590" s="14">
        <f t="shared" si="120"/>
        <v>9.1499999999999199E-4</v>
      </c>
      <c r="M590" s="9"/>
    </row>
    <row r="591" spans="2:13">
      <c r="B591" s="4"/>
      <c r="C591" s="7">
        <v>1.6354166666668699</v>
      </c>
      <c r="D591" s="7">
        <v>1.64583333333353</v>
      </c>
      <c r="E591" s="30">
        <v>750</v>
      </c>
      <c r="F591" s="60">
        <v>543.84</v>
      </c>
      <c r="G591" s="4">
        <f t="shared" si="122"/>
        <v>206.15999999999997</v>
      </c>
      <c r="H591" s="9">
        <f t="shared" si="123"/>
        <v>5.1539999999999989E-2</v>
      </c>
      <c r="I591" s="9"/>
      <c r="J591" s="64">
        <v>540</v>
      </c>
      <c r="K591" s="31">
        <f t="shared" si="127"/>
        <v>3.8400000000000318</v>
      </c>
      <c r="L591" s="14">
        <f t="shared" si="120"/>
        <v>9.6000000000000794E-4</v>
      </c>
      <c r="M591" s="9"/>
    </row>
    <row r="592" spans="2:13">
      <c r="B592" s="47"/>
      <c r="C592" s="7">
        <v>1.64583333333354</v>
      </c>
      <c r="D592" s="7">
        <v>1.6562500000002001</v>
      </c>
      <c r="E592" s="30">
        <v>750</v>
      </c>
      <c r="F592" s="60">
        <v>544.86</v>
      </c>
      <c r="G592" s="4">
        <f t="shared" si="122"/>
        <v>205.14</v>
      </c>
      <c r="H592" s="9">
        <f t="shared" si="123"/>
        <v>5.1284999999999997E-2</v>
      </c>
      <c r="I592" s="4"/>
      <c r="J592" s="64">
        <v>540</v>
      </c>
      <c r="K592" s="31">
        <f t="shared" si="127"/>
        <v>4.8600000000000136</v>
      </c>
      <c r="L592" s="14">
        <f t="shared" si="120"/>
        <v>1.2150000000000034E-3</v>
      </c>
      <c r="M592" s="9"/>
    </row>
    <row r="593" spans="2:13">
      <c r="B593" s="4"/>
      <c r="C593" s="7">
        <v>1.6562500000002101</v>
      </c>
      <c r="D593" s="7">
        <v>1.6666666666668699</v>
      </c>
      <c r="E593" s="30">
        <v>750</v>
      </c>
      <c r="F593" s="60">
        <v>544.77</v>
      </c>
      <c r="G593" s="4">
        <f t="shared" si="122"/>
        <v>205.23000000000002</v>
      </c>
      <c r="H593" s="9">
        <f t="shared" si="123"/>
        <v>5.1307500000000006E-2</v>
      </c>
      <c r="I593" s="4"/>
      <c r="J593" s="64">
        <v>540</v>
      </c>
      <c r="K593" s="31">
        <f t="shared" si="127"/>
        <v>4.7699999999999818</v>
      </c>
      <c r="L593" s="14">
        <f t="shared" si="120"/>
        <v>1.1924999999999954E-3</v>
      </c>
      <c r="M593" s="9"/>
    </row>
    <row r="594" spans="2:13">
      <c r="B594" s="4"/>
      <c r="C594" s="7">
        <v>1.6666666666668899</v>
      </c>
      <c r="D594" s="7">
        <v>1.67708333333354</v>
      </c>
      <c r="E594" s="30">
        <v>750</v>
      </c>
      <c r="F594" s="60">
        <v>546.79999999999995</v>
      </c>
      <c r="G594" s="4">
        <f t="shared" si="122"/>
        <v>203.20000000000005</v>
      </c>
      <c r="H594" s="9">
        <f t="shared" si="123"/>
        <v>5.0800000000000012E-2</v>
      </c>
      <c r="I594" s="9"/>
      <c r="J594" s="64">
        <v>540</v>
      </c>
      <c r="K594" s="31">
        <f t="shared" si="127"/>
        <v>6.7999999999999545</v>
      </c>
      <c r="L594" s="14">
        <f t="shared" si="120"/>
        <v>1.6999999999999886E-3</v>
      </c>
      <c r="M594" s="9"/>
    </row>
    <row r="595" spans="2:13">
      <c r="B595" s="47"/>
      <c r="C595" s="7">
        <v>1.67708333333356</v>
      </c>
      <c r="D595" s="7">
        <v>1.6875000000002101</v>
      </c>
      <c r="E595" s="30">
        <v>750</v>
      </c>
      <c r="F595" s="60">
        <v>546.79</v>
      </c>
      <c r="G595" s="4">
        <f t="shared" si="122"/>
        <v>203.21000000000004</v>
      </c>
      <c r="H595" s="9">
        <f t="shared" si="123"/>
        <v>5.0802500000000007E-2</v>
      </c>
      <c r="I595" s="4"/>
      <c r="J595" s="64">
        <v>540</v>
      </c>
      <c r="K595" s="31">
        <f t="shared" si="127"/>
        <v>6.7899999999999636</v>
      </c>
      <c r="L595" s="14">
        <f t="shared" si="120"/>
        <v>1.6974999999999909E-3</v>
      </c>
      <c r="M595" s="4"/>
    </row>
    <row r="596" spans="2:13">
      <c r="B596" s="4"/>
      <c r="C596" s="7">
        <v>1.68750000000023</v>
      </c>
      <c r="D596" s="7">
        <v>1.6979166666668799</v>
      </c>
      <c r="E596" s="30">
        <v>750</v>
      </c>
      <c r="F596" s="60">
        <v>547.39</v>
      </c>
      <c r="G596" s="4">
        <f t="shared" si="122"/>
        <v>202.61</v>
      </c>
      <c r="H596" s="9">
        <f t="shared" si="123"/>
        <v>5.0652500000000003E-2</v>
      </c>
      <c r="I596" s="4"/>
      <c r="J596" s="64">
        <v>540</v>
      </c>
      <c r="K596" s="31">
        <f t="shared" si="127"/>
        <v>7.3899999999999864</v>
      </c>
      <c r="L596" s="14">
        <f t="shared" si="120"/>
        <v>1.8474999999999965E-3</v>
      </c>
      <c r="M596" s="4"/>
    </row>
    <row r="597" spans="2:13">
      <c r="B597" s="4"/>
      <c r="C597" s="7">
        <v>1.6979166666669001</v>
      </c>
      <c r="D597" s="7">
        <v>1.70833333333355</v>
      </c>
      <c r="E597" s="30">
        <v>750</v>
      </c>
      <c r="F597" s="60">
        <v>546.26</v>
      </c>
      <c r="G597" s="4">
        <f t="shared" si="122"/>
        <v>203.74</v>
      </c>
      <c r="H597" s="9">
        <f t="shared" si="123"/>
        <v>5.0935000000000001E-2</v>
      </c>
      <c r="I597" s="4"/>
      <c r="J597" s="64">
        <v>540</v>
      </c>
      <c r="K597" s="31">
        <f t="shared" si="127"/>
        <v>6.2599999999999909</v>
      </c>
      <c r="L597" s="14">
        <f t="shared" si="120"/>
        <v>1.5649999999999978E-3</v>
      </c>
      <c r="M597" s="4"/>
    </row>
    <row r="598" spans="2:13">
      <c r="B598" s="4"/>
      <c r="C598" s="7">
        <v>1.70833333333356</v>
      </c>
      <c r="D598" s="7">
        <v>1.71875000000022</v>
      </c>
      <c r="E598" s="30">
        <v>750</v>
      </c>
      <c r="F598" s="60">
        <v>543.42999999999995</v>
      </c>
      <c r="G598" s="4">
        <f t="shared" si="122"/>
        <v>206.57000000000005</v>
      </c>
      <c r="H598" s="9">
        <f t="shared" si="123"/>
        <v>5.1642500000000015E-2</v>
      </c>
      <c r="I598" s="4"/>
      <c r="J598" s="64">
        <v>540</v>
      </c>
      <c r="K598" s="31">
        <f t="shared" si="127"/>
        <v>3.42999999999995</v>
      </c>
      <c r="L598" s="14">
        <f t="shared" si="120"/>
        <v>8.574999999999875E-4</v>
      </c>
      <c r="M598" s="4"/>
    </row>
    <row r="599" spans="2:13">
      <c r="B599" s="4"/>
      <c r="C599" s="7">
        <v>1.71875000000023</v>
      </c>
      <c r="D599" s="7">
        <v>1.7291666666668899</v>
      </c>
      <c r="E599" s="30">
        <v>750</v>
      </c>
      <c r="F599" s="60">
        <v>545.29999999999995</v>
      </c>
      <c r="G599" s="4">
        <f t="shared" si="122"/>
        <v>204.70000000000005</v>
      </c>
      <c r="H599" s="9">
        <f t="shared" si="123"/>
        <v>5.1175000000000012E-2</v>
      </c>
      <c r="I599" s="4"/>
      <c r="J599" s="64">
        <v>540</v>
      </c>
      <c r="K599" s="31">
        <f t="shared" si="127"/>
        <v>5.2999999999999545</v>
      </c>
      <c r="L599" s="14">
        <f t="shared" si="120"/>
        <v>1.3249999999999887E-3</v>
      </c>
      <c r="M599" s="4"/>
    </row>
    <row r="600" spans="2:13">
      <c r="B600" s="4"/>
      <c r="C600" s="7">
        <v>1.7291666666669001</v>
      </c>
      <c r="D600" s="35">
        <v>1.73958333333356</v>
      </c>
      <c r="E600" s="30">
        <v>750</v>
      </c>
      <c r="F600" s="60">
        <v>546.55999999999995</v>
      </c>
      <c r="G600" s="4">
        <f t="shared" si="122"/>
        <v>203.44000000000005</v>
      </c>
      <c r="H600" s="9">
        <f t="shared" si="123"/>
        <v>5.0860000000000016E-2</v>
      </c>
      <c r="I600" s="4"/>
      <c r="J600" s="64">
        <v>540</v>
      </c>
      <c r="K600" s="31">
        <f t="shared" si="127"/>
        <v>6.5599999999999454</v>
      </c>
      <c r="L600" s="14">
        <f t="shared" si="120"/>
        <v>1.6399999999999863E-3</v>
      </c>
      <c r="M600" s="4"/>
    </row>
    <row r="601" spans="2:13">
      <c r="B601" s="4"/>
      <c r="C601" s="7">
        <v>1.73958333333358</v>
      </c>
      <c r="D601" s="7">
        <v>1.75000000000023</v>
      </c>
      <c r="E601" s="30">
        <v>750</v>
      </c>
      <c r="F601" s="60">
        <v>589.9</v>
      </c>
      <c r="G601" s="4">
        <f t="shared" si="122"/>
        <v>160.10000000000002</v>
      </c>
      <c r="H601" s="9">
        <f t="shared" si="123"/>
        <v>4.0025000000000005E-2</v>
      </c>
      <c r="I601" s="4"/>
      <c r="J601" s="29">
        <f>J600+80</f>
        <v>620</v>
      </c>
      <c r="K601" s="31">
        <f>J601-F601</f>
        <v>30.100000000000023</v>
      </c>
      <c r="L601" s="14">
        <f t="shared" si="120"/>
        <v>7.5250000000000056E-3</v>
      </c>
      <c r="M601" s="4"/>
    </row>
    <row r="602" spans="2:13">
      <c r="B602" s="4"/>
      <c r="C602" s="7">
        <v>1.75000000000025</v>
      </c>
      <c r="D602" s="7">
        <v>1.7604166666669001</v>
      </c>
      <c r="E602" s="30">
        <v>750</v>
      </c>
      <c r="F602" s="60">
        <v>689.89</v>
      </c>
      <c r="G602" s="4">
        <f t="shared" si="122"/>
        <v>60.110000000000014</v>
      </c>
      <c r="H602" s="9">
        <f t="shared" si="123"/>
        <v>1.5027500000000003E-2</v>
      </c>
      <c r="I602" s="4"/>
      <c r="J602" s="64">
        <f t="shared" ref="J602" si="128">J601+80</f>
        <v>700</v>
      </c>
      <c r="K602" s="31">
        <f t="shared" ref="K602:K603" si="129">J602-F602</f>
        <v>10.110000000000014</v>
      </c>
      <c r="L602" s="14">
        <f t="shared" si="120"/>
        <v>2.5275000000000033E-3</v>
      </c>
      <c r="M602" s="4"/>
    </row>
    <row r="603" spans="2:13">
      <c r="B603" s="4"/>
      <c r="C603" s="7">
        <v>1.7604166666669101</v>
      </c>
      <c r="D603" s="7">
        <v>1.77083333333357</v>
      </c>
      <c r="E603" s="30">
        <v>750</v>
      </c>
      <c r="F603" s="60">
        <v>755.33</v>
      </c>
      <c r="G603" s="4">
        <f t="shared" si="122"/>
        <v>-5.3300000000000409</v>
      </c>
      <c r="H603" s="76">
        <v>0</v>
      </c>
      <c r="I603" s="9"/>
      <c r="J603" s="64">
        <v>750</v>
      </c>
      <c r="K603" s="31">
        <f t="shared" si="129"/>
        <v>-5.3300000000000409</v>
      </c>
      <c r="L603" s="14">
        <f t="shared" si="120"/>
        <v>0</v>
      </c>
      <c r="M603" s="4"/>
    </row>
    <row r="604" spans="2:13">
      <c r="B604" s="47"/>
      <c r="C604" s="7"/>
      <c r="D604" s="7"/>
      <c r="E604" s="30"/>
      <c r="F604" s="60"/>
      <c r="G604" s="4"/>
      <c r="H604" s="9"/>
      <c r="I604" s="9">
        <f>SUM(H570:H603)</f>
        <v>1.3598624999999998</v>
      </c>
      <c r="J604" s="64"/>
      <c r="K604" s="31"/>
      <c r="L604" s="14"/>
      <c r="M604" s="4">
        <f>SUM(L570:L603)</f>
        <v>0.25339750000000005</v>
      </c>
    </row>
    <row r="605" spans="2:13">
      <c r="B605" s="34">
        <v>46037</v>
      </c>
      <c r="C605" s="7">
        <v>1.8645833333336199</v>
      </c>
      <c r="D605" s="7">
        <v>1.87500000000027</v>
      </c>
      <c r="E605" s="30">
        <v>750</v>
      </c>
      <c r="F605" s="60">
        <v>740.61</v>
      </c>
      <c r="G605" s="4">
        <f t="shared" si="122"/>
        <v>9.3899999999999864</v>
      </c>
      <c r="H605" s="9">
        <f t="shared" si="123"/>
        <v>2.3474999999999967E-3</v>
      </c>
      <c r="I605" s="9"/>
      <c r="J605" s="29">
        <f>E605-55</f>
        <v>695</v>
      </c>
      <c r="K605" s="31">
        <f t="shared" si="127"/>
        <v>45.610000000000014</v>
      </c>
      <c r="L605" s="14"/>
      <c r="M605" s="4"/>
    </row>
    <row r="606" spans="2:13">
      <c r="B606" s="4"/>
      <c r="C606" s="7">
        <v>1.87500000000029</v>
      </c>
      <c r="D606" s="7">
        <v>1.8854166666669401</v>
      </c>
      <c r="E606" s="30">
        <v>750</v>
      </c>
      <c r="F606" s="60">
        <v>660.03</v>
      </c>
      <c r="G606" s="4">
        <f t="shared" si="122"/>
        <v>89.970000000000027</v>
      </c>
      <c r="H606" s="9">
        <f t="shared" si="123"/>
        <v>2.2492500000000006E-2</v>
      </c>
      <c r="I606" s="4"/>
      <c r="J606" s="29">
        <f>J605-80</f>
        <v>615</v>
      </c>
      <c r="K606" s="31">
        <f t="shared" si="127"/>
        <v>45.029999999999973</v>
      </c>
      <c r="L606" s="14">
        <f t="shared" ref="L606:L663" si="130">IF(K606/4000&gt;0,K606/4000,0)</f>
        <v>1.1257499999999993E-2</v>
      </c>
      <c r="M606" s="4"/>
    </row>
    <row r="607" spans="2:13" ht="15.75" thickBot="1">
      <c r="B607" s="47"/>
      <c r="C607" s="7">
        <v>1.8854166666669601</v>
      </c>
      <c r="D607" s="7">
        <v>1.8958333333336099</v>
      </c>
      <c r="E607" s="30">
        <v>750</v>
      </c>
      <c r="F607" s="60">
        <v>573.14</v>
      </c>
      <c r="G607" s="4">
        <f t="shared" si="122"/>
        <v>176.86</v>
      </c>
      <c r="H607" s="9">
        <f t="shared" si="123"/>
        <v>4.4215000000000004E-2</v>
      </c>
      <c r="I607" s="19"/>
      <c r="J607" s="64">
        <v>540</v>
      </c>
      <c r="K607" s="31">
        <f t="shared" si="127"/>
        <v>33.139999999999986</v>
      </c>
      <c r="L607" s="14">
        <f t="shared" si="130"/>
        <v>8.2849999999999972E-3</v>
      </c>
      <c r="M607" s="32"/>
    </row>
    <row r="608" spans="2:13">
      <c r="B608" s="4"/>
      <c r="C608" s="7">
        <v>1.8958333333336299</v>
      </c>
      <c r="D608" s="7">
        <v>1.90625000000028</v>
      </c>
      <c r="E608" s="30">
        <v>750</v>
      </c>
      <c r="F608" s="60">
        <v>552.67999999999995</v>
      </c>
      <c r="G608" s="4">
        <f t="shared" si="122"/>
        <v>197.32000000000005</v>
      </c>
      <c r="H608" s="9">
        <f t="shared" si="123"/>
        <v>4.9330000000000013E-2</v>
      </c>
      <c r="I608" s="5"/>
      <c r="J608" s="64">
        <v>540</v>
      </c>
      <c r="K608" s="31">
        <f t="shared" si="127"/>
        <v>12.67999999999995</v>
      </c>
      <c r="L608" s="14">
        <f t="shared" si="130"/>
        <v>3.1699999999999875E-3</v>
      </c>
      <c r="M608" s="5"/>
    </row>
    <row r="609" spans="2:13">
      <c r="B609" s="47"/>
      <c r="C609" s="7">
        <v>1.9062500000003</v>
      </c>
      <c r="D609" s="7">
        <v>1.9166666666669501</v>
      </c>
      <c r="E609" s="30">
        <v>750</v>
      </c>
      <c r="F609" s="60">
        <v>550.54</v>
      </c>
      <c r="G609" s="4">
        <f t="shared" si="122"/>
        <v>199.46000000000004</v>
      </c>
      <c r="H609" s="9">
        <f t="shared" si="123"/>
        <v>4.9865000000000007E-2</v>
      </c>
      <c r="I609" s="4"/>
      <c r="J609" s="64">
        <v>540</v>
      </c>
      <c r="K609" s="31">
        <f t="shared" si="127"/>
        <v>10.539999999999964</v>
      </c>
      <c r="L609" s="14">
        <f t="shared" si="130"/>
        <v>2.6349999999999911E-3</v>
      </c>
      <c r="M609" s="4"/>
    </row>
    <row r="610" spans="2:13">
      <c r="B610" s="4"/>
      <c r="C610" s="7">
        <v>1.9166666666669701</v>
      </c>
      <c r="D610" s="7">
        <v>1.9270833333336199</v>
      </c>
      <c r="E610" s="30">
        <v>750</v>
      </c>
      <c r="F610" s="60">
        <v>547.88</v>
      </c>
      <c r="G610" s="4">
        <f t="shared" si="122"/>
        <v>202.12</v>
      </c>
      <c r="H610" s="9">
        <f t="shared" si="123"/>
        <v>5.0529999999999999E-2</v>
      </c>
      <c r="I610" s="4"/>
      <c r="J610" s="64">
        <v>540</v>
      </c>
      <c r="K610" s="31">
        <f t="shared" si="127"/>
        <v>7.8799999999999955</v>
      </c>
      <c r="L610" s="14">
        <f t="shared" si="130"/>
        <v>1.9699999999999987E-3</v>
      </c>
      <c r="M610" s="4"/>
    </row>
    <row r="611" spans="2:13">
      <c r="B611" s="4"/>
      <c r="C611" s="7">
        <v>1.9270833333336399</v>
      </c>
      <c r="D611" s="7">
        <v>1.93750000000029</v>
      </c>
      <c r="E611" s="30">
        <v>750</v>
      </c>
      <c r="F611" s="60">
        <v>545.88</v>
      </c>
      <c r="G611" s="4">
        <f t="shared" si="122"/>
        <v>204.12</v>
      </c>
      <c r="H611" s="9">
        <f t="shared" si="123"/>
        <v>5.1029999999999999E-2</v>
      </c>
      <c r="I611" s="4"/>
      <c r="J611" s="64">
        <v>540</v>
      </c>
      <c r="K611" s="31">
        <f t="shared" si="127"/>
        <v>5.8799999999999955</v>
      </c>
      <c r="L611" s="14">
        <f t="shared" si="130"/>
        <v>1.4699999999999989E-3</v>
      </c>
      <c r="M611" s="4"/>
    </row>
    <row r="612" spans="2:13">
      <c r="B612" s="4"/>
      <c r="C612" s="7">
        <v>1.93750000000031</v>
      </c>
      <c r="D612" s="7">
        <v>1.9479166666669601</v>
      </c>
      <c r="E612" s="30">
        <v>750</v>
      </c>
      <c r="F612" s="60">
        <v>544.91</v>
      </c>
      <c r="G612" s="4">
        <f t="shared" si="122"/>
        <v>205.09000000000003</v>
      </c>
      <c r="H612" s="9">
        <f t="shared" si="123"/>
        <v>5.1272500000000006E-2</v>
      </c>
      <c r="I612" s="4"/>
      <c r="J612" s="64">
        <v>540</v>
      </c>
      <c r="K612" s="31">
        <f t="shared" si="127"/>
        <v>4.9099999999999682</v>
      </c>
      <c r="L612" s="14">
        <f t="shared" si="130"/>
        <v>1.2274999999999921E-3</v>
      </c>
      <c r="M612" s="4"/>
    </row>
    <row r="613" spans="2:13">
      <c r="B613" s="4"/>
      <c r="C613" s="7">
        <v>1.94791666666698</v>
      </c>
      <c r="D613" s="7">
        <v>1.9583333333336299</v>
      </c>
      <c r="E613" s="30">
        <v>750</v>
      </c>
      <c r="F613" s="60">
        <v>542.26</v>
      </c>
      <c r="G613" s="4">
        <f t="shared" si="122"/>
        <v>207.74</v>
      </c>
      <c r="H613" s="9">
        <f t="shared" si="123"/>
        <v>5.1935000000000002E-2</v>
      </c>
      <c r="I613" s="4"/>
      <c r="J613" s="64">
        <v>540</v>
      </c>
      <c r="K613" s="31">
        <f t="shared" si="127"/>
        <v>2.2599999999999909</v>
      </c>
      <c r="L613" s="14">
        <f t="shared" si="130"/>
        <v>5.6499999999999769E-4</v>
      </c>
      <c r="M613" s="4"/>
    </row>
    <row r="614" spans="2:13">
      <c r="B614" s="4"/>
      <c r="C614" s="7">
        <v>1.9583333333336499</v>
      </c>
      <c r="D614" s="7">
        <v>1.9687500000003</v>
      </c>
      <c r="E614" s="30">
        <v>750</v>
      </c>
      <c r="F614" s="60">
        <v>545.19000000000005</v>
      </c>
      <c r="G614" s="4">
        <f t="shared" si="122"/>
        <v>204.80999999999995</v>
      </c>
      <c r="H614" s="9">
        <f t="shared" si="123"/>
        <v>5.1202499999999984E-2</v>
      </c>
      <c r="I614" s="4"/>
      <c r="J614" s="64">
        <v>540</v>
      </c>
      <c r="K614" s="31">
        <f t="shared" si="127"/>
        <v>5.1900000000000546</v>
      </c>
      <c r="L614" s="14">
        <f t="shared" si="130"/>
        <v>1.2975000000000137E-3</v>
      </c>
      <c r="M614" s="4"/>
    </row>
    <row r="615" spans="2:13">
      <c r="B615" s="4"/>
      <c r="C615" s="7">
        <v>1.96875000000032</v>
      </c>
      <c r="D615" s="7">
        <v>1.9791666666669701</v>
      </c>
      <c r="E615" s="30">
        <v>750</v>
      </c>
      <c r="F615" s="60">
        <v>545.59</v>
      </c>
      <c r="G615" s="4">
        <f t="shared" ref="G615:G674" si="131">E615-F615</f>
        <v>204.40999999999997</v>
      </c>
      <c r="H615" s="9">
        <f t="shared" ref="H615:H674" si="132">G615/4000</f>
        <v>5.1102499999999995E-2</v>
      </c>
      <c r="I615" s="4"/>
      <c r="J615" s="64">
        <v>540</v>
      </c>
      <c r="K615" s="31">
        <f t="shared" si="127"/>
        <v>5.5900000000000318</v>
      </c>
      <c r="L615" s="14">
        <f t="shared" si="130"/>
        <v>1.3975000000000079E-3</v>
      </c>
      <c r="M615" s="4"/>
    </row>
    <row r="616" spans="2:13">
      <c r="B616" s="4"/>
      <c r="C616" s="7">
        <v>1.97916666666699</v>
      </c>
      <c r="D616" s="7">
        <v>1.9895833333336399</v>
      </c>
      <c r="E616" s="30">
        <v>750</v>
      </c>
      <c r="F616" s="60">
        <v>543.47</v>
      </c>
      <c r="G616" s="4">
        <f t="shared" si="131"/>
        <v>206.52999999999997</v>
      </c>
      <c r="H616" s="9">
        <f t="shared" si="132"/>
        <v>5.1632499999999991E-2</v>
      </c>
      <c r="I616" s="4"/>
      <c r="J616" s="64">
        <v>540</v>
      </c>
      <c r="K616" s="31">
        <f t="shared" si="127"/>
        <v>3.4700000000000273</v>
      </c>
      <c r="L616" s="14">
        <f t="shared" si="130"/>
        <v>8.6750000000000683E-4</v>
      </c>
      <c r="M616" s="4"/>
    </row>
    <row r="617" spans="2:13">
      <c r="B617" s="4"/>
      <c r="C617" s="7">
        <v>1.9895833333336601</v>
      </c>
      <c r="D617" s="35">
        <v>2.00000000000031</v>
      </c>
      <c r="E617" s="30">
        <v>750</v>
      </c>
      <c r="F617" s="61">
        <v>547.53</v>
      </c>
      <c r="G617" s="4">
        <f t="shared" si="131"/>
        <v>202.47000000000003</v>
      </c>
      <c r="H617" s="9">
        <f t="shared" si="132"/>
        <v>5.061750000000001E-2</v>
      </c>
      <c r="I617" s="4"/>
      <c r="J617" s="64">
        <v>540</v>
      </c>
      <c r="K617" s="31">
        <f t="shared" si="127"/>
        <v>7.5299999999999727</v>
      </c>
      <c r="L617" s="14">
        <f t="shared" si="130"/>
        <v>1.8824999999999931E-3</v>
      </c>
      <c r="M617" s="4"/>
    </row>
    <row r="618" spans="2:13">
      <c r="B618" s="47"/>
      <c r="C618" s="7"/>
      <c r="D618" s="7"/>
      <c r="E618" s="30"/>
      <c r="F618" s="36"/>
      <c r="G618" s="4"/>
      <c r="H618" s="9"/>
      <c r="I618" s="9">
        <f>SUM(H605:H617)</f>
        <v>0.57757249999999993</v>
      </c>
      <c r="J618" s="29"/>
      <c r="K618" s="31"/>
      <c r="L618" s="14"/>
      <c r="M618" s="4">
        <f>SUM(L605:L617)</f>
        <v>3.6024999999999981E-2</v>
      </c>
    </row>
    <row r="619" spans="2:13">
      <c r="B619" s="34">
        <v>46038</v>
      </c>
      <c r="C619" s="7">
        <v>1</v>
      </c>
      <c r="D619" s="7">
        <v>1.0104166666666701</v>
      </c>
      <c r="E619" s="30">
        <v>750</v>
      </c>
      <c r="F619" s="60">
        <v>543.66999999999996</v>
      </c>
      <c r="G619" s="4">
        <f t="shared" si="131"/>
        <v>206.33000000000004</v>
      </c>
      <c r="H619" s="9">
        <f t="shared" si="132"/>
        <v>5.158250000000001E-2</v>
      </c>
      <c r="I619" s="4"/>
      <c r="J619" s="29">
        <v>540</v>
      </c>
      <c r="K619" s="31">
        <f t="shared" si="127"/>
        <v>3.6699999999999591</v>
      </c>
      <c r="L619" s="14"/>
      <c r="M619" s="4"/>
    </row>
    <row r="620" spans="2:13">
      <c r="B620" s="4"/>
      <c r="C620" s="7">
        <v>1.0104166666666701</v>
      </c>
      <c r="D620" s="7">
        <v>1.0208333333333399</v>
      </c>
      <c r="E620" s="30">
        <v>750</v>
      </c>
      <c r="F620" s="60">
        <v>550.98</v>
      </c>
      <c r="G620" s="4">
        <f t="shared" si="131"/>
        <v>199.01999999999998</v>
      </c>
      <c r="H620" s="9">
        <f t="shared" si="132"/>
        <v>4.9754999999999994E-2</v>
      </c>
      <c r="I620" s="4"/>
      <c r="J620" s="29">
        <v>540</v>
      </c>
      <c r="K620" s="31">
        <f t="shared" si="127"/>
        <v>10.980000000000018</v>
      </c>
      <c r="L620" s="14">
        <f t="shared" si="130"/>
        <v>2.7450000000000044E-3</v>
      </c>
      <c r="M620" s="4"/>
    </row>
    <row r="621" spans="2:13">
      <c r="B621" s="4"/>
      <c r="C621" s="7">
        <v>1.0208333333333399</v>
      </c>
      <c r="D621" s="7">
        <v>1.03125000000001</v>
      </c>
      <c r="E621" s="30">
        <v>750</v>
      </c>
      <c r="F621" s="60">
        <v>545.64</v>
      </c>
      <c r="G621" s="4">
        <f t="shared" si="131"/>
        <v>204.36</v>
      </c>
      <c r="H621" s="9">
        <f t="shared" si="132"/>
        <v>5.1090000000000003E-2</v>
      </c>
      <c r="I621" s="4"/>
      <c r="J621" s="64">
        <v>540</v>
      </c>
      <c r="K621" s="31">
        <f t="shared" si="127"/>
        <v>5.6399999999999864</v>
      </c>
      <c r="L621" s="14">
        <f t="shared" si="130"/>
        <v>1.4099999999999965E-3</v>
      </c>
      <c r="M621" s="4"/>
    </row>
    <row r="622" spans="2:13">
      <c r="B622" s="4"/>
      <c r="C622" s="7">
        <v>1.03125000000001</v>
      </c>
      <c r="D622" s="7">
        <v>1.0416666666666801</v>
      </c>
      <c r="E622" s="30">
        <v>750</v>
      </c>
      <c r="F622" s="60">
        <v>547.74</v>
      </c>
      <c r="G622" s="4">
        <f t="shared" si="131"/>
        <v>202.26</v>
      </c>
      <c r="H622" s="9">
        <f t="shared" si="132"/>
        <v>5.0564999999999999E-2</v>
      </c>
      <c r="I622" s="4"/>
      <c r="J622" s="64">
        <v>540</v>
      </c>
      <c r="K622" s="31">
        <f t="shared" si="127"/>
        <v>7.7400000000000091</v>
      </c>
      <c r="L622" s="14">
        <f t="shared" si="130"/>
        <v>1.9350000000000023E-3</v>
      </c>
      <c r="M622" s="4"/>
    </row>
    <row r="623" spans="2:13">
      <c r="B623" s="4"/>
      <c r="C623" s="7">
        <v>1.0416666666666801</v>
      </c>
      <c r="D623" s="7">
        <v>1.0520833333333499</v>
      </c>
      <c r="E623" s="30">
        <v>750</v>
      </c>
      <c r="F623" s="60">
        <v>546.53</v>
      </c>
      <c r="G623" s="4">
        <f t="shared" si="131"/>
        <v>203.47000000000003</v>
      </c>
      <c r="H623" s="9">
        <f t="shared" si="132"/>
        <v>5.086750000000001E-2</v>
      </c>
      <c r="I623" s="4"/>
      <c r="J623" s="64">
        <v>540</v>
      </c>
      <c r="K623" s="31">
        <f t="shared" si="127"/>
        <v>6.5299999999999727</v>
      </c>
      <c r="L623" s="14">
        <f t="shared" si="130"/>
        <v>1.6324999999999931E-3</v>
      </c>
      <c r="M623" s="9"/>
    </row>
    <row r="624" spans="2:13">
      <c r="B624" s="4"/>
      <c r="C624" s="7">
        <v>1.0520833333333499</v>
      </c>
      <c r="D624" s="7">
        <v>1.06250000000002</v>
      </c>
      <c r="E624" s="30">
        <v>750</v>
      </c>
      <c r="F624" s="60">
        <v>546.63</v>
      </c>
      <c r="G624" s="4">
        <f t="shared" si="131"/>
        <v>203.37</v>
      </c>
      <c r="H624" s="9">
        <f t="shared" si="132"/>
        <v>5.0842499999999999E-2</v>
      </c>
      <c r="I624" s="4"/>
      <c r="J624" s="64">
        <v>540</v>
      </c>
      <c r="K624" s="31">
        <f t="shared" si="127"/>
        <v>6.6299999999999955</v>
      </c>
      <c r="L624" s="14">
        <f t="shared" si="130"/>
        <v>1.6574999999999988E-3</v>
      </c>
      <c r="M624" s="4"/>
    </row>
    <row r="625" spans="2:13">
      <c r="B625" s="4"/>
      <c r="C625" s="7">
        <v>1.06250000000002</v>
      </c>
      <c r="D625" s="7">
        <v>1.0729166666666901</v>
      </c>
      <c r="E625" s="30">
        <v>750</v>
      </c>
      <c r="F625" s="60">
        <v>544.87</v>
      </c>
      <c r="G625" s="4">
        <f t="shared" si="131"/>
        <v>205.13</v>
      </c>
      <c r="H625" s="9">
        <f t="shared" si="132"/>
        <v>5.1282500000000002E-2</v>
      </c>
      <c r="I625" s="4"/>
      <c r="J625" s="64">
        <v>540</v>
      </c>
      <c r="K625" s="31">
        <f t="shared" si="127"/>
        <v>4.8700000000000045</v>
      </c>
      <c r="L625" s="14">
        <f t="shared" si="130"/>
        <v>1.2175000000000011E-3</v>
      </c>
      <c r="M625" s="4"/>
    </row>
    <row r="626" spans="2:13">
      <c r="B626" s="4"/>
      <c r="C626" s="7">
        <v>1.0729166666666901</v>
      </c>
      <c r="D626" s="7">
        <v>1.0833333333333599</v>
      </c>
      <c r="E626" s="30">
        <v>750</v>
      </c>
      <c r="F626" s="60">
        <v>545.98</v>
      </c>
      <c r="G626" s="4">
        <f t="shared" si="131"/>
        <v>204.01999999999998</v>
      </c>
      <c r="H626" s="9">
        <f t="shared" si="132"/>
        <v>5.1004999999999995E-2</v>
      </c>
      <c r="I626" s="4"/>
      <c r="J626" s="64">
        <v>540</v>
      </c>
      <c r="K626" s="31">
        <f t="shared" si="127"/>
        <v>5.9800000000000182</v>
      </c>
      <c r="L626" s="14">
        <f t="shared" si="130"/>
        <v>1.4950000000000046E-3</v>
      </c>
      <c r="M626" s="4"/>
    </row>
    <row r="627" spans="2:13" ht="15.75" thickBot="1">
      <c r="B627" s="4"/>
      <c r="C627" s="7">
        <v>1.0833333333333599</v>
      </c>
      <c r="D627" s="7">
        <v>1.09375000000003</v>
      </c>
      <c r="E627" s="30">
        <v>750</v>
      </c>
      <c r="F627" s="60">
        <v>545.41999999999996</v>
      </c>
      <c r="G627" s="4">
        <f t="shared" si="131"/>
        <v>204.58000000000004</v>
      </c>
      <c r="H627" s="9">
        <f t="shared" si="132"/>
        <v>5.114500000000001E-2</v>
      </c>
      <c r="I627" s="9"/>
      <c r="J627" s="64">
        <v>540</v>
      </c>
      <c r="K627" s="31">
        <f t="shared" si="127"/>
        <v>5.4199999999999591</v>
      </c>
      <c r="L627" s="14">
        <f t="shared" si="130"/>
        <v>1.3549999999999897E-3</v>
      </c>
      <c r="M627" s="19"/>
    </row>
    <row r="628" spans="2:13">
      <c r="B628" s="47"/>
      <c r="C628" s="7">
        <v>1.09375000000003</v>
      </c>
      <c r="D628" s="7">
        <v>1.1041666666667</v>
      </c>
      <c r="E628" s="30">
        <v>750</v>
      </c>
      <c r="F628" s="60">
        <v>545.78</v>
      </c>
      <c r="G628" s="4">
        <f t="shared" si="131"/>
        <v>204.22000000000003</v>
      </c>
      <c r="H628" s="9">
        <f t="shared" si="132"/>
        <v>5.105500000000001E-2</v>
      </c>
      <c r="I628" s="5"/>
      <c r="J628" s="64">
        <v>540</v>
      </c>
      <c r="K628" s="31">
        <f t="shared" si="127"/>
        <v>5.7799999999999727</v>
      </c>
      <c r="L628" s="14">
        <f t="shared" si="130"/>
        <v>1.4449999999999932E-3</v>
      </c>
      <c r="M628" s="5"/>
    </row>
    <row r="629" spans="2:13">
      <c r="B629" s="4"/>
      <c r="C629" s="7">
        <v>1.1041666666667</v>
      </c>
      <c r="D629" s="7">
        <v>1.1145833333333699</v>
      </c>
      <c r="E629" s="30">
        <v>750</v>
      </c>
      <c r="F629" s="60">
        <v>546.44000000000005</v>
      </c>
      <c r="G629" s="4">
        <f t="shared" si="131"/>
        <v>203.55999999999995</v>
      </c>
      <c r="H629" s="9">
        <f t="shared" si="132"/>
        <v>5.0889999999999984E-2</v>
      </c>
      <c r="I629" s="9"/>
      <c r="J629" s="64">
        <v>540</v>
      </c>
      <c r="K629" s="31">
        <f t="shared" si="127"/>
        <v>6.4400000000000546</v>
      </c>
      <c r="L629" s="14">
        <f t="shared" si="130"/>
        <v>1.6100000000000135E-3</v>
      </c>
      <c r="M629" s="9"/>
    </row>
    <row r="630" spans="2:13">
      <c r="B630" s="47"/>
      <c r="C630" s="7">
        <v>1.1145833333333699</v>
      </c>
      <c r="D630" s="7">
        <v>1.12500000000004</v>
      </c>
      <c r="E630" s="30">
        <v>750</v>
      </c>
      <c r="F630" s="60">
        <v>545.29999999999995</v>
      </c>
      <c r="G630" s="4">
        <f t="shared" si="131"/>
        <v>204.70000000000005</v>
      </c>
      <c r="H630" s="9">
        <f t="shared" si="132"/>
        <v>5.1175000000000012E-2</v>
      </c>
      <c r="I630" s="4"/>
      <c r="J630" s="64">
        <v>540</v>
      </c>
      <c r="K630" s="31">
        <f t="shared" si="127"/>
        <v>5.2999999999999545</v>
      </c>
      <c r="L630" s="14">
        <f t="shared" si="130"/>
        <v>1.3249999999999887E-3</v>
      </c>
      <c r="M630" s="4"/>
    </row>
    <row r="631" spans="2:13">
      <c r="B631" s="4"/>
      <c r="C631" s="7">
        <v>1.12500000000004</v>
      </c>
      <c r="D631" s="7">
        <v>1.13541666666671</v>
      </c>
      <c r="E631" s="30">
        <v>750</v>
      </c>
      <c r="F631" s="60">
        <v>546.04999999999995</v>
      </c>
      <c r="G631" s="4">
        <f t="shared" si="131"/>
        <v>203.95000000000005</v>
      </c>
      <c r="H631" s="9">
        <f t="shared" si="132"/>
        <v>5.0987500000000012E-2</v>
      </c>
      <c r="I631" s="4"/>
      <c r="J631" s="64">
        <v>540</v>
      </c>
      <c r="K631" s="31">
        <f t="shared" si="127"/>
        <v>6.0499999999999545</v>
      </c>
      <c r="L631" s="14">
        <f t="shared" si="130"/>
        <v>1.5124999999999887E-3</v>
      </c>
      <c r="M631" s="4"/>
    </row>
    <row r="632" spans="2:13" ht="15.75" thickBot="1">
      <c r="B632" s="4"/>
      <c r="C632" s="7">
        <v>1.13541666666671</v>
      </c>
      <c r="D632" s="7">
        <v>1.1458333333333801</v>
      </c>
      <c r="E632" s="30">
        <v>750</v>
      </c>
      <c r="F632" s="60">
        <v>547.17999999999995</v>
      </c>
      <c r="G632" s="4">
        <f t="shared" si="131"/>
        <v>202.82000000000005</v>
      </c>
      <c r="H632" s="9">
        <f t="shared" si="132"/>
        <v>5.0705000000000014E-2</v>
      </c>
      <c r="I632" s="19"/>
      <c r="J632" s="64">
        <v>540</v>
      </c>
      <c r="K632" s="31">
        <f t="shared" si="127"/>
        <v>7.17999999999995</v>
      </c>
      <c r="L632" s="14">
        <f t="shared" si="130"/>
        <v>1.7949999999999876E-3</v>
      </c>
      <c r="M632" s="32"/>
    </row>
    <row r="633" spans="2:13">
      <c r="B633" s="4"/>
      <c r="C633" s="7">
        <v>1.1458333333333801</v>
      </c>
      <c r="D633" s="7">
        <v>1.15625000000005</v>
      </c>
      <c r="E633" s="30">
        <v>750</v>
      </c>
      <c r="F633" s="60">
        <v>546.21</v>
      </c>
      <c r="G633" s="4">
        <f t="shared" si="131"/>
        <v>203.78999999999996</v>
      </c>
      <c r="H633" s="9">
        <f t="shared" si="132"/>
        <v>5.0947499999999993E-2</v>
      </c>
      <c r="I633" s="5"/>
      <c r="J633" s="64">
        <v>540</v>
      </c>
      <c r="K633" s="31">
        <f t="shared" si="127"/>
        <v>6.2100000000000364</v>
      </c>
      <c r="L633" s="14">
        <f t="shared" si="130"/>
        <v>1.5525000000000092E-3</v>
      </c>
      <c r="M633" s="5"/>
    </row>
    <row r="634" spans="2:13">
      <c r="B634" s="47"/>
      <c r="C634" s="7">
        <v>1.15625000000005</v>
      </c>
      <c r="D634" s="7">
        <v>1.16666666666672</v>
      </c>
      <c r="E634" s="30">
        <v>750</v>
      </c>
      <c r="F634" s="60">
        <v>547.04</v>
      </c>
      <c r="G634" s="4">
        <f t="shared" si="131"/>
        <v>202.96000000000004</v>
      </c>
      <c r="H634" s="9">
        <f t="shared" si="132"/>
        <v>5.0740000000000007E-2</v>
      </c>
      <c r="I634" s="4"/>
      <c r="J634" s="64">
        <v>540</v>
      </c>
      <c r="K634" s="31">
        <f t="shared" si="127"/>
        <v>7.0399999999999636</v>
      </c>
      <c r="L634" s="14">
        <f t="shared" si="130"/>
        <v>1.759999999999991E-3</v>
      </c>
      <c r="M634" s="4"/>
    </row>
    <row r="635" spans="2:13">
      <c r="B635" s="4"/>
      <c r="C635" s="7">
        <v>1.16666666666672</v>
      </c>
      <c r="D635" s="7">
        <v>1.1770833333333901</v>
      </c>
      <c r="E635" s="30">
        <v>750</v>
      </c>
      <c r="F635" s="60">
        <v>547.13</v>
      </c>
      <c r="G635" s="4">
        <f t="shared" si="131"/>
        <v>202.87</v>
      </c>
      <c r="H635" s="9">
        <f t="shared" si="132"/>
        <v>5.0717499999999999E-2</v>
      </c>
      <c r="I635" s="4"/>
      <c r="J635" s="64">
        <v>540</v>
      </c>
      <c r="K635" s="31">
        <f t="shared" si="127"/>
        <v>7.1299999999999955</v>
      </c>
      <c r="L635" s="14">
        <f t="shared" si="130"/>
        <v>1.7824999999999989E-3</v>
      </c>
      <c r="M635" s="4"/>
    </row>
    <row r="636" spans="2:13">
      <c r="B636" s="4"/>
      <c r="C636" s="7">
        <v>1.1770833333333901</v>
      </c>
      <c r="D636" s="7">
        <v>1.18750000000006</v>
      </c>
      <c r="E636" s="30">
        <v>750</v>
      </c>
      <c r="F636" s="60">
        <v>548.13</v>
      </c>
      <c r="G636" s="4">
        <f t="shared" si="131"/>
        <v>201.87</v>
      </c>
      <c r="H636" s="9">
        <f t="shared" si="132"/>
        <v>5.0467499999999998E-2</v>
      </c>
      <c r="I636" s="4"/>
      <c r="J636" s="64">
        <v>540</v>
      </c>
      <c r="K636" s="31">
        <f t="shared" si="127"/>
        <v>8.1299999999999955</v>
      </c>
      <c r="L636" s="14">
        <f t="shared" si="130"/>
        <v>2.0324999999999987E-3</v>
      </c>
      <c r="M636" s="4"/>
    </row>
    <row r="637" spans="2:13">
      <c r="B637" s="4"/>
      <c r="C637" s="7">
        <v>1.18750000000006</v>
      </c>
      <c r="D637" s="7">
        <v>1.19791666666673</v>
      </c>
      <c r="E637" s="30">
        <v>750</v>
      </c>
      <c r="F637" s="60">
        <v>547.01</v>
      </c>
      <c r="G637" s="4">
        <f t="shared" si="131"/>
        <v>202.99</v>
      </c>
      <c r="H637" s="9">
        <f t="shared" si="132"/>
        <v>5.0747500000000001E-2</v>
      </c>
      <c r="I637" s="4"/>
      <c r="J637" s="64">
        <v>540</v>
      </c>
      <c r="K637" s="31">
        <f t="shared" si="127"/>
        <v>7.0099999999999909</v>
      </c>
      <c r="L637" s="14">
        <f t="shared" si="130"/>
        <v>1.7524999999999978E-3</v>
      </c>
      <c r="M637" s="4"/>
    </row>
    <row r="638" spans="2:13">
      <c r="B638" s="4"/>
      <c r="C638" s="7">
        <v>1.19791666666673</v>
      </c>
      <c r="D638" s="35">
        <v>1.2083333333334001</v>
      </c>
      <c r="E638" s="30">
        <v>750</v>
      </c>
      <c r="F638" s="60">
        <v>547.12</v>
      </c>
      <c r="G638" s="4">
        <f t="shared" si="131"/>
        <v>202.88</v>
      </c>
      <c r="H638" s="9">
        <f t="shared" si="132"/>
        <v>5.0720000000000001E-2</v>
      </c>
      <c r="I638" s="4"/>
      <c r="J638" s="64">
        <v>540</v>
      </c>
      <c r="K638" s="31">
        <f t="shared" si="127"/>
        <v>7.1200000000000045</v>
      </c>
      <c r="L638" s="14">
        <f t="shared" si="130"/>
        <v>1.7800000000000012E-3</v>
      </c>
      <c r="M638" s="9"/>
    </row>
    <row r="639" spans="2:13">
      <c r="B639" s="4"/>
      <c r="C639" s="7">
        <v>1.2083333333334001</v>
      </c>
      <c r="D639" s="7">
        <v>1.2187500000000699</v>
      </c>
      <c r="E639" s="30">
        <v>750</v>
      </c>
      <c r="F639" s="60">
        <v>597.16999999999996</v>
      </c>
      <c r="G639" s="4">
        <f t="shared" si="131"/>
        <v>152.83000000000004</v>
      </c>
      <c r="H639" s="9">
        <f t="shared" si="132"/>
        <v>3.8207500000000012E-2</v>
      </c>
      <c r="I639" s="4"/>
      <c r="J639" s="29">
        <f>J638+80</f>
        <v>620</v>
      </c>
      <c r="K639" s="31">
        <f>J639-F639</f>
        <v>22.830000000000041</v>
      </c>
      <c r="L639" s="14">
        <f t="shared" si="130"/>
        <v>5.7075000000000103E-3</v>
      </c>
      <c r="M639" s="4"/>
    </row>
    <row r="640" spans="2:13">
      <c r="B640" s="4"/>
      <c r="C640" s="7">
        <v>1.2187500000000699</v>
      </c>
      <c r="D640" s="7">
        <v>1.22916666666674</v>
      </c>
      <c r="E640" s="30">
        <v>750</v>
      </c>
      <c r="F640" s="60">
        <v>680.73</v>
      </c>
      <c r="G640" s="4">
        <f t="shared" si="131"/>
        <v>69.269999999999982</v>
      </c>
      <c r="H640" s="9">
        <f t="shared" si="132"/>
        <v>1.7317499999999996E-2</v>
      </c>
      <c r="I640" s="4"/>
      <c r="J640" s="64">
        <f t="shared" ref="J640" si="133">J639+80</f>
        <v>700</v>
      </c>
      <c r="K640" s="31">
        <f t="shared" ref="K640:K641" si="134">J640-F640</f>
        <v>19.269999999999982</v>
      </c>
      <c r="L640" s="14">
        <f t="shared" si="130"/>
        <v>4.8174999999999954E-3</v>
      </c>
      <c r="M640" s="4"/>
    </row>
    <row r="641" spans="2:13">
      <c r="B641" s="4"/>
      <c r="C641" s="7">
        <v>1.22916666666674</v>
      </c>
      <c r="D641" s="7">
        <v>1.2395833333334101</v>
      </c>
      <c r="E641" s="30">
        <v>750</v>
      </c>
      <c r="F641" s="60">
        <v>754.22</v>
      </c>
      <c r="G641" s="4">
        <f t="shared" si="131"/>
        <v>-4.2200000000000273</v>
      </c>
      <c r="H641" s="76">
        <v>0</v>
      </c>
      <c r="I641" s="4"/>
      <c r="J641" s="64">
        <v>750</v>
      </c>
      <c r="K641" s="31">
        <f t="shared" si="134"/>
        <v>-4.2200000000000273</v>
      </c>
      <c r="L641" s="14">
        <f t="shared" si="130"/>
        <v>0</v>
      </c>
      <c r="M641" s="4"/>
    </row>
    <row r="642" spans="2:13" ht="15.75" thickBot="1">
      <c r="B642" s="4"/>
      <c r="C642" s="7"/>
      <c r="D642" s="7"/>
      <c r="E642" s="30"/>
      <c r="F642" s="60"/>
      <c r="G642" s="4"/>
      <c r="H642" s="9"/>
      <c r="I642" s="19">
        <f>SUM(H619:H641)</f>
        <v>1.0728124999999999</v>
      </c>
      <c r="J642" s="64"/>
      <c r="K642" s="31"/>
      <c r="L642" s="14"/>
      <c r="M642" s="32">
        <f>SUM(L619:L641)</f>
        <v>4.2319999999999969E-2</v>
      </c>
    </row>
    <row r="643" spans="2:13">
      <c r="B643" s="34">
        <v>46038</v>
      </c>
      <c r="C643" s="7">
        <v>1.45833333333348</v>
      </c>
      <c r="D643" s="7">
        <v>1.4687500000001401</v>
      </c>
      <c r="E643" s="30">
        <v>750</v>
      </c>
      <c r="F643" s="60">
        <v>736.07</v>
      </c>
      <c r="G643" s="4">
        <f t="shared" si="131"/>
        <v>13.92999999999995</v>
      </c>
      <c r="H643" s="9">
        <f t="shared" si="132"/>
        <v>3.4824999999999873E-3</v>
      </c>
      <c r="I643" s="4"/>
      <c r="J643" s="29">
        <f>E643-30</f>
        <v>720</v>
      </c>
      <c r="K643" s="31">
        <f t="shared" si="127"/>
        <v>16.07000000000005</v>
      </c>
      <c r="L643" s="14"/>
      <c r="M643" s="4"/>
    </row>
    <row r="644" spans="2:13">
      <c r="B644" s="4"/>
      <c r="C644" s="7">
        <v>1.4687500000001501</v>
      </c>
      <c r="D644" s="7">
        <v>1.47916666666681</v>
      </c>
      <c r="E644" s="30">
        <v>750</v>
      </c>
      <c r="F644" s="60">
        <v>650.44000000000005</v>
      </c>
      <c r="G644" s="4">
        <f t="shared" si="131"/>
        <v>99.559999999999945</v>
      </c>
      <c r="H644" s="9">
        <f t="shared" si="132"/>
        <v>2.4889999999999985E-2</v>
      </c>
      <c r="I644" s="9"/>
      <c r="J644" s="29">
        <f>J643-80</f>
        <v>640</v>
      </c>
      <c r="K644" s="31">
        <f t="shared" si="127"/>
        <v>10.440000000000055</v>
      </c>
      <c r="L644" s="14">
        <f t="shared" si="130"/>
        <v>2.6100000000000138E-3</v>
      </c>
      <c r="M644" s="9"/>
    </row>
    <row r="645" spans="2:13">
      <c r="B645" s="47"/>
      <c r="C645" s="7">
        <v>1.47916666666682</v>
      </c>
      <c r="D645" s="7">
        <v>1.48958333333348</v>
      </c>
      <c r="E645" s="30">
        <v>750</v>
      </c>
      <c r="F645" s="60">
        <v>574.05999999999995</v>
      </c>
      <c r="G645" s="4">
        <f t="shared" si="131"/>
        <v>175.94000000000005</v>
      </c>
      <c r="H645" s="9">
        <f t="shared" si="132"/>
        <v>4.398500000000001E-2</v>
      </c>
      <c r="I645" s="4"/>
      <c r="J645" s="64">
        <f t="shared" ref="J645" si="135">J644-80</f>
        <v>560</v>
      </c>
      <c r="K645" s="31">
        <f t="shared" si="127"/>
        <v>14.059999999999945</v>
      </c>
      <c r="L645" s="14">
        <f t="shared" si="130"/>
        <v>3.5149999999999865E-3</v>
      </c>
      <c r="M645" s="4"/>
    </row>
    <row r="646" spans="2:13">
      <c r="B646" s="4"/>
      <c r="C646" s="7">
        <v>1.48958333333349</v>
      </c>
      <c r="D646" s="7">
        <v>1.5000000000001501</v>
      </c>
      <c r="E646" s="30">
        <v>750</v>
      </c>
      <c r="F646" s="60">
        <v>551.15</v>
      </c>
      <c r="G646" s="4">
        <f t="shared" si="131"/>
        <v>198.85000000000002</v>
      </c>
      <c r="H646" s="9">
        <f t="shared" si="132"/>
        <v>4.9712500000000007E-2</v>
      </c>
      <c r="I646" s="4"/>
      <c r="J646" s="64">
        <v>540</v>
      </c>
      <c r="K646" s="31">
        <f t="shared" si="127"/>
        <v>11.149999999999977</v>
      </c>
      <c r="L646" s="14">
        <f t="shared" si="130"/>
        <v>2.7874999999999944E-3</v>
      </c>
      <c r="M646" s="4"/>
    </row>
    <row r="647" spans="2:13">
      <c r="B647" s="4"/>
      <c r="C647" s="7">
        <v>1.5000000000001601</v>
      </c>
      <c r="D647" s="7">
        <v>1.51041666666682</v>
      </c>
      <c r="E647" s="30">
        <v>750</v>
      </c>
      <c r="F647" s="60">
        <v>543.64</v>
      </c>
      <c r="G647" s="4">
        <f t="shared" si="131"/>
        <v>206.36</v>
      </c>
      <c r="H647" s="9">
        <f t="shared" si="132"/>
        <v>5.1590000000000004E-2</v>
      </c>
      <c r="I647" s="4"/>
      <c r="J647" s="64">
        <v>540</v>
      </c>
      <c r="K647" s="31">
        <f t="shared" si="127"/>
        <v>3.6399999999999864</v>
      </c>
      <c r="L647" s="14">
        <f t="shared" si="130"/>
        <v>9.0999999999999664E-4</v>
      </c>
      <c r="M647" s="4"/>
    </row>
    <row r="648" spans="2:13">
      <c r="B648" s="4"/>
      <c r="C648" s="7">
        <v>1.5104166666668299</v>
      </c>
      <c r="D648" s="7">
        <v>1.52083333333349</v>
      </c>
      <c r="E648" s="30">
        <v>750</v>
      </c>
      <c r="F648" s="60">
        <v>547.35</v>
      </c>
      <c r="G648" s="4">
        <f t="shared" si="131"/>
        <v>202.64999999999998</v>
      </c>
      <c r="H648" s="9">
        <f t="shared" si="132"/>
        <v>5.0662499999999992E-2</v>
      </c>
      <c r="I648" s="4"/>
      <c r="J648" s="64">
        <v>540</v>
      </c>
      <c r="K648" s="31">
        <f t="shared" si="127"/>
        <v>7.3500000000000227</v>
      </c>
      <c r="L648" s="14">
        <f t="shared" si="130"/>
        <v>1.8375000000000056E-3</v>
      </c>
      <c r="M648" s="4"/>
    </row>
    <row r="649" spans="2:13">
      <c r="B649" s="4"/>
      <c r="C649" s="7">
        <v>1.5208333333335</v>
      </c>
      <c r="D649" s="7">
        <v>1.5312500000001601</v>
      </c>
      <c r="E649" s="30">
        <v>750</v>
      </c>
      <c r="F649" s="60">
        <v>554.52</v>
      </c>
      <c r="G649" s="4">
        <f t="shared" si="131"/>
        <v>195.48000000000002</v>
      </c>
      <c r="H649" s="9">
        <f t="shared" si="132"/>
        <v>4.8870000000000004E-2</v>
      </c>
      <c r="I649" s="4"/>
      <c r="J649" s="64">
        <v>540</v>
      </c>
      <c r="K649" s="31">
        <f t="shared" si="127"/>
        <v>14.519999999999982</v>
      </c>
      <c r="L649" s="14">
        <f t="shared" si="130"/>
        <v>3.6299999999999956E-3</v>
      </c>
      <c r="M649" s="4"/>
    </row>
    <row r="650" spans="2:13">
      <c r="B650" s="47"/>
      <c r="C650" s="7">
        <v>1.5312500000001701</v>
      </c>
      <c r="D650" s="7">
        <v>1.5416666666668299</v>
      </c>
      <c r="E650" s="30">
        <v>750</v>
      </c>
      <c r="F650" s="60">
        <v>547.08000000000004</v>
      </c>
      <c r="G650" s="4">
        <f t="shared" si="131"/>
        <v>202.91999999999996</v>
      </c>
      <c r="H650" s="9">
        <f t="shared" si="132"/>
        <v>5.072999999999999E-2</v>
      </c>
      <c r="I650" s="9"/>
      <c r="J650" s="64">
        <v>540</v>
      </c>
      <c r="K650" s="31">
        <f t="shared" ref="K650:K707" si="136">F650-J650</f>
        <v>7.0800000000000409</v>
      </c>
      <c r="L650" s="14">
        <f t="shared" si="130"/>
        <v>1.7700000000000103E-3</v>
      </c>
      <c r="M650" s="4"/>
    </row>
    <row r="651" spans="2:13">
      <c r="B651" s="47"/>
      <c r="C651" s="7">
        <v>1.5416666666668399</v>
      </c>
      <c r="D651" s="7">
        <v>1.5520833333335</v>
      </c>
      <c r="E651" s="30">
        <v>750</v>
      </c>
      <c r="F651" s="60">
        <v>543.46</v>
      </c>
      <c r="G651" s="4">
        <f t="shared" si="131"/>
        <v>206.53999999999996</v>
      </c>
      <c r="H651" s="9">
        <f t="shared" si="132"/>
        <v>5.1634999999999993E-2</v>
      </c>
      <c r="I651" s="4"/>
      <c r="J651" s="64">
        <v>540</v>
      </c>
      <c r="K651" s="31">
        <f t="shared" si="136"/>
        <v>3.4600000000000364</v>
      </c>
      <c r="L651" s="14">
        <f t="shared" si="130"/>
        <v>8.650000000000091E-4</v>
      </c>
      <c r="M651" s="4"/>
    </row>
    <row r="652" spans="2:13">
      <c r="B652" s="4"/>
      <c r="C652" s="7">
        <v>1.55208333333351</v>
      </c>
      <c r="D652" s="7">
        <v>1.5625000000001701</v>
      </c>
      <c r="E652" s="30">
        <v>750</v>
      </c>
      <c r="F652" s="60">
        <v>545.29</v>
      </c>
      <c r="G652" s="4">
        <f t="shared" si="131"/>
        <v>204.71000000000004</v>
      </c>
      <c r="H652" s="9">
        <f t="shared" si="132"/>
        <v>5.1177500000000008E-2</v>
      </c>
      <c r="I652" s="4"/>
      <c r="J652" s="64">
        <v>540</v>
      </c>
      <c r="K652" s="31">
        <f t="shared" si="136"/>
        <v>5.2899999999999636</v>
      </c>
      <c r="L652" s="14">
        <f t="shared" si="130"/>
        <v>1.322499999999991E-3</v>
      </c>
      <c r="M652" s="4"/>
    </row>
    <row r="653" spans="2:13">
      <c r="B653" s="4"/>
      <c r="C653" s="7">
        <v>1.5625000000001801</v>
      </c>
      <c r="D653" s="7">
        <v>1.5729166666668399</v>
      </c>
      <c r="E653" s="30">
        <v>750</v>
      </c>
      <c r="F653" s="60">
        <v>547.34</v>
      </c>
      <c r="G653" s="4">
        <f t="shared" si="131"/>
        <v>202.65999999999997</v>
      </c>
      <c r="H653" s="9">
        <f t="shared" si="132"/>
        <v>5.0664999999999995E-2</v>
      </c>
      <c r="I653" s="4"/>
      <c r="J653" s="64">
        <v>540</v>
      </c>
      <c r="K653" s="31">
        <f t="shared" si="136"/>
        <v>7.3400000000000318</v>
      </c>
      <c r="L653" s="14">
        <f t="shared" si="130"/>
        <v>1.8350000000000081E-3</v>
      </c>
      <c r="M653" s="4"/>
    </row>
    <row r="654" spans="2:13">
      <c r="B654" s="4"/>
      <c r="C654" s="7">
        <v>1.5729166666668499</v>
      </c>
      <c r="D654" s="7">
        <v>1.58333333333351</v>
      </c>
      <c r="E654" s="30">
        <v>750</v>
      </c>
      <c r="F654" s="60">
        <v>547</v>
      </c>
      <c r="G654" s="4">
        <f t="shared" si="131"/>
        <v>203</v>
      </c>
      <c r="H654" s="9">
        <f t="shared" si="132"/>
        <v>5.0750000000000003E-2</v>
      </c>
      <c r="I654" s="4"/>
      <c r="J654" s="64">
        <v>540</v>
      </c>
      <c r="K654" s="31">
        <f t="shared" si="136"/>
        <v>7</v>
      </c>
      <c r="L654" s="14">
        <f t="shared" si="130"/>
        <v>1.75E-3</v>
      </c>
      <c r="M654" s="4"/>
    </row>
    <row r="655" spans="2:13">
      <c r="B655" s="4"/>
      <c r="C655" s="7">
        <v>1.58333333333352</v>
      </c>
      <c r="D655" s="7">
        <v>1.5937500000001801</v>
      </c>
      <c r="E655" s="30">
        <v>750</v>
      </c>
      <c r="F655" s="60">
        <v>546.05999999999995</v>
      </c>
      <c r="G655" s="4">
        <f t="shared" si="131"/>
        <v>203.94000000000005</v>
      </c>
      <c r="H655" s="9">
        <f t="shared" si="132"/>
        <v>5.0985000000000016E-2</v>
      </c>
      <c r="I655" s="4"/>
      <c r="J655" s="64">
        <v>540</v>
      </c>
      <c r="K655" s="31">
        <f t="shared" si="136"/>
        <v>6.0599999999999454</v>
      </c>
      <c r="L655" s="14">
        <f t="shared" si="130"/>
        <v>1.5149999999999864E-3</v>
      </c>
      <c r="M655" s="4"/>
    </row>
    <row r="656" spans="2:13">
      <c r="B656" s="4"/>
      <c r="C656" s="7">
        <v>1.5937500000001901</v>
      </c>
      <c r="D656" s="7">
        <v>1.6041666666668499</v>
      </c>
      <c r="E656" s="30">
        <v>750</v>
      </c>
      <c r="F656" s="60">
        <v>545.12</v>
      </c>
      <c r="G656" s="4">
        <f t="shared" si="131"/>
        <v>204.88</v>
      </c>
      <c r="H656" s="9">
        <f t="shared" si="132"/>
        <v>5.1220000000000002E-2</v>
      </c>
      <c r="I656" s="4"/>
      <c r="J656" s="64">
        <v>540</v>
      </c>
      <c r="K656" s="31">
        <f t="shared" si="136"/>
        <v>5.1200000000000045</v>
      </c>
      <c r="L656" s="14">
        <f t="shared" si="130"/>
        <v>1.2800000000000012E-3</v>
      </c>
      <c r="M656" s="4"/>
    </row>
    <row r="657" spans="2:13">
      <c r="B657" s="47"/>
      <c r="C657" s="7">
        <v>1.6041666666668599</v>
      </c>
      <c r="D657" s="7">
        <v>1.61458333333352</v>
      </c>
      <c r="E657" s="30">
        <v>750</v>
      </c>
      <c r="F657" s="60">
        <v>544.24</v>
      </c>
      <c r="G657" s="4">
        <f t="shared" si="131"/>
        <v>205.76</v>
      </c>
      <c r="H657" s="9">
        <f t="shared" si="132"/>
        <v>5.144E-2</v>
      </c>
      <c r="I657" s="4"/>
      <c r="J657" s="64">
        <v>540</v>
      </c>
      <c r="K657" s="31">
        <f t="shared" si="136"/>
        <v>4.2400000000000091</v>
      </c>
      <c r="L657" s="14">
        <f t="shared" si="130"/>
        <v>1.0600000000000023E-3</v>
      </c>
      <c r="M657" s="4"/>
    </row>
    <row r="658" spans="2:13">
      <c r="B658" s="4"/>
      <c r="C658" s="7">
        <v>1.61458333333353</v>
      </c>
      <c r="D658" s="7">
        <v>1.6250000000001901</v>
      </c>
      <c r="E658" s="30">
        <v>750</v>
      </c>
      <c r="F658" s="60">
        <v>547.24</v>
      </c>
      <c r="G658" s="4">
        <f t="shared" si="131"/>
        <v>202.76</v>
      </c>
      <c r="H658" s="9">
        <f t="shared" si="132"/>
        <v>5.0689999999999999E-2</v>
      </c>
      <c r="I658" s="4"/>
      <c r="J658" s="64">
        <v>540</v>
      </c>
      <c r="K658" s="31">
        <f t="shared" si="136"/>
        <v>7.2400000000000091</v>
      </c>
      <c r="L658" s="14">
        <f t="shared" si="130"/>
        <v>1.8100000000000024E-3</v>
      </c>
      <c r="M658" s="4"/>
    </row>
    <row r="659" spans="2:13">
      <c r="B659" s="4"/>
      <c r="C659" s="7">
        <v>1.6250000000002001</v>
      </c>
      <c r="D659" s="7">
        <v>1.6354166666668599</v>
      </c>
      <c r="E659" s="30">
        <v>750</v>
      </c>
      <c r="F659" s="60">
        <v>544.70000000000005</v>
      </c>
      <c r="G659" s="4">
        <f t="shared" si="131"/>
        <v>205.29999999999995</v>
      </c>
      <c r="H659" s="9">
        <f t="shared" si="132"/>
        <v>5.1324999999999989E-2</v>
      </c>
      <c r="I659" s="4"/>
      <c r="J659" s="64">
        <v>540</v>
      </c>
      <c r="K659" s="31">
        <f t="shared" si="136"/>
        <v>4.7000000000000455</v>
      </c>
      <c r="L659" s="14">
        <f t="shared" si="130"/>
        <v>1.1750000000000113E-3</v>
      </c>
      <c r="M659" s="4"/>
    </row>
    <row r="660" spans="2:13">
      <c r="B660" s="4"/>
      <c r="C660" s="7">
        <v>1.6354166666668699</v>
      </c>
      <c r="D660" s="7">
        <v>1.64583333333353</v>
      </c>
      <c r="E660" s="30">
        <v>750</v>
      </c>
      <c r="F660" s="60">
        <v>546.66999999999996</v>
      </c>
      <c r="G660" s="4">
        <f t="shared" si="131"/>
        <v>203.33000000000004</v>
      </c>
      <c r="H660" s="9">
        <f t="shared" si="132"/>
        <v>5.083250000000001E-2</v>
      </c>
      <c r="I660" s="4"/>
      <c r="J660" s="64">
        <v>540</v>
      </c>
      <c r="K660" s="31">
        <f t="shared" si="136"/>
        <v>6.6699999999999591</v>
      </c>
      <c r="L660" s="14">
        <f t="shared" si="130"/>
        <v>1.6674999999999897E-3</v>
      </c>
      <c r="M660" s="4"/>
    </row>
    <row r="661" spans="2:13">
      <c r="B661" s="4"/>
      <c r="C661" s="7">
        <v>1.64583333333354</v>
      </c>
      <c r="D661" s="7">
        <v>1.6562500000002001</v>
      </c>
      <c r="E661" s="30">
        <v>750</v>
      </c>
      <c r="F661" s="60">
        <v>550.49</v>
      </c>
      <c r="G661" s="4">
        <f t="shared" si="131"/>
        <v>199.51</v>
      </c>
      <c r="H661" s="9">
        <f t="shared" si="132"/>
        <v>4.9877499999999998E-2</v>
      </c>
      <c r="I661" s="4"/>
      <c r="J661" s="64">
        <v>540</v>
      </c>
      <c r="K661" s="31">
        <f t="shared" si="136"/>
        <v>10.490000000000009</v>
      </c>
      <c r="L661" s="14">
        <f t="shared" si="130"/>
        <v>2.6225000000000024E-3</v>
      </c>
      <c r="M661" s="4"/>
    </row>
    <row r="662" spans="2:13">
      <c r="B662" s="47"/>
      <c r="C662" s="7">
        <v>1.6562500000002101</v>
      </c>
      <c r="D662" s="7">
        <v>1.6666666666668699</v>
      </c>
      <c r="E662" s="30">
        <v>750</v>
      </c>
      <c r="F662" s="60">
        <v>542.76</v>
      </c>
      <c r="G662" s="4">
        <f t="shared" si="131"/>
        <v>207.24</v>
      </c>
      <c r="H662" s="9">
        <f t="shared" si="132"/>
        <v>5.1810000000000002E-2</v>
      </c>
      <c r="I662" s="9"/>
      <c r="J662" s="64">
        <v>540</v>
      </c>
      <c r="K662" s="31">
        <f t="shared" si="136"/>
        <v>2.7599999999999909</v>
      </c>
      <c r="L662" s="14">
        <f t="shared" si="130"/>
        <v>6.8999999999999769E-4</v>
      </c>
      <c r="M662" s="4"/>
    </row>
    <row r="663" spans="2:13">
      <c r="B663" s="47"/>
      <c r="C663" s="7">
        <v>1.6666666666668899</v>
      </c>
      <c r="D663" s="7">
        <v>1.67708333333354</v>
      </c>
      <c r="E663" s="30">
        <v>750</v>
      </c>
      <c r="F663" s="60">
        <v>548.52</v>
      </c>
      <c r="G663" s="4">
        <f t="shared" si="131"/>
        <v>201.48000000000002</v>
      </c>
      <c r="H663" s="9">
        <f t="shared" si="132"/>
        <v>5.0370000000000005E-2</v>
      </c>
      <c r="I663" s="4"/>
      <c r="J663" s="64">
        <v>540</v>
      </c>
      <c r="K663" s="31">
        <f t="shared" si="136"/>
        <v>8.5199999999999818</v>
      </c>
      <c r="L663" s="14">
        <f t="shared" si="130"/>
        <v>2.1299999999999956E-3</v>
      </c>
      <c r="M663" s="4"/>
    </row>
    <row r="664" spans="2:13">
      <c r="B664" s="4"/>
      <c r="C664" s="7">
        <v>1.67708333333356</v>
      </c>
      <c r="D664" s="35">
        <v>1.6875000000002101</v>
      </c>
      <c r="E664" s="30">
        <v>750</v>
      </c>
      <c r="F664" s="60">
        <v>543.12</v>
      </c>
      <c r="G664" s="4">
        <f t="shared" si="131"/>
        <v>206.88</v>
      </c>
      <c r="H664" s="9">
        <f t="shared" si="132"/>
        <v>5.1720000000000002E-2</v>
      </c>
      <c r="I664" s="4"/>
      <c r="J664" s="64">
        <v>540</v>
      </c>
      <c r="K664" s="31">
        <f t="shared" si="136"/>
        <v>3.1200000000000045</v>
      </c>
      <c r="L664" s="14">
        <f t="shared" ref="L664:L721" si="137">IF(K664/4000&gt;0,K664/4000,0)</f>
        <v>7.8000000000000118E-4</v>
      </c>
      <c r="M664" s="4"/>
    </row>
    <row r="665" spans="2:13">
      <c r="B665" s="4"/>
      <c r="C665" s="7">
        <v>1.68750000000023</v>
      </c>
      <c r="D665" s="7">
        <v>1.6979166666668799</v>
      </c>
      <c r="E665" s="30">
        <v>750</v>
      </c>
      <c r="F665" s="60">
        <v>613.17999999999995</v>
      </c>
      <c r="G665" s="4">
        <f t="shared" si="131"/>
        <v>136.82000000000005</v>
      </c>
      <c r="H665" s="9">
        <f t="shared" si="132"/>
        <v>3.4205000000000013E-2</v>
      </c>
      <c r="I665" s="4"/>
      <c r="J665" s="29">
        <f>J664+80</f>
        <v>620</v>
      </c>
      <c r="K665" s="31">
        <f>J665-F665</f>
        <v>6.82000000000005</v>
      </c>
      <c r="L665" s="14">
        <f t="shared" si="137"/>
        <v>1.7050000000000125E-3</v>
      </c>
      <c r="M665" s="4"/>
    </row>
    <row r="666" spans="2:13">
      <c r="B666" s="4"/>
      <c r="C666" s="7">
        <v>1.6979166666669001</v>
      </c>
      <c r="D666" s="7">
        <v>1.70833333333355</v>
      </c>
      <c r="E666" s="30">
        <v>750</v>
      </c>
      <c r="F666" s="60">
        <v>705.34</v>
      </c>
      <c r="G666" s="4">
        <f t="shared" si="131"/>
        <v>44.659999999999968</v>
      </c>
      <c r="H666" s="9">
        <f t="shared" si="132"/>
        <v>1.1164999999999993E-2</v>
      </c>
      <c r="I666" s="4"/>
      <c r="J666" s="64">
        <f t="shared" ref="J666" si="138">J665+80</f>
        <v>700</v>
      </c>
      <c r="K666" s="31">
        <f t="shared" ref="K666:K667" si="139">J666-F666</f>
        <v>-5.3400000000000318</v>
      </c>
      <c r="L666" s="14">
        <f t="shared" si="137"/>
        <v>0</v>
      </c>
      <c r="M666" s="4"/>
    </row>
    <row r="667" spans="2:13">
      <c r="B667" s="4"/>
      <c r="C667" s="7">
        <v>1.70833333333356</v>
      </c>
      <c r="D667" s="7">
        <v>1.71875000000022</v>
      </c>
      <c r="E667" s="30">
        <v>750</v>
      </c>
      <c r="F667" s="60">
        <v>751.37</v>
      </c>
      <c r="G667" s="4">
        <f t="shared" si="131"/>
        <v>-1.3700000000000045</v>
      </c>
      <c r="H667" s="76">
        <v>0</v>
      </c>
      <c r="I667" s="9"/>
      <c r="J667" s="64">
        <v>750</v>
      </c>
      <c r="K667" s="31">
        <f t="shared" si="139"/>
        <v>-1.3700000000000045</v>
      </c>
      <c r="L667" s="14">
        <f t="shared" si="137"/>
        <v>0</v>
      </c>
      <c r="M667" s="4"/>
    </row>
    <row r="668" spans="2:13">
      <c r="B668" s="4"/>
      <c r="C668" s="7"/>
      <c r="D668" s="7"/>
      <c r="E668" s="30"/>
      <c r="F668" s="60"/>
      <c r="G668" s="4"/>
      <c r="H668" s="9"/>
      <c r="I668" s="9">
        <f>SUM(H643:H667)</f>
        <v>1.0837900000000005</v>
      </c>
      <c r="J668" s="64"/>
      <c r="K668" s="31"/>
      <c r="L668" s="14"/>
      <c r="M668" s="9">
        <f>SUM(L643:L667)</f>
        <v>3.9267500000000004E-2</v>
      </c>
    </row>
    <row r="669" spans="2:13">
      <c r="B669" s="34">
        <v>46038</v>
      </c>
      <c r="C669" s="7">
        <v>1.8645833333336199</v>
      </c>
      <c r="D669" s="7">
        <v>1.87500000000027</v>
      </c>
      <c r="E669" s="30">
        <v>750</v>
      </c>
      <c r="F669" s="60">
        <v>721.85</v>
      </c>
      <c r="G669" s="4">
        <f t="shared" si="131"/>
        <v>28.149999999999977</v>
      </c>
      <c r="H669" s="9">
        <f t="shared" si="132"/>
        <v>7.0374999999999943E-3</v>
      </c>
      <c r="I669" s="4"/>
      <c r="J669" s="29">
        <f>E669-55</f>
        <v>695</v>
      </c>
      <c r="K669" s="31">
        <f t="shared" si="136"/>
        <v>26.850000000000023</v>
      </c>
      <c r="L669" s="14"/>
      <c r="M669" s="4"/>
    </row>
    <row r="670" spans="2:13">
      <c r="B670" s="4"/>
      <c r="C670" s="7">
        <v>1.87500000000029</v>
      </c>
      <c r="D670" s="7">
        <v>1.8854166666669401</v>
      </c>
      <c r="E670" s="30">
        <v>750</v>
      </c>
      <c r="F670" s="60">
        <v>620.19000000000005</v>
      </c>
      <c r="G670" s="4">
        <f t="shared" si="131"/>
        <v>129.80999999999995</v>
      </c>
      <c r="H670" s="9">
        <f t="shared" si="132"/>
        <v>3.2452499999999988E-2</v>
      </c>
      <c r="I670" s="4"/>
      <c r="J670" s="29">
        <f>J669-80</f>
        <v>615</v>
      </c>
      <c r="K670" s="31">
        <f t="shared" si="136"/>
        <v>5.1900000000000546</v>
      </c>
      <c r="L670" s="14">
        <f t="shared" si="137"/>
        <v>1.2975000000000137E-3</v>
      </c>
      <c r="M670" s="4"/>
    </row>
    <row r="671" spans="2:13">
      <c r="B671" s="4"/>
      <c r="C671" s="7">
        <v>1.8854166666669601</v>
      </c>
      <c r="D671" s="7">
        <v>1.8958333333336099</v>
      </c>
      <c r="E671" s="30">
        <v>750</v>
      </c>
      <c r="F671" s="60">
        <v>551.05999999999995</v>
      </c>
      <c r="G671" s="4">
        <f t="shared" si="131"/>
        <v>198.94000000000005</v>
      </c>
      <c r="H671" s="9">
        <f t="shared" si="132"/>
        <v>4.9735000000000015E-2</v>
      </c>
      <c r="I671" s="4"/>
      <c r="J671" s="64">
        <v>540</v>
      </c>
      <c r="K671" s="31">
        <f t="shared" si="136"/>
        <v>11.059999999999945</v>
      </c>
      <c r="L671" s="14">
        <f t="shared" si="137"/>
        <v>2.7649999999999862E-3</v>
      </c>
      <c r="M671" s="4"/>
    </row>
    <row r="672" spans="2:13">
      <c r="B672" s="4"/>
      <c r="C672" s="7">
        <v>1.8958333333336299</v>
      </c>
      <c r="D672" s="35">
        <v>1.90625000000028</v>
      </c>
      <c r="E672" s="30">
        <v>750</v>
      </c>
      <c r="F672" s="60">
        <v>545.36</v>
      </c>
      <c r="G672" s="4">
        <f t="shared" si="131"/>
        <v>204.64</v>
      </c>
      <c r="H672" s="9">
        <f t="shared" si="132"/>
        <v>5.1159999999999997E-2</v>
      </c>
      <c r="I672" s="4"/>
      <c r="J672" s="64">
        <v>540</v>
      </c>
      <c r="K672" s="31">
        <f t="shared" si="136"/>
        <v>5.3600000000000136</v>
      </c>
      <c r="L672" s="14">
        <f t="shared" si="137"/>
        <v>1.3400000000000035E-3</v>
      </c>
      <c r="M672" s="4"/>
    </row>
    <row r="673" spans="2:13">
      <c r="B673" s="4"/>
      <c r="C673" s="7">
        <v>1.9062500000003</v>
      </c>
      <c r="D673" s="7">
        <v>1.9166666666669501</v>
      </c>
      <c r="E673" s="30">
        <v>750</v>
      </c>
      <c r="F673" s="60">
        <v>640.63</v>
      </c>
      <c r="G673" s="4">
        <f t="shared" si="131"/>
        <v>109.37</v>
      </c>
      <c r="H673" s="9">
        <f t="shared" si="132"/>
        <v>2.7342500000000002E-2</v>
      </c>
      <c r="I673" s="4"/>
      <c r="J673" s="29">
        <f>J672+80</f>
        <v>620</v>
      </c>
      <c r="K673" s="31">
        <f>J673-F673</f>
        <v>-20.629999999999995</v>
      </c>
      <c r="L673" s="14">
        <f t="shared" si="137"/>
        <v>0</v>
      </c>
      <c r="M673" s="4"/>
    </row>
    <row r="674" spans="2:13">
      <c r="B674" s="4"/>
      <c r="C674" s="7">
        <v>1.9166666666669701</v>
      </c>
      <c r="D674" s="7">
        <v>1.9270833333336199</v>
      </c>
      <c r="E674" s="30">
        <v>750</v>
      </c>
      <c r="F674" s="60">
        <v>712.78</v>
      </c>
      <c r="G674" s="4">
        <f t="shared" si="131"/>
        <v>37.220000000000027</v>
      </c>
      <c r="H674" s="9">
        <f t="shared" si="132"/>
        <v>9.305000000000006E-3</v>
      </c>
      <c r="I674" s="4"/>
      <c r="J674" s="64">
        <f t="shared" ref="J674" si="140">J673+80</f>
        <v>700</v>
      </c>
      <c r="K674" s="31">
        <f t="shared" ref="K674:K675" si="141">J674-F674</f>
        <v>-12.779999999999973</v>
      </c>
      <c r="L674" s="14">
        <f t="shared" si="137"/>
        <v>0</v>
      </c>
      <c r="M674" s="4"/>
    </row>
    <row r="675" spans="2:13">
      <c r="B675" s="4"/>
      <c r="C675" s="7">
        <v>1.9270833333336399</v>
      </c>
      <c r="D675" s="7">
        <v>1.93750000000029</v>
      </c>
      <c r="E675" s="30">
        <v>750</v>
      </c>
      <c r="F675" s="60">
        <v>749.21</v>
      </c>
      <c r="G675" s="4">
        <f t="shared" ref="G675:G731" si="142">E675-F675</f>
        <v>0.78999999999996362</v>
      </c>
      <c r="H675" s="9">
        <f t="shared" ref="H675:H731" si="143">G675/4000</f>
        <v>1.974999999999909E-4</v>
      </c>
      <c r="I675" s="4"/>
      <c r="J675" s="64">
        <v>750</v>
      </c>
      <c r="K675" s="31">
        <f t="shared" si="141"/>
        <v>0.78999999999996362</v>
      </c>
      <c r="L675" s="14">
        <f t="shared" si="137"/>
        <v>1.974999999999909E-4</v>
      </c>
      <c r="M675" s="4"/>
    </row>
    <row r="676" spans="2:13">
      <c r="B676" s="4"/>
      <c r="C676" s="7"/>
      <c r="D676" s="7"/>
      <c r="E676" s="30"/>
      <c r="F676" s="60"/>
      <c r="G676" s="4"/>
      <c r="H676" s="9"/>
      <c r="I676" s="9">
        <f>SUM(H669:H675)</f>
        <v>0.17722999999999997</v>
      </c>
      <c r="J676" s="29"/>
      <c r="K676" s="31"/>
      <c r="L676" s="14"/>
      <c r="M676" s="4">
        <f>SUM(L669:L675)</f>
        <v>5.5999999999999947E-3</v>
      </c>
    </row>
    <row r="677" spans="2:13">
      <c r="B677" s="34">
        <v>46038</v>
      </c>
      <c r="C677" s="7">
        <v>1.94791666666698</v>
      </c>
      <c r="D677" s="7">
        <v>1.9583333333336299</v>
      </c>
      <c r="E677" s="30">
        <v>750</v>
      </c>
      <c r="F677" s="60">
        <v>728.77</v>
      </c>
      <c r="G677" s="4">
        <f t="shared" si="142"/>
        <v>21.230000000000018</v>
      </c>
      <c r="H677" s="9">
        <f t="shared" si="143"/>
        <v>5.3075000000000049E-3</v>
      </c>
      <c r="I677" s="4"/>
      <c r="J677" s="29">
        <f>E677-55</f>
        <v>695</v>
      </c>
      <c r="K677" s="31">
        <f t="shared" si="136"/>
        <v>33.769999999999982</v>
      </c>
      <c r="L677" s="14"/>
      <c r="M677" s="4"/>
    </row>
    <row r="678" spans="2:13">
      <c r="B678" s="4"/>
      <c r="C678" s="7">
        <v>1.9583333333336499</v>
      </c>
      <c r="D678" s="7">
        <v>1.9687500000003</v>
      </c>
      <c r="E678" s="30">
        <v>750</v>
      </c>
      <c r="F678" s="60">
        <v>621.12</v>
      </c>
      <c r="G678" s="4">
        <f t="shared" si="142"/>
        <v>128.88</v>
      </c>
      <c r="H678" s="9">
        <f t="shared" si="143"/>
        <v>3.2219999999999999E-2</v>
      </c>
      <c r="I678" s="9"/>
      <c r="J678" s="29">
        <f>J677-80</f>
        <v>615</v>
      </c>
      <c r="K678" s="31">
        <f t="shared" si="136"/>
        <v>6.1200000000000045</v>
      </c>
      <c r="L678" s="14">
        <f t="shared" si="137"/>
        <v>1.5300000000000012E-3</v>
      </c>
      <c r="M678" s="4"/>
    </row>
    <row r="679" spans="2:13">
      <c r="B679" s="47"/>
      <c r="C679" s="7">
        <v>1.96875000000032</v>
      </c>
      <c r="D679" s="7">
        <v>1.9791666666669701</v>
      </c>
      <c r="E679" s="30">
        <v>750</v>
      </c>
      <c r="F679" s="60">
        <v>569.57000000000005</v>
      </c>
      <c r="G679" s="4">
        <f t="shared" si="142"/>
        <v>180.42999999999995</v>
      </c>
      <c r="H679" s="9">
        <f t="shared" si="143"/>
        <v>4.5107499999999988E-2</v>
      </c>
      <c r="I679" s="9"/>
      <c r="J679" s="64">
        <v>540</v>
      </c>
      <c r="K679" s="31">
        <f t="shared" si="136"/>
        <v>29.57000000000005</v>
      </c>
      <c r="L679" s="14">
        <f t="shared" si="137"/>
        <v>7.3925000000000128E-3</v>
      </c>
      <c r="M679" s="9"/>
    </row>
    <row r="680" spans="2:13">
      <c r="B680" s="47"/>
      <c r="C680" s="7">
        <v>1.97916666666699</v>
      </c>
      <c r="D680" s="7">
        <v>1.9895833333336399</v>
      </c>
      <c r="E680" s="30">
        <v>750</v>
      </c>
      <c r="F680" s="60">
        <v>550.46</v>
      </c>
      <c r="G680" s="4">
        <f t="shared" si="142"/>
        <v>199.53999999999996</v>
      </c>
      <c r="H680" s="9">
        <f t="shared" si="143"/>
        <v>4.9884999999999992E-2</v>
      </c>
      <c r="I680" s="4"/>
      <c r="J680" s="64">
        <v>540</v>
      </c>
      <c r="K680" s="31">
        <f t="shared" si="136"/>
        <v>10.460000000000036</v>
      </c>
      <c r="L680" s="14">
        <f t="shared" si="137"/>
        <v>2.6150000000000092E-3</v>
      </c>
      <c r="M680" s="4"/>
    </row>
    <row r="681" spans="2:13">
      <c r="B681" s="4"/>
      <c r="C681" s="7">
        <v>1.9895833333336601</v>
      </c>
      <c r="D681" s="35">
        <v>2.00000000000031</v>
      </c>
      <c r="E681" s="30">
        <v>750</v>
      </c>
      <c r="F681" s="61">
        <v>545.22</v>
      </c>
      <c r="G681" s="4">
        <f t="shared" si="142"/>
        <v>204.77999999999997</v>
      </c>
      <c r="H681" s="9">
        <f t="shared" si="143"/>
        <v>5.1194999999999991E-2</v>
      </c>
      <c r="I681" s="4"/>
      <c r="J681" s="64">
        <v>540</v>
      </c>
      <c r="K681" s="31">
        <f t="shared" si="136"/>
        <v>5.2200000000000273</v>
      </c>
      <c r="L681" s="14">
        <f t="shared" si="137"/>
        <v>1.3050000000000069E-3</v>
      </c>
      <c r="M681" s="4"/>
    </row>
    <row r="682" spans="2:13">
      <c r="B682" s="4"/>
      <c r="C682" s="7"/>
      <c r="D682" s="7"/>
      <c r="E682" s="20"/>
      <c r="F682" s="15"/>
      <c r="G682" s="4"/>
      <c r="H682" s="9"/>
      <c r="I682" s="9">
        <f>SUM(H677:H681)</f>
        <v>0.18371499999999996</v>
      </c>
      <c r="J682" s="29"/>
      <c r="K682" s="31"/>
      <c r="L682" s="14"/>
      <c r="M682" s="4">
        <f>SUM(L677:L681)</f>
        <v>1.2842500000000031E-2</v>
      </c>
    </row>
    <row r="683" spans="2:13">
      <c r="B683" s="34">
        <v>46039</v>
      </c>
      <c r="C683" s="7">
        <v>1</v>
      </c>
      <c r="D683" s="7">
        <v>1.0104166666666701</v>
      </c>
      <c r="E683" s="30">
        <v>750</v>
      </c>
      <c r="F683" s="60">
        <v>546.62</v>
      </c>
      <c r="G683" s="4">
        <f t="shared" si="142"/>
        <v>203.38</v>
      </c>
      <c r="H683" s="9">
        <f t="shared" si="143"/>
        <v>5.0845000000000001E-2</v>
      </c>
      <c r="I683" s="4"/>
      <c r="J683" s="29">
        <v>540</v>
      </c>
      <c r="K683" s="31">
        <f t="shared" si="136"/>
        <v>6.6200000000000045</v>
      </c>
      <c r="L683" s="14"/>
      <c r="M683" s="4"/>
    </row>
    <row r="684" spans="2:13">
      <c r="B684" s="4"/>
      <c r="C684" s="7">
        <v>1.0104166666666701</v>
      </c>
      <c r="D684" s="7">
        <v>1.0208333333333399</v>
      </c>
      <c r="E684" s="30">
        <v>750</v>
      </c>
      <c r="F684" s="60">
        <v>545.75</v>
      </c>
      <c r="G684" s="4">
        <f t="shared" si="142"/>
        <v>204.25</v>
      </c>
      <c r="H684" s="9">
        <f t="shared" si="143"/>
        <v>5.1062499999999997E-2</v>
      </c>
      <c r="I684" s="4"/>
      <c r="J684" s="29">
        <v>540</v>
      </c>
      <c r="K684" s="31">
        <f t="shared" si="136"/>
        <v>5.75</v>
      </c>
      <c r="L684" s="14">
        <f t="shared" si="137"/>
        <v>1.4375E-3</v>
      </c>
      <c r="M684" s="4"/>
    </row>
    <row r="685" spans="2:13">
      <c r="B685" s="4"/>
      <c r="C685" s="7">
        <v>1.0208333333333399</v>
      </c>
      <c r="D685" s="7">
        <v>1.03125000000001</v>
      </c>
      <c r="E685" s="30">
        <v>750</v>
      </c>
      <c r="F685" s="60">
        <v>544.66</v>
      </c>
      <c r="G685" s="4">
        <f t="shared" si="142"/>
        <v>205.34000000000003</v>
      </c>
      <c r="H685" s="9">
        <f t="shared" si="143"/>
        <v>5.1335000000000006E-2</v>
      </c>
      <c r="I685" s="4"/>
      <c r="J685" s="64">
        <v>540</v>
      </c>
      <c r="K685" s="31">
        <f t="shared" si="136"/>
        <v>4.6599999999999682</v>
      </c>
      <c r="L685" s="14">
        <f t="shared" si="137"/>
        <v>1.164999999999992E-3</v>
      </c>
      <c r="M685" s="9"/>
    </row>
    <row r="686" spans="2:13">
      <c r="B686" s="4"/>
      <c r="C686" s="7">
        <v>1.03125000000001</v>
      </c>
      <c r="D686" s="7">
        <v>1.0416666666666801</v>
      </c>
      <c r="E686" s="30">
        <v>750</v>
      </c>
      <c r="F686" s="60">
        <v>545.14</v>
      </c>
      <c r="G686" s="4">
        <f t="shared" si="142"/>
        <v>204.86</v>
      </c>
      <c r="H686" s="9">
        <f t="shared" si="143"/>
        <v>5.1215000000000004E-2</v>
      </c>
      <c r="I686" s="4"/>
      <c r="J686" s="64">
        <v>540</v>
      </c>
      <c r="K686" s="31">
        <f t="shared" si="136"/>
        <v>5.1399999999999864</v>
      </c>
      <c r="L686" s="14">
        <f t="shared" si="137"/>
        <v>1.2849999999999966E-3</v>
      </c>
      <c r="M686" s="4"/>
    </row>
    <row r="687" spans="2:13">
      <c r="B687" s="4"/>
      <c r="C687" s="7">
        <v>1.0416666666666801</v>
      </c>
      <c r="D687" s="7">
        <v>1.0520833333333499</v>
      </c>
      <c r="E687" s="30">
        <v>750</v>
      </c>
      <c r="F687" s="60">
        <v>546.54</v>
      </c>
      <c r="G687" s="4">
        <f t="shared" si="142"/>
        <v>203.46000000000004</v>
      </c>
      <c r="H687" s="9">
        <f t="shared" si="143"/>
        <v>5.0865000000000007E-2</v>
      </c>
      <c r="I687" s="4"/>
      <c r="J687" s="64">
        <v>540</v>
      </c>
      <c r="K687" s="31">
        <f t="shared" si="136"/>
        <v>6.5399999999999636</v>
      </c>
      <c r="L687" s="14">
        <f t="shared" si="137"/>
        <v>1.6349999999999908E-3</v>
      </c>
      <c r="M687" s="4"/>
    </row>
    <row r="688" spans="2:13">
      <c r="B688" s="4"/>
      <c r="C688" s="7">
        <v>1.0520833333333499</v>
      </c>
      <c r="D688" s="7">
        <v>1.06250000000002</v>
      </c>
      <c r="E688" s="30">
        <v>750</v>
      </c>
      <c r="F688" s="60">
        <v>549.41</v>
      </c>
      <c r="G688" s="4">
        <f t="shared" si="142"/>
        <v>200.59000000000003</v>
      </c>
      <c r="H688" s="9">
        <f t="shared" si="143"/>
        <v>5.0147500000000005E-2</v>
      </c>
      <c r="I688" s="4"/>
      <c r="J688" s="64">
        <v>540</v>
      </c>
      <c r="K688" s="31">
        <f t="shared" si="136"/>
        <v>9.4099999999999682</v>
      </c>
      <c r="L688" s="14">
        <f t="shared" si="137"/>
        <v>2.3524999999999922E-3</v>
      </c>
      <c r="M688" s="4"/>
    </row>
    <row r="689" spans="2:13" ht="15.75" thickBot="1">
      <c r="B689" s="4"/>
      <c r="C689" s="7">
        <v>1.06250000000002</v>
      </c>
      <c r="D689" s="7">
        <v>1.0729166666666901</v>
      </c>
      <c r="E689" s="30">
        <v>750</v>
      </c>
      <c r="F689" s="60">
        <v>545.04999999999995</v>
      </c>
      <c r="G689" s="4">
        <f t="shared" si="142"/>
        <v>204.95000000000005</v>
      </c>
      <c r="H689" s="9">
        <f t="shared" si="143"/>
        <v>5.1237500000000012E-2</v>
      </c>
      <c r="I689" s="19"/>
      <c r="J689" s="64">
        <v>540</v>
      </c>
      <c r="K689" s="31">
        <f t="shared" si="136"/>
        <v>5.0499999999999545</v>
      </c>
      <c r="L689" s="14">
        <f t="shared" si="137"/>
        <v>1.2624999999999887E-3</v>
      </c>
      <c r="M689" s="32"/>
    </row>
    <row r="690" spans="2:13">
      <c r="B690" s="47"/>
      <c r="C690" s="7">
        <v>1.0729166666666901</v>
      </c>
      <c r="D690" s="7">
        <v>1.0833333333333599</v>
      </c>
      <c r="E690" s="30">
        <v>750</v>
      </c>
      <c r="F690" s="60">
        <v>546.94000000000005</v>
      </c>
      <c r="G690" s="4">
        <f t="shared" si="142"/>
        <v>203.05999999999995</v>
      </c>
      <c r="H690" s="9">
        <f t="shared" si="143"/>
        <v>5.0764999999999984E-2</v>
      </c>
      <c r="I690" s="9"/>
      <c r="J690" s="64">
        <v>540</v>
      </c>
      <c r="K690" s="31">
        <f t="shared" si="136"/>
        <v>6.9400000000000546</v>
      </c>
      <c r="L690" s="14">
        <f t="shared" si="137"/>
        <v>1.7350000000000137E-3</v>
      </c>
      <c r="M690" s="4"/>
    </row>
    <row r="691" spans="2:13">
      <c r="B691" s="47"/>
      <c r="C691" s="7">
        <v>1.0833333333333599</v>
      </c>
      <c r="D691" s="7">
        <v>1.09375000000003</v>
      </c>
      <c r="E691" s="30">
        <v>750</v>
      </c>
      <c r="F691" s="60">
        <v>547.19000000000005</v>
      </c>
      <c r="G691" s="4">
        <f t="shared" si="142"/>
        <v>202.80999999999995</v>
      </c>
      <c r="H691" s="9">
        <f t="shared" si="143"/>
        <v>5.0702499999999984E-2</v>
      </c>
      <c r="I691" s="4"/>
      <c r="J691" s="64">
        <v>540</v>
      </c>
      <c r="K691" s="31">
        <f t="shared" si="136"/>
        <v>7.1900000000000546</v>
      </c>
      <c r="L691" s="14">
        <f t="shared" si="137"/>
        <v>1.7975000000000137E-3</v>
      </c>
      <c r="M691" s="4"/>
    </row>
    <row r="692" spans="2:13">
      <c r="B692" s="4"/>
      <c r="C692" s="7">
        <v>1.09375000000003</v>
      </c>
      <c r="D692" s="7">
        <v>1.1041666666667</v>
      </c>
      <c r="E692" s="30">
        <v>750</v>
      </c>
      <c r="F692" s="60">
        <v>544.30999999999995</v>
      </c>
      <c r="G692" s="4">
        <f t="shared" si="142"/>
        <v>205.69000000000005</v>
      </c>
      <c r="H692" s="9">
        <f t="shared" si="143"/>
        <v>5.1422500000000017E-2</v>
      </c>
      <c r="I692" s="4"/>
      <c r="J692" s="64">
        <v>540</v>
      </c>
      <c r="K692" s="31">
        <f t="shared" si="136"/>
        <v>4.3099999999999454</v>
      </c>
      <c r="L692" s="14">
        <f t="shared" si="137"/>
        <v>1.0774999999999865E-3</v>
      </c>
      <c r="M692" s="4"/>
    </row>
    <row r="693" spans="2:13">
      <c r="B693" s="4"/>
      <c r="C693" s="7">
        <v>1.1041666666667</v>
      </c>
      <c r="D693" s="7">
        <v>1.1145833333333699</v>
      </c>
      <c r="E693" s="30">
        <v>750</v>
      </c>
      <c r="F693" s="60">
        <v>546.66</v>
      </c>
      <c r="G693" s="4">
        <f t="shared" si="142"/>
        <v>203.34000000000003</v>
      </c>
      <c r="H693" s="9">
        <f t="shared" si="143"/>
        <v>5.0835000000000005E-2</v>
      </c>
      <c r="I693" s="4"/>
      <c r="J693" s="64">
        <v>540</v>
      </c>
      <c r="K693" s="31">
        <f t="shared" si="136"/>
        <v>6.6599999999999682</v>
      </c>
      <c r="L693" s="14">
        <f t="shared" si="137"/>
        <v>1.664999999999992E-3</v>
      </c>
      <c r="M693" s="4"/>
    </row>
    <row r="694" spans="2:13">
      <c r="B694" s="4"/>
      <c r="C694" s="7">
        <v>1.1145833333333699</v>
      </c>
      <c r="D694" s="7">
        <v>1.12500000000004</v>
      </c>
      <c r="E694" s="30">
        <v>750</v>
      </c>
      <c r="F694" s="60">
        <v>550.45000000000005</v>
      </c>
      <c r="G694" s="4">
        <f t="shared" si="142"/>
        <v>199.54999999999995</v>
      </c>
      <c r="H694" s="9">
        <f t="shared" si="143"/>
        <v>4.9887499999999987E-2</v>
      </c>
      <c r="I694" s="4"/>
      <c r="J694" s="64">
        <v>540</v>
      </c>
      <c r="K694" s="31">
        <f t="shared" si="136"/>
        <v>10.450000000000045</v>
      </c>
      <c r="L694" s="14">
        <f t="shared" si="137"/>
        <v>2.6125000000000115E-3</v>
      </c>
      <c r="M694" s="4"/>
    </row>
    <row r="695" spans="2:13">
      <c r="B695" s="4"/>
      <c r="C695" s="7">
        <v>1.12500000000004</v>
      </c>
      <c r="D695" s="7">
        <v>1.13541666666671</v>
      </c>
      <c r="E695" s="30">
        <v>750</v>
      </c>
      <c r="F695" s="60">
        <v>548.6</v>
      </c>
      <c r="G695" s="4">
        <f t="shared" si="142"/>
        <v>201.39999999999998</v>
      </c>
      <c r="H695" s="9">
        <f t="shared" si="143"/>
        <v>5.0349999999999992E-2</v>
      </c>
      <c r="I695" s="4"/>
      <c r="J695" s="64">
        <v>540</v>
      </c>
      <c r="K695" s="31">
        <f t="shared" si="136"/>
        <v>8.6000000000000227</v>
      </c>
      <c r="L695" s="14">
        <f t="shared" si="137"/>
        <v>2.1500000000000056E-3</v>
      </c>
      <c r="M695" s="4"/>
    </row>
    <row r="696" spans="2:13">
      <c r="B696" s="4"/>
      <c r="C696" s="7">
        <v>1.13541666666671</v>
      </c>
      <c r="D696" s="7">
        <v>1.1458333333333801</v>
      </c>
      <c r="E696" s="30">
        <v>750</v>
      </c>
      <c r="F696" s="60">
        <v>545.27</v>
      </c>
      <c r="G696" s="4">
        <f t="shared" si="142"/>
        <v>204.73000000000002</v>
      </c>
      <c r="H696" s="9">
        <f t="shared" si="143"/>
        <v>5.1182500000000006E-2</v>
      </c>
      <c r="I696" s="4"/>
      <c r="J696" s="64">
        <v>540</v>
      </c>
      <c r="K696" s="31">
        <f t="shared" si="136"/>
        <v>5.2699999999999818</v>
      </c>
      <c r="L696" s="14">
        <f t="shared" si="137"/>
        <v>1.3174999999999955E-3</v>
      </c>
      <c r="M696" s="4"/>
    </row>
    <row r="697" spans="2:13">
      <c r="B697" s="4"/>
      <c r="C697" s="7">
        <v>1.1458333333333801</v>
      </c>
      <c r="D697" s="7">
        <v>1.15625000000005</v>
      </c>
      <c r="E697" s="30">
        <v>750</v>
      </c>
      <c r="F697" s="60">
        <v>547.77</v>
      </c>
      <c r="G697" s="4">
        <f t="shared" si="142"/>
        <v>202.23000000000002</v>
      </c>
      <c r="H697" s="9">
        <f t="shared" si="143"/>
        <v>5.0557500000000005E-2</v>
      </c>
      <c r="I697" s="4"/>
      <c r="J697" s="64">
        <v>540</v>
      </c>
      <c r="K697" s="31">
        <f t="shared" si="136"/>
        <v>7.7699999999999818</v>
      </c>
      <c r="L697" s="14">
        <f t="shared" si="137"/>
        <v>1.9424999999999954E-3</v>
      </c>
      <c r="M697" s="4"/>
    </row>
    <row r="698" spans="2:13">
      <c r="B698" s="4"/>
      <c r="C698" s="7">
        <v>1.15625000000005</v>
      </c>
      <c r="D698" s="7">
        <v>1.16666666666672</v>
      </c>
      <c r="E698" s="30">
        <v>750</v>
      </c>
      <c r="F698" s="60">
        <v>546.54</v>
      </c>
      <c r="G698" s="4">
        <f t="shared" si="142"/>
        <v>203.46000000000004</v>
      </c>
      <c r="H698" s="9">
        <f t="shared" si="143"/>
        <v>5.0865000000000007E-2</v>
      </c>
      <c r="I698" s="4"/>
      <c r="J698" s="64">
        <v>540</v>
      </c>
      <c r="K698" s="31">
        <f t="shared" si="136"/>
        <v>6.5399999999999636</v>
      </c>
      <c r="L698" s="14">
        <f t="shared" si="137"/>
        <v>1.6349999999999908E-3</v>
      </c>
      <c r="M698" s="4"/>
    </row>
    <row r="699" spans="2:13">
      <c r="B699" s="4"/>
      <c r="C699" s="7">
        <v>1.16666666666672</v>
      </c>
      <c r="D699" s="7">
        <v>1.1770833333333901</v>
      </c>
      <c r="E699" s="30">
        <v>750</v>
      </c>
      <c r="F699" s="60">
        <v>548.67999999999995</v>
      </c>
      <c r="G699" s="4">
        <f t="shared" si="142"/>
        <v>201.32000000000005</v>
      </c>
      <c r="H699" s="9">
        <f t="shared" si="143"/>
        <v>5.0330000000000014E-2</v>
      </c>
      <c r="I699" s="4"/>
      <c r="J699" s="64">
        <v>540</v>
      </c>
      <c r="K699" s="31">
        <f t="shared" si="136"/>
        <v>8.67999999999995</v>
      </c>
      <c r="L699" s="14">
        <f t="shared" si="137"/>
        <v>2.1699999999999875E-3</v>
      </c>
      <c r="M699" s="4"/>
    </row>
    <row r="700" spans="2:13">
      <c r="B700" s="4"/>
      <c r="C700" s="7">
        <v>1.1770833333333901</v>
      </c>
      <c r="D700" s="7">
        <v>1.18750000000006</v>
      </c>
      <c r="E700" s="30">
        <v>750</v>
      </c>
      <c r="F700" s="60">
        <v>547.76</v>
      </c>
      <c r="G700" s="4">
        <f t="shared" si="142"/>
        <v>202.24</v>
      </c>
      <c r="H700" s="9">
        <f t="shared" si="143"/>
        <v>5.0560000000000001E-2</v>
      </c>
      <c r="I700" s="9"/>
      <c r="J700" s="64">
        <v>540</v>
      </c>
      <c r="K700" s="31">
        <f t="shared" si="136"/>
        <v>7.7599999999999909</v>
      </c>
      <c r="L700" s="14">
        <f t="shared" si="137"/>
        <v>1.9399999999999977E-3</v>
      </c>
      <c r="M700" s="4"/>
    </row>
    <row r="701" spans="2:13">
      <c r="B701" s="47"/>
      <c r="C701" s="7">
        <v>1.18750000000006</v>
      </c>
      <c r="D701" s="7">
        <v>1.19791666666673</v>
      </c>
      <c r="E701" s="30">
        <v>750</v>
      </c>
      <c r="F701" s="60">
        <v>547.78</v>
      </c>
      <c r="G701" s="4">
        <f t="shared" si="142"/>
        <v>202.22000000000003</v>
      </c>
      <c r="H701" s="9">
        <f t="shared" si="143"/>
        <v>5.055500000000001E-2</v>
      </c>
      <c r="I701" s="4"/>
      <c r="J701" s="64">
        <v>540</v>
      </c>
      <c r="K701" s="31">
        <f t="shared" si="136"/>
        <v>7.7799999999999727</v>
      </c>
      <c r="L701" s="14">
        <f t="shared" si="137"/>
        <v>1.9449999999999932E-3</v>
      </c>
      <c r="M701" s="4"/>
    </row>
    <row r="702" spans="2:13">
      <c r="B702" s="4"/>
      <c r="C702" s="7">
        <v>1.19791666666673</v>
      </c>
      <c r="D702" s="35">
        <v>1.2083333333334001</v>
      </c>
      <c r="E702" s="30">
        <v>750</v>
      </c>
      <c r="F702" s="60">
        <v>547.53</v>
      </c>
      <c r="G702" s="4">
        <f t="shared" si="142"/>
        <v>202.47000000000003</v>
      </c>
      <c r="H702" s="9">
        <f t="shared" si="143"/>
        <v>5.061750000000001E-2</v>
      </c>
      <c r="I702" s="4"/>
      <c r="J702" s="64">
        <v>540</v>
      </c>
      <c r="K702" s="31">
        <f t="shared" si="136"/>
        <v>7.5299999999999727</v>
      </c>
      <c r="L702" s="14">
        <f t="shared" si="137"/>
        <v>1.8824999999999931E-3</v>
      </c>
      <c r="M702" s="4"/>
    </row>
    <row r="703" spans="2:13">
      <c r="B703" s="4"/>
      <c r="C703" s="7">
        <v>1.2083333333334001</v>
      </c>
      <c r="D703" s="7">
        <v>1.2187500000000699</v>
      </c>
      <c r="E703" s="30">
        <v>750</v>
      </c>
      <c r="F703" s="60">
        <v>588.13</v>
      </c>
      <c r="G703" s="4">
        <f t="shared" si="142"/>
        <v>161.87</v>
      </c>
      <c r="H703" s="9">
        <f t="shared" si="143"/>
        <v>4.0467500000000003E-2</v>
      </c>
      <c r="I703" s="4"/>
      <c r="J703" s="29">
        <f>J702+80</f>
        <v>620</v>
      </c>
      <c r="K703" s="31">
        <f>J703-F703</f>
        <v>31.870000000000005</v>
      </c>
      <c r="L703" s="14">
        <f t="shared" si="137"/>
        <v>7.9675000000000006E-3</v>
      </c>
      <c r="M703" s="4"/>
    </row>
    <row r="704" spans="2:13">
      <c r="B704" s="47"/>
      <c r="C704" s="7">
        <v>1.2187500000000699</v>
      </c>
      <c r="D704" s="7">
        <v>1.22916666666674</v>
      </c>
      <c r="E704" s="30">
        <v>750</v>
      </c>
      <c r="F704" s="60">
        <v>669.05</v>
      </c>
      <c r="G704" s="4">
        <f t="shared" si="142"/>
        <v>80.950000000000045</v>
      </c>
      <c r="H704" s="9">
        <f t="shared" si="143"/>
        <v>2.0237500000000012E-2</v>
      </c>
      <c r="I704" s="4"/>
      <c r="J704" s="64">
        <f t="shared" ref="J704" si="144">J703+80</f>
        <v>700</v>
      </c>
      <c r="K704" s="31">
        <f t="shared" ref="K704:K705" si="145">J704-F704</f>
        <v>30.950000000000045</v>
      </c>
      <c r="L704" s="14">
        <f t="shared" si="137"/>
        <v>7.7375000000000117E-3</v>
      </c>
      <c r="M704" s="4"/>
    </row>
    <row r="705" spans="2:13">
      <c r="B705" s="4"/>
      <c r="C705" s="7">
        <v>1.22916666666674</v>
      </c>
      <c r="D705" s="7">
        <v>1.2395833333334101</v>
      </c>
      <c r="E705" s="30">
        <v>750</v>
      </c>
      <c r="F705" s="60">
        <v>713.69</v>
      </c>
      <c r="G705" s="4">
        <f t="shared" si="142"/>
        <v>36.309999999999945</v>
      </c>
      <c r="H705" s="9">
        <f t="shared" si="143"/>
        <v>9.0774999999999866E-3</v>
      </c>
      <c r="I705" s="4"/>
      <c r="J705" s="64">
        <v>750</v>
      </c>
      <c r="K705" s="31">
        <f t="shared" si="145"/>
        <v>36.309999999999945</v>
      </c>
      <c r="L705" s="14">
        <f t="shared" si="137"/>
        <v>9.0774999999999866E-3</v>
      </c>
      <c r="M705" s="4"/>
    </row>
    <row r="706" spans="2:13">
      <c r="B706" s="4"/>
      <c r="C706" s="7"/>
      <c r="D706" s="7"/>
      <c r="E706" s="30"/>
      <c r="F706" s="60"/>
      <c r="G706" s="4"/>
      <c r="H706" s="9"/>
      <c r="I706" s="9">
        <f>SUM(H683:H705)</f>
        <v>1.0851200000000003</v>
      </c>
      <c r="J706" s="64"/>
      <c r="K706" s="31"/>
      <c r="L706" s="14"/>
      <c r="M706" s="4">
        <f>SUM(L683:L705)</f>
        <v>5.7789999999999939E-2</v>
      </c>
    </row>
    <row r="707" spans="2:13">
      <c r="B707" s="34">
        <v>46039</v>
      </c>
      <c r="C707" s="7">
        <v>1.5000000000001601</v>
      </c>
      <c r="D707" s="7">
        <v>1.51041666666682</v>
      </c>
      <c r="E707" s="30">
        <v>750</v>
      </c>
      <c r="F707" s="60">
        <v>697.68</v>
      </c>
      <c r="G707" s="4">
        <f t="shared" si="142"/>
        <v>52.32000000000005</v>
      </c>
      <c r="H707" s="9">
        <f t="shared" si="143"/>
        <v>1.3080000000000012E-2</v>
      </c>
      <c r="I707" s="4"/>
      <c r="J707" s="29">
        <f>E707-80</f>
        <v>670</v>
      </c>
      <c r="K707" s="31">
        <f t="shared" si="136"/>
        <v>27.67999999999995</v>
      </c>
      <c r="L707" s="14"/>
      <c r="M707" s="4"/>
    </row>
    <row r="708" spans="2:13">
      <c r="B708" s="4"/>
      <c r="C708" s="7">
        <v>1.5104166666668299</v>
      </c>
      <c r="D708" s="7">
        <v>1.52083333333349</v>
      </c>
      <c r="E708" s="30">
        <v>750</v>
      </c>
      <c r="F708" s="60">
        <v>586.54</v>
      </c>
      <c r="G708" s="4">
        <f t="shared" si="142"/>
        <v>163.46000000000004</v>
      </c>
      <c r="H708" s="9">
        <f t="shared" si="143"/>
        <v>4.0865000000000012E-2</v>
      </c>
      <c r="I708" s="4"/>
      <c r="J708" s="29">
        <f>J707-80</f>
        <v>590</v>
      </c>
      <c r="K708" s="31">
        <f t="shared" ref="K708:K763" si="146">F708-J708</f>
        <v>-3.4600000000000364</v>
      </c>
      <c r="L708" s="14">
        <f t="shared" si="137"/>
        <v>0</v>
      </c>
      <c r="M708" s="4"/>
    </row>
    <row r="709" spans="2:13">
      <c r="B709" s="47"/>
      <c r="C709" s="7">
        <v>1.5208333333335</v>
      </c>
      <c r="D709" s="7">
        <v>1.5312500000001601</v>
      </c>
      <c r="E709" s="30">
        <v>750</v>
      </c>
      <c r="F709" s="60">
        <v>547.75</v>
      </c>
      <c r="G709" s="4">
        <f t="shared" si="142"/>
        <v>202.25</v>
      </c>
      <c r="H709" s="9">
        <f t="shared" si="143"/>
        <v>5.0562500000000003E-2</v>
      </c>
      <c r="I709" s="4"/>
      <c r="J709" s="64">
        <v>540</v>
      </c>
      <c r="K709" s="31">
        <f t="shared" si="146"/>
        <v>7.75</v>
      </c>
      <c r="L709" s="14">
        <f t="shared" si="137"/>
        <v>1.9375E-3</v>
      </c>
      <c r="M709" s="4"/>
    </row>
    <row r="710" spans="2:13">
      <c r="B710" s="4"/>
      <c r="C710" s="7">
        <v>1.5312500000001701</v>
      </c>
      <c r="D710" s="7">
        <v>1.5416666666668299</v>
      </c>
      <c r="E710" s="30">
        <v>750</v>
      </c>
      <c r="F710" s="60">
        <v>544.35</v>
      </c>
      <c r="G710" s="4">
        <f t="shared" si="142"/>
        <v>205.64999999999998</v>
      </c>
      <c r="H710" s="9">
        <f t="shared" si="143"/>
        <v>5.1412499999999993E-2</v>
      </c>
      <c r="I710" s="4"/>
      <c r="J710" s="64">
        <v>540</v>
      </c>
      <c r="K710" s="31">
        <f t="shared" si="146"/>
        <v>4.3500000000000227</v>
      </c>
      <c r="L710" s="14">
        <f t="shared" si="137"/>
        <v>1.0875000000000058E-3</v>
      </c>
      <c r="M710" s="4"/>
    </row>
    <row r="711" spans="2:13">
      <c r="B711" s="4"/>
      <c r="C711" s="7">
        <v>1.5416666666668399</v>
      </c>
      <c r="D711" s="7">
        <v>1.5520833333335</v>
      </c>
      <c r="E711" s="30">
        <v>750</v>
      </c>
      <c r="F711" s="60">
        <v>546.6</v>
      </c>
      <c r="G711" s="4">
        <f t="shared" si="142"/>
        <v>203.39999999999998</v>
      </c>
      <c r="H711" s="9">
        <f t="shared" si="143"/>
        <v>5.0849999999999992E-2</v>
      </c>
      <c r="I711" s="4"/>
      <c r="J711" s="64">
        <v>540</v>
      </c>
      <c r="K711" s="31">
        <f t="shared" si="146"/>
        <v>6.6000000000000227</v>
      </c>
      <c r="L711" s="14">
        <f t="shared" si="137"/>
        <v>1.6500000000000056E-3</v>
      </c>
      <c r="M711" s="4"/>
    </row>
    <row r="712" spans="2:13">
      <c r="B712" s="4"/>
      <c r="C712" s="7">
        <v>1.55208333333351</v>
      </c>
      <c r="D712" s="7">
        <v>1.5625000000001701</v>
      </c>
      <c r="E712" s="30">
        <v>750</v>
      </c>
      <c r="F712" s="60">
        <v>548.58000000000004</v>
      </c>
      <c r="G712" s="4">
        <f t="shared" si="142"/>
        <v>201.41999999999996</v>
      </c>
      <c r="H712" s="9">
        <f t="shared" si="143"/>
        <v>5.035499999999999E-2</v>
      </c>
      <c r="I712" s="4"/>
      <c r="J712" s="64">
        <v>540</v>
      </c>
      <c r="K712" s="31">
        <f t="shared" si="146"/>
        <v>8.5800000000000409</v>
      </c>
      <c r="L712" s="14">
        <f t="shared" si="137"/>
        <v>2.1450000000000102E-3</v>
      </c>
      <c r="M712" s="4"/>
    </row>
    <row r="713" spans="2:13">
      <c r="B713" s="4"/>
      <c r="C713" s="7">
        <v>1.5625000000001801</v>
      </c>
      <c r="D713" s="7">
        <v>1.5729166666668399</v>
      </c>
      <c r="E713" s="30">
        <v>750</v>
      </c>
      <c r="F713" s="60">
        <v>546.25</v>
      </c>
      <c r="G713" s="4">
        <f t="shared" si="142"/>
        <v>203.75</v>
      </c>
      <c r="H713" s="9">
        <f t="shared" si="143"/>
        <v>5.0937499999999997E-2</v>
      </c>
      <c r="I713" s="9"/>
      <c r="J713" s="64">
        <v>540</v>
      </c>
      <c r="K713" s="31">
        <f t="shared" si="146"/>
        <v>6.25</v>
      </c>
      <c r="L713" s="14">
        <f t="shared" si="137"/>
        <v>1.5625000000000001E-3</v>
      </c>
      <c r="M713" s="4"/>
    </row>
    <row r="714" spans="2:13">
      <c r="B714" s="47"/>
      <c r="C714" s="7">
        <v>1.5729166666668499</v>
      </c>
      <c r="D714" s="7">
        <v>1.58333333333351</v>
      </c>
      <c r="E714" s="30">
        <v>750</v>
      </c>
      <c r="F714" s="60">
        <v>543.85</v>
      </c>
      <c r="G714" s="4">
        <f t="shared" si="142"/>
        <v>206.14999999999998</v>
      </c>
      <c r="H714" s="9">
        <f t="shared" si="143"/>
        <v>5.1537499999999993E-2</v>
      </c>
      <c r="I714" s="4"/>
      <c r="J714" s="64">
        <v>540</v>
      </c>
      <c r="K714" s="31">
        <f t="shared" si="146"/>
        <v>3.8500000000000227</v>
      </c>
      <c r="L714" s="14">
        <f t="shared" si="137"/>
        <v>9.6250000000000567E-4</v>
      </c>
      <c r="M714" s="4"/>
    </row>
    <row r="715" spans="2:13">
      <c r="B715" s="4"/>
      <c r="C715" s="7">
        <v>1.58333333333352</v>
      </c>
      <c r="D715" s="7">
        <v>1.5937500000001801</v>
      </c>
      <c r="E715" s="30">
        <v>750</v>
      </c>
      <c r="F715" s="60">
        <v>543.92999999999995</v>
      </c>
      <c r="G715" s="4">
        <f t="shared" si="142"/>
        <v>206.07000000000005</v>
      </c>
      <c r="H715" s="9">
        <f t="shared" si="143"/>
        <v>5.1517500000000015E-2</v>
      </c>
      <c r="I715" s="9"/>
      <c r="J715" s="64">
        <v>540</v>
      </c>
      <c r="K715" s="31">
        <f t="shared" si="146"/>
        <v>3.92999999999995</v>
      </c>
      <c r="L715" s="14">
        <f t="shared" si="137"/>
        <v>9.8249999999998751E-4</v>
      </c>
      <c r="M715" s="9"/>
    </row>
    <row r="716" spans="2:13">
      <c r="B716" s="47"/>
      <c r="C716" s="7">
        <v>1.5937500000001901</v>
      </c>
      <c r="D716" s="7">
        <v>1.6041666666668499</v>
      </c>
      <c r="E716" s="30">
        <v>750</v>
      </c>
      <c r="F716" s="60">
        <v>550.36</v>
      </c>
      <c r="G716" s="4">
        <f t="shared" si="142"/>
        <v>199.64</v>
      </c>
      <c r="H716" s="9">
        <f t="shared" si="143"/>
        <v>4.9909999999999996E-2</v>
      </c>
      <c r="I716" s="4"/>
      <c r="J716" s="64">
        <v>540</v>
      </c>
      <c r="K716" s="31">
        <f t="shared" si="146"/>
        <v>10.360000000000014</v>
      </c>
      <c r="L716" s="14">
        <f t="shared" si="137"/>
        <v>2.5900000000000033E-3</v>
      </c>
      <c r="M716" s="4"/>
    </row>
    <row r="717" spans="2:13">
      <c r="B717" s="4"/>
      <c r="C717" s="7">
        <v>1.6041666666668599</v>
      </c>
      <c r="D717" s="7">
        <v>1.61458333333352</v>
      </c>
      <c r="E717" s="30">
        <v>750</v>
      </c>
      <c r="F717" s="60">
        <v>544.97</v>
      </c>
      <c r="G717" s="4">
        <f t="shared" si="142"/>
        <v>205.02999999999997</v>
      </c>
      <c r="H717" s="9">
        <f t="shared" si="143"/>
        <v>5.1257499999999991E-2</v>
      </c>
      <c r="I717" s="4"/>
      <c r="J717" s="64">
        <v>540</v>
      </c>
      <c r="K717" s="31">
        <f t="shared" si="146"/>
        <v>4.9700000000000273</v>
      </c>
      <c r="L717" s="14">
        <f t="shared" si="137"/>
        <v>1.2425000000000068E-3</v>
      </c>
      <c r="M717" s="4"/>
    </row>
    <row r="718" spans="2:13">
      <c r="B718" s="4"/>
      <c r="C718" s="7">
        <v>1.61458333333353</v>
      </c>
      <c r="D718" s="7">
        <v>1.6250000000001901</v>
      </c>
      <c r="E718" s="30">
        <v>750</v>
      </c>
      <c r="F718" s="60">
        <v>543.4</v>
      </c>
      <c r="G718" s="4">
        <f t="shared" si="142"/>
        <v>206.60000000000002</v>
      </c>
      <c r="H718" s="9">
        <f t="shared" si="143"/>
        <v>5.1650000000000008E-2</v>
      </c>
      <c r="I718" s="4"/>
      <c r="J718" s="64">
        <v>540</v>
      </c>
      <c r="K718" s="31">
        <f t="shared" si="146"/>
        <v>3.3999999999999773</v>
      </c>
      <c r="L718" s="14">
        <f t="shared" si="137"/>
        <v>8.4999999999999431E-4</v>
      </c>
      <c r="M718" s="4"/>
    </row>
    <row r="719" spans="2:13">
      <c r="B719" s="4"/>
      <c r="C719" s="7">
        <v>1.6250000000002001</v>
      </c>
      <c r="D719" s="7">
        <v>1.6354166666668599</v>
      </c>
      <c r="E719" s="30">
        <v>750</v>
      </c>
      <c r="F719" s="60">
        <v>543.79999999999995</v>
      </c>
      <c r="G719" s="4">
        <f t="shared" si="142"/>
        <v>206.20000000000005</v>
      </c>
      <c r="H719" s="9">
        <f t="shared" si="143"/>
        <v>5.1550000000000012E-2</v>
      </c>
      <c r="I719" s="9"/>
      <c r="J719" s="64">
        <v>540</v>
      </c>
      <c r="K719" s="31">
        <f t="shared" si="146"/>
        <v>3.7999999999999545</v>
      </c>
      <c r="L719" s="14">
        <f t="shared" si="137"/>
        <v>9.4999999999998861E-4</v>
      </c>
      <c r="M719" s="9"/>
    </row>
    <row r="720" spans="2:13">
      <c r="B720" s="47"/>
      <c r="C720" s="7">
        <v>1.6354166666668699</v>
      </c>
      <c r="D720" s="35">
        <v>1.64583333333353</v>
      </c>
      <c r="E720" s="30">
        <v>750</v>
      </c>
      <c r="F720" s="60">
        <v>589.44000000000005</v>
      </c>
      <c r="G720" s="4">
        <f t="shared" si="142"/>
        <v>160.55999999999995</v>
      </c>
      <c r="H720" s="9">
        <f t="shared" si="143"/>
        <v>4.0139999999999988E-2</v>
      </c>
      <c r="I720" s="4"/>
      <c r="J720" s="64">
        <f>J719+55</f>
        <v>595</v>
      </c>
      <c r="K720" s="31">
        <f>J720-F720</f>
        <v>5.5599999999999454</v>
      </c>
      <c r="L720" s="14">
        <f t="shared" si="137"/>
        <v>1.3899999999999863E-3</v>
      </c>
      <c r="M720" s="4"/>
    </row>
    <row r="721" spans="2:13">
      <c r="B721" s="4"/>
      <c r="C721" s="7">
        <v>1.64583333333354</v>
      </c>
      <c r="D721" s="7">
        <v>1.6562500000002001</v>
      </c>
      <c r="E721" s="30">
        <v>750</v>
      </c>
      <c r="F721" s="60">
        <v>707.57</v>
      </c>
      <c r="G721" s="4">
        <f t="shared" si="142"/>
        <v>42.42999999999995</v>
      </c>
      <c r="H721" s="9">
        <f t="shared" si="143"/>
        <v>1.0607499999999987E-2</v>
      </c>
      <c r="I721" s="4"/>
      <c r="J721" s="29">
        <f>J720+80</f>
        <v>675</v>
      </c>
      <c r="K721" s="31">
        <f t="shared" ref="K721:K722" si="147">J721-F721</f>
        <v>-32.57000000000005</v>
      </c>
      <c r="L721" s="14">
        <f t="shared" si="137"/>
        <v>0</v>
      </c>
      <c r="M721" s="9"/>
    </row>
    <row r="722" spans="2:13">
      <c r="B722" s="4"/>
      <c r="C722" s="7">
        <v>1.6562500000002101</v>
      </c>
      <c r="D722" s="7">
        <v>1.6666666666668699</v>
      </c>
      <c r="E722" s="30">
        <v>750</v>
      </c>
      <c r="F722" s="60">
        <v>759.83</v>
      </c>
      <c r="G722" s="4">
        <f t="shared" si="142"/>
        <v>-9.8300000000000409</v>
      </c>
      <c r="H722" s="76">
        <v>0</v>
      </c>
      <c r="I722" s="4"/>
      <c r="J722" s="64">
        <v>750</v>
      </c>
      <c r="K722" s="31">
        <f t="shared" si="147"/>
        <v>-9.8300000000000409</v>
      </c>
      <c r="L722" s="14">
        <f t="shared" ref="L722:L777" si="148">IF(K722/4000&gt;0,K722/4000,0)</f>
        <v>0</v>
      </c>
      <c r="M722" s="4"/>
    </row>
    <row r="723" spans="2:13">
      <c r="B723" s="4"/>
      <c r="C723" s="7"/>
      <c r="D723" s="7"/>
      <c r="E723" s="30"/>
      <c r="F723" s="60"/>
      <c r="G723" s="4"/>
      <c r="H723" s="9"/>
      <c r="I723" s="9">
        <f>SUM(H707:H722)</f>
        <v>0.66623249999999989</v>
      </c>
      <c r="J723" s="64"/>
      <c r="K723" s="31"/>
      <c r="L723" s="14"/>
      <c r="M723" s="4">
        <f>SUM(L707:L722)</f>
        <v>1.7349999999999994E-2</v>
      </c>
    </row>
    <row r="724" spans="2:13">
      <c r="B724" s="34">
        <v>46039</v>
      </c>
      <c r="C724" s="7">
        <v>1.8958333333336299</v>
      </c>
      <c r="D724" s="7">
        <v>1.90625000000028</v>
      </c>
      <c r="E724" s="30">
        <v>750</v>
      </c>
      <c r="F724" s="60">
        <v>729.44</v>
      </c>
      <c r="G724" s="4">
        <f t="shared" si="142"/>
        <v>20.559999999999945</v>
      </c>
      <c r="H724" s="9">
        <f t="shared" si="143"/>
        <v>5.1399999999999866E-3</v>
      </c>
      <c r="I724" s="4"/>
      <c r="J724" s="29">
        <f>E724-55</f>
        <v>695</v>
      </c>
      <c r="K724" s="31">
        <f t="shared" si="146"/>
        <v>34.440000000000055</v>
      </c>
      <c r="L724" s="14"/>
      <c r="M724" s="4"/>
    </row>
    <row r="725" spans="2:13">
      <c r="B725" s="4"/>
      <c r="C725" s="7">
        <v>1.9062500000003</v>
      </c>
      <c r="D725" s="7">
        <v>1.9166666666669501</v>
      </c>
      <c r="E725" s="30">
        <v>750</v>
      </c>
      <c r="F725" s="60">
        <v>646.91999999999996</v>
      </c>
      <c r="G725" s="4">
        <f t="shared" si="142"/>
        <v>103.08000000000004</v>
      </c>
      <c r="H725" s="9">
        <f t="shared" si="143"/>
        <v>2.5770000000000012E-2</v>
      </c>
      <c r="I725" s="9"/>
      <c r="J725" s="29">
        <f>J724-80</f>
        <v>615</v>
      </c>
      <c r="K725" s="31">
        <f t="shared" si="146"/>
        <v>31.919999999999959</v>
      </c>
      <c r="L725" s="14">
        <f t="shared" si="148"/>
        <v>7.9799999999999906E-3</v>
      </c>
      <c r="M725" s="9"/>
    </row>
    <row r="726" spans="2:13">
      <c r="B726" s="4"/>
      <c r="C726" s="7">
        <v>1.9166666666669701</v>
      </c>
      <c r="D726" s="7">
        <v>1.9270833333336199</v>
      </c>
      <c r="E726" s="30">
        <v>750</v>
      </c>
      <c r="F726" s="60">
        <v>557.87</v>
      </c>
      <c r="G726" s="4">
        <f t="shared" si="142"/>
        <v>192.13</v>
      </c>
      <c r="H726" s="9">
        <f t="shared" si="143"/>
        <v>4.8032499999999999E-2</v>
      </c>
      <c r="I726" s="9"/>
      <c r="J726" s="64">
        <v>540</v>
      </c>
      <c r="K726" s="31">
        <f t="shared" si="146"/>
        <v>17.870000000000005</v>
      </c>
      <c r="L726" s="14">
        <f t="shared" si="148"/>
        <v>4.467500000000001E-3</v>
      </c>
      <c r="M726" s="4"/>
    </row>
    <row r="727" spans="2:13">
      <c r="B727" s="4"/>
      <c r="C727" s="7">
        <v>1.9270833333336399</v>
      </c>
      <c r="D727" s="7">
        <v>1.93750000000029</v>
      </c>
      <c r="E727" s="30">
        <v>750</v>
      </c>
      <c r="F727" s="60">
        <v>555.24</v>
      </c>
      <c r="G727" s="4">
        <f t="shared" si="142"/>
        <v>194.76</v>
      </c>
      <c r="H727" s="9">
        <f t="shared" si="143"/>
        <v>4.8689999999999997E-2</v>
      </c>
      <c r="I727" s="9"/>
      <c r="J727" s="64">
        <v>540</v>
      </c>
      <c r="K727" s="31">
        <f t="shared" si="146"/>
        <v>15.240000000000009</v>
      </c>
      <c r="L727" s="14">
        <f t="shared" si="148"/>
        <v>3.8100000000000022E-3</v>
      </c>
      <c r="M727" s="4"/>
    </row>
    <row r="728" spans="2:13">
      <c r="B728" s="4"/>
      <c r="C728" s="7">
        <v>1.93750000000031</v>
      </c>
      <c r="D728" s="7">
        <v>1.9479166666669601</v>
      </c>
      <c r="E728" s="30">
        <v>750</v>
      </c>
      <c r="F728" s="60">
        <v>546.82000000000005</v>
      </c>
      <c r="G728" s="4">
        <f t="shared" si="142"/>
        <v>203.17999999999995</v>
      </c>
      <c r="H728" s="9">
        <f t="shared" si="143"/>
        <v>5.0794999999999986E-2</v>
      </c>
      <c r="I728" s="9"/>
      <c r="J728" s="64">
        <v>540</v>
      </c>
      <c r="K728" s="31">
        <f t="shared" si="146"/>
        <v>6.82000000000005</v>
      </c>
      <c r="L728" s="14">
        <f t="shared" si="148"/>
        <v>1.7050000000000125E-3</v>
      </c>
      <c r="M728" s="4"/>
    </row>
    <row r="729" spans="2:13">
      <c r="B729" s="47"/>
      <c r="C729" s="7">
        <v>1.94791666666698</v>
      </c>
      <c r="D729" s="7">
        <v>1.9583333333336299</v>
      </c>
      <c r="E729" s="30">
        <v>750</v>
      </c>
      <c r="F729" s="60">
        <v>547.29</v>
      </c>
      <c r="G729" s="4">
        <f t="shared" si="142"/>
        <v>202.71000000000004</v>
      </c>
      <c r="H729" s="9">
        <f t="shared" si="143"/>
        <v>5.0677500000000007E-2</v>
      </c>
      <c r="I729" s="4"/>
      <c r="J729" s="64">
        <v>540</v>
      </c>
      <c r="K729" s="31">
        <f t="shared" si="146"/>
        <v>7.2899999999999636</v>
      </c>
      <c r="L729" s="14">
        <f t="shared" si="148"/>
        <v>1.822499999999991E-3</v>
      </c>
      <c r="M729" s="4"/>
    </row>
    <row r="730" spans="2:13">
      <c r="B730" s="4"/>
      <c r="C730" s="7">
        <v>1.9583333333336499</v>
      </c>
      <c r="D730" s="7">
        <v>1.9687500000003</v>
      </c>
      <c r="E730" s="30">
        <v>750</v>
      </c>
      <c r="F730" s="60">
        <v>546.86</v>
      </c>
      <c r="G730" s="4">
        <f t="shared" si="142"/>
        <v>203.14</v>
      </c>
      <c r="H730" s="9">
        <f t="shared" si="143"/>
        <v>5.0784999999999997E-2</v>
      </c>
      <c r="I730" s="4"/>
      <c r="J730" s="64">
        <v>540</v>
      </c>
      <c r="K730" s="31">
        <f t="shared" si="146"/>
        <v>6.8600000000000136</v>
      </c>
      <c r="L730" s="14">
        <f t="shared" si="148"/>
        <v>1.7150000000000034E-3</v>
      </c>
      <c r="M730" s="4"/>
    </row>
    <row r="731" spans="2:13">
      <c r="B731" s="4"/>
      <c r="C731" s="7">
        <v>1.96875000000032</v>
      </c>
      <c r="D731" s="7">
        <v>1.9791666666669701</v>
      </c>
      <c r="E731" s="30">
        <v>750</v>
      </c>
      <c r="F731" s="60">
        <v>545.38</v>
      </c>
      <c r="G731" s="4">
        <f t="shared" si="142"/>
        <v>204.62</v>
      </c>
      <c r="H731" s="9">
        <f t="shared" si="143"/>
        <v>5.1154999999999999E-2</v>
      </c>
      <c r="I731" s="4"/>
      <c r="J731" s="64">
        <v>540</v>
      </c>
      <c r="K731" s="31">
        <f t="shared" si="146"/>
        <v>5.3799999999999955</v>
      </c>
      <c r="L731" s="14">
        <f t="shared" si="148"/>
        <v>1.3449999999999988E-3</v>
      </c>
      <c r="M731" s="4"/>
    </row>
    <row r="732" spans="2:13">
      <c r="B732" s="4"/>
      <c r="C732" s="7">
        <v>1.97916666666699</v>
      </c>
      <c r="D732" s="7">
        <v>1.9895833333336399</v>
      </c>
      <c r="E732" s="30">
        <v>750</v>
      </c>
      <c r="F732" s="60">
        <v>545.04999999999995</v>
      </c>
      <c r="G732" s="4">
        <f t="shared" ref="G732:G786" si="149">E732-F732</f>
        <v>204.95000000000005</v>
      </c>
      <c r="H732" s="9">
        <f t="shared" ref="H732:H785" si="150">G732/4000</f>
        <v>5.1237500000000012E-2</v>
      </c>
      <c r="I732" s="4"/>
      <c r="J732" s="64">
        <v>540</v>
      </c>
      <c r="K732" s="31">
        <f t="shared" si="146"/>
        <v>5.0499999999999545</v>
      </c>
      <c r="L732" s="14">
        <f t="shared" si="148"/>
        <v>1.2624999999999887E-3</v>
      </c>
      <c r="M732" s="4"/>
    </row>
    <row r="733" spans="2:13">
      <c r="B733" s="4"/>
      <c r="C733" s="7">
        <v>1.9895833333336601</v>
      </c>
      <c r="D733" s="7">
        <v>2.00000000000031</v>
      </c>
      <c r="E733" s="30">
        <v>750</v>
      </c>
      <c r="F733" s="61">
        <v>546.85</v>
      </c>
      <c r="G733" s="4">
        <f t="shared" si="149"/>
        <v>203.14999999999998</v>
      </c>
      <c r="H733" s="9">
        <f t="shared" si="150"/>
        <v>5.0787499999999992E-2</v>
      </c>
      <c r="I733" s="4"/>
      <c r="J733" s="64">
        <v>540</v>
      </c>
      <c r="K733" s="31">
        <f t="shared" si="146"/>
        <v>6.8500000000000227</v>
      </c>
      <c r="L733" s="14">
        <f t="shared" si="148"/>
        <v>1.7125000000000057E-3</v>
      </c>
      <c r="M733" s="4"/>
    </row>
    <row r="734" spans="2:13">
      <c r="B734" s="4"/>
      <c r="C734" s="7"/>
      <c r="D734" s="7"/>
      <c r="E734" s="30"/>
      <c r="F734" s="15"/>
      <c r="G734" s="4"/>
      <c r="H734" s="9"/>
      <c r="I734" s="9">
        <f>SUM(H724:H733)</f>
        <v>0.43306999999999995</v>
      </c>
      <c r="J734" s="29"/>
      <c r="K734" s="31"/>
      <c r="L734" s="14"/>
      <c r="M734" s="4">
        <f>SUM(L724:L733)</f>
        <v>2.5819999999999996E-2</v>
      </c>
    </row>
    <row r="735" spans="2:13">
      <c r="B735" s="34">
        <v>46040</v>
      </c>
      <c r="C735" s="57">
        <v>1</v>
      </c>
      <c r="D735" s="75">
        <v>1.0104166666666701</v>
      </c>
      <c r="E735" s="20">
        <v>750</v>
      </c>
      <c r="F735" s="41">
        <v>546.88</v>
      </c>
      <c r="G735" s="41">
        <f t="shared" si="149"/>
        <v>203.12</v>
      </c>
      <c r="H735" s="70">
        <f t="shared" si="150"/>
        <v>5.0779999999999999E-2</v>
      </c>
      <c r="I735" s="70"/>
      <c r="J735" s="56">
        <v>540</v>
      </c>
      <c r="K735" s="71">
        <f t="shared" ref="K735" si="151">F735-J735</f>
        <v>6.8799999999999955</v>
      </c>
      <c r="L735" s="72"/>
      <c r="M735" s="4"/>
    </row>
    <row r="736" spans="2:13">
      <c r="B736" s="34"/>
      <c r="C736" s="57">
        <v>1.0104166666666701</v>
      </c>
      <c r="D736" s="57">
        <v>1.0208333333333399</v>
      </c>
      <c r="E736" s="20">
        <v>750</v>
      </c>
      <c r="F736" s="41">
        <v>584.05999999999995</v>
      </c>
      <c r="G736" s="41">
        <f t="shared" ref="G736" si="152">E736-F736</f>
        <v>165.94000000000005</v>
      </c>
      <c r="H736" s="70">
        <f t="shared" ref="H736" si="153">G736/4000</f>
        <v>4.1485000000000015E-2</v>
      </c>
      <c r="I736" s="41"/>
      <c r="J736" s="56">
        <f>J735+80</f>
        <v>620</v>
      </c>
      <c r="K736" s="71">
        <f t="shared" ref="K736:K738" si="154">F736-J736</f>
        <v>-35.940000000000055</v>
      </c>
      <c r="L736" s="72">
        <f t="shared" ref="L736:L738" si="155">IF(K736/4000&gt;0,K736/4000,0)</f>
        <v>0</v>
      </c>
      <c r="M736" s="4"/>
    </row>
    <row r="737" spans="2:13">
      <c r="B737" s="34"/>
      <c r="C737" s="57">
        <v>1.0208333333333399</v>
      </c>
      <c r="D737" s="57">
        <v>1.03125000000001</v>
      </c>
      <c r="E737" s="20">
        <v>750</v>
      </c>
      <c r="F737" s="41">
        <v>712.79</v>
      </c>
      <c r="G737" s="41">
        <f t="shared" ref="G737:G738" si="156">E737-F737</f>
        <v>37.210000000000036</v>
      </c>
      <c r="H737" s="70">
        <f t="shared" ref="H737" si="157">G737/4000</f>
        <v>9.3025000000000087E-3</v>
      </c>
      <c r="I737" s="70"/>
      <c r="J737" s="56">
        <f t="shared" ref="J737" si="158">J736+80</f>
        <v>700</v>
      </c>
      <c r="K737" s="71">
        <f t="shared" si="154"/>
        <v>12.789999999999964</v>
      </c>
      <c r="L737" s="72">
        <f t="shared" si="155"/>
        <v>3.1974999999999907E-3</v>
      </c>
      <c r="M737" s="4"/>
    </row>
    <row r="738" spans="2:13">
      <c r="B738" s="34"/>
      <c r="C738" s="57">
        <v>1.03125000000001</v>
      </c>
      <c r="D738" s="57">
        <v>1.0416666666666801</v>
      </c>
      <c r="E738" s="20">
        <v>750</v>
      </c>
      <c r="F738" s="41">
        <v>761.63</v>
      </c>
      <c r="G738" s="41">
        <f t="shared" si="156"/>
        <v>-11.629999999999995</v>
      </c>
      <c r="H738" s="70">
        <v>0</v>
      </c>
      <c r="I738" s="70"/>
      <c r="J738" s="56">
        <v>750</v>
      </c>
      <c r="K738" s="71">
        <f t="shared" si="154"/>
        <v>11.629999999999995</v>
      </c>
      <c r="L738" s="72">
        <f t="shared" si="155"/>
        <v>2.9074999999999991E-3</v>
      </c>
      <c r="M738" s="4"/>
    </row>
    <row r="739" spans="2:13">
      <c r="B739" s="4"/>
      <c r="C739" s="7"/>
      <c r="D739" s="7"/>
      <c r="E739" s="30"/>
      <c r="F739" s="4"/>
      <c r="G739" s="4"/>
      <c r="H739" s="9"/>
      <c r="I739" s="9">
        <f>SUM(H735:H738)</f>
        <v>0.10156750000000002</v>
      </c>
      <c r="J739" s="29"/>
      <c r="K739" s="31"/>
      <c r="L739" s="14"/>
      <c r="M739" s="4">
        <f>SUM(L735:L738)</f>
        <v>6.1049999999999898E-3</v>
      </c>
    </row>
    <row r="740" spans="2:13">
      <c r="B740" s="34">
        <v>46040</v>
      </c>
      <c r="C740" s="7">
        <v>1.0416666666666801</v>
      </c>
      <c r="D740" s="7">
        <v>1.0520833333333499</v>
      </c>
      <c r="E740" s="30">
        <v>750</v>
      </c>
      <c r="F740" s="60">
        <v>756.63</v>
      </c>
      <c r="G740" s="4">
        <f t="shared" si="149"/>
        <v>-6.6299999999999955</v>
      </c>
      <c r="H740" s="76">
        <v>0</v>
      </c>
      <c r="I740" s="4"/>
      <c r="J740" s="29">
        <f>E740-30</f>
        <v>720</v>
      </c>
      <c r="K740" s="31">
        <f t="shared" si="146"/>
        <v>36.629999999999995</v>
      </c>
      <c r="L740" s="14"/>
      <c r="M740" s="4"/>
    </row>
    <row r="741" spans="2:13">
      <c r="B741" s="4"/>
      <c r="C741" s="7">
        <v>1.0520833333333499</v>
      </c>
      <c r="D741" s="7">
        <v>1.06250000000002</v>
      </c>
      <c r="E741" s="30">
        <v>750</v>
      </c>
      <c r="F741" s="60">
        <v>699</v>
      </c>
      <c r="G741" s="4">
        <f t="shared" si="149"/>
        <v>51</v>
      </c>
      <c r="H741" s="9">
        <f t="shared" si="150"/>
        <v>1.2749999999999999E-2</v>
      </c>
      <c r="I741" s="4"/>
      <c r="J741" s="29">
        <f>J740-80</f>
        <v>640</v>
      </c>
      <c r="K741" s="31">
        <f t="shared" si="146"/>
        <v>59</v>
      </c>
      <c r="L741" s="14">
        <f t="shared" si="148"/>
        <v>1.4749999999999999E-2</v>
      </c>
      <c r="M741" s="4"/>
    </row>
    <row r="742" spans="2:13">
      <c r="B742" s="4"/>
      <c r="C742" s="7">
        <v>1.06250000000002</v>
      </c>
      <c r="D742" s="7">
        <v>1.0729166666666901</v>
      </c>
      <c r="E742" s="30">
        <v>750</v>
      </c>
      <c r="F742" s="60">
        <v>616.45000000000005</v>
      </c>
      <c r="G742" s="4">
        <f t="shared" si="149"/>
        <v>133.54999999999995</v>
      </c>
      <c r="H742" s="9">
        <f t="shared" si="150"/>
        <v>3.3387499999999987E-2</v>
      </c>
      <c r="I742" s="4"/>
      <c r="J742" s="64">
        <f t="shared" ref="J742" si="159">J741-80</f>
        <v>560</v>
      </c>
      <c r="K742" s="31">
        <f t="shared" si="146"/>
        <v>56.450000000000045</v>
      </c>
      <c r="L742" s="14">
        <f t="shared" si="148"/>
        <v>1.4112500000000012E-2</v>
      </c>
      <c r="M742" s="4"/>
    </row>
    <row r="743" spans="2:13">
      <c r="B743" s="4"/>
      <c r="C743" s="7">
        <v>1.0729166666666901</v>
      </c>
      <c r="D743" s="7">
        <v>1.0833333333333599</v>
      </c>
      <c r="E743" s="30">
        <v>750</v>
      </c>
      <c r="F743" s="60">
        <v>552.04999999999995</v>
      </c>
      <c r="G743" s="4">
        <f t="shared" si="149"/>
        <v>197.95000000000005</v>
      </c>
      <c r="H743" s="9">
        <f t="shared" si="150"/>
        <v>4.9487500000000011E-2</v>
      </c>
      <c r="I743" s="4"/>
      <c r="J743" s="64">
        <v>540</v>
      </c>
      <c r="K743" s="31">
        <f t="shared" si="146"/>
        <v>12.049999999999955</v>
      </c>
      <c r="L743" s="14">
        <f t="shared" si="148"/>
        <v>3.0124999999999887E-3</v>
      </c>
      <c r="M743" s="4"/>
    </row>
    <row r="744" spans="2:13">
      <c r="B744" s="4"/>
      <c r="C744" s="7">
        <v>1.0833333333333599</v>
      </c>
      <c r="D744" s="7">
        <v>1.09375000000003</v>
      </c>
      <c r="E744" s="30">
        <v>750</v>
      </c>
      <c r="F744" s="60">
        <v>541.94000000000005</v>
      </c>
      <c r="G744" s="4">
        <f t="shared" si="149"/>
        <v>208.05999999999995</v>
      </c>
      <c r="H744" s="9">
        <f t="shared" si="150"/>
        <v>5.2014999999999985E-2</v>
      </c>
      <c r="I744" s="4"/>
      <c r="J744" s="64">
        <v>540</v>
      </c>
      <c r="K744" s="31">
        <f t="shared" si="146"/>
        <v>1.9400000000000546</v>
      </c>
      <c r="L744" s="14">
        <f t="shared" si="148"/>
        <v>4.8500000000001363E-4</v>
      </c>
      <c r="M744" s="4"/>
    </row>
    <row r="745" spans="2:13">
      <c r="B745" s="4"/>
      <c r="C745" s="7">
        <v>1.09375000000003</v>
      </c>
      <c r="D745" s="7">
        <v>1.1041666666667</v>
      </c>
      <c r="E745" s="30">
        <v>750</v>
      </c>
      <c r="F745" s="60">
        <v>548.6</v>
      </c>
      <c r="G745" s="4">
        <f t="shared" si="149"/>
        <v>201.39999999999998</v>
      </c>
      <c r="H745" s="9">
        <f t="shared" si="150"/>
        <v>5.0349999999999992E-2</v>
      </c>
      <c r="I745" s="9"/>
      <c r="J745" s="64">
        <v>540</v>
      </c>
      <c r="K745" s="31">
        <f t="shared" si="146"/>
        <v>8.6000000000000227</v>
      </c>
      <c r="L745" s="14">
        <f t="shared" si="148"/>
        <v>2.1500000000000056E-3</v>
      </c>
      <c r="M745" s="4"/>
    </row>
    <row r="746" spans="2:13">
      <c r="B746" s="4"/>
      <c r="C746" s="7">
        <v>1.1041666666667</v>
      </c>
      <c r="D746" s="7">
        <v>1.1145833333333699</v>
      </c>
      <c r="E746" s="30">
        <v>750</v>
      </c>
      <c r="F746" s="60">
        <v>548.67999999999995</v>
      </c>
      <c r="G746" s="4">
        <f t="shared" si="149"/>
        <v>201.32000000000005</v>
      </c>
      <c r="H746" s="9">
        <f t="shared" si="150"/>
        <v>5.0330000000000014E-2</v>
      </c>
      <c r="I746" s="4"/>
      <c r="J746" s="64">
        <v>540</v>
      </c>
      <c r="K746" s="31">
        <f t="shared" si="146"/>
        <v>8.67999999999995</v>
      </c>
      <c r="L746" s="14">
        <f t="shared" si="148"/>
        <v>2.1699999999999875E-3</v>
      </c>
      <c r="M746" s="4"/>
    </row>
    <row r="747" spans="2:13">
      <c r="B747" s="47"/>
      <c r="C747" s="7">
        <v>1.1145833333333699</v>
      </c>
      <c r="D747" s="7">
        <v>1.12500000000004</v>
      </c>
      <c r="E747" s="30">
        <v>750</v>
      </c>
      <c r="F747" s="60">
        <v>543.69000000000005</v>
      </c>
      <c r="G747" s="4">
        <f t="shared" si="149"/>
        <v>206.30999999999995</v>
      </c>
      <c r="H747" s="9">
        <f t="shared" si="150"/>
        <v>5.1577499999999984E-2</v>
      </c>
      <c r="I747" s="4"/>
      <c r="J747" s="64">
        <v>540</v>
      </c>
      <c r="K747" s="31">
        <f t="shared" si="146"/>
        <v>3.6900000000000546</v>
      </c>
      <c r="L747" s="14">
        <f t="shared" si="148"/>
        <v>9.225000000000137E-4</v>
      </c>
      <c r="M747" s="4"/>
    </row>
    <row r="748" spans="2:13">
      <c r="B748" s="4"/>
      <c r="C748" s="7">
        <v>1.12500000000004</v>
      </c>
      <c r="D748" s="7">
        <v>1.13541666666671</v>
      </c>
      <c r="E748" s="30">
        <v>750</v>
      </c>
      <c r="F748" s="60">
        <v>546.99</v>
      </c>
      <c r="G748" s="4">
        <f t="shared" si="149"/>
        <v>203.01</v>
      </c>
      <c r="H748" s="9">
        <f t="shared" si="150"/>
        <v>5.0752499999999999E-2</v>
      </c>
      <c r="I748" s="4"/>
      <c r="J748" s="64">
        <v>540</v>
      </c>
      <c r="K748" s="31">
        <f t="shared" si="146"/>
        <v>6.9900000000000091</v>
      </c>
      <c r="L748" s="14">
        <f t="shared" si="148"/>
        <v>1.7475000000000023E-3</v>
      </c>
      <c r="M748" s="4"/>
    </row>
    <row r="749" spans="2:13">
      <c r="B749" s="4"/>
      <c r="C749" s="7">
        <v>1.13541666666671</v>
      </c>
      <c r="D749" s="7">
        <v>1.1458333333333801</v>
      </c>
      <c r="E749" s="30">
        <v>750</v>
      </c>
      <c r="F749" s="60">
        <v>550.23</v>
      </c>
      <c r="G749" s="4">
        <f t="shared" si="149"/>
        <v>199.76999999999998</v>
      </c>
      <c r="H749" s="9">
        <f t="shared" si="150"/>
        <v>4.9942499999999994E-2</v>
      </c>
      <c r="I749" s="4"/>
      <c r="J749" s="64">
        <v>540</v>
      </c>
      <c r="K749" s="31">
        <f t="shared" si="146"/>
        <v>10.230000000000018</v>
      </c>
      <c r="L749" s="14">
        <f t="shared" si="148"/>
        <v>2.5575000000000046E-3</v>
      </c>
      <c r="M749" s="4"/>
    </row>
    <row r="750" spans="2:13">
      <c r="B750" s="4"/>
      <c r="C750" s="7">
        <v>1.1458333333333801</v>
      </c>
      <c r="D750" s="7">
        <v>1.15625000000005</v>
      </c>
      <c r="E750" s="30">
        <v>750</v>
      </c>
      <c r="F750" s="60">
        <v>549.26</v>
      </c>
      <c r="G750" s="4">
        <f t="shared" si="149"/>
        <v>200.74</v>
      </c>
      <c r="H750" s="9">
        <f t="shared" si="150"/>
        <v>5.0185E-2</v>
      </c>
      <c r="I750" s="4"/>
      <c r="J750" s="64">
        <v>540</v>
      </c>
      <c r="K750" s="31">
        <f t="shared" si="146"/>
        <v>9.2599999999999909</v>
      </c>
      <c r="L750" s="14">
        <f t="shared" si="148"/>
        <v>2.3149999999999976E-3</v>
      </c>
      <c r="M750" s="4"/>
    </row>
    <row r="751" spans="2:13">
      <c r="B751" s="4"/>
      <c r="C751" s="7">
        <v>1.15625000000005</v>
      </c>
      <c r="D751" s="7">
        <v>1.16666666666672</v>
      </c>
      <c r="E751" s="30">
        <v>750</v>
      </c>
      <c r="F751" s="60">
        <v>548.03</v>
      </c>
      <c r="G751" s="4">
        <f t="shared" si="149"/>
        <v>201.97000000000003</v>
      </c>
      <c r="H751" s="9">
        <f t="shared" si="150"/>
        <v>5.049250000000001E-2</v>
      </c>
      <c r="I751" s="4"/>
      <c r="J751" s="64">
        <v>540</v>
      </c>
      <c r="K751" s="31">
        <f t="shared" si="146"/>
        <v>8.0299999999999727</v>
      </c>
      <c r="L751" s="14">
        <f t="shared" si="148"/>
        <v>2.0074999999999932E-3</v>
      </c>
      <c r="M751" s="4"/>
    </row>
    <row r="752" spans="2:13">
      <c r="B752" s="4"/>
      <c r="C752" s="7">
        <v>1.16666666666672</v>
      </c>
      <c r="D752" s="7">
        <v>1.1770833333333901</v>
      </c>
      <c r="E752" s="30">
        <v>750</v>
      </c>
      <c r="F752" s="60">
        <v>550.49</v>
      </c>
      <c r="G752" s="4">
        <f t="shared" si="149"/>
        <v>199.51</v>
      </c>
      <c r="H752" s="9">
        <f t="shared" si="150"/>
        <v>4.9877499999999998E-2</v>
      </c>
      <c r="I752" s="4"/>
      <c r="J752" s="64">
        <v>540</v>
      </c>
      <c r="K752" s="31">
        <f t="shared" si="146"/>
        <v>10.490000000000009</v>
      </c>
      <c r="L752" s="14">
        <f t="shared" si="148"/>
        <v>2.6225000000000024E-3</v>
      </c>
      <c r="M752" s="4"/>
    </row>
    <row r="753" spans="2:13">
      <c r="B753" s="4"/>
      <c r="C753" s="7">
        <v>1.1770833333333901</v>
      </c>
      <c r="D753" s="7">
        <v>1.18750000000006</v>
      </c>
      <c r="E753" s="30">
        <v>750</v>
      </c>
      <c r="F753" s="60">
        <v>545.15</v>
      </c>
      <c r="G753" s="4">
        <f t="shared" si="149"/>
        <v>204.85000000000002</v>
      </c>
      <c r="H753" s="9">
        <f t="shared" si="150"/>
        <v>5.1212500000000008E-2</v>
      </c>
      <c r="I753" s="4"/>
      <c r="J753" s="64">
        <v>540</v>
      </c>
      <c r="K753" s="31">
        <f t="shared" si="146"/>
        <v>5.1499999999999773</v>
      </c>
      <c r="L753" s="14">
        <f t="shared" si="148"/>
        <v>1.2874999999999944E-3</v>
      </c>
      <c r="M753" s="4"/>
    </row>
    <row r="754" spans="2:13">
      <c r="B754" s="4"/>
      <c r="C754" s="7">
        <v>1.18750000000006</v>
      </c>
      <c r="D754" s="7">
        <v>1.19791666666673</v>
      </c>
      <c r="E754" s="30">
        <v>750</v>
      </c>
      <c r="F754" s="60">
        <v>544.08000000000004</v>
      </c>
      <c r="G754" s="4">
        <f t="shared" si="149"/>
        <v>205.91999999999996</v>
      </c>
      <c r="H754" s="9">
        <f t="shared" si="150"/>
        <v>5.1479999999999991E-2</v>
      </c>
      <c r="I754" s="4"/>
      <c r="J754" s="64">
        <v>540</v>
      </c>
      <c r="K754" s="31">
        <f t="shared" si="146"/>
        <v>4.0800000000000409</v>
      </c>
      <c r="L754" s="14">
        <f t="shared" si="148"/>
        <v>1.0200000000000103E-3</v>
      </c>
      <c r="M754" s="4"/>
    </row>
    <row r="755" spans="2:13">
      <c r="B755" s="4"/>
      <c r="C755" s="7">
        <v>1.19791666666673</v>
      </c>
      <c r="D755" s="7">
        <v>1.2083333333334001</v>
      </c>
      <c r="E755" s="30">
        <v>750</v>
      </c>
      <c r="F755" s="60">
        <v>546.21</v>
      </c>
      <c r="G755" s="4">
        <f t="shared" si="149"/>
        <v>203.78999999999996</v>
      </c>
      <c r="H755" s="9">
        <f t="shared" si="150"/>
        <v>5.0947499999999993E-2</v>
      </c>
      <c r="I755" s="4"/>
      <c r="J755" s="64">
        <v>540</v>
      </c>
      <c r="K755" s="31">
        <f t="shared" si="146"/>
        <v>6.2100000000000364</v>
      </c>
      <c r="L755" s="14">
        <f t="shared" si="148"/>
        <v>1.5525000000000092E-3</v>
      </c>
      <c r="M755" s="4"/>
    </row>
    <row r="756" spans="2:13">
      <c r="B756" s="4"/>
      <c r="C756" s="7">
        <v>1.2083333333334001</v>
      </c>
      <c r="D756" s="7">
        <v>1.2187500000000699</v>
      </c>
      <c r="E756" s="30">
        <v>750</v>
      </c>
      <c r="F756" s="60">
        <v>552.67999999999995</v>
      </c>
      <c r="G756" s="4">
        <f t="shared" si="149"/>
        <v>197.32000000000005</v>
      </c>
      <c r="H756" s="9">
        <f t="shared" si="150"/>
        <v>4.9330000000000013E-2</v>
      </c>
      <c r="I756" s="4"/>
      <c r="J756" s="64">
        <v>540</v>
      </c>
      <c r="K756" s="31">
        <f t="shared" si="146"/>
        <v>12.67999999999995</v>
      </c>
      <c r="L756" s="14">
        <f t="shared" si="148"/>
        <v>3.1699999999999875E-3</v>
      </c>
      <c r="M756" s="4"/>
    </row>
    <row r="757" spans="2:13">
      <c r="B757" s="4"/>
      <c r="C757" s="7">
        <v>1.2187500000000699</v>
      </c>
      <c r="D757" s="35">
        <v>1.22916666666674</v>
      </c>
      <c r="E757" s="30">
        <v>750</v>
      </c>
      <c r="F757" s="60">
        <v>561.19000000000005</v>
      </c>
      <c r="G757" s="4">
        <f t="shared" si="149"/>
        <v>188.80999999999995</v>
      </c>
      <c r="H757" s="9">
        <f t="shared" si="150"/>
        <v>4.7202499999999988E-2</v>
      </c>
      <c r="I757" s="4"/>
      <c r="J757" s="64">
        <f>J756+55</f>
        <v>595</v>
      </c>
      <c r="K757" s="31">
        <f>J757-F757</f>
        <v>33.809999999999945</v>
      </c>
      <c r="L757" s="14">
        <f t="shared" si="148"/>
        <v>8.4524999999999861E-3</v>
      </c>
      <c r="M757" s="4"/>
    </row>
    <row r="758" spans="2:13">
      <c r="B758" s="4"/>
      <c r="C758" s="7">
        <v>1.22916666666674</v>
      </c>
      <c r="D758" s="7">
        <v>1.2395833333334101</v>
      </c>
      <c r="E758" s="30">
        <v>750</v>
      </c>
      <c r="F758" s="60">
        <v>658.62</v>
      </c>
      <c r="G758" s="4">
        <f t="shared" si="149"/>
        <v>91.38</v>
      </c>
      <c r="H758" s="9">
        <f t="shared" si="150"/>
        <v>2.2844999999999997E-2</v>
      </c>
      <c r="I758" s="4"/>
      <c r="J758" s="29">
        <f>J757+80</f>
        <v>675</v>
      </c>
      <c r="K758" s="31">
        <f t="shared" ref="K758:K759" si="160">J758-F758</f>
        <v>16.379999999999995</v>
      </c>
      <c r="L758" s="14">
        <f t="shared" si="148"/>
        <v>4.0949999999999988E-3</v>
      </c>
      <c r="M758" s="4"/>
    </row>
    <row r="759" spans="2:13">
      <c r="B759" s="4"/>
      <c r="C759" s="7">
        <v>1.2395833333334101</v>
      </c>
      <c r="D759" s="7">
        <v>1.2500000000000799</v>
      </c>
      <c r="E759" s="30">
        <v>750</v>
      </c>
      <c r="F759" s="60">
        <v>749.3</v>
      </c>
      <c r="G759" s="4">
        <f t="shared" si="149"/>
        <v>0.70000000000004547</v>
      </c>
      <c r="H759" s="9">
        <f t="shared" si="150"/>
        <v>1.7500000000001136E-4</v>
      </c>
      <c r="I759" s="4"/>
      <c r="J759" s="64">
        <v>750</v>
      </c>
      <c r="K759" s="31">
        <f t="shared" si="160"/>
        <v>0.70000000000004547</v>
      </c>
      <c r="L759" s="14">
        <f t="shared" si="148"/>
        <v>1.7500000000001136E-4</v>
      </c>
      <c r="M759" s="4"/>
    </row>
    <row r="760" spans="2:13">
      <c r="B760" s="4"/>
      <c r="C760" s="7"/>
      <c r="D760" s="7"/>
      <c r="E760" s="30"/>
      <c r="F760" s="60"/>
      <c r="G760" s="4"/>
      <c r="H760" s="9"/>
      <c r="I760" s="9">
        <f>SUM(H740:H759)</f>
        <v>0.82433999999999996</v>
      </c>
      <c r="J760" s="64"/>
      <c r="K760" s="31"/>
      <c r="L760" s="14"/>
      <c r="M760" s="4">
        <f>SUM(L740:L759)</f>
        <v>6.8605000000000013E-2</v>
      </c>
    </row>
    <row r="761" spans="2:13">
      <c r="B761" s="34">
        <v>46040</v>
      </c>
      <c r="C761" s="7">
        <v>1.4375000000001401</v>
      </c>
      <c r="D761" s="7">
        <v>1.4479166666668</v>
      </c>
      <c r="E761" s="30">
        <v>750</v>
      </c>
      <c r="F761" s="60">
        <v>751.57</v>
      </c>
      <c r="G761" s="4">
        <f t="shared" si="149"/>
        <v>-1.57000000000005</v>
      </c>
      <c r="H761" s="76">
        <v>0</v>
      </c>
      <c r="I761" s="4"/>
      <c r="J761" s="29">
        <f>E761-30</f>
        <v>720</v>
      </c>
      <c r="K761" s="31">
        <f t="shared" si="146"/>
        <v>31.57000000000005</v>
      </c>
      <c r="L761" s="14"/>
      <c r="M761" s="4"/>
    </row>
    <row r="762" spans="2:13">
      <c r="B762" s="4"/>
      <c r="C762" s="7">
        <v>1.44791666666681</v>
      </c>
      <c r="D762" s="7">
        <v>1.45833333333347</v>
      </c>
      <c r="E762" s="30">
        <v>750</v>
      </c>
      <c r="F762" s="60">
        <v>661.27</v>
      </c>
      <c r="G762" s="4">
        <f t="shared" si="149"/>
        <v>88.730000000000018</v>
      </c>
      <c r="H762" s="9">
        <f t="shared" si="150"/>
        <v>2.2182500000000004E-2</v>
      </c>
      <c r="I762" s="4"/>
      <c r="J762" s="29">
        <f>J761-80</f>
        <v>640</v>
      </c>
      <c r="K762" s="31">
        <f t="shared" si="146"/>
        <v>21.269999999999982</v>
      </c>
      <c r="L762" s="14">
        <f t="shared" si="148"/>
        <v>5.3174999999999958E-3</v>
      </c>
      <c r="M762" s="4"/>
    </row>
    <row r="763" spans="2:13">
      <c r="B763" s="4"/>
      <c r="C763" s="7">
        <v>1.45833333333348</v>
      </c>
      <c r="D763" s="7">
        <v>1.4687500000001401</v>
      </c>
      <c r="E763" s="30">
        <v>750</v>
      </c>
      <c r="F763" s="60">
        <v>592.01</v>
      </c>
      <c r="G763" s="4">
        <f t="shared" si="149"/>
        <v>157.99</v>
      </c>
      <c r="H763" s="9">
        <f t="shared" si="150"/>
        <v>3.9497500000000005E-2</v>
      </c>
      <c r="I763" s="4"/>
      <c r="J763" s="64">
        <f>J762-80</f>
        <v>560</v>
      </c>
      <c r="K763" s="31">
        <f t="shared" si="146"/>
        <v>32.009999999999991</v>
      </c>
      <c r="L763" s="14">
        <f t="shared" si="148"/>
        <v>8.0024999999999975E-3</v>
      </c>
      <c r="M763" s="4"/>
    </row>
    <row r="764" spans="2:13">
      <c r="B764" s="4"/>
      <c r="C764" s="7">
        <v>1.4687500000001501</v>
      </c>
      <c r="D764" s="7">
        <v>1.47916666666681</v>
      </c>
      <c r="E764" s="30">
        <v>750</v>
      </c>
      <c r="F764" s="60">
        <v>547.14</v>
      </c>
      <c r="G764" s="4">
        <f t="shared" si="149"/>
        <v>202.86</v>
      </c>
      <c r="H764" s="9">
        <f t="shared" si="150"/>
        <v>5.0715000000000003E-2</v>
      </c>
      <c r="I764" s="4"/>
      <c r="J764" s="29">
        <v>540</v>
      </c>
      <c r="K764" s="31">
        <f t="shared" ref="K764:K821" si="161">F764-J764</f>
        <v>7.1399999999999864</v>
      </c>
      <c r="L764" s="14">
        <f t="shared" si="148"/>
        <v>1.7849999999999967E-3</v>
      </c>
      <c r="M764" s="4"/>
    </row>
    <row r="765" spans="2:13">
      <c r="B765" s="4"/>
      <c r="C765" s="7">
        <v>1.47916666666682</v>
      </c>
      <c r="D765" s="7">
        <v>1.48958333333348</v>
      </c>
      <c r="E765" s="30">
        <v>750</v>
      </c>
      <c r="F765" s="60">
        <v>546.91</v>
      </c>
      <c r="G765" s="4">
        <f t="shared" si="149"/>
        <v>203.09000000000003</v>
      </c>
      <c r="H765" s="9">
        <f t="shared" si="150"/>
        <v>5.0772500000000005E-2</v>
      </c>
      <c r="I765" s="9"/>
      <c r="J765" s="64">
        <v>540</v>
      </c>
      <c r="K765" s="31">
        <f t="shared" si="161"/>
        <v>6.9099999999999682</v>
      </c>
      <c r="L765" s="14">
        <f t="shared" si="148"/>
        <v>1.7274999999999921E-3</v>
      </c>
      <c r="M765" s="4"/>
    </row>
    <row r="766" spans="2:13">
      <c r="B766" s="47"/>
      <c r="C766" s="7">
        <v>1.48958333333349</v>
      </c>
      <c r="D766" s="7">
        <v>1.5000000000001501</v>
      </c>
      <c r="E766" s="30">
        <v>750</v>
      </c>
      <c r="F766" s="60">
        <v>546.58000000000004</v>
      </c>
      <c r="G766" s="4">
        <f t="shared" si="149"/>
        <v>203.41999999999996</v>
      </c>
      <c r="H766" s="9">
        <f t="shared" si="150"/>
        <v>5.085499999999999E-2</v>
      </c>
      <c r="I766" s="4"/>
      <c r="J766" s="64">
        <v>540</v>
      </c>
      <c r="K766" s="31">
        <f t="shared" si="161"/>
        <v>6.5800000000000409</v>
      </c>
      <c r="L766" s="14">
        <f t="shared" si="148"/>
        <v>1.6450000000000102E-3</v>
      </c>
      <c r="M766" s="4"/>
    </row>
    <row r="767" spans="2:13">
      <c r="B767" s="4"/>
      <c r="C767" s="7">
        <v>1.5000000000001601</v>
      </c>
      <c r="D767" s="7">
        <v>1.51041666666682</v>
      </c>
      <c r="E767" s="30">
        <v>750</v>
      </c>
      <c r="F767" s="60">
        <v>543.85</v>
      </c>
      <c r="G767" s="4">
        <f t="shared" si="149"/>
        <v>206.14999999999998</v>
      </c>
      <c r="H767" s="9">
        <f t="shared" si="150"/>
        <v>5.1537499999999993E-2</v>
      </c>
      <c r="I767" s="4"/>
      <c r="J767" s="64">
        <v>540</v>
      </c>
      <c r="K767" s="31">
        <f t="shared" si="161"/>
        <v>3.8500000000000227</v>
      </c>
      <c r="L767" s="14">
        <f t="shared" si="148"/>
        <v>9.6250000000000567E-4</v>
      </c>
      <c r="M767" s="4"/>
    </row>
    <row r="768" spans="2:13">
      <c r="B768" s="4"/>
      <c r="C768" s="7">
        <v>1.5104166666668299</v>
      </c>
      <c r="D768" s="7">
        <v>1.52083333333349</v>
      </c>
      <c r="E768" s="30">
        <v>750</v>
      </c>
      <c r="F768" s="60">
        <v>544.45000000000005</v>
      </c>
      <c r="G768" s="4">
        <f t="shared" si="149"/>
        <v>205.54999999999995</v>
      </c>
      <c r="H768" s="9">
        <f t="shared" si="150"/>
        <v>5.1387499999999989E-2</v>
      </c>
      <c r="I768" s="4"/>
      <c r="J768" s="64">
        <v>540</v>
      </c>
      <c r="K768" s="31">
        <f t="shared" si="161"/>
        <v>4.4500000000000455</v>
      </c>
      <c r="L768" s="14">
        <f t="shared" si="148"/>
        <v>1.1125000000000113E-3</v>
      </c>
      <c r="M768" s="4"/>
    </row>
    <row r="769" spans="2:13">
      <c r="B769" s="4"/>
      <c r="C769" s="7">
        <v>1.5208333333335</v>
      </c>
      <c r="D769" s="7">
        <v>1.5312500000001601</v>
      </c>
      <c r="E769" s="30">
        <v>750</v>
      </c>
      <c r="F769" s="60">
        <v>547.41</v>
      </c>
      <c r="G769" s="4">
        <f t="shared" si="149"/>
        <v>202.59000000000003</v>
      </c>
      <c r="H769" s="9">
        <f t="shared" si="150"/>
        <v>5.0647500000000005E-2</v>
      </c>
      <c r="I769" s="4"/>
      <c r="J769" s="64">
        <v>540</v>
      </c>
      <c r="K769" s="31">
        <f t="shared" si="161"/>
        <v>7.4099999999999682</v>
      </c>
      <c r="L769" s="14">
        <f t="shared" si="148"/>
        <v>1.852499999999992E-3</v>
      </c>
      <c r="M769" s="4"/>
    </row>
    <row r="770" spans="2:13">
      <c r="B770" s="4"/>
      <c r="C770" s="7">
        <v>1.5312500000001701</v>
      </c>
      <c r="D770" s="7">
        <v>1.5416666666668299</v>
      </c>
      <c r="E770" s="30">
        <v>750</v>
      </c>
      <c r="F770" s="60">
        <v>548.37</v>
      </c>
      <c r="G770" s="4">
        <f t="shared" si="149"/>
        <v>201.63</v>
      </c>
      <c r="H770" s="9">
        <f t="shared" si="150"/>
        <v>5.0407500000000001E-2</v>
      </c>
      <c r="I770" s="4"/>
      <c r="J770" s="64">
        <v>540</v>
      </c>
      <c r="K770" s="31">
        <f t="shared" si="161"/>
        <v>8.3700000000000045</v>
      </c>
      <c r="L770" s="14">
        <f t="shared" si="148"/>
        <v>2.092500000000001E-3</v>
      </c>
      <c r="M770" s="4"/>
    </row>
    <row r="771" spans="2:13">
      <c r="B771" s="4"/>
      <c r="C771" s="7">
        <v>1.5416666666668399</v>
      </c>
      <c r="D771" s="7">
        <v>1.5520833333335</v>
      </c>
      <c r="E771" s="30">
        <v>750</v>
      </c>
      <c r="F771" s="60">
        <v>547.53</v>
      </c>
      <c r="G771" s="4">
        <f t="shared" si="149"/>
        <v>202.47000000000003</v>
      </c>
      <c r="H771" s="9">
        <f t="shared" si="150"/>
        <v>5.061750000000001E-2</v>
      </c>
      <c r="I771" s="4"/>
      <c r="J771" s="64">
        <v>540</v>
      </c>
      <c r="K771" s="31">
        <f t="shared" si="161"/>
        <v>7.5299999999999727</v>
      </c>
      <c r="L771" s="14">
        <f t="shared" si="148"/>
        <v>1.8824999999999931E-3</v>
      </c>
      <c r="M771" s="4"/>
    </row>
    <row r="772" spans="2:13">
      <c r="B772" s="4"/>
      <c r="C772" s="7">
        <v>1.55208333333351</v>
      </c>
      <c r="D772" s="7">
        <v>1.5625000000001701</v>
      </c>
      <c r="E772" s="30">
        <v>750</v>
      </c>
      <c r="F772" s="60">
        <v>546.91</v>
      </c>
      <c r="G772" s="4">
        <f t="shared" si="149"/>
        <v>203.09000000000003</v>
      </c>
      <c r="H772" s="9">
        <f t="shared" si="150"/>
        <v>5.0772500000000005E-2</v>
      </c>
      <c r="I772" s="4"/>
      <c r="J772" s="64">
        <v>540</v>
      </c>
      <c r="K772" s="31">
        <f t="shared" si="161"/>
        <v>6.9099999999999682</v>
      </c>
      <c r="L772" s="14">
        <f t="shared" si="148"/>
        <v>1.7274999999999921E-3</v>
      </c>
      <c r="M772" s="4"/>
    </row>
    <row r="773" spans="2:13">
      <c r="B773" s="4"/>
      <c r="C773" s="7">
        <v>1.5625000000001801</v>
      </c>
      <c r="D773" s="7">
        <v>1.5729166666668399</v>
      </c>
      <c r="E773" s="30">
        <v>750</v>
      </c>
      <c r="F773" s="60">
        <v>547.16</v>
      </c>
      <c r="G773" s="4">
        <f t="shared" si="149"/>
        <v>202.84000000000003</v>
      </c>
      <c r="H773" s="9">
        <f t="shared" si="150"/>
        <v>5.0710000000000005E-2</v>
      </c>
      <c r="I773" s="4"/>
      <c r="J773" s="64">
        <v>540</v>
      </c>
      <c r="K773" s="31">
        <f t="shared" si="161"/>
        <v>7.1599999999999682</v>
      </c>
      <c r="L773" s="14">
        <f t="shared" si="148"/>
        <v>1.7899999999999921E-3</v>
      </c>
      <c r="M773" s="4"/>
    </row>
    <row r="774" spans="2:13">
      <c r="B774" s="4"/>
      <c r="C774" s="7">
        <v>1.5729166666668499</v>
      </c>
      <c r="D774" s="7">
        <v>1.58333333333351</v>
      </c>
      <c r="E774" s="30">
        <v>750</v>
      </c>
      <c r="F774" s="60">
        <v>547.72</v>
      </c>
      <c r="G774" s="4">
        <f t="shared" si="149"/>
        <v>202.27999999999997</v>
      </c>
      <c r="H774" s="9">
        <f t="shared" si="150"/>
        <v>5.056999999999999E-2</v>
      </c>
      <c r="I774" s="4"/>
      <c r="J774" s="64">
        <v>540</v>
      </c>
      <c r="K774" s="31">
        <f t="shared" si="161"/>
        <v>7.7200000000000273</v>
      </c>
      <c r="L774" s="14">
        <f t="shared" si="148"/>
        <v>1.9300000000000068E-3</v>
      </c>
      <c r="M774" s="4"/>
    </row>
    <row r="775" spans="2:13">
      <c r="B775" s="4"/>
      <c r="C775" s="7">
        <v>1.58333333333352</v>
      </c>
      <c r="D775" s="7">
        <v>1.5937500000001801</v>
      </c>
      <c r="E775" s="30">
        <v>750</v>
      </c>
      <c r="F775" s="60">
        <v>544.25</v>
      </c>
      <c r="G775" s="4">
        <f t="shared" si="149"/>
        <v>205.75</v>
      </c>
      <c r="H775" s="9">
        <f t="shared" si="150"/>
        <v>5.1437499999999997E-2</v>
      </c>
      <c r="I775" s="4"/>
      <c r="J775" s="64">
        <v>540</v>
      </c>
      <c r="K775" s="31">
        <f t="shared" si="161"/>
        <v>4.25</v>
      </c>
      <c r="L775" s="14">
        <f t="shared" si="148"/>
        <v>1.0625000000000001E-3</v>
      </c>
      <c r="M775" s="4"/>
    </row>
    <row r="776" spans="2:13">
      <c r="B776" s="4"/>
      <c r="C776" s="7">
        <v>1.5937500000001901</v>
      </c>
      <c r="D776" s="7">
        <v>1.6041666666668499</v>
      </c>
      <c r="E776" s="30">
        <v>750</v>
      </c>
      <c r="F776" s="60">
        <v>547.41999999999996</v>
      </c>
      <c r="G776" s="4">
        <f t="shared" si="149"/>
        <v>202.58000000000004</v>
      </c>
      <c r="H776" s="9">
        <f t="shared" si="150"/>
        <v>5.0645000000000009E-2</v>
      </c>
      <c r="I776" s="4"/>
      <c r="J776" s="64">
        <v>540</v>
      </c>
      <c r="K776" s="31">
        <f t="shared" si="161"/>
        <v>7.4199999999999591</v>
      </c>
      <c r="L776" s="14">
        <f t="shared" si="148"/>
        <v>1.8549999999999897E-3</v>
      </c>
      <c r="M776" s="4"/>
    </row>
    <row r="777" spans="2:13">
      <c r="B777" s="4"/>
      <c r="C777" s="7">
        <v>1.6041666666668599</v>
      </c>
      <c r="D777" s="7">
        <v>1.61458333333352</v>
      </c>
      <c r="E777" s="30">
        <v>750</v>
      </c>
      <c r="F777" s="60">
        <v>550.12</v>
      </c>
      <c r="G777" s="4">
        <f t="shared" si="149"/>
        <v>199.88</v>
      </c>
      <c r="H777" s="9">
        <f t="shared" si="150"/>
        <v>4.9970000000000001E-2</v>
      </c>
      <c r="I777" s="4"/>
      <c r="J777" s="64">
        <v>540</v>
      </c>
      <c r="K777" s="31">
        <f t="shared" si="161"/>
        <v>10.120000000000005</v>
      </c>
      <c r="L777" s="14">
        <f t="shared" si="148"/>
        <v>2.530000000000001E-3</v>
      </c>
      <c r="M777" s="4"/>
    </row>
    <row r="778" spans="2:13">
      <c r="B778" s="4"/>
      <c r="C778" s="7">
        <v>1.61458333333353</v>
      </c>
      <c r="D778" s="7">
        <v>1.6250000000001901</v>
      </c>
      <c r="E778" s="30">
        <v>750</v>
      </c>
      <c r="F778" s="60">
        <v>545.95000000000005</v>
      </c>
      <c r="G778" s="4">
        <f t="shared" si="149"/>
        <v>204.04999999999995</v>
      </c>
      <c r="H778" s="9">
        <f t="shared" si="150"/>
        <v>5.1012499999999988E-2</v>
      </c>
      <c r="I778" s="4"/>
      <c r="J778" s="64">
        <v>540</v>
      </c>
      <c r="K778" s="31">
        <f t="shared" si="161"/>
        <v>5.9500000000000455</v>
      </c>
      <c r="L778" s="14">
        <f t="shared" ref="L778:L832" si="162">IF(K778/4000&gt;0,K778/4000,0)</f>
        <v>1.4875000000000114E-3</v>
      </c>
      <c r="M778" s="4"/>
    </row>
    <row r="779" spans="2:13">
      <c r="B779" s="4"/>
      <c r="C779" s="7">
        <v>1.6250000000002001</v>
      </c>
      <c r="D779" s="7">
        <v>1.6354166666668599</v>
      </c>
      <c r="E779" s="30">
        <v>750</v>
      </c>
      <c r="F779" s="60">
        <v>545.52</v>
      </c>
      <c r="G779" s="4">
        <f t="shared" si="149"/>
        <v>204.48000000000002</v>
      </c>
      <c r="H779" s="9">
        <f t="shared" si="150"/>
        <v>5.1120000000000006E-2</v>
      </c>
      <c r="I779" s="4"/>
      <c r="J779" s="64">
        <v>540</v>
      </c>
      <c r="K779" s="31">
        <f t="shared" si="161"/>
        <v>5.5199999999999818</v>
      </c>
      <c r="L779" s="14">
        <f t="shared" si="162"/>
        <v>1.3799999999999954E-3</v>
      </c>
      <c r="M779" s="4"/>
    </row>
    <row r="780" spans="2:13">
      <c r="B780" s="4"/>
      <c r="C780" s="7">
        <v>1.6354166666668699</v>
      </c>
      <c r="D780" s="7">
        <v>1.64583333333353</v>
      </c>
      <c r="E780" s="30">
        <v>750</v>
      </c>
      <c r="F780" s="60">
        <v>547.26</v>
      </c>
      <c r="G780" s="4">
        <f t="shared" si="149"/>
        <v>202.74</v>
      </c>
      <c r="H780" s="9">
        <f t="shared" si="150"/>
        <v>5.0685000000000001E-2</v>
      </c>
      <c r="I780" s="4"/>
      <c r="J780" s="64">
        <v>540</v>
      </c>
      <c r="K780" s="31">
        <f t="shared" si="161"/>
        <v>7.2599999999999909</v>
      </c>
      <c r="L780" s="14">
        <f t="shared" si="162"/>
        <v>1.8149999999999978E-3</v>
      </c>
      <c r="M780" s="4"/>
    </row>
    <row r="781" spans="2:13">
      <c r="B781" s="4"/>
      <c r="C781" s="7">
        <v>1.64583333333354</v>
      </c>
      <c r="D781" s="7">
        <v>1.6562500000002001</v>
      </c>
      <c r="E781" s="30">
        <v>750</v>
      </c>
      <c r="F781" s="60">
        <v>546.37</v>
      </c>
      <c r="G781" s="4">
        <f t="shared" si="149"/>
        <v>203.63</v>
      </c>
      <c r="H781" s="9">
        <f t="shared" si="150"/>
        <v>5.0907500000000001E-2</v>
      </c>
      <c r="I781" s="9"/>
      <c r="J781" s="64">
        <v>540</v>
      </c>
      <c r="K781" s="31">
        <f t="shared" si="161"/>
        <v>6.3700000000000045</v>
      </c>
      <c r="L781" s="14">
        <f t="shared" si="162"/>
        <v>1.592500000000001E-3</v>
      </c>
      <c r="M781" s="4"/>
    </row>
    <row r="782" spans="2:13">
      <c r="B782" s="47"/>
      <c r="C782" s="7">
        <v>1.6562500000002101</v>
      </c>
      <c r="D782" s="7">
        <v>1.6666666666668699</v>
      </c>
      <c r="E782" s="30">
        <v>750</v>
      </c>
      <c r="F782" s="60">
        <v>547.58000000000004</v>
      </c>
      <c r="G782" s="4">
        <f t="shared" si="149"/>
        <v>202.41999999999996</v>
      </c>
      <c r="H782" s="9">
        <f t="shared" si="150"/>
        <v>5.060499999999999E-2</v>
      </c>
      <c r="I782" s="4"/>
      <c r="J782" s="64">
        <v>540</v>
      </c>
      <c r="K782" s="31">
        <f t="shared" si="161"/>
        <v>7.5800000000000409</v>
      </c>
      <c r="L782" s="14">
        <f t="shared" si="162"/>
        <v>1.8950000000000102E-3</v>
      </c>
      <c r="M782" s="4"/>
    </row>
    <row r="783" spans="2:13">
      <c r="B783" s="4"/>
      <c r="C783" s="7">
        <v>1.6666666666668899</v>
      </c>
      <c r="D783" s="7">
        <v>1.67708333333354</v>
      </c>
      <c r="E783" s="30">
        <v>750</v>
      </c>
      <c r="F783" s="60">
        <v>546.96</v>
      </c>
      <c r="G783" s="4">
        <f t="shared" si="149"/>
        <v>203.03999999999996</v>
      </c>
      <c r="H783" s="9">
        <f t="shared" si="150"/>
        <v>5.0759999999999993E-2</v>
      </c>
      <c r="I783" s="4"/>
      <c r="J783" s="64">
        <v>540</v>
      </c>
      <c r="K783" s="31">
        <f t="shared" si="161"/>
        <v>6.9600000000000364</v>
      </c>
      <c r="L783" s="14">
        <f t="shared" si="162"/>
        <v>1.7400000000000091E-3</v>
      </c>
      <c r="M783" s="4"/>
    </row>
    <row r="784" spans="2:13">
      <c r="B784" s="4"/>
      <c r="C784" s="7">
        <v>1.67708333333356</v>
      </c>
      <c r="D784" s="35">
        <v>1.6875000000002101</v>
      </c>
      <c r="E784" s="30">
        <v>750</v>
      </c>
      <c r="F784" s="60">
        <v>577.66999999999996</v>
      </c>
      <c r="G784" s="4">
        <f t="shared" si="149"/>
        <v>172.33000000000004</v>
      </c>
      <c r="H784" s="9">
        <f t="shared" si="150"/>
        <v>4.308250000000001E-2</v>
      </c>
      <c r="I784" s="4"/>
      <c r="J784" s="64">
        <f>J783+55</f>
        <v>595</v>
      </c>
      <c r="K784" s="31">
        <f>J784-F784</f>
        <v>17.330000000000041</v>
      </c>
      <c r="L784" s="14">
        <f t="shared" si="162"/>
        <v>4.33250000000001E-3</v>
      </c>
      <c r="M784" s="4"/>
    </row>
    <row r="785" spans="2:13">
      <c r="B785" s="4"/>
      <c r="C785" s="7">
        <v>1.68750000000023</v>
      </c>
      <c r="D785" s="7">
        <v>1.6979166666668799</v>
      </c>
      <c r="E785" s="30">
        <v>750</v>
      </c>
      <c r="F785" s="60">
        <v>688.93</v>
      </c>
      <c r="G785" s="4">
        <f t="shared" si="149"/>
        <v>61.07000000000005</v>
      </c>
      <c r="H785" s="9">
        <f t="shared" si="150"/>
        <v>1.5267500000000012E-2</v>
      </c>
      <c r="I785" s="4"/>
      <c r="J785" s="29">
        <f>J784+80</f>
        <v>675</v>
      </c>
      <c r="K785" s="31">
        <f t="shared" ref="K785:K786" si="163">J785-F785</f>
        <v>-13.92999999999995</v>
      </c>
      <c r="L785" s="14">
        <f t="shared" si="162"/>
        <v>0</v>
      </c>
      <c r="M785" s="4"/>
    </row>
    <row r="786" spans="2:13">
      <c r="B786" s="4"/>
      <c r="C786" s="7">
        <v>1.6979166666669001</v>
      </c>
      <c r="D786" s="7">
        <v>1.70833333333355</v>
      </c>
      <c r="E786" s="30">
        <v>750</v>
      </c>
      <c r="F786" s="60">
        <v>761.84</v>
      </c>
      <c r="G786" s="4">
        <f t="shared" si="149"/>
        <v>-11.840000000000032</v>
      </c>
      <c r="H786" s="76">
        <v>0</v>
      </c>
      <c r="I786" s="4"/>
      <c r="J786" s="64">
        <v>750</v>
      </c>
      <c r="K786" s="31">
        <f t="shared" si="163"/>
        <v>-11.840000000000032</v>
      </c>
      <c r="L786" s="14">
        <f t="shared" si="162"/>
        <v>0</v>
      </c>
      <c r="M786" s="4"/>
    </row>
    <row r="787" spans="2:13">
      <c r="B787" s="4"/>
      <c r="C787" s="7"/>
      <c r="D787" s="7"/>
      <c r="E787" s="30"/>
      <c r="F787" s="15"/>
      <c r="G787" s="4"/>
      <c r="H787" s="9"/>
      <c r="I787" s="9">
        <f>SUM(H761:H786)</f>
        <v>1.1361649999999999</v>
      </c>
      <c r="J787" s="29"/>
      <c r="K787" s="31"/>
      <c r="L787" s="14"/>
      <c r="M787" s="4">
        <f>SUM(L761:L786)</f>
        <v>5.1517500000000008E-2</v>
      </c>
    </row>
    <row r="788" spans="2:13">
      <c r="B788" s="34">
        <v>46040</v>
      </c>
      <c r="C788" s="7">
        <v>1.8541666666669501</v>
      </c>
      <c r="D788" s="7">
        <v>1.8645833333335999</v>
      </c>
      <c r="E788" s="30">
        <v>750</v>
      </c>
      <c r="F788" s="60">
        <v>708.52</v>
      </c>
      <c r="G788" s="4">
        <f t="shared" ref="G788:G846" si="164">E788-F788</f>
        <v>41.480000000000018</v>
      </c>
      <c r="H788" s="9">
        <f t="shared" ref="H788:H846" si="165">G788/4000</f>
        <v>1.0370000000000004E-2</v>
      </c>
      <c r="I788" s="4"/>
      <c r="J788" s="29">
        <f>E788-80</f>
        <v>670</v>
      </c>
      <c r="K788" s="31">
        <f t="shared" si="161"/>
        <v>38.519999999999982</v>
      </c>
      <c r="L788" s="14"/>
      <c r="M788" s="4"/>
    </row>
    <row r="789" spans="2:13">
      <c r="B789" s="4"/>
      <c r="C789" s="7">
        <v>1.8645833333336199</v>
      </c>
      <c r="D789" s="7">
        <v>1.87500000000027</v>
      </c>
      <c r="E789" s="30">
        <v>750</v>
      </c>
      <c r="F789" s="60">
        <v>613.15</v>
      </c>
      <c r="G789" s="4">
        <f t="shared" si="164"/>
        <v>136.85000000000002</v>
      </c>
      <c r="H789" s="9">
        <f t="shared" si="165"/>
        <v>3.4212500000000007E-2</v>
      </c>
      <c r="I789" s="4"/>
      <c r="J789" s="29">
        <f>J788-80</f>
        <v>590</v>
      </c>
      <c r="K789" s="31">
        <f t="shared" si="161"/>
        <v>23.149999999999977</v>
      </c>
      <c r="L789" s="14">
        <f t="shared" si="162"/>
        <v>5.787499999999994E-3</v>
      </c>
      <c r="M789" s="4"/>
    </row>
    <row r="790" spans="2:13">
      <c r="B790" s="4"/>
      <c r="C790" s="7">
        <v>1.87500000000029</v>
      </c>
      <c r="D790" s="7">
        <v>1.8854166666669401</v>
      </c>
      <c r="E790" s="30">
        <v>750</v>
      </c>
      <c r="F790" s="60">
        <v>562.17999999999995</v>
      </c>
      <c r="G790" s="4">
        <f t="shared" si="164"/>
        <v>187.82000000000005</v>
      </c>
      <c r="H790" s="9">
        <f t="shared" si="165"/>
        <v>4.6955000000000011E-2</v>
      </c>
      <c r="I790" s="4"/>
      <c r="J790" s="64">
        <v>540</v>
      </c>
      <c r="K790" s="31">
        <f t="shared" si="161"/>
        <v>22.17999999999995</v>
      </c>
      <c r="L790" s="14">
        <f t="shared" si="162"/>
        <v>5.5449999999999874E-3</v>
      </c>
      <c r="M790" s="4"/>
    </row>
    <row r="791" spans="2:13">
      <c r="B791" s="4"/>
      <c r="C791" s="7">
        <v>1.8854166666669601</v>
      </c>
      <c r="D791" s="7">
        <v>1.8958333333336099</v>
      </c>
      <c r="E791" s="30">
        <v>750</v>
      </c>
      <c r="F791" s="60">
        <v>541.23</v>
      </c>
      <c r="G791" s="4">
        <f t="shared" si="164"/>
        <v>208.76999999999998</v>
      </c>
      <c r="H791" s="9">
        <f t="shared" si="165"/>
        <v>5.2192499999999996E-2</v>
      </c>
      <c r="I791" s="4"/>
      <c r="J791" s="64">
        <v>540</v>
      </c>
      <c r="K791" s="31">
        <f t="shared" si="161"/>
        <v>1.2300000000000182</v>
      </c>
      <c r="L791" s="14">
        <f t="shared" si="162"/>
        <v>3.0750000000000455E-4</v>
      </c>
      <c r="M791" s="4"/>
    </row>
    <row r="792" spans="2:13">
      <c r="B792" s="4"/>
      <c r="C792" s="7">
        <v>1.8958333333336299</v>
      </c>
      <c r="D792" s="7">
        <v>1.90625000000028</v>
      </c>
      <c r="E792" s="30">
        <v>750</v>
      </c>
      <c r="F792" s="60">
        <v>542.78</v>
      </c>
      <c r="G792" s="4">
        <f t="shared" si="164"/>
        <v>207.22000000000003</v>
      </c>
      <c r="H792" s="9">
        <f t="shared" si="165"/>
        <v>5.1805000000000004E-2</v>
      </c>
      <c r="I792" s="4"/>
      <c r="J792" s="64">
        <v>540</v>
      </c>
      <c r="K792" s="31">
        <f t="shared" si="161"/>
        <v>2.7799999999999727</v>
      </c>
      <c r="L792" s="14">
        <f t="shared" si="162"/>
        <v>6.9499999999999315E-4</v>
      </c>
      <c r="M792" s="4"/>
    </row>
    <row r="793" spans="2:13">
      <c r="B793" s="4"/>
      <c r="C793" s="7">
        <v>1.9062500000003</v>
      </c>
      <c r="D793" s="7">
        <v>1.9166666666669501</v>
      </c>
      <c r="E793" s="30">
        <v>750</v>
      </c>
      <c r="F793" s="60">
        <v>552.42999999999995</v>
      </c>
      <c r="G793" s="4">
        <f t="shared" si="164"/>
        <v>197.57000000000005</v>
      </c>
      <c r="H793" s="9">
        <f t="shared" si="165"/>
        <v>4.9392500000000013E-2</v>
      </c>
      <c r="I793" s="4"/>
      <c r="J793" s="64">
        <v>540</v>
      </c>
      <c r="K793" s="31">
        <f t="shared" si="161"/>
        <v>12.42999999999995</v>
      </c>
      <c r="L793" s="14">
        <f t="shared" si="162"/>
        <v>3.1074999999999874E-3</v>
      </c>
      <c r="M793" s="4"/>
    </row>
    <row r="794" spans="2:13">
      <c r="B794" s="4"/>
      <c r="C794" s="7">
        <v>1.9166666666669701</v>
      </c>
      <c r="D794" s="7">
        <v>1.9270833333336199</v>
      </c>
      <c r="E794" s="30">
        <v>750</v>
      </c>
      <c r="F794" s="60">
        <v>547.36</v>
      </c>
      <c r="G794" s="4">
        <f t="shared" si="164"/>
        <v>202.64</v>
      </c>
      <c r="H794" s="9">
        <f t="shared" si="165"/>
        <v>5.0659999999999997E-2</v>
      </c>
      <c r="I794" s="4"/>
      <c r="J794" s="64">
        <v>540</v>
      </c>
      <c r="K794" s="31">
        <f t="shared" si="161"/>
        <v>7.3600000000000136</v>
      </c>
      <c r="L794" s="14">
        <f t="shared" si="162"/>
        <v>1.8400000000000033E-3</v>
      </c>
      <c r="M794" s="4"/>
    </row>
    <row r="795" spans="2:13">
      <c r="B795" s="4"/>
      <c r="C795" s="7">
        <v>1.9270833333336399</v>
      </c>
      <c r="D795" s="7">
        <v>1.93750000000029</v>
      </c>
      <c r="E795" s="30">
        <v>750</v>
      </c>
      <c r="F795" s="60">
        <v>544.07000000000005</v>
      </c>
      <c r="G795" s="4">
        <f t="shared" si="164"/>
        <v>205.92999999999995</v>
      </c>
      <c r="H795" s="9">
        <f t="shared" si="165"/>
        <v>5.1482499999999987E-2</v>
      </c>
      <c r="I795" s="4"/>
      <c r="J795" s="64">
        <v>540</v>
      </c>
      <c r="K795" s="31">
        <f t="shared" si="161"/>
        <v>4.07000000000005</v>
      </c>
      <c r="L795" s="14">
        <f t="shared" si="162"/>
        <v>1.0175000000000125E-3</v>
      </c>
      <c r="M795" s="4"/>
    </row>
    <row r="796" spans="2:13">
      <c r="B796" s="4"/>
      <c r="C796" s="7">
        <v>1.93750000000031</v>
      </c>
      <c r="D796" s="7">
        <v>1.9479166666669601</v>
      </c>
      <c r="E796" s="30">
        <v>750</v>
      </c>
      <c r="F796" s="60">
        <v>547.67999999999995</v>
      </c>
      <c r="G796" s="4">
        <f t="shared" si="164"/>
        <v>202.32000000000005</v>
      </c>
      <c r="H796" s="9">
        <f t="shared" si="165"/>
        <v>5.0580000000000014E-2</v>
      </c>
      <c r="I796" s="4"/>
      <c r="J796" s="64">
        <v>540</v>
      </c>
      <c r="K796" s="31">
        <f t="shared" si="161"/>
        <v>7.67999999999995</v>
      </c>
      <c r="L796" s="14">
        <f t="shared" si="162"/>
        <v>1.9199999999999875E-3</v>
      </c>
      <c r="M796" s="4"/>
    </row>
    <row r="797" spans="2:13">
      <c r="B797" s="4"/>
      <c r="C797" s="7">
        <v>1.94791666666698</v>
      </c>
      <c r="D797" s="7">
        <v>1.9583333333336299</v>
      </c>
      <c r="E797" s="30">
        <v>750</v>
      </c>
      <c r="F797" s="60">
        <v>549.49</v>
      </c>
      <c r="G797" s="4">
        <f t="shared" si="164"/>
        <v>200.51</v>
      </c>
      <c r="H797" s="9">
        <f t="shared" si="165"/>
        <v>5.0127499999999998E-2</v>
      </c>
      <c r="I797" s="4"/>
      <c r="J797" s="64">
        <v>540</v>
      </c>
      <c r="K797" s="31">
        <f t="shared" si="161"/>
        <v>9.4900000000000091</v>
      </c>
      <c r="L797" s="14">
        <f t="shared" si="162"/>
        <v>2.3725000000000022E-3</v>
      </c>
      <c r="M797" s="4"/>
    </row>
    <row r="798" spans="2:13">
      <c r="B798" s="4"/>
      <c r="C798" s="7">
        <v>1.9583333333336499</v>
      </c>
      <c r="D798" s="7">
        <v>1.9687500000003</v>
      </c>
      <c r="E798" s="30">
        <v>750</v>
      </c>
      <c r="F798" s="60">
        <v>547.29999999999995</v>
      </c>
      <c r="G798" s="4">
        <f t="shared" si="164"/>
        <v>202.70000000000005</v>
      </c>
      <c r="H798" s="9">
        <f t="shared" si="165"/>
        <v>5.0675000000000012E-2</v>
      </c>
      <c r="I798" s="4"/>
      <c r="J798" s="64">
        <v>540</v>
      </c>
      <c r="K798" s="31">
        <f t="shared" si="161"/>
        <v>7.2999999999999545</v>
      </c>
      <c r="L798" s="14">
        <f t="shared" si="162"/>
        <v>1.8249999999999885E-3</v>
      </c>
      <c r="M798" s="4"/>
    </row>
    <row r="799" spans="2:13">
      <c r="B799" s="4"/>
      <c r="C799" s="7">
        <v>1.96875000000032</v>
      </c>
      <c r="D799" s="7">
        <v>1.9791666666669701</v>
      </c>
      <c r="E799" s="30">
        <v>750</v>
      </c>
      <c r="F799" s="60">
        <v>547.27</v>
      </c>
      <c r="G799" s="4">
        <f t="shared" si="164"/>
        <v>202.73000000000002</v>
      </c>
      <c r="H799" s="9">
        <f t="shared" si="165"/>
        <v>5.0682500000000005E-2</v>
      </c>
      <c r="I799" s="9"/>
      <c r="J799" s="64">
        <v>540</v>
      </c>
      <c r="K799" s="31">
        <f t="shared" si="161"/>
        <v>7.2699999999999818</v>
      </c>
      <c r="L799" s="14">
        <f t="shared" si="162"/>
        <v>1.8174999999999956E-3</v>
      </c>
      <c r="M799" s="4"/>
    </row>
    <row r="800" spans="2:13">
      <c r="B800" s="4"/>
      <c r="C800" s="7">
        <v>1.97916666666699</v>
      </c>
      <c r="D800" s="7">
        <v>1.9895833333336399</v>
      </c>
      <c r="E800" s="30">
        <v>750</v>
      </c>
      <c r="F800" s="60">
        <v>544.53</v>
      </c>
      <c r="G800" s="4">
        <f t="shared" si="164"/>
        <v>205.47000000000003</v>
      </c>
      <c r="H800" s="9">
        <f t="shared" si="165"/>
        <v>5.1367500000000003E-2</v>
      </c>
      <c r="I800" s="4"/>
      <c r="J800" s="64">
        <v>540</v>
      </c>
      <c r="K800" s="31">
        <f t="shared" si="161"/>
        <v>4.5299999999999727</v>
      </c>
      <c r="L800" s="14">
        <f t="shared" si="162"/>
        <v>1.1324999999999931E-3</v>
      </c>
      <c r="M800" s="4"/>
    </row>
    <row r="801" spans="2:13">
      <c r="B801" s="43"/>
      <c r="C801" s="58">
        <v>1.9895833333336601</v>
      </c>
      <c r="D801" s="58">
        <v>2.00000000000031</v>
      </c>
      <c r="E801" s="59">
        <v>750</v>
      </c>
      <c r="F801" s="61">
        <v>548.88</v>
      </c>
      <c r="G801" s="4">
        <f t="shared" si="164"/>
        <v>201.12</v>
      </c>
      <c r="H801" s="9">
        <f t="shared" si="165"/>
        <v>5.0279999999999998E-2</v>
      </c>
      <c r="J801" s="64">
        <v>540</v>
      </c>
      <c r="K801" s="31">
        <f t="shared" si="161"/>
        <v>8.8799999999999955</v>
      </c>
      <c r="L801" s="14">
        <f t="shared" si="162"/>
        <v>2.2199999999999989E-3</v>
      </c>
    </row>
    <row r="802" spans="2:13">
      <c r="B802" s="43"/>
      <c r="C802" s="43"/>
      <c r="D802" s="43"/>
      <c r="E802" s="4"/>
      <c r="F802" s="4"/>
      <c r="G802" s="4"/>
      <c r="H802" s="9"/>
      <c r="I802" s="9">
        <f>SUM(H788:H801)</f>
        <v>0.65078250000000004</v>
      </c>
      <c r="J802" s="29"/>
      <c r="K802" s="31"/>
      <c r="L802" s="14"/>
      <c r="M802" s="9">
        <f>SUM(L788:L801)</f>
        <v>2.9587499999999951E-2</v>
      </c>
    </row>
    <row r="803" spans="2:13">
      <c r="B803" s="34">
        <v>46041</v>
      </c>
      <c r="C803" s="7">
        <v>1</v>
      </c>
      <c r="D803" s="7">
        <v>1.0104166666666701</v>
      </c>
      <c r="E803" s="30">
        <v>750</v>
      </c>
      <c r="F803" s="60">
        <v>545.20000000000005</v>
      </c>
      <c r="G803" s="4">
        <f t="shared" si="164"/>
        <v>204.79999999999995</v>
      </c>
      <c r="H803" s="9">
        <f t="shared" si="165"/>
        <v>5.1199999999999989E-2</v>
      </c>
      <c r="I803" s="4"/>
      <c r="J803" s="29">
        <v>540</v>
      </c>
      <c r="K803" s="31">
        <f t="shared" si="161"/>
        <v>5.2000000000000455</v>
      </c>
      <c r="L803" s="14"/>
      <c r="M803" s="4"/>
    </row>
    <row r="804" spans="2:13">
      <c r="B804" s="43"/>
      <c r="C804" s="7">
        <v>1.0104166666666701</v>
      </c>
      <c r="D804" s="7">
        <v>1.0208333333333399</v>
      </c>
      <c r="E804" s="30">
        <v>750</v>
      </c>
      <c r="F804" s="60">
        <v>544.05999999999995</v>
      </c>
      <c r="G804" s="4">
        <f t="shared" si="164"/>
        <v>205.94000000000005</v>
      </c>
      <c r="H804" s="9">
        <f t="shared" si="165"/>
        <v>5.1485000000000017E-2</v>
      </c>
      <c r="I804" s="4"/>
      <c r="J804" s="29">
        <v>540</v>
      </c>
      <c r="K804" s="31">
        <f t="shared" si="161"/>
        <v>4.0599999999999454</v>
      </c>
      <c r="L804" s="14">
        <f t="shared" si="162"/>
        <v>1.0149999999999864E-3</v>
      </c>
      <c r="M804" s="4"/>
    </row>
    <row r="805" spans="2:13">
      <c r="B805" s="43"/>
      <c r="C805" s="7">
        <v>1.0208333333333399</v>
      </c>
      <c r="D805" s="7">
        <v>1.03125000000001</v>
      </c>
      <c r="E805" s="30">
        <v>750</v>
      </c>
      <c r="F805" s="60">
        <v>547.28</v>
      </c>
      <c r="G805" s="4">
        <f t="shared" si="164"/>
        <v>202.72000000000003</v>
      </c>
      <c r="H805" s="9">
        <f t="shared" si="165"/>
        <v>5.068000000000001E-2</v>
      </c>
      <c r="I805" s="4"/>
      <c r="J805" s="29">
        <v>540</v>
      </c>
      <c r="K805" s="31">
        <f t="shared" si="161"/>
        <v>7.2799999999999727</v>
      </c>
      <c r="L805" s="14">
        <f t="shared" si="162"/>
        <v>1.8199999999999933E-3</v>
      </c>
      <c r="M805" s="4"/>
    </row>
    <row r="806" spans="2:13">
      <c r="B806" s="43"/>
      <c r="C806" s="7">
        <v>1.03125000000001</v>
      </c>
      <c r="D806" s="7">
        <v>1.0416666666666801</v>
      </c>
      <c r="E806" s="30">
        <v>750</v>
      </c>
      <c r="F806" s="60">
        <v>547.41999999999996</v>
      </c>
      <c r="G806" s="4">
        <f t="shared" si="164"/>
        <v>202.58000000000004</v>
      </c>
      <c r="H806" s="9">
        <f t="shared" si="165"/>
        <v>5.0645000000000009E-2</v>
      </c>
      <c r="I806" s="4"/>
      <c r="J806" s="64">
        <v>540</v>
      </c>
      <c r="K806" s="31">
        <f t="shared" si="161"/>
        <v>7.4199999999999591</v>
      </c>
      <c r="L806" s="14">
        <f t="shared" si="162"/>
        <v>1.8549999999999897E-3</v>
      </c>
      <c r="M806" s="4"/>
    </row>
    <row r="807" spans="2:13">
      <c r="B807" s="43"/>
      <c r="C807" s="7">
        <v>1.0416666666666801</v>
      </c>
      <c r="D807" s="7">
        <v>1.0520833333333499</v>
      </c>
      <c r="E807" s="30">
        <v>750</v>
      </c>
      <c r="F807" s="60">
        <v>546.29999999999995</v>
      </c>
      <c r="G807" s="4">
        <f t="shared" si="164"/>
        <v>203.70000000000005</v>
      </c>
      <c r="H807" s="9">
        <f t="shared" si="165"/>
        <v>5.0925000000000012E-2</v>
      </c>
      <c r="I807" s="4"/>
      <c r="J807" s="64">
        <v>540</v>
      </c>
      <c r="K807" s="31">
        <f t="shared" si="161"/>
        <v>6.2999999999999545</v>
      </c>
      <c r="L807" s="14">
        <f t="shared" si="162"/>
        <v>1.5749999999999887E-3</v>
      </c>
      <c r="M807" s="4"/>
    </row>
    <row r="808" spans="2:13">
      <c r="B808" s="43"/>
      <c r="C808" s="7">
        <v>1.0520833333333499</v>
      </c>
      <c r="D808" s="7">
        <v>1.06250000000002</v>
      </c>
      <c r="E808" s="30">
        <v>750</v>
      </c>
      <c r="F808" s="60">
        <v>546.39</v>
      </c>
      <c r="G808" s="4">
        <f t="shared" si="164"/>
        <v>203.61</v>
      </c>
      <c r="H808" s="9">
        <f t="shared" si="165"/>
        <v>5.0902500000000003E-2</v>
      </c>
      <c r="I808" s="4"/>
      <c r="J808" s="64">
        <v>540</v>
      </c>
      <c r="K808" s="31">
        <f t="shared" si="161"/>
        <v>6.3899999999999864</v>
      </c>
      <c r="L808" s="14">
        <f t="shared" si="162"/>
        <v>1.5974999999999965E-3</v>
      </c>
      <c r="M808" s="4"/>
    </row>
    <row r="809" spans="2:13">
      <c r="B809" s="43"/>
      <c r="C809" s="7">
        <v>1.06250000000002</v>
      </c>
      <c r="D809" s="7">
        <v>1.0729166666666901</v>
      </c>
      <c r="E809" s="30">
        <v>750</v>
      </c>
      <c r="F809" s="60">
        <v>545.52</v>
      </c>
      <c r="G809" s="4">
        <f t="shared" si="164"/>
        <v>204.48000000000002</v>
      </c>
      <c r="H809" s="9">
        <f t="shared" si="165"/>
        <v>5.1120000000000006E-2</v>
      </c>
      <c r="I809" s="4"/>
      <c r="J809" s="64">
        <v>540</v>
      </c>
      <c r="K809" s="31">
        <f t="shared" si="161"/>
        <v>5.5199999999999818</v>
      </c>
      <c r="L809" s="14">
        <f t="shared" si="162"/>
        <v>1.3799999999999954E-3</v>
      </c>
      <c r="M809" s="4"/>
    </row>
    <row r="810" spans="2:13">
      <c r="B810" s="43"/>
      <c r="C810" s="7">
        <v>1.0729166666666901</v>
      </c>
      <c r="D810" s="7">
        <v>1.0833333333333599</v>
      </c>
      <c r="E810" s="30">
        <v>750</v>
      </c>
      <c r="F810" s="60">
        <v>544.75</v>
      </c>
      <c r="G810" s="4">
        <f t="shared" si="164"/>
        <v>205.25</v>
      </c>
      <c r="H810" s="9">
        <f t="shared" si="165"/>
        <v>5.1312499999999997E-2</v>
      </c>
      <c r="I810" s="4"/>
      <c r="J810" s="64">
        <v>540</v>
      </c>
      <c r="K810" s="31">
        <f t="shared" si="161"/>
        <v>4.75</v>
      </c>
      <c r="L810" s="14">
        <f t="shared" si="162"/>
        <v>1.1875E-3</v>
      </c>
      <c r="M810" s="4"/>
    </row>
    <row r="811" spans="2:13">
      <c r="B811" s="43"/>
      <c r="C811" s="7">
        <v>1.0833333333333599</v>
      </c>
      <c r="D811" s="7">
        <v>1.09375000000003</v>
      </c>
      <c r="E811" s="30">
        <v>750</v>
      </c>
      <c r="F811" s="60">
        <v>543.70000000000005</v>
      </c>
      <c r="G811" s="4">
        <f t="shared" si="164"/>
        <v>206.29999999999995</v>
      </c>
      <c r="H811" s="9">
        <f t="shared" si="165"/>
        <v>5.1574999999999989E-2</v>
      </c>
      <c r="I811" s="4"/>
      <c r="J811" s="64">
        <v>540</v>
      </c>
      <c r="K811" s="31">
        <f t="shared" si="161"/>
        <v>3.7000000000000455</v>
      </c>
      <c r="L811" s="14">
        <f t="shared" si="162"/>
        <v>9.2500000000001132E-4</v>
      </c>
      <c r="M811" s="4"/>
    </row>
    <row r="812" spans="2:13">
      <c r="B812" s="43"/>
      <c r="C812" s="7">
        <v>1.09375000000003</v>
      </c>
      <c r="D812" s="7">
        <v>1.1041666666667</v>
      </c>
      <c r="E812" s="30">
        <v>750</v>
      </c>
      <c r="F812" s="60">
        <v>545.08000000000004</v>
      </c>
      <c r="G812" s="4">
        <f t="shared" si="164"/>
        <v>204.91999999999996</v>
      </c>
      <c r="H812" s="9">
        <f t="shared" si="165"/>
        <v>5.1229999999999991E-2</v>
      </c>
      <c r="I812" s="4"/>
      <c r="J812" s="64">
        <v>540</v>
      </c>
      <c r="K812" s="31">
        <f t="shared" si="161"/>
        <v>5.0800000000000409</v>
      </c>
      <c r="L812" s="14">
        <f t="shared" si="162"/>
        <v>1.2700000000000103E-3</v>
      </c>
      <c r="M812" s="4"/>
    </row>
    <row r="813" spans="2:13">
      <c r="B813" s="43"/>
      <c r="C813" s="7">
        <v>1.1041666666667</v>
      </c>
      <c r="D813" s="7">
        <v>1.1145833333333699</v>
      </c>
      <c r="E813" s="30">
        <v>750</v>
      </c>
      <c r="F813" s="60">
        <v>544.07000000000005</v>
      </c>
      <c r="G813" s="4">
        <f t="shared" si="164"/>
        <v>205.92999999999995</v>
      </c>
      <c r="H813" s="9">
        <f t="shared" si="165"/>
        <v>5.1482499999999987E-2</v>
      </c>
      <c r="I813" s="4"/>
      <c r="J813" s="64">
        <v>540</v>
      </c>
      <c r="K813" s="31">
        <f t="shared" si="161"/>
        <v>4.07000000000005</v>
      </c>
      <c r="L813" s="14">
        <f t="shared" si="162"/>
        <v>1.0175000000000125E-3</v>
      </c>
      <c r="M813" s="4"/>
    </row>
    <row r="814" spans="2:13">
      <c r="B814" s="43"/>
      <c r="C814" s="7">
        <v>1.1145833333333699</v>
      </c>
      <c r="D814" s="7">
        <v>1.12500000000004</v>
      </c>
      <c r="E814" s="30">
        <v>750</v>
      </c>
      <c r="F814" s="60">
        <v>545.16999999999996</v>
      </c>
      <c r="G814" s="4">
        <f t="shared" si="164"/>
        <v>204.83000000000004</v>
      </c>
      <c r="H814" s="9">
        <f t="shared" si="165"/>
        <v>5.120750000000001E-2</v>
      </c>
      <c r="I814" s="4"/>
      <c r="J814" s="64">
        <v>540</v>
      </c>
      <c r="K814" s="31">
        <f t="shared" si="161"/>
        <v>5.1699999999999591</v>
      </c>
      <c r="L814" s="14">
        <f t="shared" si="162"/>
        <v>1.2924999999999898E-3</v>
      </c>
      <c r="M814" s="4"/>
    </row>
    <row r="815" spans="2:13">
      <c r="B815" s="43"/>
      <c r="C815" s="7">
        <v>1.12500000000004</v>
      </c>
      <c r="D815" s="7">
        <v>1.13541666666671</v>
      </c>
      <c r="E815" s="30">
        <v>750</v>
      </c>
      <c r="F815" s="60">
        <v>545.44000000000005</v>
      </c>
      <c r="G815" s="4">
        <f t="shared" si="164"/>
        <v>204.55999999999995</v>
      </c>
      <c r="H815" s="9">
        <f t="shared" si="165"/>
        <v>5.1139999999999984E-2</v>
      </c>
      <c r="I815" s="4"/>
      <c r="J815" s="64">
        <v>540</v>
      </c>
      <c r="K815" s="31">
        <f t="shared" si="161"/>
        <v>5.4400000000000546</v>
      </c>
      <c r="L815" s="14">
        <f t="shared" si="162"/>
        <v>1.3600000000000135E-3</v>
      </c>
      <c r="M815" s="4"/>
    </row>
    <row r="816" spans="2:13">
      <c r="B816" s="43"/>
      <c r="C816" s="7">
        <v>1.13541666666671</v>
      </c>
      <c r="D816" s="7">
        <v>1.1458333333333801</v>
      </c>
      <c r="E816" s="30">
        <v>750</v>
      </c>
      <c r="F816" s="60">
        <v>544.42999999999995</v>
      </c>
      <c r="G816" s="4">
        <f t="shared" si="164"/>
        <v>205.57000000000005</v>
      </c>
      <c r="H816" s="9">
        <f t="shared" si="165"/>
        <v>5.1392500000000015E-2</v>
      </c>
      <c r="I816" s="4"/>
      <c r="J816" s="64">
        <v>540</v>
      </c>
      <c r="K816" s="31">
        <f t="shared" si="161"/>
        <v>4.42999999999995</v>
      </c>
      <c r="L816" s="14">
        <f t="shared" si="162"/>
        <v>1.1074999999999874E-3</v>
      </c>
      <c r="M816" s="4"/>
    </row>
    <row r="817" spans="2:13">
      <c r="B817" s="43"/>
      <c r="C817" s="7">
        <v>1.1458333333333801</v>
      </c>
      <c r="D817" s="35">
        <v>1.15625000000005</v>
      </c>
      <c r="E817" s="30">
        <v>750</v>
      </c>
      <c r="F817" s="60">
        <v>591.92999999999995</v>
      </c>
      <c r="G817" s="4">
        <f t="shared" si="164"/>
        <v>158.07000000000005</v>
      </c>
      <c r="H817" s="9">
        <f t="shared" si="165"/>
        <v>3.9517500000000011E-2</v>
      </c>
      <c r="I817" s="4"/>
      <c r="J817" s="64">
        <f>J816+55</f>
        <v>595</v>
      </c>
      <c r="K817" s="31">
        <f>J817-F817</f>
        <v>3.07000000000005</v>
      </c>
      <c r="L817" s="14">
        <f t="shared" si="162"/>
        <v>7.6750000000001253E-4</v>
      </c>
      <c r="M817" s="4"/>
    </row>
    <row r="818" spans="2:13">
      <c r="B818" s="43"/>
      <c r="C818" s="7">
        <v>1.15625000000005</v>
      </c>
      <c r="D818" s="7">
        <v>1.16666666666672</v>
      </c>
      <c r="E818" s="30">
        <v>750</v>
      </c>
      <c r="F818" s="60">
        <v>670.52</v>
      </c>
      <c r="G818" s="4">
        <f t="shared" si="164"/>
        <v>79.480000000000018</v>
      </c>
      <c r="H818" s="9">
        <f t="shared" si="165"/>
        <v>1.9870000000000006E-2</v>
      </c>
      <c r="I818" s="4"/>
      <c r="J818" s="29">
        <f>J817+80</f>
        <v>675</v>
      </c>
      <c r="K818" s="31">
        <f t="shared" ref="K818:K819" si="166">J818-F818</f>
        <v>4.4800000000000182</v>
      </c>
      <c r="L818" s="14">
        <f t="shared" si="162"/>
        <v>1.1200000000000045E-3</v>
      </c>
      <c r="M818" s="4"/>
    </row>
    <row r="819" spans="2:13">
      <c r="B819" s="43"/>
      <c r="C819" s="7">
        <v>1.16666666666672</v>
      </c>
      <c r="D819" s="7">
        <v>1.1770833333333901</v>
      </c>
      <c r="E819" s="30">
        <v>750</v>
      </c>
      <c r="F819" s="60">
        <v>701.81</v>
      </c>
      <c r="G819" s="4">
        <f t="shared" si="164"/>
        <v>48.190000000000055</v>
      </c>
      <c r="H819" s="9">
        <f t="shared" si="165"/>
        <v>1.2047500000000013E-2</v>
      </c>
      <c r="I819" s="4"/>
      <c r="J819" s="64">
        <v>750</v>
      </c>
      <c r="K819" s="31">
        <f t="shared" si="166"/>
        <v>48.190000000000055</v>
      </c>
      <c r="L819" s="14">
        <f t="shared" si="162"/>
        <v>1.2047500000000013E-2</v>
      </c>
      <c r="M819" s="4"/>
    </row>
    <row r="820" spans="2:13">
      <c r="B820" s="43"/>
      <c r="C820" s="43"/>
      <c r="D820" s="43"/>
      <c r="E820" s="4"/>
      <c r="F820" s="4"/>
      <c r="G820" s="4"/>
      <c r="H820" s="9"/>
      <c r="I820" s="9">
        <f>SUM(H803:H819)</f>
        <v>0.78773249999999995</v>
      </c>
      <c r="J820" s="29"/>
      <c r="K820" s="31"/>
      <c r="L820" s="14"/>
      <c r="M820" s="4">
        <f>SUM(L803:L819)</f>
        <v>3.1337500000000004E-2</v>
      </c>
    </row>
    <row r="821" spans="2:13">
      <c r="B821" s="34">
        <v>46041</v>
      </c>
      <c r="C821" s="7">
        <v>1.55208333333351</v>
      </c>
      <c r="D821" s="7">
        <v>1.5625000000001701</v>
      </c>
      <c r="E821" s="30">
        <v>750</v>
      </c>
      <c r="F821" s="60">
        <v>751.08</v>
      </c>
      <c r="G821" s="4">
        <f t="shared" si="164"/>
        <v>-1.0800000000000409</v>
      </c>
      <c r="H821" s="76">
        <v>0</v>
      </c>
      <c r="I821" s="4"/>
      <c r="J821" s="29">
        <f>E821-30</f>
        <v>720</v>
      </c>
      <c r="K821" s="31">
        <f t="shared" si="161"/>
        <v>31.080000000000041</v>
      </c>
      <c r="L821" s="14"/>
      <c r="M821" s="4"/>
    </row>
    <row r="822" spans="2:13">
      <c r="B822" s="43"/>
      <c r="C822" s="7">
        <v>1.5625000000001801</v>
      </c>
      <c r="D822" s="7">
        <v>1.5729166666668399</v>
      </c>
      <c r="E822" s="30">
        <v>750</v>
      </c>
      <c r="F822" s="60">
        <v>665.75</v>
      </c>
      <c r="G822" s="4">
        <f t="shared" si="164"/>
        <v>84.25</v>
      </c>
      <c r="H822" s="9">
        <f t="shared" si="165"/>
        <v>2.1062500000000001E-2</v>
      </c>
      <c r="I822" s="4"/>
      <c r="J822" s="29">
        <f>J821-80</f>
        <v>640</v>
      </c>
      <c r="K822" s="31">
        <f t="shared" ref="K822:K878" si="167">F822-J822</f>
        <v>25.75</v>
      </c>
      <c r="L822" s="14">
        <f t="shared" si="162"/>
        <v>6.4374999999999996E-3</v>
      </c>
      <c r="M822" s="4"/>
    </row>
    <row r="823" spans="2:13">
      <c r="B823" s="43"/>
      <c r="C823" s="7">
        <v>1.5729166666668499</v>
      </c>
      <c r="D823" s="7">
        <v>1.58333333333351</v>
      </c>
      <c r="E823" s="30">
        <v>750</v>
      </c>
      <c r="F823" s="60">
        <v>563.91</v>
      </c>
      <c r="G823" s="4">
        <f t="shared" si="164"/>
        <v>186.09000000000003</v>
      </c>
      <c r="H823" s="9">
        <f t="shared" si="165"/>
        <v>4.6522500000000008E-2</v>
      </c>
      <c r="I823" s="4"/>
      <c r="J823" s="64">
        <f t="shared" ref="J823" si="168">J822-80</f>
        <v>560</v>
      </c>
      <c r="K823" s="31">
        <f t="shared" si="167"/>
        <v>3.9099999999999682</v>
      </c>
      <c r="L823" s="14">
        <f t="shared" si="162"/>
        <v>9.7749999999999205E-4</v>
      </c>
      <c r="M823" s="4"/>
    </row>
    <row r="824" spans="2:13">
      <c r="B824" s="43"/>
      <c r="C824" s="7">
        <v>1.58333333333352</v>
      </c>
      <c r="D824" s="7">
        <v>1.5937500000001801</v>
      </c>
      <c r="E824" s="30">
        <v>750</v>
      </c>
      <c r="F824" s="60">
        <v>541.9</v>
      </c>
      <c r="G824" s="4">
        <f t="shared" si="164"/>
        <v>208.10000000000002</v>
      </c>
      <c r="H824" s="9">
        <f t="shared" si="165"/>
        <v>5.2025000000000009E-2</v>
      </c>
      <c r="I824" s="4"/>
      <c r="J824" s="64">
        <v>540</v>
      </c>
      <c r="K824" s="31">
        <f t="shared" si="167"/>
        <v>1.8999999999999773</v>
      </c>
      <c r="L824" s="14">
        <f t="shared" si="162"/>
        <v>4.7499999999999431E-4</v>
      </c>
      <c r="M824" s="4"/>
    </row>
    <row r="825" spans="2:13">
      <c r="B825" s="43"/>
      <c r="C825" s="7">
        <v>1.5937500000001901</v>
      </c>
      <c r="D825" s="7">
        <v>1.6041666666668499</v>
      </c>
      <c r="E825" s="30">
        <v>750</v>
      </c>
      <c r="F825" s="60">
        <v>537.77</v>
      </c>
      <c r="G825" s="4">
        <f t="shared" si="164"/>
        <v>212.23000000000002</v>
      </c>
      <c r="H825" s="9">
        <f t="shared" si="165"/>
        <v>5.3057500000000007E-2</v>
      </c>
      <c r="I825" s="4"/>
      <c r="J825" s="64">
        <v>540</v>
      </c>
      <c r="K825" s="31">
        <f t="shared" si="167"/>
        <v>-2.2300000000000182</v>
      </c>
      <c r="L825" s="14">
        <f t="shared" si="162"/>
        <v>0</v>
      </c>
      <c r="M825" s="4"/>
    </row>
    <row r="826" spans="2:13">
      <c r="B826" s="43"/>
      <c r="C826" s="7">
        <v>1.6041666666668599</v>
      </c>
      <c r="D826" s="7">
        <v>1.61458333333352</v>
      </c>
      <c r="E826" s="30">
        <v>750</v>
      </c>
      <c r="F826" s="60">
        <v>550.96</v>
      </c>
      <c r="G826" s="4">
        <f t="shared" si="164"/>
        <v>199.03999999999996</v>
      </c>
      <c r="H826" s="9">
        <f t="shared" si="165"/>
        <v>4.9759999999999992E-2</v>
      </c>
      <c r="I826" s="4"/>
      <c r="J826" s="64">
        <v>540</v>
      </c>
      <c r="K826" s="31">
        <f t="shared" si="167"/>
        <v>10.960000000000036</v>
      </c>
      <c r="L826" s="14">
        <f t="shared" si="162"/>
        <v>2.7400000000000089E-3</v>
      </c>
      <c r="M826" s="4"/>
    </row>
    <row r="827" spans="2:13">
      <c r="B827" s="43"/>
      <c r="C827" s="7">
        <v>1.61458333333353</v>
      </c>
      <c r="D827" s="7">
        <v>1.6250000000001901</v>
      </c>
      <c r="E827" s="30">
        <v>750</v>
      </c>
      <c r="F827" s="60">
        <v>546.82000000000005</v>
      </c>
      <c r="G827" s="4">
        <f t="shared" si="164"/>
        <v>203.17999999999995</v>
      </c>
      <c r="H827" s="9">
        <f t="shared" si="165"/>
        <v>5.0794999999999986E-2</v>
      </c>
      <c r="I827" s="4"/>
      <c r="J827" s="64">
        <v>540</v>
      </c>
      <c r="K827" s="31">
        <f t="shared" si="167"/>
        <v>6.82000000000005</v>
      </c>
      <c r="L827" s="14">
        <f t="shared" si="162"/>
        <v>1.7050000000000125E-3</v>
      </c>
      <c r="M827" s="4"/>
    </row>
    <row r="828" spans="2:13">
      <c r="B828" s="43"/>
      <c r="C828" s="7">
        <v>1.6250000000002001</v>
      </c>
      <c r="D828" s="7">
        <v>1.6354166666668599</v>
      </c>
      <c r="E828" s="30">
        <v>750</v>
      </c>
      <c r="F828" s="60">
        <v>543.14</v>
      </c>
      <c r="G828" s="4">
        <f t="shared" si="164"/>
        <v>206.86</v>
      </c>
      <c r="H828" s="9">
        <f t="shared" si="165"/>
        <v>5.1715000000000004E-2</v>
      </c>
      <c r="I828" s="4"/>
      <c r="J828" s="64">
        <v>540</v>
      </c>
      <c r="K828" s="31">
        <f t="shared" si="167"/>
        <v>3.1399999999999864</v>
      </c>
      <c r="L828" s="14">
        <f t="shared" si="162"/>
        <v>7.8499999999999664E-4</v>
      </c>
      <c r="M828" s="4"/>
    </row>
    <row r="829" spans="2:13">
      <c r="B829" s="43"/>
      <c r="C829" s="7">
        <v>1.6354166666668699</v>
      </c>
      <c r="D829" s="35">
        <v>1.64583333333353</v>
      </c>
      <c r="E829" s="30">
        <v>750</v>
      </c>
      <c r="F829" s="60">
        <v>549.14</v>
      </c>
      <c r="G829" s="4">
        <f t="shared" si="164"/>
        <v>200.86</v>
      </c>
      <c r="H829" s="9">
        <f t="shared" si="165"/>
        <v>5.0215000000000003E-2</v>
      </c>
      <c r="I829" s="4"/>
      <c r="J829" s="64">
        <v>540</v>
      </c>
      <c r="K829" s="31">
        <f t="shared" si="167"/>
        <v>9.1399999999999864</v>
      </c>
      <c r="L829" s="14">
        <f t="shared" si="162"/>
        <v>2.2849999999999967E-3</v>
      </c>
      <c r="M829" s="4"/>
    </row>
    <row r="830" spans="2:13">
      <c r="B830" s="43"/>
      <c r="C830" s="7">
        <v>1.64583333333354</v>
      </c>
      <c r="D830" s="7">
        <v>1.6562500000002001</v>
      </c>
      <c r="E830" s="30">
        <v>750</v>
      </c>
      <c r="F830" s="60">
        <v>598.92999999999995</v>
      </c>
      <c r="G830" s="4">
        <f t="shared" si="164"/>
        <v>151.07000000000005</v>
      </c>
      <c r="H830" s="9">
        <f t="shared" si="165"/>
        <v>3.7767500000000009E-2</v>
      </c>
      <c r="I830" s="4"/>
      <c r="J830" s="29">
        <f>J829+80</f>
        <v>620</v>
      </c>
      <c r="K830" s="31">
        <f>J830-F830</f>
        <v>21.07000000000005</v>
      </c>
      <c r="L830" s="14">
        <f t="shared" si="162"/>
        <v>5.2675000000000126E-3</v>
      </c>
      <c r="M830" s="4"/>
    </row>
    <row r="831" spans="2:13">
      <c r="B831" s="43"/>
      <c r="C831" s="7">
        <v>1.6562500000002101</v>
      </c>
      <c r="D831" s="7">
        <v>1.6666666666668699</v>
      </c>
      <c r="E831" s="30">
        <v>750</v>
      </c>
      <c r="F831" s="60">
        <v>727.18</v>
      </c>
      <c r="G831" s="4">
        <f t="shared" si="164"/>
        <v>22.82000000000005</v>
      </c>
      <c r="H831" s="9">
        <f t="shared" si="165"/>
        <v>5.7050000000000121E-3</v>
      </c>
      <c r="I831" s="4"/>
      <c r="J831" s="64">
        <f t="shared" ref="J831" si="169">J830+80</f>
        <v>700</v>
      </c>
      <c r="K831" s="31">
        <f t="shared" ref="K831:K832" si="170">J831-F831</f>
        <v>-27.17999999999995</v>
      </c>
      <c r="L831" s="14">
        <f t="shared" si="162"/>
        <v>0</v>
      </c>
      <c r="M831" s="4"/>
    </row>
    <row r="832" spans="2:13">
      <c r="B832" s="43"/>
      <c r="C832" s="7">
        <v>1.6666666666668899</v>
      </c>
      <c r="D832" s="7">
        <v>1.67708333333354</v>
      </c>
      <c r="E832" s="30">
        <v>750</v>
      </c>
      <c r="F832" s="60">
        <v>763.44</v>
      </c>
      <c r="G832" s="4">
        <f t="shared" si="164"/>
        <v>-13.440000000000055</v>
      </c>
      <c r="H832" s="76">
        <v>0</v>
      </c>
      <c r="I832" s="4"/>
      <c r="J832" s="64">
        <v>750</v>
      </c>
      <c r="K832" s="31">
        <f t="shared" si="170"/>
        <v>-13.440000000000055</v>
      </c>
      <c r="L832" s="14">
        <f t="shared" si="162"/>
        <v>0</v>
      </c>
      <c r="M832" s="4"/>
    </row>
    <row r="833" spans="2:13">
      <c r="B833" s="43"/>
      <c r="C833" s="7"/>
      <c r="D833" s="7"/>
      <c r="E833" s="30"/>
      <c r="F833" s="60"/>
      <c r="G833" s="4"/>
      <c r="H833" s="9"/>
      <c r="I833" s="9">
        <f>SUM(H821:H832)</f>
        <v>0.41862500000000008</v>
      </c>
      <c r="J833" s="64"/>
      <c r="K833" s="31"/>
      <c r="L833" s="14"/>
      <c r="M833" s="4">
        <f>SUM(L821:L832)</f>
        <v>2.0672500000000014E-2</v>
      </c>
    </row>
    <row r="834" spans="2:13">
      <c r="B834" s="34">
        <v>46041</v>
      </c>
      <c r="C834" s="7">
        <v>1.8541666666669501</v>
      </c>
      <c r="D834" s="7">
        <v>1.8645833333335999</v>
      </c>
      <c r="E834" s="30">
        <v>750</v>
      </c>
      <c r="F834" s="60">
        <v>745.02</v>
      </c>
      <c r="G834" s="4">
        <f t="shared" si="164"/>
        <v>4.9800000000000182</v>
      </c>
      <c r="H834" s="9">
        <f t="shared" si="165"/>
        <v>1.2450000000000046E-3</v>
      </c>
      <c r="I834" s="4"/>
      <c r="J834" s="29">
        <f>E834-55</f>
        <v>695</v>
      </c>
      <c r="K834" s="31">
        <f t="shared" si="167"/>
        <v>50.019999999999982</v>
      </c>
      <c r="L834" s="14"/>
      <c r="M834" s="4"/>
    </row>
    <row r="835" spans="2:13">
      <c r="B835" s="43"/>
      <c r="C835" s="7">
        <v>1.8645833333336199</v>
      </c>
      <c r="D835" s="7">
        <v>1.87500000000027</v>
      </c>
      <c r="E835" s="30">
        <v>750</v>
      </c>
      <c r="F835" s="60">
        <v>643.58000000000004</v>
      </c>
      <c r="G835" s="4">
        <f t="shared" si="164"/>
        <v>106.41999999999996</v>
      </c>
      <c r="H835" s="9">
        <f t="shared" si="165"/>
        <v>2.660499999999999E-2</v>
      </c>
      <c r="I835" s="4"/>
      <c r="J835" s="29">
        <f>J834-80</f>
        <v>615</v>
      </c>
      <c r="K835" s="31">
        <f t="shared" si="167"/>
        <v>28.580000000000041</v>
      </c>
      <c r="L835" s="14">
        <f t="shared" ref="L835:L891" si="171">IF(K835/4000&gt;0,K835/4000,0)</f>
        <v>7.1450000000000099E-3</v>
      </c>
      <c r="M835" s="4"/>
    </row>
    <row r="836" spans="2:13">
      <c r="B836" s="43"/>
      <c r="C836" s="7">
        <v>1.87500000000029</v>
      </c>
      <c r="D836" s="7">
        <v>1.8854166666669401</v>
      </c>
      <c r="E836" s="30">
        <v>750</v>
      </c>
      <c r="F836" s="60">
        <v>560.55999999999995</v>
      </c>
      <c r="G836" s="4">
        <f t="shared" si="164"/>
        <v>189.44000000000005</v>
      </c>
      <c r="H836" s="9">
        <f t="shared" si="165"/>
        <v>4.7360000000000013E-2</v>
      </c>
      <c r="I836" s="4"/>
      <c r="J836" s="64">
        <v>540</v>
      </c>
      <c r="K836" s="31">
        <f t="shared" si="167"/>
        <v>20.559999999999945</v>
      </c>
      <c r="L836" s="14">
        <f t="shared" si="171"/>
        <v>5.1399999999999866E-3</v>
      </c>
      <c r="M836" s="4"/>
    </row>
    <row r="837" spans="2:13">
      <c r="B837" s="43"/>
      <c r="C837" s="7">
        <v>1.8854166666669601</v>
      </c>
      <c r="D837" s="7">
        <v>1.8958333333336099</v>
      </c>
      <c r="E837" s="30">
        <v>750</v>
      </c>
      <c r="F837" s="60">
        <v>549.11</v>
      </c>
      <c r="G837" s="4">
        <f t="shared" si="164"/>
        <v>200.89</v>
      </c>
      <c r="H837" s="9">
        <f t="shared" si="165"/>
        <v>5.0222499999999996E-2</v>
      </c>
      <c r="I837" s="4"/>
      <c r="J837" s="64">
        <v>540</v>
      </c>
      <c r="K837" s="31">
        <f t="shared" si="167"/>
        <v>9.1100000000000136</v>
      </c>
      <c r="L837" s="14">
        <f t="shared" si="171"/>
        <v>2.2775000000000035E-3</v>
      </c>
      <c r="M837" s="4"/>
    </row>
    <row r="838" spans="2:13">
      <c r="B838" s="43"/>
      <c r="C838" s="7">
        <v>1.8958333333336299</v>
      </c>
      <c r="D838" s="7">
        <v>1.90625000000028</v>
      </c>
      <c r="E838" s="30">
        <v>750</v>
      </c>
      <c r="F838" s="60">
        <v>542.38</v>
      </c>
      <c r="G838" s="4">
        <f t="shared" si="164"/>
        <v>207.62</v>
      </c>
      <c r="H838" s="9">
        <f t="shared" si="165"/>
        <v>5.1905E-2</v>
      </c>
      <c r="I838" s="4"/>
      <c r="J838" s="64">
        <v>540</v>
      </c>
      <c r="K838" s="31">
        <f t="shared" si="167"/>
        <v>2.3799999999999955</v>
      </c>
      <c r="L838" s="14">
        <f t="shared" si="171"/>
        <v>5.9499999999999885E-4</v>
      </c>
      <c r="M838" s="4"/>
    </row>
    <row r="839" spans="2:13">
      <c r="B839" s="43"/>
      <c r="C839" s="7">
        <v>1.9062500000003</v>
      </c>
      <c r="D839" s="7">
        <v>1.9166666666669501</v>
      </c>
      <c r="E839" s="30">
        <v>750</v>
      </c>
      <c r="F839" s="60">
        <v>548.73</v>
      </c>
      <c r="G839" s="4">
        <f t="shared" si="164"/>
        <v>201.26999999999998</v>
      </c>
      <c r="H839" s="9">
        <f t="shared" si="165"/>
        <v>5.0317499999999994E-2</v>
      </c>
      <c r="I839" s="4"/>
      <c r="J839" s="64">
        <v>540</v>
      </c>
      <c r="K839" s="31">
        <f t="shared" si="167"/>
        <v>8.7300000000000182</v>
      </c>
      <c r="L839" s="14">
        <f t="shared" si="171"/>
        <v>2.1825000000000047E-3</v>
      </c>
      <c r="M839" s="4"/>
    </row>
    <row r="840" spans="2:13">
      <c r="B840" s="43"/>
      <c r="C840" s="7">
        <v>1.9166666666669701</v>
      </c>
      <c r="D840" s="7">
        <v>1.9270833333336199</v>
      </c>
      <c r="E840" s="30">
        <v>750</v>
      </c>
      <c r="F840" s="60">
        <v>543.33000000000004</v>
      </c>
      <c r="G840" s="4">
        <f t="shared" si="164"/>
        <v>206.66999999999996</v>
      </c>
      <c r="H840" s="9">
        <f t="shared" si="165"/>
        <v>5.1667499999999991E-2</v>
      </c>
      <c r="I840" s="4"/>
      <c r="J840" s="64">
        <v>540</v>
      </c>
      <c r="K840" s="31">
        <f t="shared" si="167"/>
        <v>3.3300000000000409</v>
      </c>
      <c r="L840" s="14">
        <f t="shared" si="171"/>
        <v>8.3250000000001021E-4</v>
      </c>
      <c r="M840" s="4"/>
    </row>
    <row r="841" spans="2:13">
      <c r="B841" s="43"/>
      <c r="C841" s="7">
        <v>1.9270833333336399</v>
      </c>
      <c r="D841" s="7">
        <v>1.93750000000029</v>
      </c>
      <c r="E841" s="30">
        <v>750</v>
      </c>
      <c r="F841" s="60">
        <v>544.82000000000005</v>
      </c>
      <c r="G841" s="4">
        <f t="shared" si="164"/>
        <v>205.17999999999995</v>
      </c>
      <c r="H841" s="9">
        <f t="shared" si="165"/>
        <v>5.1294999999999986E-2</v>
      </c>
      <c r="I841" s="4"/>
      <c r="J841" s="64">
        <v>540</v>
      </c>
      <c r="K841" s="31">
        <f t="shared" si="167"/>
        <v>4.82000000000005</v>
      </c>
      <c r="L841" s="14">
        <f t="shared" si="171"/>
        <v>1.2050000000000125E-3</v>
      </c>
      <c r="M841" s="4"/>
    </row>
    <row r="842" spans="2:13">
      <c r="B842" s="43"/>
      <c r="C842" s="7">
        <v>1.93750000000031</v>
      </c>
      <c r="D842" s="7">
        <v>1.9479166666669601</v>
      </c>
      <c r="E842" s="30">
        <v>750</v>
      </c>
      <c r="F842" s="60">
        <v>544.77</v>
      </c>
      <c r="G842" s="4">
        <f t="shared" si="164"/>
        <v>205.23000000000002</v>
      </c>
      <c r="H842" s="9">
        <f t="shared" si="165"/>
        <v>5.1307500000000006E-2</v>
      </c>
      <c r="I842" s="4"/>
      <c r="J842" s="64">
        <v>540</v>
      </c>
      <c r="K842" s="31">
        <f t="shared" si="167"/>
        <v>4.7699999999999818</v>
      </c>
      <c r="L842" s="14">
        <f t="shared" si="171"/>
        <v>1.1924999999999954E-3</v>
      </c>
      <c r="M842" s="4"/>
    </row>
    <row r="843" spans="2:13">
      <c r="B843" s="43"/>
      <c r="C843" s="7">
        <v>1.94791666666698</v>
      </c>
      <c r="D843" s="7">
        <v>1.9583333333336299</v>
      </c>
      <c r="E843" s="30">
        <v>750</v>
      </c>
      <c r="F843" s="60">
        <v>541.87</v>
      </c>
      <c r="G843" s="4">
        <f t="shared" si="164"/>
        <v>208.13</v>
      </c>
      <c r="H843" s="9">
        <f t="shared" si="165"/>
        <v>5.2032499999999995E-2</v>
      </c>
      <c r="I843" s="4"/>
      <c r="J843" s="64">
        <v>540</v>
      </c>
      <c r="K843" s="31">
        <f t="shared" si="167"/>
        <v>1.8700000000000045</v>
      </c>
      <c r="L843" s="14">
        <f t="shared" si="171"/>
        <v>4.6750000000000112E-4</v>
      </c>
      <c r="M843" s="4"/>
    </row>
    <row r="844" spans="2:13">
      <c r="B844" s="43"/>
      <c r="C844" s="7">
        <v>1.9583333333336499</v>
      </c>
      <c r="D844" s="7">
        <v>1.9687500000003</v>
      </c>
      <c r="E844" s="30">
        <v>750</v>
      </c>
      <c r="F844" s="60">
        <v>543.33000000000004</v>
      </c>
      <c r="G844" s="4">
        <f t="shared" si="164"/>
        <v>206.66999999999996</v>
      </c>
      <c r="H844" s="9">
        <f t="shared" si="165"/>
        <v>5.1667499999999991E-2</v>
      </c>
      <c r="I844" s="4"/>
      <c r="J844" s="64">
        <v>540</v>
      </c>
      <c r="K844" s="31">
        <f t="shared" si="167"/>
        <v>3.3300000000000409</v>
      </c>
      <c r="L844" s="14">
        <f t="shared" si="171"/>
        <v>8.3250000000001021E-4</v>
      </c>
      <c r="M844" s="4"/>
    </row>
    <row r="845" spans="2:13">
      <c r="B845" s="43"/>
      <c r="C845" s="7">
        <v>1.96875000000032</v>
      </c>
      <c r="D845" s="7">
        <v>1.9791666666669701</v>
      </c>
      <c r="E845" s="30">
        <v>750</v>
      </c>
      <c r="F845" s="60">
        <v>544.58000000000004</v>
      </c>
      <c r="G845" s="4">
        <f t="shared" si="164"/>
        <v>205.41999999999996</v>
      </c>
      <c r="H845" s="9">
        <f t="shared" si="165"/>
        <v>5.1354999999999991E-2</v>
      </c>
      <c r="I845" s="4"/>
      <c r="J845" s="64">
        <v>540</v>
      </c>
      <c r="K845" s="31">
        <f t="shared" si="167"/>
        <v>4.5800000000000409</v>
      </c>
      <c r="L845" s="14">
        <f t="shared" si="171"/>
        <v>1.1450000000000102E-3</v>
      </c>
      <c r="M845" s="4"/>
    </row>
    <row r="846" spans="2:13">
      <c r="B846" s="43"/>
      <c r="C846" s="7">
        <v>1.97916666666699</v>
      </c>
      <c r="D846" s="7">
        <v>1.9895833333336399</v>
      </c>
      <c r="E846" s="30">
        <v>750</v>
      </c>
      <c r="F846" s="60">
        <v>543.57000000000005</v>
      </c>
      <c r="G846" s="4">
        <f t="shared" si="164"/>
        <v>206.42999999999995</v>
      </c>
      <c r="H846" s="9">
        <f t="shared" si="165"/>
        <v>5.1607499999999987E-2</v>
      </c>
      <c r="I846" s="4"/>
      <c r="J846" s="64">
        <v>540</v>
      </c>
      <c r="K846" s="31">
        <f t="shared" si="167"/>
        <v>3.57000000000005</v>
      </c>
      <c r="L846" s="14">
        <f t="shared" si="171"/>
        <v>8.9250000000001253E-4</v>
      </c>
      <c r="M846" s="4"/>
    </row>
    <row r="847" spans="2:13">
      <c r="B847" s="43"/>
      <c r="C847" s="7">
        <v>1.9895833333336601</v>
      </c>
      <c r="D847" s="35">
        <v>2.00000000000031</v>
      </c>
      <c r="E847" s="30">
        <v>750</v>
      </c>
      <c r="F847" s="61">
        <v>542.49</v>
      </c>
      <c r="G847" s="4">
        <f t="shared" ref="G847:G904" si="172">E847-F847</f>
        <v>207.51</v>
      </c>
      <c r="H847" s="9">
        <f t="shared" ref="H847:H904" si="173">G847/4000</f>
        <v>5.18775E-2</v>
      </c>
      <c r="I847" s="4"/>
      <c r="J847" s="64">
        <v>540</v>
      </c>
      <c r="K847" s="31">
        <f t="shared" si="167"/>
        <v>2.4900000000000091</v>
      </c>
      <c r="L847" s="14">
        <f t="shared" si="171"/>
        <v>6.2250000000000228E-4</v>
      </c>
      <c r="M847" s="4"/>
    </row>
    <row r="848" spans="2:13">
      <c r="B848" s="43"/>
      <c r="C848" s="43"/>
      <c r="D848" s="43"/>
      <c r="E848" s="4"/>
      <c r="F848" s="4"/>
      <c r="G848" s="4"/>
      <c r="H848" s="9"/>
      <c r="I848" s="9">
        <f>SUM(H834:H847)</f>
        <v>0.64046499999999995</v>
      </c>
      <c r="J848" s="29"/>
      <c r="K848" s="31"/>
      <c r="L848" s="14"/>
      <c r="M848" s="4">
        <f>SUM(L834:L847)</f>
        <v>2.4530000000000059E-2</v>
      </c>
    </row>
    <row r="849" spans="2:13">
      <c r="B849" s="34">
        <v>46042</v>
      </c>
      <c r="C849" s="7">
        <v>1</v>
      </c>
      <c r="D849" s="7">
        <v>1.0104166666666701</v>
      </c>
      <c r="E849" s="30">
        <v>750</v>
      </c>
      <c r="F849" s="60">
        <v>544.12</v>
      </c>
      <c r="G849" s="4">
        <f t="shared" si="172"/>
        <v>205.88</v>
      </c>
      <c r="H849" s="9">
        <f t="shared" si="173"/>
        <v>5.1470000000000002E-2</v>
      </c>
      <c r="I849" s="4"/>
      <c r="J849" s="29">
        <v>540</v>
      </c>
      <c r="K849" s="31">
        <f t="shared" si="167"/>
        <v>4.1200000000000045</v>
      </c>
      <c r="L849" s="14"/>
      <c r="M849" s="4"/>
    </row>
    <row r="850" spans="2:13">
      <c r="B850" s="43"/>
      <c r="C850" s="7">
        <v>1.0104166666666701</v>
      </c>
      <c r="D850" s="7">
        <v>1.0208333333333399</v>
      </c>
      <c r="E850" s="30">
        <v>750</v>
      </c>
      <c r="F850" s="60">
        <v>544.03</v>
      </c>
      <c r="G850" s="4">
        <f t="shared" si="172"/>
        <v>205.97000000000003</v>
      </c>
      <c r="H850" s="9">
        <f t="shared" si="173"/>
        <v>5.1492500000000004E-2</v>
      </c>
      <c r="I850" s="4"/>
      <c r="J850" s="29">
        <v>540</v>
      </c>
      <c r="K850" s="31">
        <f t="shared" si="167"/>
        <v>4.0299999999999727</v>
      </c>
      <c r="L850" s="14">
        <f t="shared" si="171"/>
        <v>1.0074999999999932E-3</v>
      </c>
      <c r="M850" s="4"/>
    </row>
    <row r="851" spans="2:13">
      <c r="B851" s="43"/>
      <c r="C851" s="7">
        <v>1.0208333333333399</v>
      </c>
      <c r="D851" s="7">
        <v>1.03125000000001</v>
      </c>
      <c r="E851" s="30">
        <v>750</v>
      </c>
      <c r="F851" s="60">
        <v>542.87</v>
      </c>
      <c r="G851" s="4">
        <f t="shared" si="172"/>
        <v>207.13</v>
      </c>
      <c r="H851" s="9">
        <f t="shared" si="173"/>
        <v>5.1782500000000002E-2</v>
      </c>
      <c r="I851" s="4"/>
      <c r="J851" s="64">
        <v>540</v>
      </c>
      <c r="K851" s="31">
        <f t="shared" si="167"/>
        <v>2.8700000000000045</v>
      </c>
      <c r="L851" s="14">
        <f t="shared" si="171"/>
        <v>7.1750000000000112E-4</v>
      </c>
      <c r="M851" s="4"/>
    </row>
    <row r="852" spans="2:13">
      <c r="B852" s="43"/>
      <c r="C852" s="7">
        <v>1.03125000000001</v>
      </c>
      <c r="D852" s="7">
        <v>1.0416666666666801</v>
      </c>
      <c r="E852" s="30">
        <v>750</v>
      </c>
      <c r="F852" s="60">
        <v>543.82000000000005</v>
      </c>
      <c r="G852" s="4">
        <f t="shared" si="172"/>
        <v>206.17999999999995</v>
      </c>
      <c r="H852" s="9">
        <f t="shared" si="173"/>
        <v>5.1544999999999987E-2</v>
      </c>
      <c r="I852" s="4"/>
      <c r="J852" s="64">
        <v>540</v>
      </c>
      <c r="K852" s="31">
        <f t="shared" si="167"/>
        <v>3.82000000000005</v>
      </c>
      <c r="L852" s="14">
        <f t="shared" si="171"/>
        <v>9.5500000000001248E-4</v>
      </c>
      <c r="M852" s="4"/>
    </row>
    <row r="853" spans="2:13">
      <c r="B853" s="43"/>
      <c r="C853" s="7">
        <v>1.0416666666666801</v>
      </c>
      <c r="D853" s="7">
        <v>1.0520833333333499</v>
      </c>
      <c r="E853" s="30">
        <v>750</v>
      </c>
      <c r="F853" s="60">
        <v>543.67999999999995</v>
      </c>
      <c r="G853" s="4">
        <f t="shared" si="172"/>
        <v>206.32000000000005</v>
      </c>
      <c r="H853" s="9">
        <f t="shared" si="173"/>
        <v>5.1580000000000015E-2</v>
      </c>
      <c r="I853" s="4"/>
      <c r="J853" s="64">
        <v>540</v>
      </c>
      <c r="K853" s="31">
        <f t="shared" si="167"/>
        <v>3.67999999999995</v>
      </c>
      <c r="L853" s="14">
        <f t="shared" si="171"/>
        <v>9.1999999999998745E-4</v>
      </c>
      <c r="M853" s="4"/>
    </row>
    <row r="854" spans="2:13">
      <c r="B854" s="43"/>
      <c r="C854" s="7">
        <v>1.0520833333333499</v>
      </c>
      <c r="D854" s="7">
        <v>1.06250000000002</v>
      </c>
      <c r="E854" s="30">
        <v>750</v>
      </c>
      <c r="F854" s="60">
        <v>548.27</v>
      </c>
      <c r="G854" s="4">
        <f t="shared" si="172"/>
        <v>201.73000000000002</v>
      </c>
      <c r="H854" s="9">
        <f t="shared" si="173"/>
        <v>5.0432500000000005E-2</v>
      </c>
      <c r="I854" s="4"/>
      <c r="J854" s="64">
        <v>540</v>
      </c>
      <c r="K854" s="31">
        <f t="shared" si="167"/>
        <v>8.2699999999999818</v>
      </c>
      <c r="L854" s="14">
        <f t="shared" si="171"/>
        <v>2.0674999999999956E-3</v>
      </c>
      <c r="M854" s="4"/>
    </row>
    <row r="855" spans="2:13">
      <c r="B855" s="43"/>
      <c r="C855" s="7">
        <v>1.06250000000002</v>
      </c>
      <c r="D855" s="7">
        <v>1.0729166666666901</v>
      </c>
      <c r="E855" s="30">
        <v>750</v>
      </c>
      <c r="F855" s="60">
        <v>544.55999999999995</v>
      </c>
      <c r="G855" s="4">
        <f t="shared" si="172"/>
        <v>205.44000000000005</v>
      </c>
      <c r="H855" s="9">
        <f t="shared" si="173"/>
        <v>5.1360000000000017E-2</v>
      </c>
      <c r="I855" s="4"/>
      <c r="J855" s="64">
        <v>540</v>
      </c>
      <c r="K855" s="31">
        <f t="shared" si="167"/>
        <v>4.5599999999999454</v>
      </c>
      <c r="L855" s="14">
        <f t="shared" si="171"/>
        <v>1.1399999999999863E-3</v>
      </c>
      <c r="M855" s="4"/>
    </row>
    <row r="856" spans="2:13">
      <c r="B856" s="43"/>
      <c r="C856" s="7">
        <v>1.0729166666666901</v>
      </c>
      <c r="D856" s="7">
        <v>1.0833333333333599</v>
      </c>
      <c r="E856" s="30">
        <v>750</v>
      </c>
      <c r="F856" s="60">
        <v>546.96</v>
      </c>
      <c r="G856" s="4">
        <f t="shared" si="172"/>
        <v>203.03999999999996</v>
      </c>
      <c r="H856" s="9">
        <f t="shared" si="173"/>
        <v>5.0759999999999993E-2</v>
      </c>
      <c r="I856" s="4"/>
      <c r="J856" s="64">
        <v>540</v>
      </c>
      <c r="K856" s="31">
        <f t="shared" si="167"/>
        <v>6.9600000000000364</v>
      </c>
      <c r="L856" s="14">
        <f t="shared" si="171"/>
        <v>1.7400000000000091E-3</v>
      </c>
      <c r="M856" s="4"/>
    </row>
    <row r="857" spans="2:13">
      <c r="B857" s="43"/>
      <c r="C857" s="7">
        <v>1.0833333333333599</v>
      </c>
      <c r="D857" s="7">
        <v>1.09375000000003</v>
      </c>
      <c r="E857" s="30">
        <v>750</v>
      </c>
      <c r="F857" s="60">
        <v>545.54</v>
      </c>
      <c r="G857" s="4">
        <f t="shared" si="172"/>
        <v>204.46000000000004</v>
      </c>
      <c r="H857" s="9">
        <f t="shared" si="173"/>
        <v>5.1115000000000008E-2</v>
      </c>
      <c r="I857" s="4"/>
      <c r="J857" s="64">
        <v>540</v>
      </c>
      <c r="K857" s="31">
        <f t="shared" si="167"/>
        <v>5.5399999999999636</v>
      </c>
      <c r="L857" s="14">
        <f t="shared" si="171"/>
        <v>1.3849999999999908E-3</v>
      </c>
      <c r="M857" s="4"/>
    </row>
    <row r="858" spans="2:13">
      <c r="B858" s="43"/>
      <c r="C858" s="7">
        <v>1.09375000000003</v>
      </c>
      <c r="D858" s="7">
        <v>1.1041666666667</v>
      </c>
      <c r="E858" s="30">
        <v>750</v>
      </c>
      <c r="F858" s="60">
        <v>546.33000000000004</v>
      </c>
      <c r="G858" s="4">
        <f t="shared" si="172"/>
        <v>203.66999999999996</v>
      </c>
      <c r="H858" s="9">
        <f t="shared" si="173"/>
        <v>5.0917499999999991E-2</v>
      </c>
      <c r="I858" s="4"/>
      <c r="J858" s="64">
        <v>540</v>
      </c>
      <c r="K858" s="31">
        <f t="shared" si="167"/>
        <v>6.3300000000000409</v>
      </c>
      <c r="L858" s="14">
        <f t="shared" si="171"/>
        <v>1.5825000000000103E-3</v>
      </c>
      <c r="M858" s="4"/>
    </row>
    <row r="859" spans="2:13">
      <c r="B859" s="43"/>
      <c r="C859" s="7">
        <v>1.1041666666667</v>
      </c>
      <c r="D859" s="7">
        <v>1.1145833333333699</v>
      </c>
      <c r="E859" s="30">
        <v>750</v>
      </c>
      <c r="F859" s="60">
        <v>543.87</v>
      </c>
      <c r="G859" s="4">
        <f t="shared" si="172"/>
        <v>206.13</v>
      </c>
      <c r="H859" s="9">
        <f t="shared" si="173"/>
        <v>5.1532500000000002E-2</v>
      </c>
      <c r="I859" s="4"/>
      <c r="J859" s="64">
        <v>540</v>
      </c>
      <c r="K859" s="31">
        <f t="shared" si="167"/>
        <v>3.8700000000000045</v>
      </c>
      <c r="L859" s="14">
        <f t="shared" si="171"/>
        <v>9.6750000000000113E-4</v>
      </c>
      <c r="M859" s="4"/>
    </row>
    <row r="860" spans="2:13">
      <c r="B860" s="43"/>
      <c r="C860" s="7">
        <v>1.1145833333333699</v>
      </c>
      <c r="D860" s="7">
        <v>1.12500000000004</v>
      </c>
      <c r="E860" s="30">
        <v>750</v>
      </c>
      <c r="F860" s="60">
        <v>544.75</v>
      </c>
      <c r="G860" s="4">
        <f t="shared" si="172"/>
        <v>205.25</v>
      </c>
      <c r="H860" s="9">
        <f t="shared" si="173"/>
        <v>5.1312499999999997E-2</v>
      </c>
      <c r="I860" s="4"/>
      <c r="J860" s="64">
        <v>540</v>
      </c>
      <c r="K860" s="31">
        <f t="shared" si="167"/>
        <v>4.75</v>
      </c>
      <c r="L860" s="14">
        <f t="shared" si="171"/>
        <v>1.1875E-3</v>
      </c>
      <c r="M860" s="4"/>
    </row>
    <row r="861" spans="2:13">
      <c r="B861" s="43"/>
      <c r="C861" s="7">
        <v>1.12500000000004</v>
      </c>
      <c r="D861" s="7">
        <v>1.13541666666671</v>
      </c>
      <c r="E861" s="30">
        <v>750</v>
      </c>
      <c r="F861" s="60">
        <v>544.71</v>
      </c>
      <c r="G861" s="4">
        <f t="shared" si="172"/>
        <v>205.28999999999996</v>
      </c>
      <c r="H861" s="9">
        <f t="shared" si="173"/>
        <v>5.1322499999999993E-2</v>
      </c>
      <c r="I861" s="4"/>
      <c r="J861" s="64">
        <v>540</v>
      </c>
      <c r="K861" s="31">
        <f t="shared" si="167"/>
        <v>4.7100000000000364</v>
      </c>
      <c r="L861" s="14">
        <f t="shared" si="171"/>
        <v>1.1775000000000091E-3</v>
      </c>
      <c r="M861" s="4"/>
    </row>
    <row r="862" spans="2:13">
      <c r="B862" s="43"/>
      <c r="C862" s="7">
        <v>1.13541666666671</v>
      </c>
      <c r="D862" s="7">
        <v>1.1458333333333801</v>
      </c>
      <c r="E862" s="30">
        <v>750</v>
      </c>
      <c r="F862" s="60">
        <v>545.35</v>
      </c>
      <c r="G862" s="4">
        <f t="shared" si="172"/>
        <v>204.64999999999998</v>
      </c>
      <c r="H862" s="9">
        <f t="shared" si="173"/>
        <v>5.1162499999999993E-2</v>
      </c>
      <c r="I862" s="4"/>
      <c r="J862" s="64">
        <v>540</v>
      </c>
      <c r="K862" s="31">
        <f t="shared" si="167"/>
        <v>5.3500000000000227</v>
      </c>
      <c r="L862" s="14">
        <f t="shared" si="171"/>
        <v>1.3375000000000058E-3</v>
      </c>
      <c r="M862" s="4"/>
    </row>
    <row r="863" spans="2:13">
      <c r="B863" s="43"/>
      <c r="C863" s="7">
        <v>1.1458333333333801</v>
      </c>
      <c r="D863" s="7">
        <v>1.15625000000005</v>
      </c>
      <c r="E863" s="30">
        <v>750</v>
      </c>
      <c r="F863" s="60">
        <v>546.04</v>
      </c>
      <c r="G863" s="4">
        <f t="shared" si="172"/>
        <v>203.96000000000004</v>
      </c>
      <c r="H863" s="9">
        <f t="shared" si="173"/>
        <v>5.0990000000000008E-2</v>
      </c>
      <c r="I863" s="4"/>
      <c r="J863" s="64">
        <v>540</v>
      </c>
      <c r="K863" s="31">
        <f t="shared" si="167"/>
        <v>6.0399999999999636</v>
      </c>
      <c r="L863" s="14">
        <f t="shared" si="171"/>
        <v>1.509999999999991E-3</v>
      </c>
      <c r="M863" s="4"/>
    </row>
    <row r="864" spans="2:13">
      <c r="B864" s="43"/>
      <c r="C864" s="7">
        <v>1.15625000000005</v>
      </c>
      <c r="D864" s="35">
        <v>1.16666666666672</v>
      </c>
      <c r="E864" s="30">
        <v>750</v>
      </c>
      <c r="F864" s="60">
        <v>546.54999999999995</v>
      </c>
      <c r="G864" s="4">
        <f t="shared" si="172"/>
        <v>203.45000000000005</v>
      </c>
      <c r="H864" s="9">
        <f t="shared" si="173"/>
        <v>5.0862500000000012E-2</v>
      </c>
      <c r="I864" s="4"/>
      <c r="J864" s="64">
        <v>540</v>
      </c>
      <c r="K864" s="31">
        <f t="shared" si="167"/>
        <v>6.5499999999999545</v>
      </c>
      <c r="L864" s="14">
        <f t="shared" si="171"/>
        <v>1.6374999999999886E-3</v>
      </c>
      <c r="M864" s="4"/>
    </row>
    <row r="865" spans="2:13">
      <c r="B865" s="43"/>
      <c r="C865" s="7">
        <v>1.16666666666672</v>
      </c>
      <c r="D865" s="7">
        <v>1.1770833333333901</v>
      </c>
      <c r="E865" s="30">
        <v>750</v>
      </c>
      <c r="F865" s="60">
        <v>644.17999999999995</v>
      </c>
      <c r="G865" s="4">
        <f t="shared" si="172"/>
        <v>105.82000000000005</v>
      </c>
      <c r="H865" s="9">
        <f t="shared" si="173"/>
        <v>2.6455000000000013E-2</v>
      </c>
      <c r="I865" s="4"/>
      <c r="J865" s="29">
        <f>J864+80</f>
        <v>620</v>
      </c>
      <c r="K865" s="31">
        <f>J865-F865</f>
        <v>-24.17999999999995</v>
      </c>
      <c r="L865" s="14">
        <f t="shared" si="171"/>
        <v>0</v>
      </c>
      <c r="M865" s="4"/>
    </row>
    <row r="866" spans="2:13">
      <c r="B866" s="43"/>
      <c r="C866" s="7">
        <v>1.1770833333333901</v>
      </c>
      <c r="D866" s="7">
        <v>1.18750000000006</v>
      </c>
      <c r="E866" s="30">
        <v>750</v>
      </c>
      <c r="F866" s="60">
        <v>728.95</v>
      </c>
      <c r="G866" s="4">
        <f t="shared" si="172"/>
        <v>21.049999999999955</v>
      </c>
      <c r="H866" s="9">
        <f t="shared" si="173"/>
        <v>5.2624999999999885E-3</v>
      </c>
      <c r="I866" s="4"/>
      <c r="J866" s="64">
        <f t="shared" ref="J866" si="174">J865+80</f>
        <v>700</v>
      </c>
      <c r="K866" s="31">
        <f t="shared" ref="K866:K867" si="175">J866-F866</f>
        <v>-28.950000000000045</v>
      </c>
      <c r="L866" s="14">
        <f t="shared" si="171"/>
        <v>0</v>
      </c>
      <c r="M866" s="4"/>
    </row>
    <row r="867" spans="2:13">
      <c r="B867" s="43"/>
      <c r="C867" s="7">
        <v>1.18750000000006</v>
      </c>
      <c r="D867" s="7">
        <v>1.19791666666673</v>
      </c>
      <c r="E867" s="30">
        <v>750</v>
      </c>
      <c r="F867" s="60">
        <v>756.51</v>
      </c>
      <c r="G867" s="4">
        <f t="shared" si="172"/>
        <v>-6.5099999999999909</v>
      </c>
      <c r="H867" s="76">
        <v>0</v>
      </c>
      <c r="I867" s="4"/>
      <c r="J867" s="64">
        <v>750</v>
      </c>
      <c r="K867" s="31">
        <f t="shared" si="175"/>
        <v>-6.5099999999999909</v>
      </c>
      <c r="L867" s="14">
        <f t="shared" si="171"/>
        <v>0</v>
      </c>
      <c r="M867" s="4"/>
    </row>
    <row r="868" spans="2:13">
      <c r="B868" s="43"/>
      <c r="C868" s="7"/>
      <c r="D868" s="7"/>
      <c r="E868" s="30"/>
      <c r="F868" s="60"/>
      <c r="G868" s="4"/>
      <c r="H868" s="9"/>
      <c r="I868" s="9">
        <f>SUM(H849:H867)</f>
        <v>0.85135499999999986</v>
      </c>
      <c r="J868" s="64"/>
      <c r="K868" s="31"/>
      <c r="L868" s="14"/>
      <c r="M868" s="4">
        <f>SUM(L849:L867)</f>
        <v>1.9332499999999982E-2</v>
      </c>
    </row>
    <row r="869" spans="2:13">
      <c r="B869" s="34">
        <v>46042</v>
      </c>
      <c r="C869" s="7">
        <v>1.5208333333335</v>
      </c>
      <c r="D869" s="7">
        <v>1.5312500000001601</v>
      </c>
      <c r="E869" s="30">
        <v>750</v>
      </c>
      <c r="F869" s="60">
        <v>706.46</v>
      </c>
      <c r="G869" s="4">
        <f t="shared" si="172"/>
        <v>43.539999999999964</v>
      </c>
      <c r="H869" s="9">
        <f t="shared" si="173"/>
        <v>1.088499999999999E-2</v>
      </c>
      <c r="I869" s="4"/>
      <c r="J869" s="64">
        <f>E869-80</f>
        <v>670</v>
      </c>
      <c r="K869" s="31">
        <f t="shared" si="167"/>
        <v>36.460000000000036</v>
      </c>
      <c r="L869" s="14"/>
      <c r="M869" s="4"/>
    </row>
    <row r="870" spans="2:13">
      <c r="B870" s="43"/>
      <c r="C870" s="7">
        <v>1.5312500000001701</v>
      </c>
      <c r="D870" s="7">
        <v>1.5416666666668299</v>
      </c>
      <c r="E870" s="30">
        <v>750</v>
      </c>
      <c r="F870" s="60">
        <v>604.20000000000005</v>
      </c>
      <c r="G870" s="4">
        <f t="shared" si="172"/>
        <v>145.79999999999995</v>
      </c>
      <c r="H870" s="9">
        <f t="shared" si="173"/>
        <v>3.6449999999999989E-2</v>
      </c>
      <c r="I870" s="4"/>
      <c r="J870" s="64">
        <f>J869-80</f>
        <v>590</v>
      </c>
      <c r="K870" s="31">
        <f t="shared" si="167"/>
        <v>14.200000000000045</v>
      </c>
      <c r="L870" s="14">
        <f t="shared" si="171"/>
        <v>3.5500000000000115E-3</v>
      </c>
      <c r="M870" s="4"/>
    </row>
    <row r="871" spans="2:13">
      <c r="B871" s="43"/>
      <c r="C871" s="7">
        <v>1.5416666666668399</v>
      </c>
      <c r="D871" s="7">
        <v>1.5520833333335</v>
      </c>
      <c r="E871" s="30">
        <v>750</v>
      </c>
      <c r="F871" s="60">
        <v>567.04</v>
      </c>
      <c r="G871" s="4">
        <f t="shared" si="172"/>
        <v>182.96000000000004</v>
      </c>
      <c r="H871" s="9">
        <f t="shared" si="173"/>
        <v>4.574000000000001E-2</v>
      </c>
      <c r="I871" s="4"/>
      <c r="J871" s="65">
        <v>540</v>
      </c>
      <c r="K871" s="31">
        <f t="shared" si="167"/>
        <v>27.039999999999964</v>
      </c>
      <c r="L871" s="14">
        <f t="shared" si="171"/>
        <v>6.7599999999999908E-3</v>
      </c>
      <c r="M871" s="4"/>
    </row>
    <row r="872" spans="2:13">
      <c r="B872" s="43"/>
      <c r="C872" s="7">
        <v>1.55208333333351</v>
      </c>
      <c r="D872" s="7">
        <v>1.5625000000001701</v>
      </c>
      <c r="E872" s="30">
        <v>750</v>
      </c>
      <c r="F872" s="60">
        <v>576.55999999999995</v>
      </c>
      <c r="G872" s="4">
        <f t="shared" si="172"/>
        <v>173.44000000000005</v>
      </c>
      <c r="H872" s="9">
        <f t="shared" si="173"/>
        <v>4.3360000000000017E-2</v>
      </c>
      <c r="I872" s="4"/>
      <c r="J872" s="64">
        <v>540</v>
      </c>
      <c r="K872" s="31">
        <f t="shared" si="167"/>
        <v>36.559999999999945</v>
      </c>
      <c r="L872" s="14">
        <f t="shared" si="171"/>
        <v>9.1399999999999867E-3</v>
      </c>
      <c r="M872" s="4"/>
    </row>
    <row r="873" spans="2:13">
      <c r="B873" s="43"/>
      <c r="C873" s="7">
        <v>1.5625000000001801</v>
      </c>
      <c r="D873" s="7">
        <v>1.5729166666668399</v>
      </c>
      <c r="E873" s="30">
        <v>750</v>
      </c>
      <c r="F873" s="60">
        <v>542.78</v>
      </c>
      <c r="G873" s="4">
        <f t="shared" si="172"/>
        <v>207.22000000000003</v>
      </c>
      <c r="H873" s="9">
        <f t="shared" si="173"/>
        <v>5.1805000000000004E-2</v>
      </c>
      <c r="I873" s="4"/>
      <c r="J873" s="64">
        <v>540</v>
      </c>
      <c r="K873" s="31">
        <f t="shared" si="167"/>
        <v>2.7799999999999727</v>
      </c>
      <c r="L873" s="14">
        <f t="shared" si="171"/>
        <v>6.9499999999999315E-4</v>
      </c>
      <c r="M873" s="4"/>
    </row>
    <row r="874" spans="2:13">
      <c r="B874" s="43"/>
      <c r="C874" s="7">
        <v>1.5729166666668499</v>
      </c>
      <c r="D874" s="7">
        <v>1.58333333333351</v>
      </c>
      <c r="E874" s="30">
        <v>750</v>
      </c>
      <c r="F874" s="60">
        <v>535.59</v>
      </c>
      <c r="G874" s="4">
        <f t="shared" si="172"/>
        <v>214.40999999999997</v>
      </c>
      <c r="H874" s="9">
        <f t="shared" si="173"/>
        <v>5.360249999999999E-2</v>
      </c>
      <c r="I874" s="4"/>
      <c r="J874" s="64">
        <v>540</v>
      </c>
      <c r="K874" s="31">
        <f t="shared" si="167"/>
        <v>-4.4099999999999682</v>
      </c>
      <c r="L874" s="14">
        <f t="shared" si="171"/>
        <v>0</v>
      </c>
      <c r="M874" s="4"/>
    </row>
    <row r="875" spans="2:13">
      <c r="B875" s="43"/>
      <c r="C875" s="7">
        <v>1.58333333333352</v>
      </c>
      <c r="D875" s="7">
        <v>1.5937500000001801</v>
      </c>
      <c r="E875" s="30">
        <v>750</v>
      </c>
      <c r="F875" s="60">
        <v>547.37</v>
      </c>
      <c r="G875" s="4">
        <f t="shared" si="172"/>
        <v>202.63</v>
      </c>
      <c r="H875" s="9">
        <f t="shared" si="173"/>
        <v>5.0657500000000001E-2</v>
      </c>
      <c r="I875" s="4"/>
      <c r="J875" s="64">
        <v>540</v>
      </c>
      <c r="K875" s="31">
        <f t="shared" si="167"/>
        <v>7.3700000000000045</v>
      </c>
      <c r="L875" s="14">
        <f t="shared" si="171"/>
        <v>1.842500000000001E-3</v>
      </c>
      <c r="M875" s="4"/>
    </row>
    <row r="876" spans="2:13">
      <c r="B876" s="43"/>
      <c r="C876" s="7">
        <v>1.5937500000001901</v>
      </c>
      <c r="D876" s="7">
        <v>1.6041666666668499</v>
      </c>
      <c r="E876" s="30">
        <v>750</v>
      </c>
      <c r="F876" s="60">
        <v>544.63</v>
      </c>
      <c r="G876" s="4">
        <f t="shared" si="172"/>
        <v>205.37</v>
      </c>
      <c r="H876" s="9">
        <f t="shared" si="173"/>
        <v>5.1342499999999999E-2</v>
      </c>
      <c r="I876" s="4"/>
      <c r="J876" s="64">
        <v>540</v>
      </c>
      <c r="K876" s="31">
        <f t="shared" si="167"/>
        <v>4.6299999999999955</v>
      </c>
      <c r="L876" s="14">
        <f t="shared" si="171"/>
        <v>1.1574999999999988E-3</v>
      </c>
      <c r="M876" s="4"/>
    </row>
    <row r="877" spans="2:13">
      <c r="B877" s="43"/>
      <c r="C877" s="7">
        <v>1.6041666666668599</v>
      </c>
      <c r="D877" s="7">
        <v>1.61458333333352</v>
      </c>
      <c r="E877" s="30">
        <v>750</v>
      </c>
      <c r="F877" s="60">
        <v>544.9</v>
      </c>
      <c r="G877" s="4">
        <f t="shared" si="172"/>
        <v>205.10000000000002</v>
      </c>
      <c r="H877" s="9">
        <f t="shared" si="173"/>
        <v>5.1275000000000008E-2</v>
      </c>
      <c r="I877" s="4"/>
      <c r="J877" s="64">
        <v>540</v>
      </c>
      <c r="K877" s="31">
        <f t="shared" si="167"/>
        <v>4.8999999999999773</v>
      </c>
      <c r="L877" s="14">
        <f t="shared" si="171"/>
        <v>1.2249999999999943E-3</v>
      </c>
      <c r="M877" s="4"/>
    </row>
    <row r="878" spans="2:13">
      <c r="B878" s="43"/>
      <c r="C878" s="7">
        <v>1.61458333333353</v>
      </c>
      <c r="D878" s="35">
        <v>1.6250000000001901</v>
      </c>
      <c r="E878" s="30">
        <v>750</v>
      </c>
      <c r="F878" s="60">
        <v>538.12</v>
      </c>
      <c r="G878" s="4">
        <f t="shared" si="172"/>
        <v>211.88</v>
      </c>
      <c r="H878" s="9">
        <f t="shared" si="173"/>
        <v>5.2969999999999996E-2</v>
      </c>
      <c r="I878" s="4"/>
      <c r="J878" s="64">
        <v>540</v>
      </c>
      <c r="K878" s="31">
        <f t="shared" si="167"/>
        <v>-1.8799999999999955</v>
      </c>
      <c r="L878" s="14">
        <f t="shared" si="171"/>
        <v>0</v>
      </c>
      <c r="M878" s="4"/>
    </row>
    <row r="879" spans="2:13">
      <c r="B879" s="43"/>
      <c r="C879" s="7">
        <v>1.6250000000002001</v>
      </c>
      <c r="D879" s="7">
        <v>1.6354166666668599</v>
      </c>
      <c r="E879" s="30">
        <v>750</v>
      </c>
      <c r="F879" s="60">
        <v>586.71</v>
      </c>
      <c r="G879" s="4">
        <f t="shared" si="172"/>
        <v>163.28999999999996</v>
      </c>
      <c r="H879" s="9">
        <f t="shared" si="173"/>
        <v>4.0822499999999991E-2</v>
      </c>
      <c r="I879" s="4"/>
      <c r="J879" s="29">
        <f>J878+80</f>
        <v>620</v>
      </c>
      <c r="K879" s="31">
        <f>J879-F879</f>
        <v>33.289999999999964</v>
      </c>
      <c r="L879" s="14">
        <f t="shared" si="171"/>
        <v>8.3224999999999914E-3</v>
      </c>
      <c r="M879" s="4"/>
    </row>
    <row r="880" spans="2:13">
      <c r="B880" s="43"/>
      <c r="C880" s="7">
        <v>1.6354166666668699</v>
      </c>
      <c r="D880" s="7">
        <v>1.64583333333353</v>
      </c>
      <c r="E880" s="30">
        <v>750</v>
      </c>
      <c r="F880" s="60">
        <v>693.16</v>
      </c>
      <c r="G880" s="4">
        <f t="shared" si="172"/>
        <v>56.840000000000032</v>
      </c>
      <c r="H880" s="9">
        <f t="shared" si="173"/>
        <v>1.4210000000000007E-2</v>
      </c>
      <c r="I880" s="4"/>
      <c r="J880" s="64">
        <f t="shared" ref="J880" si="176">J879+80</f>
        <v>700</v>
      </c>
      <c r="K880" s="31">
        <f t="shared" ref="K880:K881" si="177">J880-F880</f>
        <v>6.8400000000000318</v>
      </c>
      <c r="L880" s="14">
        <f t="shared" si="171"/>
        <v>1.710000000000008E-3</v>
      </c>
      <c r="M880" s="4"/>
    </row>
    <row r="881" spans="2:13">
      <c r="B881" s="43"/>
      <c r="C881" s="7">
        <v>1.64583333333354</v>
      </c>
      <c r="D881" s="7">
        <v>1.6562500000002001</v>
      </c>
      <c r="E881" s="30">
        <v>750</v>
      </c>
      <c r="F881" s="60">
        <v>757.34</v>
      </c>
      <c r="G881" s="4">
        <f t="shared" si="172"/>
        <v>-7.3400000000000318</v>
      </c>
      <c r="H881" s="76">
        <v>0</v>
      </c>
      <c r="I881" s="4"/>
      <c r="J881" s="64">
        <v>750</v>
      </c>
      <c r="K881" s="31">
        <f t="shared" si="177"/>
        <v>-7.3400000000000318</v>
      </c>
      <c r="L881" s="14">
        <f t="shared" si="171"/>
        <v>0</v>
      </c>
      <c r="M881" s="4"/>
    </row>
    <row r="882" spans="2:13">
      <c r="B882" s="43"/>
      <c r="C882" s="7"/>
      <c r="D882" s="7"/>
      <c r="E882" s="30"/>
      <c r="F882" s="60"/>
      <c r="G882" s="4"/>
      <c r="H882" s="9"/>
      <c r="I882" s="9">
        <f>SUM(H869:H881)</f>
        <v>0.50312000000000012</v>
      </c>
      <c r="J882" s="64"/>
      <c r="K882" s="31"/>
      <c r="L882" s="14"/>
      <c r="M882" s="4">
        <f>SUM(L869:L881)</f>
        <v>3.4402499999999975E-2</v>
      </c>
    </row>
    <row r="883" spans="2:13">
      <c r="B883" s="34">
        <v>46042</v>
      </c>
      <c r="C883" s="7">
        <v>1.8333333333336099</v>
      </c>
      <c r="D883" s="7">
        <v>1.84375000000026</v>
      </c>
      <c r="E883" s="30">
        <v>750</v>
      </c>
      <c r="F883" s="60">
        <v>693.24</v>
      </c>
      <c r="G883" s="4">
        <f t="shared" si="172"/>
        <v>56.759999999999991</v>
      </c>
      <c r="H883" s="9">
        <f t="shared" si="173"/>
        <v>1.4189999999999998E-2</v>
      </c>
      <c r="I883" s="4"/>
      <c r="J883" s="29">
        <f>E883-80</f>
        <v>670</v>
      </c>
      <c r="K883" s="31">
        <f t="shared" ref="K883:K939" si="178">F883-J883</f>
        <v>23.240000000000009</v>
      </c>
      <c r="L883" s="14"/>
      <c r="M883" s="4"/>
    </row>
    <row r="884" spans="2:13">
      <c r="B884" s="43"/>
      <c r="C884" s="7">
        <v>1.84375000000028</v>
      </c>
      <c r="D884" s="7">
        <v>1.8541666666669301</v>
      </c>
      <c r="E884" s="30">
        <v>750</v>
      </c>
      <c r="F884" s="60">
        <v>606.36</v>
      </c>
      <c r="G884" s="4">
        <f t="shared" si="172"/>
        <v>143.63999999999999</v>
      </c>
      <c r="H884" s="9">
        <f t="shared" si="173"/>
        <v>3.5909999999999997E-2</v>
      </c>
      <c r="I884" s="4"/>
      <c r="J884" s="29">
        <f>J883-80</f>
        <v>590</v>
      </c>
      <c r="K884" s="31">
        <f t="shared" si="178"/>
        <v>16.360000000000014</v>
      </c>
      <c r="L884" s="14">
        <f t="shared" si="171"/>
        <v>4.0900000000000034E-3</v>
      </c>
      <c r="M884" s="4"/>
    </row>
    <row r="885" spans="2:13">
      <c r="B885" s="43"/>
      <c r="C885" s="7">
        <v>1.8541666666669501</v>
      </c>
      <c r="D885" s="7">
        <v>1.8645833333335999</v>
      </c>
      <c r="E885" s="30">
        <v>750</v>
      </c>
      <c r="F885" s="60">
        <v>546.95000000000005</v>
      </c>
      <c r="G885" s="4">
        <f t="shared" si="172"/>
        <v>203.04999999999995</v>
      </c>
      <c r="H885" s="9">
        <f t="shared" si="173"/>
        <v>5.0762499999999988E-2</v>
      </c>
      <c r="I885" s="4"/>
      <c r="J885" s="64">
        <v>540</v>
      </c>
      <c r="K885" s="31">
        <f t="shared" si="178"/>
        <v>6.9500000000000455</v>
      </c>
      <c r="L885" s="14">
        <f t="shared" si="171"/>
        <v>1.7375000000000114E-3</v>
      </c>
      <c r="M885" s="4"/>
    </row>
    <row r="886" spans="2:13">
      <c r="B886" s="43"/>
      <c r="C886" s="7">
        <v>1.8645833333336199</v>
      </c>
      <c r="D886" s="7">
        <v>1.87500000000027</v>
      </c>
      <c r="E886" s="30">
        <v>750</v>
      </c>
      <c r="F886" s="60">
        <v>543.74</v>
      </c>
      <c r="G886" s="4">
        <f t="shared" si="172"/>
        <v>206.26</v>
      </c>
      <c r="H886" s="9">
        <f t="shared" si="173"/>
        <v>5.1565E-2</v>
      </c>
      <c r="I886" s="4"/>
      <c r="J886" s="64">
        <v>540</v>
      </c>
      <c r="K886" s="31">
        <f t="shared" si="178"/>
        <v>3.7400000000000091</v>
      </c>
      <c r="L886" s="14">
        <f t="shared" si="171"/>
        <v>9.3500000000000224E-4</v>
      </c>
      <c r="M886" s="4"/>
    </row>
    <row r="887" spans="2:13">
      <c r="B887" s="43"/>
      <c r="C887" s="7">
        <v>1.87500000000029</v>
      </c>
      <c r="D887" s="7">
        <v>1.8854166666669401</v>
      </c>
      <c r="E887" s="30">
        <v>750</v>
      </c>
      <c r="F887" s="60">
        <v>546.59</v>
      </c>
      <c r="G887" s="4">
        <f t="shared" si="172"/>
        <v>203.40999999999997</v>
      </c>
      <c r="H887" s="9">
        <f t="shared" si="173"/>
        <v>5.0852499999999995E-2</v>
      </c>
      <c r="I887" s="4"/>
      <c r="J887" s="64">
        <v>540</v>
      </c>
      <c r="K887" s="31">
        <f t="shared" si="178"/>
        <v>6.5900000000000318</v>
      </c>
      <c r="L887" s="14">
        <f t="shared" si="171"/>
        <v>1.6475000000000079E-3</v>
      </c>
      <c r="M887" s="4"/>
    </row>
    <row r="888" spans="2:13">
      <c r="B888" s="43"/>
      <c r="C888" s="7">
        <v>1.8854166666669601</v>
      </c>
      <c r="D888" s="7">
        <v>1.8958333333336099</v>
      </c>
      <c r="E888" s="30">
        <v>750</v>
      </c>
      <c r="F888" s="60">
        <v>545.51</v>
      </c>
      <c r="G888" s="4">
        <f t="shared" si="172"/>
        <v>204.49</v>
      </c>
      <c r="H888" s="9">
        <f t="shared" si="173"/>
        <v>5.1122500000000001E-2</v>
      </c>
      <c r="I888" s="4"/>
      <c r="J888" s="64">
        <v>540</v>
      </c>
      <c r="K888" s="31">
        <f t="shared" si="178"/>
        <v>5.5099999999999909</v>
      </c>
      <c r="L888" s="14">
        <f t="shared" si="171"/>
        <v>1.3774999999999976E-3</v>
      </c>
      <c r="M888" s="4"/>
    </row>
    <row r="889" spans="2:13">
      <c r="B889" s="43"/>
      <c r="C889" s="7">
        <v>1.8958333333336299</v>
      </c>
      <c r="D889" s="7">
        <v>1.90625000000028</v>
      </c>
      <c r="E889" s="30">
        <v>750</v>
      </c>
      <c r="F889" s="60">
        <v>544.94000000000005</v>
      </c>
      <c r="G889" s="4">
        <f t="shared" si="172"/>
        <v>205.05999999999995</v>
      </c>
      <c r="H889" s="9">
        <f t="shared" si="173"/>
        <v>5.1264999999999984E-2</v>
      </c>
      <c r="I889" s="4"/>
      <c r="J889" s="64">
        <v>540</v>
      </c>
      <c r="K889" s="31">
        <f t="shared" si="178"/>
        <v>4.9400000000000546</v>
      </c>
      <c r="L889" s="14">
        <f t="shared" si="171"/>
        <v>1.2350000000000136E-3</v>
      </c>
      <c r="M889" s="4"/>
    </row>
    <row r="890" spans="2:13">
      <c r="B890" s="43"/>
      <c r="C890" s="7">
        <v>1.9062500000003</v>
      </c>
      <c r="D890" s="7">
        <v>1.9166666666669501</v>
      </c>
      <c r="E890" s="30">
        <v>750</v>
      </c>
      <c r="F890" s="60">
        <v>542.4</v>
      </c>
      <c r="G890" s="4">
        <f t="shared" si="172"/>
        <v>207.60000000000002</v>
      </c>
      <c r="H890" s="9">
        <f t="shared" si="173"/>
        <v>5.1900000000000009E-2</v>
      </c>
      <c r="I890" s="4"/>
      <c r="J890" s="64">
        <v>540</v>
      </c>
      <c r="K890" s="31">
        <f t="shared" si="178"/>
        <v>2.3999999999999773</v>
      </c>
      <c r="L890" s="14">
        <f t="shared" si="171"/>
        <v>5.9999999999999431E-4</v>
      </c>
      <c r="M890" s="4"/>
    </row>
    <row r="891" spans="2:13">
      <c r="B891" s="43"/>
      <c r="C891" s="7">
        <v>1.9166666666669701</v>
      </c>
      <c r="D891" s="7">
        <v>1.9270833333336199</v>
      </c>
      <c r="E891" s="30">
        <v>750</v>
      </c>
      <c r="F891" s="60">
        <v>541.55999999999995</v>
      </c>
      <c r="G891" s="4">
        <f t="shared" si="172"/>
        <v>208.44000000000005</v>
      </c>
      <c r="H891" s="9">
        <f t="shared" si="173"/>
        <v>5.211000000000001E-2</v>
      </c>
      <c r="I891" s="4"/>
      <c r="J891" s="64">
        <v>540</v>
      </c>
      <c r="K891" s="31">
        <f t="shared" si="178"/>
        <v>1.5599999999999454</v>
      </c>
      <c r="L891" s="14">
        <f t="shared" si="171"/>
        <v>3.8999999999998633E-4</v>
      </c>
      <c r="M891" s="4"/>
    </row>
    <row r="892" spans="2:13">
      <c r="B892" s="43"/>
      <c r="C892" s="7">
        <v>1.9270833333336399</v>
      </c>
      <c r="D892" s="7">
        <v>1.93750000000029</v>
      </c>
      <c r="E892" s="30">
        <v>750</v>
      </c>
      <c r="F892" s="60">
        <v>542.72</v>
      </c>
      <c r="G892" s="4">
        <f t="shared" si="172"/>
        <v>207.27999999999997</v>
      </c>
      <c r="H892" s="9">
        <f t="shared" si="173"/>
        <v>5.1819999999999991E-2</v>
      </c>
      <c r="I892" s="4"/>
      <c r="J892" s="64">
        <v>540</v>
      </c>
      <c r="K892" s="31">
        <f t="shared" si="178"/>
        <v>2.7200000000000273</v>
      </c>
      <c r="L892" s="14">
        <f t="shared" ref="L892:L951" si="179">IF(K892/4000&gt;0,K892/4000,0)</f>
        <v>6.8000000000000677E-4</v>
      </c>
      <c r="M892" s="4"/>
    </row>
    <row r="893" spans="2:13">
      <c r="B893" s="43"/>
      <c r="C893" s="7">
        <v>1.93750000000031</v>
      </c>
      <c r="D893" s="7">
        <v>1.9479166666669601</v>
      </c>
      <c r="E893" s="30">
        <v>750</v>
      </c>
      <c r="F893" s="60">
        <v>542.19000000000005</v>
      </c>
      <c r="G893" s="4">
        <f t="shared" si="172"/>
        <v>207.80999999999995</v>
      </c>
      <c r="H893" s="9">
        <f t="shared" si="173"/>
        <v>5.1952499999999985E-2</v>
      </c>
      <c r="I893" s="4"/>
      <c r="J893" s="64">
        <v>540</v>
      </c>
      <c r="K893" s="31">
        <f t="shared" si="178"/>
        <v>2.1900000000000546</v>
      </c>
      <c r="L893" s="14">
        <f t="shared" si="179"/>
        <v>5.4750000000001369E-4</v>
      </c>
      <c r="M893" s="4"/>
    </row>
    <row r="894" spans="2:13">
      <c r="B894" s="43"/>
      <c r="C894" s="7">
        <v>1.94791666666698</v>
      </c>
      <c r="D894" s="7">
        <v>1.9583333333336299</v>
      </c>
      <c r="E894" s="30">
        <v>750</v>
      </c>
      <c r="F894" s="60">
        <v>537.57000000000005</v>
      </c>
      <c r="G894" s="4">
        <f t="shared" si="172"/>
        <v>212.42999999999995</v>
      </c>
      <c r="H894" s="9">
        <f t="shared" si="173"/>
        <v>5.3107499999999988E-2</v>
      </c>
      <c r="I894" s="4"/>
      <c r="J894" s="64">
        <v>540</v>
      </c>
      <c r="K894" s="31">
        <f t="shared" si="178"/>
        <v>-2.42999999999995</v>
      </c>
      <c r="L894" s="14">
        <f t="shared" si="179"/>
        <v>0</v>
      </c>
      <c r="M894" s="4"/>
    </row>
    <row r="895" spans="2:13">
      <c r="B895" s="43"/>
      <c r="C895" s="7">
        <v>1.9583333333336499</v>
      </c>
      <c r="D895" s="7">
        <v>1.9687500000003</v>
      </c>
      <c r="E895" s="30">
        <v>750</v>
      </c>
      <c r="F895" s="60">
        <v>539.78</v>
      </c>
      <c r="G895" s="4">
        <f t="shared" si="172"/>
        <v>210.22000000000003</v>
      </c>
      <c r="H895" s="9">
        <f t="shared" si="173"/>
        <v>5.2555000000000004E-2</v>
      </c>
      <c r="I895" s="4"/>
      <c r="J895" s="64">
        <v>540</v>
      </c>
      <c r="K895" s="31">
        <f t="shared" si="178"/>
        <v>-0.22000000000002728</v>
      </c>
      <c r="L895" s="14">
        <f t="shared" si="179"/>
        <v>0</v>
      </c>
      <c r="M895" s="4"/>
    </row>
    <row r="896" spans="2:13">
      <c r="B896" s="43"/>
      <c r="C896" s="7">
        <v>1.96875000000032</v>
      </c>
      <c r="D896" s="7">
        <v>1.9791666666669701</v>
      </c>
      <c r="E896" s="30">
        <v>750</v>
      </c>
      <c r="F896" s="60">
        <v>542.62</v>
      </c>
      <c r="G896" s="4">
        <f t="shared" si="172"/>
        <v>207.38</v>
      </c>
      <c r="H896" s="9">
        <f t="shared" si="173"/>
        <v>5.1845000000000002E-2</v>
      </c>
      <c r="I896" s="4"/>
      <c r="J896" s="64">
        <v>540</v>
      </c>
      <c r="K896" s="31">
        <f t="shared" si="178"/>
        <v>2.6200000000000045</v>
      </c>
      <c r="L896" s="14">
        <f t="shared" si="179"/>
        <v>6.5500000000000118E-4</v>
      </c>
      <c r="M896" s="4"/>
    </row>
    <row r="897" spans="2:13">
      <c r="B897" s="43"/>
      <c r="C897" s="7">
        <v>1.97916666666699</v>
      </c>
      <c r="D897" s="7">
        <v>1.9895833333336399</v>
      </c>
      <c r="E897" s="30">
        <v>750</v>
      </c>
      <c r="F897" s="60">
        <v>543.24</v>
      </c>
      <c r="G897" s="4">
        <f t="shared" si="172"/>
        <v>206.76</v>
      </c>
      <c r="H897" s="9">
        <f t="shared" si="173"/>
        <v>5.169E-2</v>
      </c>
      <c r="I897" s="4"/>
      <c r="J897" s="64">
        <v>540</v>
      </c>
      <c r="K897" s="31">
        <f t="shared" si="178"/>
        <v>3.2400000000000091</v>
      </c>
      <c r="L897" s="14">
        <f t="shared" si="179"/>
        <v>8.1000000000000223E-4</v>
      </c>
      <c r="M897" s="4"/>
    </row>
    <row r="898" spans="2:13">
      <c r="B898" s="43"/>
      <c r="C898" s="7">
        <v>1.9895833333336601</v>
      </c>
      <c r="D898" s="35">
        <v>2.00000000000031</v>
      </c>
      <c r="E898" s="30">
        <v>750</v>
      </c>
      <c r="F898" s="61">
        <v>540.32000000000005</v>
      </c>
      <c r="G898" s="4">
        <f t="shared" si="172"/>
        <v>209.67999999999995</v>
      </c>
      <c r="H898" s="9">
        <f t="shared" si="173"/>
        <v>5.2419999999999987E-2</v>
      </c>
      <c r="I898" s="4"/>
      <c r="J898" s="64">
        <v>540</v>
      </c>
      <c r="K898" s="31">
        <f t="shared" si="178"/>
        <v>0.32000000000005002</v>
      </c>
      <c r="L898" s="14">
        <f t="shared" si="179"/>
        <v>8.0000000000012502E-5</v>
      </c>
      <c r="M898" s="4"/>
    </row>
    <row r="899" spans="2:13">
      <c r="B899" s="43"/>
      <c r="C899" s="43"/>
      <c r="D899" s="43"/>
      <c r="E899" s="4"/>
      <c r="F899" s="4"/>
      <c r="G899" s="4"/>
      <c r="H899" s="9"/>
      <c r="I899" s="9">
        <f>SUM(H883:H898)</f>
        <v>0.77506750000000002</v>
      </c>
      <c r="J899" s="29"/>
      <c r="K899" s="31"/>
      <c r="L899" s="14"/>
      <c r="M899" s="4">
        <f>SUM(L883:L898)</f>
        <v>1.4785000000000052E-2</v>
      </c>
    </row>
    <row r="900" spans="2:13">
      <c r="B900" s="34">
        <v>46043</v>
      </c>
      <c r="C900" s="7">
        <v>1</v>
      </c>
      <c r="D900" s="7">
        <v>1.0104166666666701</v>
      </c>
      <c r="E900" s="30">
        <v>750</v>
      </c>
      <c r="F900" s="15">
        <v>540.05999999999995</v>
      </c>
      <c r="G900" s="4">
        <f t="shared" si="172"/>
        <v>209.94000000000005</v>
      </c>
      <c r="H900" s="9">
        <f t="shared" si="173"/>
        <v>5.2485000000000011E-2</v>
      </c>
      <c r="I900" s="4"/>
      <c r="J900" s="29">
        <v>540</v>
      </c>
      <c r="K900" s="31">
        <f t="shared" si="178"/>
        <v>5.999999999994543E-2</v>
      </c>
      <c r="L900" s="14"/>
      <c r="M900" s="4"/>
    </row>
    <row r="901" spans="2:13">
      <c r="B901" s="43"/>
      <c r="C901" s="7">
        <v>1.0104166666666701</v>
      </c>
      <c r="D901" s="7">
        <v>1.0208333333333399</v>
      </c>
      <c r="E901" s="30">
        <v>750</v>
      </c>
      <c r="F901" s="15">
        <v>539.4</v>
      </c>
      <c r="G901" s="4">
        <f t="shared" si="172"/>
        <v>210.60000000000002</v>
      </c>
      <c r="H901" s="9">
        <f t="shared" si="173"/>
        <v>5.2650000000000002E-2</v>
      </c>
      <c r="I901" s="4"/>
      <c r="J901" s="29">
        <v>540</v>
      </c>
      <c r="K901" s="31">
        <f t="shared" si="178"/>
        <v>-0.60000000000002274</v>
      </c>
      <c r="L901" s="14">
        <f t="shared" si="179"/>
        <v>0</v>
      </c>
      <c r="M901" s="4"/>
    </row>
    <row r="902" spans="2:13">
      <c r="B902" s="43"/>
      <c r="C902" s="7">
        <v>1.0208333333333399</v>
      </c>
      <c r="D902" s="7">
        <v>1.03125000000001</v>
      </c>
      <c r="E902" s="30">
        <v>750</v>
      </c>
      <c r="F902" s="15">
        <v>541.51</v>
      </c>
      <c r="G902" s="4">
        <f t="shared" si="172"/>
        <v>208.49</v>
      </c>
      <c r="H902" s="9">
        <f t="shared" si="173"/>
        <v>5.2122500000000002E-2</v>
      </c>
      <c r="I902" s="4"/>
      <c r="J902" s="29">
        <v>540</v>
      </c>
      <c r="K902" s="31">
        <f t="shared" si="178"/>
        <v>1.5099999999999909</v>
      </c>
      <c r="L902" s="14">
        <f t="shared" si="179"/>
        <v>3.7749999999999774E-4</v>
      </c>
      <c r="M902" s="4"/>
    </row>
    <row r="903" spans="2:13">
      <c r="B903" s="43"/>
      <c r="C903" s="7">
        <v>1.03125000000001</v>
      </c>
      <c r="D903" s="7">
        <v>1.0416666666666801</v>
      </c>
      <c r="E903" s="30">
        <v>750</v>
      </c>
      <c r="F903" s="15">
        <v>542.67999999999995</v>
      </c>
      <c r="G903" s="4">
        <f t="shared" si="172"/>
        <v>207.32000000000005</v>
      </c>
      <c r="H903" s="9">
        <f t="shared" si="173"/>
        <v>5.1830000000000015E-2</v>
      </c>
      <c r="I903" s="4"/>
      <c r="J903" s="64">
        <v>540</v>
      </c>
      <c r="K903" s="31">
        <f t="shared" si="178"/>
        <v>2.67999999999995</v>
      </c>
      <c r="L903" s="14">
        <f t="shared" si="179"/>
        <v>6.6999999999998745E-4</v>
      </c>
      <c r="M903" s="4"/>
    </row>
    <row r="904" spans="2:13">
      <c r="B904" s="43"/>
      <c r="C904" s="7">
        <v>1.0416666666666801</v>
      </c>
      <c r="D904" s="7">
        <v>1.0520833333333499</v>
      </c>
      <c r="E904" s="30">
        <v>750</v>
      </c>
      <c r="F904" s="15">
        <v>545</v>
      </c>
      <c r="G904" s="4">
        <f t="shared" si="172"/>
        <v>205</v>
      </c>
      <c r="H904" s="9">
        <f t="shared" si="173"/>
        <v>5.1249999999999997E-2</v>
      </c>
      <c r="I904" s="4"/>
      <c r="J904" s="64">
        <v>540</v>
      </c>
      <c r="K904" s="31">
        <f t="shared" si="178"/>
        <v>5</v>
      </c>
      <c r="L904" s="14">
        <f t="shared" si="179"/>
        <v>1.25E-3</v>
      </c>
      <c r="M904" s="4"/>
    </row>
    <row r="905" spans="2:13">
      <c r="B905" s="43"/>
      <c r="C905" s="7">
        <v>1.0520833333333499</v>
      </c>
      <c r="D905" s="7">
        <v>1.06250000000002</v>
      </c>
      <c r="E905" s="30">
        <v>750</v>
      </c>
      <c r="F905" s="15">
        <v>539.53</v>
      </c>
      <c r="G905" s="4">
        <f t="shared" ref="G905:G964" si="180">E905-F905</f>
        <v>210.47000000000003</v>
      </c>
      <c r="H905" s="9">
        <f t="shared" ref="H905:H964" si="181">G905/4000</f>
        <v>5.2617500000000005E-2</v>
      </c>
      <c r="I905" s="4"/>
      <c r="J905" s="64">
        <v>540</v>
      </c>
      <c r="K905" s="31">
        <f t="shared" si="178"/>
        <v>-0.47000000000002728</v>
      </c>
      <c r="L905" s="14">
        <f t="shared" si="179"/>
        <v>0</v>
      </c>
      <c r="M905" s="4"/>
    </row>
    <row r="906" spans="2:13">
      <c r="B906" s="43"/>
      <c r="C906" s="7">
        <v>1.06250000000002</v>
      </c>
      <c r="D906" s="7">
        <v>1.0729166666666901</v>
      </c>
      <c r="E906" s="30">
        <v>750</v>
      </c>
      <c r="F906" s="15">
        <v>542.6</v>
      </c>
      <c r="G906" s="4">
        <f t="shared" si="180"/>
        <v>207.39999999999998</v>
      </c>
      <c r="H906" s="9">
        <f t="shared" si="181"/>
        <v>5.1849999999999993E-2</v>
      </c>
      <c r="I906" s="4"/>
      <c r="J906" s="64">
        <v>540</v>
      </c>
      <c r="K906" s="31">
        <f t="shared" si="178"/>
        <v>2.6000000000000227</v>
      </c>
      <c r="L906" s="14">
        <f t="shared" si="179"/>
        <v>6.5000000000000572E-4</v>
      </c>
      <c r="M906" s="4"/>
    </row>
    <row r="907" spans="2:13">
      <c r="B907" s="43"/>
      <c r="C907" s="7">
        <v>1.0729166666666901</v>
      </c>
      <c r="D907" s="7">
        <v>1.0833333333333599</v>
      </c>
      <c r="E907" s="30">
        <v>750</v>
      </c>
      <c r="F907" s="15">
        <v>544.13</v>
      </c>
      <c r="G907" s="4">
        <f t="shared" si="180"/>
        <v>205.87</v>
      </c>
      <c r="H907" s="9">
        <f t="shared" si="181"/>
        <v>5.1467499999999999E-2</v>
      </c>
      <c r="I907" s="4"/>
      <c r="J907" s="64">
        <v>540</v>
      </c>
      <c r="K907" s="31">
        <f t="shared" si="178"/>
        <v>4.1299999999999955</v>
      </c>
      <c r="L907" s="14">
        <f t="shared" si="179"/>
        <v>1.0324999999999989E-3</v>
      </c>
      <c r="M907" s="4"/>
    </row>
    <row r="908" spans="2:13">
      <c r="B908" s="43"/>
      <c r="C908" s="7">
        <v>1.0833333333333599</v>
      </c>
      <c r="D908" s="7">
        <v>1.09375000000003</v>
      </c>
      <c r="E908" s="30">
        <v>750</v>
      </c>
      <c r="F908" s="15">
        <v>544.29999999999995</v>
      </c>
      <c r="G908" s="4">
        <f t="shared" si="180"/>
        <v>205.70000000000005</v>
      </c>
      <c r="H908" s="9">
        <f t="shared" si="181"/>
        <v>5.1425000000000012E-2</v>
      </c>
      <c r="I908" s="4"/>
      <c r="J908" s="64">
        <v>540</v>
      </c>
      <c r="K908" s="31">
        <f t="shared" si="178"/>
        <v>4.2999999999999545</v>
      </c>
      <c r="L908" s="14">
        <f t="shared" si="179"/>
        <v>1.0749999999999887E-3</v>
      </c>
      <c r="M908" s="4"/>
    </row>
    <row r="909" spans="2:13">
      <c r="B909" s="43"/>
      <c r="C909" s="7">
        <v>1.09375000000003</v>
      </c>
      <c r="D909" s="7">
        <v>1.1041666666667</v>
      </c>
      <c r="E909" s="30">
        <v>750</v>
      </c>
      <c r="F909" s="15">
        <v>544.24</v>
      </c>
      <c r="G909" s="4">
        <f t="shared" si="180"/>
        <v>205.76</v>
      </c>
      <c r="H909" s="9">
        <f t="shared" si="181"/>
        <v>5.144E-2</v>
      </c>
      <c r="I909" s="4"/>
      <c r="J909" s="64">
        <v>540</v>
      </c>
      <c r="K909" s="31">
        <f t="shared" si="178"/>
        <v>4.2400000000000091</v>
      </c>
      <c r="L909" s="14">
        <f t="shared" si="179"/>
        <v>1.0600000000000023E-3</v>
      </c>
      <c r="M909" s="4"/>
    </row>
    <row r="910" spans="2:13">
      <c r="B910" s="43"/>
      <c r="C910" s="7">
        <v>1.1041666666667</v>
      </c>
      <c r="D910" s="7">
        <v>1.1145833333333699</v>
      </c>
      <c r="E910" s="30">
        <v>750</v>
      </c>
      <c r="F910" s="15">
        <v>543.05999999999995</v>
      </c>
      <c r="G910" s="4">
        <f t="shared" si="180"/>
        <v>206.94000000000005</v>
      </c>
      <c r="H910" s="9">
        <f t="shared" si="181"/>
        <v>5.1735000000000017E-2</v>
      </c>
      <c r="I910" s="4"/>
      <c r="J910" s="64">
        <v>540</v>
      </c>
      <c r="K910" s="31">
        <f t="shared" si="178"/>
        <v>3.0599999999999454</v>
      </c>
      <c r="L910" s="14">
        <f t="shared" si="179"/>
        <v>7.6499999999998639E-4</v>
      </c>
      <c r="M910" s="4"/>
    </row>
    <row r="911" spans="2:13">
      <c r="B911" s="43"/>
      <c r="C911" s="7">
        <v>1.1145833333333699</v>
      </c>
      <c r="D911" s="7">
        <v>1.12500000000004</v>
      </c>
      <c r="E911" s="30">
        <v>750</v>
      </c>
      <c r="F911" s="15">
        <v>540.97</v>
      </c>
      <c r="G911" s="4">
        <f t="shared" si="180"/>
        <v>209.02999999999997</v>
      </c>
      <c r="H911" s="9">
        <f t="shared" si="181"/>
        <v>5.2257499999999991E-2</v>
      </c>
      <c r="I911" s="4"/>
      <c r="J911" s="64">
        <v>540</v>
      </c>
      <c r="K911" s="31">
        <f t="shared" si="178"/>
        <v>0.97000000000002728</v>
      </c>
      <c r="L911" s="14">
        <f t="shared" si="179"/>
        <v>2.4250000000000682E-4</v>
      </c>
      <c r="M911" s="4"/>
    </row>
    <row r="912" spans="2:13">
      <c r="B912" s="43"/>
      <c r="C912" s="7">
        <v>1.12500000000004</v>
      </c>
      <c r="D912" s="7">
        <v>1.13541666666671</v>
      </c>
      <c r="E912" s="30">
        <v>750</v>
      </c>
      <c r="F912" s="15">
        <v>542.13</v>
      </c>
      <c r="G912" s="4">
        <f t="shared" si="180"/>
        <v>207.87</v>
      </c>
      <c r="H912" s="9">
        <f t="shared" si="181"/>
        <v>5.19675E-2</v>
      </c>
      <c r="I912" s="4"/>
      <c r="J912" s="64">
        <v>540</v>
      </c>
      <c r="K912" s="31">
        <f t="shared" si="178"/>
        <v>2.1299999999999955</v>
      </c>
      <c r="L912" s="14">
        <f t="shared" si="179"/>
        <v>5.324999999999989E-4</v>
      </c>
      <c r="M912" s="4"/>
    </row>
    <row r="913" spans="2:13">
      <c r="B913" s="43"/>
      <c r="C913" s="7">
        <v>1.13541666666671</v>
      </c>
      <c r="D913" s="7">
        <v>1.1458333333333801</v>
      </c>
      <c r="E913" s="30">
        <v>750</v>
      </c>
      <c r="F913" s="15">
        <v>541.82000000000005</v>
      </c>
      <c r="G913" s="4">
        <f t="shared" si="180"/>
        <v>208.17999999999995</v>
      </c>
      <c r="H913" s="9">
        <f t="shared" si="181"/>
        <v>5.2044999999999987E-2</v>
      </c>
      <c r="I913" s="4"/>
      <c r="J913" s="64">
        <v>540</v>
      </c>
      <c r="K913" s="31">
        <f t="shared" si="178"/>
        <v>1.82000000000005</v>
      </c>
      <c r="L913" s="14">
        <f t="shared" si="179"/>
        <v>4.5500000000001252E-4</v>
      </c>
      <c r="M913" s="4"/>
    </row>
    <row r="914" spans="2:13">
      <c r="B914" s="43"/>
      <c r="C914" s="7">
        <v>1.1458333333333801</v>
      </c>
      <c r="D914" s="7">
        <v>1.15625000000005</v>
      </c>
      <c r="E914" s="30">
        <v>750</v>
      </c>
      <c r="F914" s="15">
        <v>541.75</v>
      </c>
      <c r="G914" s="4">
        <f t="shared" si="180"/>
        <v>208.25</v>
      </c>
      <c r="H914" s="9">
        <f t="shared" si="181"/>
        <v>5.2062499999999998E-2</v>
      </c>
      <c r="I914" s="4"/>
      <c r="J914" s="64">
        <v>540</v>
      </c>
      <c r="K914" s="31">
        <f t="shared" si="178"/>
        <v>1.75</v>
      </c>
      <c r="L914" s="14">
        <f t="shared" si="179"/>
        <v>4.3750000000000001E-4</v>
      </c>
      <c r="M914" s="4"/>
    </row>
    <row r="915" spans="2:13">
      <c r="B915" s="43"/>
      <c r="C915" s="7">
        <v>1.15625000000005</v>
      </c>
      <c r="D915" s="7">
        <v>1.16666666666672</v>
      </c>
      <c r="E915" s="30">
        <v>750</v>
      </c>
      <c r="F915" s="15">
        <v>542.89</v>
      </c>
      <c r="G915" s="4">
        <f t="shared" si="180"/>
        <v>207.11</v>
      </c>
      <c r="H915" s="9">
        <f t="shared" si="181"/>
        <v>5.1777500000000004E-2</v>
      </c>
      <c r="I915" s="4"/>
      <c r="J915" s="64">
        <v>540</v>
      </c>
      <c r="K915" s="31">
        <f t="shared" si="178"/>
        <v>2.8899999999999864</v>
      </c>
      <c r="L915" s="14">
        <f t="shared" si="179"/>
        <v>7.2249999999999658E-4</v>
      </c>
      <c r="M915" s="4"/>
    </row>
    <row r="916" spans="2:13">
      <c r="B916" s="43"/>
      <c r="C916" s="7">
        <v>1.16666666666672</v>
      </c>
      <c r="D916" s="7">
        <v>1.1770833333333901</v>
      </c>
      <c r="E916" s="30">
        <v>750</v>
      </c>
      <c r="F916" s="15">
        <v>542.04</v>
      </c>
      <c r="G916" s="4">
        <f t="shared" si="180"/>
        <v>207.96000000000004</v>
      </c>
      <c r="H916" s="9">
        <f t="shared" si="181"/>
        <v>5.1990000000000008E-2</v>
      </c>
      <c r="I916" s="4"/>
      <c r="J916" s="64">
        <v>540</v>
      </c>
      <c r="K916" s="31">
        <f t="shared" si="178"/>
        <v>2.0399999999999636</v>
      </c>
      <c r="L916" s="14">
        <f t="shared" si="179"/>
        <v>5.0999999999999093E-4</v>
      </c>
      <c r="M916" s="4"/>
    </row>
    <row r="917" spans="2:13">
      <c r="B917" s="43"/>
      <c r="C917" s="7">
        <v>1.1770833333333901</v>
      </c>
      <c r="D917" s="7">
        <v>1.18750000000006</v>
      </c>
      <c r="E917" s="30">
        <v>750</v>
      </c>
      <c r="F917" s="15">
        <v>541.85</v>
      </c>
      <c r="G917" s="4">
        <f t="shared" si="180"/>
        <v>208.14999999999998</v>
      </c>
      <c r="H917" s="9">
        <f t="shared" si="181"/>
        <v>5.2037499999999993E-2</v>
      </c>
      <c r="I917" s="4"/>
      <c r="J917" s="64">
        <v>540</v>
      </c>
      <c r="K917" s="31">
        <f t="shared" si="178"/>
        <v>1.8500000000000227</v>
      </c>
      <c r="L917" s="14">
        <f t="shared" si="179"/>
        <v>4.6250000000000566E-4</v>
      </c>
      <c r="M917" s="4"/>
    </row>
    <row r="918" spans="2:13">
      <c r="B918" s="43"/>
      <c r="C918" s="7">
        <v>1.18750000000006</v>
      </c>
      <c r="D918" s="7">
        <v>1.19791666666673</v>
      </c>
      <c r="E918" s="30">
        <v>750</v>
      </c>
      <c r="F918" s="15">
        <v>542.04999999999995</v>
      </c>
      <c r="G918" s="4">
        <f t="shared" si="180"/>
        <v>207.95000000000005</v>
      </c>
      <c r="H918" s="9">
        <f t="shared" si="181"/>
        <v>5.1987500000000013E-2</v>
      </c>
      <c r="I918" s="4"/>
      <c r="J918" s="64">
        <v>540</v>
      </c>
      <c r="K918" s="31">
        <f t="shared" si="178"/>
        <v>2.0499999999999545</v>
      </c>
      <c r="L918" s="14">
        <f t="shared" si="179"/>
        <v>5.1249999999998866E-4</v>
      </c>
      <c r="M918" s="4"/>
    </row>
    <row r="919" spans="2:13">
      <c r="B919" s="43"/>
      <c r="C919" s="7">
        <v>1.19791666666673</v>
      </c>
      <c r="D919" s="35">
        <v>1.2083333333334001</v>
      </c>
      <c r="E919" s="30">
        <v>750</v>
      </c>
      <c r="F919" s="15">
        <v>546.71</v>
      </c>
      <c r="G919" s="4">
        <f t="shared" si="180"/>
        <v>203.28999999999996</v>
      </c>
      <c r="H919" s="9">
        <f t="shared" si="181"/>
        <v>5.0822499999999993E-2</v>
      </c>
      <c r="I919" s="4"/>
      <c r="J919" s="64">
        <v>540</v>
      </c>
      <c r="K919" s="31">
        <f t="shared" si="178"/>
        <v>6.7100000000000364</v>
      </c>
      <c r="L919" s="14">
        <f t="shared" si="179"/>
        <v>1.6775000000000091E-3</v>
      </c>
      <c r="M919" s="4"/>
    </row>
    <row r="920" spans="2:13">
      <c r="B920" s="43"/>
      <c r="C920" s="7">
        <v>1.2083333333334001</v>
      </c>
      <c r="D920" s="7">
        <v>1.2187500000000699</v>
      </c>
      <c r="E920" s="30">
        <v>750</v>
      </c>
      <c r="F920" s="15">
        <v>666.12</v>
      </c>
      <c r="G920" s="4">
        <f t="shared" si="180"/>
        <v>83.88</v>
      </c>
      <c r="H920" s="9">
        <f t="shared" si="181"/>
        <v>2.0969999999999999E-2</v>
      </c>
      <c r="I920" s="4"/>
      <c r="J920" s="29">
        <f>J919+80</f>
        <v>620</v>
      </c>
      <c r="K920" s="31">
        <f>J920-F920</f>
        <v>-46.120000000000005</v>
      </c>
      <c r="L920" s="14">
        <f t="shared" si="179"/>
        <v>0</v>
      </c>
      <c r="M920" s="4"/>
    </row>
    <row r="921" spans="2:13">
      <c r="B921" s="43"/>
      <c r="C921" s="7">
        <v>1.2187500000000699</v>
      </c>
      <c r="D921" s="7">
        <v>1.22916666666674</v>
      </c>
      <c r="E921" s="30">
        <v>750</v>
      </c>
      <c r="F921" s="15">
        <v>722.67</v>
      </c>
      <c r="G921" s="4">
        <f t="shared" si="180"/>
        <v>27.330000000000041</v>
      </c>
      <c r="H921" s="9">
        <f t="shared" si="181"/>
        <v>6.8325000000000104E-3</v>
      </c>
      <c r="I921" s="4"/>
      <c r="J921" s="64">
        <f t="shared" ref="J921" si="182">J920+80</f>
        <v>700</v>
      </c>
      <c r="K921" s="31">
        <f t="shared" ref="K921:K922" si="183">J921-F921</f>
        <v>-22.669999999999959</v>
      </c>
      <c r="L921" s="14">
        <f t="shared" si="179"/>
        <v>0</v>
      </c>
      <c r="M921" s="4"/>
    </row>
    <row r="922" spans="2:13">
      <c r="B922" s="43"/>
      <c r="C922" s="7">
        <v>1.22916666666674</v>
      </c>
      <c r="D922" s="7">
        <v>1.2395833333334101</v>
      </c>
      <c r="E922" s="30">
        <v>750</v>
      </c>
      <c r="F922" s="15">
        <v>752.42</v>
      </c>
      <c r="G922" s="4">
        <f t="shared" si="180"/>
        <v>-2.4199999999999591</v>
      </c>
      <c r="H922" s="76">
        <v>0</v>
      </c>
      <c r="I922" s="4"/>
      <c r="J922" s="64">
        <v>750</v>
      </c>
      <c r="K922" s="31">
        <f t="shared" si="183"/>
        <v>-2.4199999999999591</v>
      </c>
      <c r="L922" s="14">
        <f t="shared" si="179"/>
        <v>0</v>
      </c>
      <c r="M922" s="4"/>
    </row>
    <row r="923" spans="2:13">
      <c r="B923" s="43"/>
      <c r="C923" s="7"/>
      <c r="D923" s="7"/>
      <c r="E923" s="30"/>
      <c r="F923" s="15"/>
      <c r="G923" s="4"/>
      <c r="H923" s="9"/>
      <c r="I923" s="9">
        <f>SUM(H900:H922)</f>
        <v>1.0656224999999999</v>
      </c>
      <c r="J923" s="64"/>
      <c r="K923" s="31"/>
      <c r="L923" s="14"/>
      <c r="M923" s="4">
        <f>SUM(L900:L922)</f>
        <v>1.2432499999999975E-2</v>
      </c>
    </row>
    <row r="924" spans="2:13">
      <c r="B924" s="34">
        <v>46043</v>
      </c>
      <c r="C924" s="7">
        <v>1.4375000000001401</v>
      </c>
      <c r="D924" s="7">
        <v>1.4479166666668</v>
      </c>
      <c r="E924" s="30">
        <v>750</v>
      </c>
      <c r="F924" s="15">
        <v>698.53</v>
      </c>
      <c r="G924" s="4">
        <f t="shared" si="180"/>
        <v>51.470000000000027</v>
      </c>
      <c r="H924" s="9">
        <f t="shared" si="181"/>
        <v>1.2867500000000007E-2</v>
      </c>
      <c r="I924" s="4"/>
      <c r="J924" s="29">
        <f>E924-80</f>
        <v>670</v>
      </c>
      <c r="K924" s="31">
        <f t="shared" si="178"/>
        <v>28.529999999999973</v>
      </c>
      <c r="L924" s="14"/>
      <c r="M924" s="4"/>
    </row>
    <row r="925" spans="2:13">
      <c r="B925" s="43"/>
      <c r="C925" s="7">
        <v>1.44791666666681</v>
      </c>
      <c r="D925" s="7">
        <v>1.45833333333347</v>
      </c>
      <c r="E925" s="30">
        <v>750</v>
      </c>
      <c r="F925" s="15">
        <v>609.53</v>
      </c>
      <c r="G925" s="4">
        <f t="shared" si="180"/>
        <v>140.47000000000003</v>
      </c>
      <c r="H925" s="9">
        <f t="shared" si="181"/>
        <v>3.511750000000001E-2</v>
      </c>
      <c r="I925" s="4"/>
      <c r="J925" s="29">
        <f>J924-80</f>
        <v>590</v>
      </c>
      <c r="K925" s="31">
        <f t="shared" si="178"/>
        <v>19.529999999999973</v>
      </c>
      <c r="L925" s="14">
        <f t="shared" si="179"/>
        <v>4.8824999999999927E-3</v>
      </c>
      <c r="M925" s="4"/>
    </row>
    <row r="926" spans="2:13">
      <c r="B926" s="43"/>
      <c r="C926" s="7">
        <v>1.45833333333348</v>
      </c>
      <c r="D926" s="7">
        <v>1.4687500000001401</v>
      </c>
      <c r="E926" s="30">
        <v>750</v>
      </c>
      <c r="F926" s="15">
        <v>552.01</v>
      </c>
      <c r="G926" s="4">
        <f t="shared" si="180"/>
        <v>197.99</v>
      </c>
      <c r="H926" s="9">
        <f t="shared" si="181"/>
        <v>4.94975E-2</v>
      </c>
      <c r="I926" s="4"/>
      <c r="J926" s="29">
        <v>540</v>
      </c>
      <c r="K926" s="31">
        <f t="shared" si="178"/>
        <v>12.009999999999991</v>
      </c>
      <c r="L926" s="14">
        <f t="shared" si="179"/>
        <v>3.0024999999999978E-3</v>
      </c>
      <c r="M926" s="4"/>
    </row>
    <row r="927" spans="2:13">
      <c r="B927" s="43"/>
      <c r="C927" s="7">
        <v>1.4687500000001501</v>
      </c>
      <c r="D927" s="7">
        <v>1.47916666666681</v>
      </c>
      <c r="E927" s="30">
        <v>750</v>
      </c>
      <c r="F927" s="15">
        <v>544.28</v>
      </c>
      <c r="G927" s="4">
        <f t="shared" si="180"/>
        <v>205.72000000000003</v>
      </c>
      <c r="H927" s="9">
        <f t="shared" si="181"/>
        <v>5.1430000000000003E-2</v>
      </c>
      <c r="I927" s="4"/>
      <c r="J927" s="64">
        <v>540</v>
      </c>
      <c r="K927" s="31">
        <f t="shared" si="178"/>
        <v>4.2799999999999727</v>
      </c>
      <c r="L927" s="14">
        <f t="shared" si="179"/>
        <v>1.0699999999999933E-3</v>
      </c>
      <c r="M927" s="4"/>
    </row>
    <row r="928" spans="2:13">
      <c r="B928" s="43"/>
      <c r="C928" s="7">
        <v>1.47916666666682</v>
      </c>
      <c r="D928" s="7">
        <v>1.48958333333348</v>
      </c>
      <c r="E928" s="30">
        <v>750</v>
      </c>
      <c r="F928" s="15">
        <v>538.77</v>
      </c>
      <c r="G928" s="4">
        <f t="shared" si="180"/>
        <v>211.23000000000002</v>
      </c>
      <c r="H928" s="9">
        <f t="shared" si="181"/>
        <v>5.2807500000000007E-2</v>
      </c>
      <c r="I928" s="4"/>
      <c r="J928" s="64">
        <v>540</v>
      </c>
      <c r="K928" s="31">
        <f t="shared" si="178"/>
        <v>-1.2300000000000182</v>
      </c>
      <c r="L928" s="14">
        <f t="shared" si="179"/>
        <v>0</v>
      </c>
      <c r="M928" s="4"/>
    </row>
    <row r="929" spans="2:13">
      <c r="B929" s="43"/>
      <c r="C929" s="7">
        <v>1.48958333333349</v>
      </c>
      <c r="D929" s="7">
        <v>1.5000000000001501</v>
      </c>
      <c r="E929" s="30">
        <v>750</v>
      </c>
      <c r="F929" s="15">
        <v>540.83000000000004</v>
      </c>
      <c r="G929" s="4">
        <f t="shared" si="180"/>
        <v>209.16999999999996</v>
      </c>
      <c r="H929" s="9">
        <f t="shared" si="181"/>
        <v>5.2292499999999992E-2</v>
      </c>
      <c r="I929" s="4"/>
      <c r="J929" s="64">
        <v>540</v>
      </c>
      <c r="K929" s="31">
        <f t="shared" si="178"/>
        <v>0.83000000000004093</v>
      </c>
      <c r="L929" s="14">
        <f t="shared" si="179"/>
        <v>2.0750000000001022E-4</v>
      </c>
      <c r="M929" s="4"/>
    </row>
    <row r="930" spans="2:13">
      <c r="B930" s="43"/>
      <c r="C930" s="7">
        <v>1.5000000000001601</v>
      </c>
      <c r="D930" s="7">
        <v>1.51041666666682</v>
      </c>
      <c r="E930" s="30">
        <v>750</v>
      </c>
      <c r="F930" s="15">
        <v>540.29</v>
      </c>
      <c r="G930" s="4">
        <f t="shared" si="180"/>
        <v>209.71000000000004</v>
      </c>
      <c r="H930" s="9">
        <f t="shared" si="181"/>
        <v>5.2427500000000009E-2</v>
      </c>
      <c r="I930" s="4"/>
      <c r="J930" s="64">
        <v>540</v>
      </c>
      <c r="K930" s="31">
        <f t="shared" si="178"/>
        <v>0.28999999999996362</v>
      </c>
      <c r="L930" s="14">
        <f t="shared" si="179"/>
        <v>7.2499999999990907E-5</v>
      </c>
      <c r="M930" s="4"/>
    </row>
    <row r="931" spans="2:13">
      <c r="B931" s="43"/>
      <c r="C931" s="7">
        <v>1.5104166666668299</v>
      </c>
      <c r="D931" s="7">
        <v>1.52083333333349</v>
      </c>
      <c r="E931" s="30">
        <v>750</v>
      </c>
      <c r="F931" s="15">
        <v>537.48</v>
      </c>
      <c r="G931" s="4">
        <f t="shared" si="180"/>
        <v>212.51999999999998</v>
      </c>
      <c r="H931" s="9">
        <f t="shared" si="181"/>
        <v>5.3129999999999997E-2</v>
      </c>
      <c r="I931" s="4"/>
      <c r="J931" s="64">
        <v>540</v>
      </c>
      <c r="K931" s="31">
        <f t="shared" si="178"/>
        <v>-2.5199999999999818</v>
      </c>
      <c r="L931" s="14">
        <f t="shared" si="179"/>
        <v>0</v>
      </c>
      <c r="M931" s="4"/>
    </row>
    <row r="932" spans="2:13">
      <c r="B932" s="43"/>
      <c r="C932" s="7">
        <v>1.5208333333335</v>
      </c>
      <c r="D932" s="7">
        <v>1.5312500000001601</v>
      </c>
      <c r="E932" s="30">
        <v>750</v>
      </c>
      <c r="F932" s="15">
        <v>541.73</v>
      </c>
      <c r="G932" s="4">
        <f t="shared" si="180"/>
        <v>208.26999999999998</v>
      </c>
      <c r="H932" s="9">
        <f t="shared" si="181"/>
        <v>5.2067499999999996E-2</v>
      </c>
      <c r="I932" s="4"/>
      <c r="J932" s="64">
        <v>540</v>
      </c>
      <c r="K932" s="31">
        <f t="shared" si="178"/>
        <v>1.7300000000000182</v>
      </c>
      <c r="L932" s="14">
        <f t="shared" si="179"/>
        <v>4.3250000000000455E-4</v>
      </c>
      <c r="M932" s="4"/>
    </row>
    <row r="933" spans="2:13">
      <c r="B933" s="43"/>
      <c r="C933" s="7">
        <v>1.5312500000001701</v>
      </c>
      <c r="D933" s="7">
        <v>1.5416666666668299</v>
      </c>
      <c r="E933" s="30">
        <v>750</v>
      </c>
      <c r="F933" s="15">
        <v>537.91</v>
      </c>
      <c r="G933" s="4">
        <f t="shared" si="180"/>
        <v>212.09000000000003</v>
      </c>
      <c r="H933" s="9">
        <f t="shared" si="181"/>
        <v>5.3022500000000007E-2</v>
      </c>
      <c r="I933" s="4"/>
      <c r="J933" s="64">
        <v>540</v>
      </c>
      <c r="K933" s="31">
        <f t="shared" si="178"/>
        <v>-2.0900000000000318</v>
      </c>
      <c r="L933" s="14">
        <f t="shared" si="179"/>
        <v>0</v>
      </c>
      <c r="M933" s="4"/>
    </row>
    <row r="934" spans="2:13">
      <c r="B934" s="43"/>
      <c r="C934" s="7">
        <v>1.5416666666668399</v>
      </c>
      <c r="D934" s="7">
        <v>1.5520833333335</v>
      </c>
      <c r="E934" s="30">
        <v>750</v>
      </c>
      <c r="F934" s="15">
        <v>539.4</v>
      </c>
      <c r="G934" s="4">
        <f t="shared" si="180"/>
        <v>210.60000000000002</v>
      </c>
      <c r="H934" s="9">
        <f t="shared" si="181"/>
        <v>5.2650000000000002E-2</v>
      </c>
      <c r="I934" s="4"/>
      <c r="J934" s="64">
        <v>540</v>
      </c>
      <c r="K934" s="31">
        <f t="shared" si="178"/>
        <v>-0.60000000000002274</v>
      </c>
      <c r="L934" s="14">
        <f t="shared" si="179"/>
        <v>0</v>
      </c>
      <c r="M934" s="4"/>
    </row>
    <row r="935" spans="2:13">
      <c r="B935" s="43"/>
      <c r="C935" s="7">
        <v>1.55208333333351</v>
      </c>
      <c r="D935" s="7">
        <v>1.5625000000001701</v>
      </c>
      <c r="E935" s="30">
        <v>750</v>
      </c>
      <c r="F935" s="15">
        <v>538.78</v>
      </c>
      <c r="G935" s="4">
        <f t="shared" si="180"/>
        <v>211.22000000000003</v>
      </c>
      <c r="H935" s="9">
        <f t="shared" si="181"/>
        <v>5.2805000000000005E-2</v>
      </c>
      <c r="I935" s="4"/>
      <c r="J935" s="64">
        <v>540</v>
      </c>
      <c r="K935" s="31">
        <f t="shared" si="178"/>
        <v>-1.2200000000000273</v>
      </c>
      <c r="L935" s="14">
        <f t="shared" si="179"/>
        <v>0</v>
      </c>
      <c r="M935" s="4"/>
    </row>
    <row r="936" spans="2:13">
      <c r="B936" s="43"/>
      <c r="C936" s="7">
        <v>1.5625000000001801</v>
      </c>
      <c r="D936" s="7">
        <v>1.5729166666668399</v>
      </c>
      <c r="E936" s="30">
        <v>750</v>
      </c>
      <c r="F936" s="15">
        <v>540.33000000000004</v>
      </c>
      <c r="G936" s="4">
        <f t="shared" si="180"/>
        <v>209.66999999999996</v>
      </c>
      <c r="H936" s="9">
        <f t="shared" si="181"/>
        <v>5.2417499999999992E-2</v>
      </c>
      <c r="I936" s="4"/>
      <c r="J936" s="64">
        <v>540</v>
      </c>
      <c r="K936" s="31">
        <f t="shared" si="178"/>
        <v>0.33000000000004093</v>
      </c>
      <c r="L936" s="14">
        <f t="shared" si="179"/>
        <v>8.2500000000010232E-5</v>
      </c>
      <c r="M936" s="4"/>
    </row>
    <row r="937" spans="2:13">
      <c r="B937" s="43"/>
      <c r="C937" s="7">
        <v>1.5729166666668499</v>
      </c>
      <c r="D937" s="7">
        <v>1.58333333333351</v>
      </c>
      <c r="E937" s="30">
        <v>750</v>
      </c>
      <c r="F937" s="15">
        <v>543.09</v>
      </c>
      <c r="G937" s="4">
        <f t="shared" si="180"/>
        <v>206.90999999999997</v>
      </c>
      <c r="H937" s="9">
        <f t="shared" si="181"/>
        <v>5.1727499999999989E-2</v>
      </c>
      <c r="I937" s="4"/>
      <c r="J937" s="64">
        <v>540</v>
      </c>
      <c r="K937" s="31">
        <f t="shared" si="178"/>
        <v>3.0900000000000318</v>
      </c>
      <c r="L937" s="14">
        <f t="shared" si="179"/>
        <v>7.7250000000000799E-4</v>
      </c>
      <c r="M937" s="4"/>
    </row>
    <row r="938" spans="2:13">
      <c r="B938" s="43"/>
      <c r="C938" s="7">
        <v>1.58333333333352</v>
      </c>
      <c r="D938" s="7">
        <v>1.5937500000001801</v>
      </c>
      <c r="E938" s="30">
        <v>750</v>
      </c>
      <c r="F938" s="15">
        <v>541.69000000000005</v>
      </c>
      <c r="G938" s="4">
        <f t="shared" si="180"/>
        <v>208.30999999999995</v>
      </c>
      <c r="H938" s="9">
        <f t="shared" si="181"/>
        <v>5.2077499999999985E-2</v>
      </c>
      <c r="I938" s="4"/>
      <c r="J938" s="64">
        <v>540</v>
      </c>
      <c r="K938" s="31">
        <f t="shared" si="178"/>
        <v>1.6900000000000546</v>
      </c>
      <c r="L938" s="14">
        <f t="shared" si="179"/>
        <v>4.2250000000001363E-4</v>
      </c>
      <c r="M938" s="4"/>
    </row>
    <row r="939" spans="2:13">
      <c r="B939" s="43"/>
      <c r="C939" s="7">
        <v>1.5937500000001901</v>
      </c>
      <c r="D939" s="7">
        <v>1.6041666666668499</v>
      </c>
      <c r="E939" s="30">
        <v>750</v>
      </c>
      <c r="F939" s="15">
        <v>539.04999999999995</v>
      </c>
      <c r="G939" s="4">
        <f t="shared" si="180"/>
        <v>210.95000000000005</v>
      </c>
      <c r="H939" s="9">
        <f t="shared" si="181"/>
        <v>5.2737500000000014E-2</v>
      </c>
      <c r="I939" s="4"/>
      <c r="J939" s="64">
        <v>540</v>
      </c>
      <c r="K939" s="31">
        <f t="shared" si="178"/>
        <v>-0.95000000000004547</v>
      </c>
      <c r="L939" s="14">
        <f t="shared" si="179"/>
        <v>0</v>
      </c>
      <c r="M939" s="4"/>
    </row>
    <row r="940" spans="2:13">
      <c r="B940" s="43"/>
      <c r="C940" s="7">
        <v>1.6041666666668599</v>
      </c>
      <c r="D940" s="7">
        <v>1.61458333333352</v>
      </c>
      <c r="E940" s="30">
        <v>750</v>
      </c>
      <c r="F940" s="15">
        <v>542.03</v>
      </c>
      <c r="G940" s="4">
        <f t="shared" si="180"/>
        <v>207.97000000000003</v>
      </c>
      <c r="H940" s="9">
        <f t="shared" si="181"/>
        <v>5.1992500000000004E-2</v>
      </c>
      <c r="I940" s="4"/>
      <c r="J940" s="64">
        <v>540</v>
      </c>
      <c r="K940" s="31">
        <f t="shared" ref="K940:K997" si="184">F940-J940</f>
        <v>2.0299999999999727</v>
      </c>
      <c r="L940" s="14">
        <f t="shared" si="179"/>
        <v>5.074999999999932E-4</v>
      </c>
      <c r="M940" s="4"/>
    </row>
    <row r="941" spans="2:13">
      <c r="B941" s="43"/>
      <c r="C941" s="7">
        <v>1.61458333333353</v>
      </c>
      <c r="D941" s="35">
        <v>1.6250000000001901</v>
      </c>
      <c r="E941" s="30">
        <v>750</v>
      </c>
      <c r="F941" s="15">
        <v>541.39</v>
      </c>
      <c r="G941" s="4">
        <f t="shared" si="180"/>
        <v>208.61</v>
      </c>
      <c r="H941" s="9">
        <f t="shared" si="181"/>
        <v>5.2152500000000004E-2</v>
      </c>
      <c r="I941" s="4"/>
      <c r="J941" s="64">
        <v>540</v>
      </c>
      <c r="K941" s="31">
        <f t="shared" si="184"/>
        <v>1.3899999999999864</v>
      </c>
      <c r="L941" s="14">
        <f t="shared" si="179"/>
        <v>3.4749999999999657E-4</v>
      </c>
      <c r="M941" s="4"/>
    </row>
    <row r="942" spans="2:13">
      <c r="B942" s="43"/>
      <c r="C942" s="7">
        <v>1.6250000000002001</v>
      </c>
      <c r="D942" s="7">
        <v>1.6354166666668599</v>
      </c>
      <c r="E942" s="30">
        <v>750</v>
      </c>
      <c r="F942" s="15">
        <v>575.71</v>
      </c>
      <c r="G942" s="4">
        <f t="shared" si="180"/>
        <v>174.28999999999996</v>
      </c>
      <c r="H942" s="9">
        <f t="shared" si="181"/>
        <v>4.3572499999999993E-2</v>
      </c>
      <c r="I942" s="4"/>
      <c r="J942" s="29">
        <f>J941+80</f>
        <v>620</v>
      </c>
      <c r="K942" s="31">
        <f>J942-F942</f>
        <v>44.289999999999964</v>
      </c>
      <c r="L942" s="14">
        <f t="shared" si="179"/>
        <v>1.107249999999999E-2</v>
      </c>
      <c r="M942" s="4"/>
    </row>
    <row r="943" spans="2:13">
      <c r="B943" s="43"/>
      <c r="C943" s="7">
        <v>1.6354166666668699</v>
      </c>
      <c r="D943" s="7">
        <v>1.64583333333353</v>
      </c>
      <c r="E943" s="30">
        <v>750</v>
      </c>
      <c r="F943" s="15">
        <v>677.67</v>
      </c>
      <c r="G943" s="4">
        <f t="shared" si="180"/>
        <v>72.330000000000041</v>
      </c>
      <c r="H943" s="9">
        <f t="shared" si="181"/>
        <v>1.8082500000000012E-2</v>
      </c>
      <c r="I943" s="4"/>
      <c r="J943" s="64">
        <f t="shared" ref="J943" si="185">J942+80</f>
        <v>700</v>
      </c>
      <c r="K943" s="31">
        <f t="shared" ref="K943:K944" si="186">J943-F943</f>
        <v>22.330000000000041</v>
      </c>
      <c r="L943" s="14">
        <f t="shared" si="179"/>
        <v>5.5825000000000102E-3</v>
      </c>
      <c r="M943" s="4"/>
    </row>
    <row r="944" spans="2:13">
      <c r="B944" s="43"/>
      <c r="C944" s="7">
        <v>1.64583333333354</v>
      </c>
      <c r="D944" s="7">
        <v>1.6562500000002001</v>
      </c>
      <c r="E944" s="30">
        <v>750</v>
      </c>
      <c r="F944" s="15">
        <v>748.46</v>
      </c>
      <c r="G944" s="4">
        <f t="shared" si="180"/>
        <v>1.5399999999999636</v>
      </c>
      <c r="H944" s="9">
        <f t="shared" si="181"/>
        <v>3.8499999999999093E-4</v>
      </c>
      <c r="I944" s="4"/>
      <c r="J944" s="64">
        <v>750</v>
      </c>
      <c r="K944" s="31">
        <f t="shared" si="186"/>
        <v>1.5399999999999636</v>
      </c>
      <c r="L944" s="14">
        <f t="shared" si="179"/>
        <v>3.8499999999999093E-4</v>
      </c>
      <c r="M944" s="4"/>
    </row>
    <row r="945" spans="2:13">
      <c r="B945" s="43"/>
      <c r="C945" s="7"/>
      <c r="D945" s="7"/>
      <c r="E945" s="30"/>
      <c r="F945" s="15"/>
      <c r="G945" s="4"/>
      <c r="H945" s="9"/>
      <c r="I945" s="9">
        <f>SUM(H924:H944)</f>
        <v>0.9452600000000001</v>
      </c>
      <c r="J945" s="29"/>
      <c r="K945" s="31"/>
      <c r="L945" s="14"/>
      <c r="M945" s="4">
        <f>SUM(L924:L944)</f>
        <v>2.8839999999999998E-2</v>
      </c>
    </row>
    <row r="946" spans="2:13">
      <c r="B946" s="34">
        <v>46043</v>
      </c>
      <c r="C946" s="7">
        <v>1.87500000000029</v>
      </c>
      <c r="D946" s="7">
        <v>1.8854166666669401</v>
      </c>
      <c r="E946" s="30">
        <v>750</v>
      </c>
      <c r="F946" s="15">
        <v>730.68</v>
      </c>
      <c r="G946" s="4">
        <f t="shared" si="180"/>
        <v>19.32000000000005</v>
      </c>
      <c r="H946" s="9">
        <f t="shared" si="181"/>
        <v>4.8300000000000122E-3</v>
      </c>
      <c r="I946" s="4"/>
      <c r="J946" s="29">
        <f>E946-55</f>
        <v>695</v>
      </c>
      <c r="K946" s="31">
        <f t="shared" si="184"/>
        <v>35.67999999999995</v>
      </c>
      <c r="L946" s="14"/>
      <c r="M946" s="4"/>
    </row>
    <row r="947" spans="2:13">
      <c r="B947" s="43"/>
      <c r="C947" s="7">
        <v>1.8854166666669601</v>
      </c>
      <c r="D947" s="7">
        <v>1.8958333333336099</v>
      </c>
      <c r="E947" s="30">
        <v>750</v>
      </c>
      <c r="F947" s="15">
        <v>642.77</v>
      </c>
      <c r="G947" s="4">
        <f t="shared" si="180"/>
        <v>107.23000000000002</v>
      </c>
      <c r="H947" s="9">
        <f t="shared" si="181"/>
        <v>2.6807500000000005E-2</v>
      </c>
      <c r="I947" s="4"/>
      <c r="J947" s="29">
        <f>J946-80</f>
        <v>615</v>
      </c>
      <c r="K947" s="31">
        <f t="shared" si="184"/>
        <v>27.769999999999982</v>
      </c>
      <c r="L947" s="14">
        <f t="shared" si="179"/>
        <v>6.9424999999999955E-3</v>
      </c>
      <c r="M947" s="4"/>
    </row>
    <row r="948" spans="2:13">
      <c r="B948" s="43"/>
      <c r="C948" s="7">
        <v>1.8958333333336299</v>
      </c>
      <c r="D948" s="7">
        <v>1.90625000000028</v>
      </c>
      <c r="E948" s="30">
        <v>750</v>
      </c>
      <c r="F948" s="15">
        <v>579.05999999999995</v>
      </c>
      <c r="G948" s="4">
        <f t="shared" si="180"/>
        <v>170.94000000000005</v>
      </c>
      <c r="H948" s="9">
        <f t="shared" si="181"/>
        <v>4.2735000000000016E-2</v>
      </c>
      <c r="I948" s="4"/>
      <c r="J948" s="64">
        <v>540</v>
      </c>
      <c r="K948" s="31">
        <f t="shared" si="184"/>
        <v>39.059999999999945</v>
      </c>
      <c r="L948" s="14">
        <f t="shared" si="179"/>
        <v>9.7649999999999855E-3</v>
      </c>
      <c r="M948" s="4"/>
    </row>
    <row r="949" spans="2:13">
      <c r="B949" s="43"/>
      <c r="C949" s="7">
        <v>1.9062500000003</v>
      </c>
      <c r="D949" s="7">
        <v>1.9166666666669501</v>
      </c>
      <c r="E949" s="30">
        <v>750</v>
      </c>
      <c r="F949" s="15">
        <v>540.38</v>
      </c>
      <c r="G949" s="4">
        <f t="shared" si="180"/>
        <v>209.62</v>
      </c>
      <c r="H949" s="9">
        <f t="shared" si="181"/>
        <v>5.2405E-2</v>
      </c>
      <c r="I949" s="4"/>
      <c r="J949" s="64">
        <v>540</v>
      </c>
      <c r="K949" s="31">
        <f t="shared" si="184"/>
        <v>0.37999999999999545</v>
      </c>
      <c r="L949" s="14">
        <f t="shared" si="179"/>
        <v>9.4999999999998867E-5</v>
      </c>
      <c r="M949" s="4"/>
    </row>
    <row r="950" spans="2:13">
      <c r="B950" s="43"/>
      <c r="C950" s="7">
        <v>1.9166666666669701</v>
      </c>
      <c r="D950" s="7">
        <v>1.9270833333336199</v>
      </c>
      <c r="E950" s="30">
        <v>750</v>
      </c>
      <c r="F950" s="15">
        <v>542.77</v>
      </c>
      <c r="G950" s="4">
        <f t="shared" si="180"/>
        <v>207.23000000000002</v>
      </c>
      <c r="H950" s="9">
        <f t="shared" si="181"/>
        <v>5.1807500000000006E-2</v>
      </c>
      <c r="I950" s="4"/>
      <c r="J950" s="64">
        <v>540</v>
      </c>
      <c r="K950" s="31">
        <f t="shared" si="184"/>
        <v>2.7699999999999818</v>
      </c>
      <c r="L950" s="14">
        <f t="shared" si="179"/>
        <v>6.9249999999999542E-4</v>
      </c>
      <c r="M950" s="4"/>
    </row>
    <row r="951" spans="2:13">
      <c r="B951" s="43"/>
      <c r="C951" s="7">
        <v>1.9270833333336399</v>
      </c>
      <c r="D951" s="7">
        <v>1.93750000000029</v>
      </c>
      <c r="E951" s="30">
        <v>750</v>
      </c>
      <c r="F951" s="15">
        <v>536.65</v>
      </c>
      <c r="G951" s="4">
        <f t="shared" si="180"/>
        <v>213.35000000000002</v>
      </c>
      <c r="H951" s="9">
        <f t="shared" si="181"/>
        <v>5.3337500000000003E-2</v>
      </c>
      <c r="I951" s="4"/>
      <c r="J951" s="64">
        <v>540</v>
      </c>
      <c r="K951" s="31">
        <f t="shared" si="184"/>
        <v>-3.3500000000000227</v>
      </c>
      <c r="L951" s="14">
        <f t="shared" si="179"/>
        <v>0</v>
      </c>
      <c r="M951" s="4"/>
    </row>
    <row r="952" spans="2:13">
      <c r="B952" s="43"/>
      <c r="C952" s="7">
        <v>1.93750000000031</v>
      </c>
      <c r="D952" s="7">
        <v>1.9479166666669601</v>
      </c>
      <c r="E952" s="30">
        <v>750</v>
      </c>
      <c r="F952" s="15">
        <v>539.32000000000005</v>
      </c>
      <c r="G952" s="4">
        <f t="shared" si="180"/>
        <v>210.67999999999995</v>
      </c>
      <c r="H952" s="9">
        <f t="shared" si="181"/>
        <v>5.2669999999999988E-2</v>
      </c>
      <c r="I952" s="4"/>
      <c r="J952" s="64">
        <v>540</v>
      </c>
      <c r="K952" s="31">
        <f t="shared" si="184"/>
        <v>-0.67999999999994998</v>
      </c>
      <c r="L952" s="14">
        <f t="shared" ref="L952:L1008" si="187">IF(K952/4000&gt;0,K952/4000,0)</f>
        <v>0</v>
      </c>
      <c r="M952" s="4"/>
    </row>
    <row r="953" spans="2:13">
      <c r="B953" s="43"/>
      <c r="C953" s="7">
        <v>1.94791666666698</v>
      </c>
      <c r="D953" s="7">
        <v>1.9583333333336299</v>
      </c>
      <c r="E953" s="30">
        <v>750</v>
      </c>
      <c r="F953" s="15">
        <v>541.9</v>
      </c>
      <c r="G953" s="4">
        <f t="shared" si="180"/>
        <v>208.10000000000002</v>
      </c>
      <c r="H953" s="9">
        <f t="shared" si="181"/>
        <v>5.2025000000000009E-2</v>
      </c>
      <c r="I953" s="4"/>
      <c r="J953" s="64">
        <v>540</v>
      </c>
      <c r="K953" s="31">
        <f t="shared" si="184"/>
        <v>1.8999999999999773</v>
      </c>
      <c r="L953" s="14">
        <f t="shared" si="187"/>
        <v>4.7499999999999431E-4</v>
      </c>
      <c r="M953" s="4"/>
    </row>
    <row r="954" spans="2:13">
      <c r="B954" s="43"/>
      <c r="C954" s="7">
        <v>1.9583333333336499</v>
      </c>
      <c r="D954" s="7">
        <v>1.9687500000003</v>
      </c>
      <c r="E954" s="30">
        <v>750</v>
      </c>
      <c r="F954" s="15">
        <v>540.55999999999995</v>
      </c>
      <c r="G954" s="4">
        <f t="shared" si="180"/>
        <v>209.44000000000005</v>
      </c>
      <c r="H954" s="9">
        <f t="shared" si="181"/>
        <v>5.2360000000000011E-2</v>
      </c>
      <c r="I954" s="4"/>
      <c r="J954" s="64">
        <v>540</v>
      </c>
      <c r="K954" s="31">
        <f t="shared" si="184"/>
        <v>0.55999999999994543</v>
      </c>
      <c r="L954" s="14">
        <f t="shared" si="187"/>
        <v>1.3999999999998635E-4</v>
      </c>
      <c r="M954" s="4"/>
    </row>
    <row r="955" spans="2:13">
      <c r="B955" s="43"/>
      <c r="C955" s="7">
        <v>1.96875000000032</v>
      </c>
      <c r="D955" s="7">
        <v>1.9791666666669701</v>
      </c>
      <c r="E955" s="30">
        <v>750</v>
      </c>
      <c r="F955" s="15">
        <v>540.73</v>
      </c>
      <c r="G955" s="4">
        <f t="shared" si="180"/>
        <v>209.26999999999998</v>
      </c>
      <c r="H955" s="9">
        <f t="shared" si="181"/>
        <v>5.2317499999999996E-2</v>
      </c>
      <c r="I955" s="4"/>
      <c r="J955" s="64">
        <v>540</v>
      </c>
      <c r="K955" s="31">
        <f t="shared" si="184"/>
        <v>0.73000000000001819</v>
      </c>
      <c r="L955" s="14">
        <f t="shared" si="187"/>
        <v>1.8250000000000454E-4</v>
      </c>
      <c r="M955" s="4"/>
    </row>
    <row r="956" spans="2:13">
      <c r="B956" s="43"/>
      <c r="C956" s="7">
        <v>1.97916666666699</v>
      </c>
      <c r="D956" s="7">
        <v>1.9895833333336399</v>
      </c>
      <c r="E956" s="30">
        <v>750</v>
      </c>
      <c r="F956" s="15">
        <v>540.64</v>
      </c>
      <c r="G956" s="4">
        <f t="shared" si="180"/>
        <v>209.36</v>
      </c>
      <c r="H956" s="9">
        <f t="shared" si="181"/>
        <v>5.2340000000000005E-2</v>
      </c>
      <c r="I956" s="4"/>
      <c r="J956" s="64">
        <v>540</v>
      </c>
      <c r="K956" s="31">
        <f t="shared" si="184"/>
        <v>0.63999999999998636</v>
      </c>
      <c r="L956" s="14">
        <f t="shared" si="187"/>
        <v>1.599999999999966E-4</v>
      </c>
      <c r="M956" s="4"/>
    </row>
    <row r="957" spans="2:13">
      <c r="B957" s="43"/>
      <c r="C957" s="7">
        <v>1.9895833333336601</v>
      </c>
      <c r="D957" s="7">
        <v>2.00000000000031</v>
      </c>
      <c r="E957" s="30">
        <v>750</v>
      </c>
      <c r="F957" s="48">
        <v>539.57000000000005</v>
      </c>
      <c r="G957" s="4">
        <f t="shared" si="180"/>
        <v>210.42999999999995</v>
      </c>
      <c r="H957" s="9">
        <f t="shared" si="181"/>
        <v>5.2607499999999988E-2</v>
      </c>
      <c r="I957" s="4"/>
      <c r="J957" s="64">
        <v>540</v>
      </c>
      <c r="K957" s="31">
        <f t="shared" si="184"/>
        <v>-0.42999999999994998</v>
      </c>
      <c r="L957" s="14">
        <f t="shared" si="187"/>
        <v>0</v>
      </c>
      <c r="M957" s="4"/>
    </row>
    <row r="958" spans="2:13">
      <c r="B958" s="43"/>
      <c r="C958" s="43"/>
      <c r="D958" s="43"/>
      <c r="E958" s="4"/>
      <c r="F958" s="4"/>
      <c r="G958" s="4"/>
      <c r="H958" s="9"/>
      <c r="I958" s="9">
        <f>SUM(H946:H957)</f>
        <v>0.54624250000000008</v>
      </c>
      <c r="J958" s="29"/>
      <c r="K958" s="31"/>
      <c r="L958" s="14"/>
      <c r="M958" s="4">
        <f>SUM(L946:L957)</f>
        <v>1.8452499999999955E-2</v>
      </c>
    </row>
    <row r="959" spans="2:13">
      <c r="B959" s="34">
        <v>46044</v>
      </c>
      <c r="C959" s="7">
        <v>1</v>
      </c>
      <c r="D959" s="7">
        <v>1.0104166666666701</v>
      </c>
      <c r="E959" s="30">
        <v>800</v>
      </c>
      <c r="F959" s="60">
        <v>540.62</v>
      </c>
      <c r="G959" s="4">
        <f t="shared" si="180"/>
        <v>259.38</v>
      </c>
      <c r="H959" s="9">
        <f t="shared" si="181"/>
        <v>6.4845E-2</v>
      </c>
      <c r="I959" s="4"/>
      <c r="J959" s="29">
        <v>540</v>
      </c>
      <c r="K959" s="31">
        <f t="shared" si="184"/>
        <v>0.62000000000000455</v>
      </c>
      <c r="L959" s="14"/>
      <c r="M959" s="4"/>
    </row>
    <row r="960" spans="2:13">
      <c r="B960" s="43"/>
      <c r="C960" s="7">
        <v>1.0104166666666701</v>
      </c>
      <c r="D960" s="7">
        <v>1.0208333333333399</v>
      </c>
      <c r="E960" s="30">
        <v>800</v>
      </c>
      <c r="F960" s="60">
        <v>540.66</v>
      </c>
      <c r="G960" s="4">
        <f t="shared" si="180"/>
        <v>259.34000000000003</v>
      </c>
      <c r="H960" s="9">
        <f t="shared" si="181"/>
        <v>6.4835000000000004E-2</v>
      </c>
      <c r="I960" s="4"/>
      <c r="J960" s="29">
        <v>540</v>
      </c>
      <c r="K960" s="31">
        <f t="shared" si="184"/>
        <v>0.65999999999996817</v>
      </c>
      <c r="L960" s="14">
        <f t="shared" si="187"/>
        <v>1.6499999999999203E-4</v>
      </c>
      <c r="M960" s="4"/>
    </row>
    <row r="961" spans="2:13">
      <c r="B961" s="43"/>
      <c r="C961" s="7">
        <v>1.0208333333333399</v>
      </c>
      <c r="D961" s="7">
        <v>1.03125000000001</v>
      </c>
      <c r="E961" s="30">
        <v>800</v>
      </c>
      <c r="F961" s="60">
        <v>540.25</v>
      </c>
      <c r="G961" s="4">
        <f t="shared" si="180"/>
        <v>259.75</v>
      </c>
      <c r="H961" s="9">
        <f t="shared" si="181"/>
        <v>6.4937499999999995E-2</v>
      </c>
      <c r="I961" s="4"/>
      <c r="J961" s="64">
        <v>540</v>
      </c>
      <c r="K961" s="31">
        <f t="shared" si="184"/>
        <v>0.25</v>
      </c>
      <c r="L961" s="14">
        <f t="shared" si="187"/>
        <v>6.2500000000000001E-5</v>
      </c>
      <c r="M961" s="4"/>
    </row>
    <row r="962" spans="2:13">
      <c r="B962" s="43"/>
      <c r="C962" s="7">
        <v>1.03125000000001</v>
      </c>
      <c r="D962" s="7">
        <v>1.0416666666666801</v>
      </c>
      <c r="E962" s="30">
        <v>800</v>
      </c>
      <c r="F962" s="60">
        <v>539.1</v>
      </c>
      <c r="G962" s="4">
        <f t="shared" si="180"/>
        <v>260.89999999999998</v>
      </c>
      <c r="H962" s="9">
        <f t="shared" si="181"/>
        <v>6.5224999999999991E-2</v>
      </c>
      <c r="I962" s="4"/>
      <c r="J962" s="64">
        <v>540</v>
      </c>
      <c r="K962" s="31">
        <f t="shared" si="184"/>
        <v>-0.89999999999997726</v>
      </c>
      <c r="L962" s="14">
        <f t="shared" si="187"/>
        <v>0</v>
      </c>
      <c r="M962" s="4"/>
    </row>
    <row r="963" spans="2:13">
      <c r="B963" s="43"/>
      <c r="C963" s="7">
        <v>1.0416666666666801</v>
      </c>
      <c r="D963" s="7">
        <v>1.0520833333333499</v>
      </c>
      <c r="E963" s="30">
        <v>800</v>
      </c>
      <c r="F963" s="60">
        <v>537.74</v>
      </c>
      <c r="G963" s="4">
        <f t="shared" si="180"/>
        <v>262.26</v>
      </c>
      <c r="H963" s="9">
        <f t="shared" si="181"/>
        <v>6.5564999999999998E-2</v>
      </c>
      <c r="I963" s="4"/>
      <c r="J963" s="64">
        <v>540</v>
      </c>
      <c r="K963" s="31">
        <f t="shared" si="184"/>
        <v>-2.2599999999999909</v>
      </c>
      <c r="L963" s="14">
        <f t="shared" si="187"/>
        <v>0</v>
      </c>
      <c r="M963" s="4"/>
    </row>
    <row r="964" spans="2:13">
      <c r="B964" s="43"/>
      <c r="C964" s="7">
        <v>1.0520833333333499</v>
      </c>
      <c r="D964" s="7">
        <v>1.06250000000002</v>
      </c>
      <c r="E964" s="30">
        <v>800</v>
      </c>
      <c r="F964" s="60">
        <v>542.75</v>
      </c>
      <c r="G964" s="4">
        <f t="shared" si="180"/>
        <v>257.25</v>
      </c>
      <c r="H964" s="9">
        <f t="shared" si="181"/>
        <v>6.4312499999999995E-2</v>
      </c>
      <c r="I964" s="4"/>
      <c r="J964" s="64">
        <v>540</v>
      </c>
      <c r="K964" s="31">
        <f t="shared" si="184"/>
        <v>2.75</v>
      </c>
      <c r="L964" s="14">
        <f t="shared" si="187"/>
        <v>6.8749999999999996E-4</v>
      </c>
      <c r="M964" s="4"/>
    </row>
    <row r="965" spans="2:13">
      <c r="B965" s="43"/>
      <c r="C965" s="7">
        <v>1.06250000000002</v>
      </c>
      <c r="D965" s="7">
        <v>1.0729166666666901</v>
      </c>
      <c r="E965" s="30">
        <v>800</v>
      </c>
      <c r="F965" s="60">
        <v>539.65</v>
      </c>
      <c r="G965" s="4">
        <f t="shared" ref="G965:G1021" si="188">E965-F965</f>
        <v>260.35000000000002</v>
      </c>
      <c r="H965" s="9">
        <f t="shared" ref="H965:H1021" si="189">G965/4000</f>
        <v>6.5087500000000006E-2</v>
      </c>
      <c r="I965" s="4"/>
      <c r="J965" s="64">
        <v>540</v>
      </c>
      <c r="K965" s="31">
        <f t="shared" si="184"/>
        <v>-0.35000000000002274</v>
      </c>
      <c r="L965" s="14">
        <f t="shared" si="187"/>
        <v>0</v>
      </c>
      <c r="M965" s="4"/>
    </row>
    <row r="966" spans="2:13">
      <c r="B966" s="43"/>
      <c r="C966" s="7">
        <v>1.0729166666666901</v>
      </c>
      <c r="D966" s="7">
        <v>1.0833333333333599</v>
      </c>
      <c r="E966" s="30">
        <v>800</v>
      </c>
      <c r="F966" s="60">
        <v>542.83000000000004</v>
      </c>
      <c r="G966" s="4">
        <f t="shared" si="188"/>
        <v>257.16999999999996</v>
      </c>
      <c r="H966" s="9">
        <f t="shared" si="189"/>
        <v>6.4292499999999989E-2</v>
      </c>
      <c r="I966" s="4"/>
      <c r="J966" s="64">
        <v>540</v>
      </c>
      <c r="K966" s="31">
        <f t="shared" si="184"/>
        <v>2.8300000000000409</v>
      </c>
      <c r="L966" s="14">
        <f t="shared" si="187"/>
        <v>7.075000000000102E-4</v>
      </c>
      <c r="M966" s="4"/>
    </row>
    <row r="967" spans="2:13">
      <c r="B967" s="43"/>
      <c r="C967" s="7">
        <v>1.0833333333333599</v>
      </c>
      <c r="D967" s="7">
        <v>1.09375000000003</v>
      </c>
      <c r="E967" s="30">
        <v>800</v>
      </c>
      <c r="F967" s="60">
        <v>537.41999999999996</v>
      </c>
      <c r="G967" s="4">
        <f t="shared" si="188"/>
        <v>262.58000000000004</v>
      </c>
      <c r="H967" s="9">
        <f t="shared" si="189"/>
        <v>6.5645000000000009E-2</v>
      </c>
      <c r="I967" s="4"/>
      <c r="J967" s="64">
        <v>540</v>
      </c>
      <c r="K967" s="31">
        <f t="shared" si="184"/>
        <v>-2.5800000000000409</v>
      </c>
      <c r="L967" s="14">
        <f t="shared" si="187"/>
        <v>0</v>
      </c>
      <c r="M967" s="4"/>
    </row>
    <row r="968" spans="2:13">
      <c r="B968" s="43"/>
      <c r="C968" s="7">
        <v>1.09375000000003</v>
      </c>
      <c r="D968" s="7">
        <v>1.1041666666667</v>
      </c>
      <c r="E968" s="30">
        <v>800</v>
      </c>
      <c r="F968" s="60">
        <v>540.55999999999995</v>
      </c>
      <c r="G968" s="4">
        <f t="shared" si="188"/>
        <v>259.44000000000005</v>
      </c>
      <c r="H968" s="9">
        <f t="shared" si="189"/>
        <v>6.4860000000000015E-2</v>
      </c>
      <c r="I968" s="4"/>
      <c r="J968" s="64">
        <v>540</v>
      </c>
      <c r="K968" s="31">
        <f t="shared" si="184"/>
        <v>0.55999999999994543</v>
      </c>
      <c r="L968" s="14">
        <f t="shared" si="187"/>
        <v>1.3999999999998635E-4</v>
      </c>
      <c r="M968" s="4"/>
    </row>
    <row r="969" spans="2:13">
      <c r="B969" s="43"/>
      <c r="C969" s="7">
        <v>1.1041666666667</v>
      </c>
      <c r="D969" s="7">
        <v>1.1145833333333699</v>
      </c>
      <c r="E969" s="30">
        <v>800</v>
      </c>
      <c r="F969" s="60">
        <v>540.6</v>
      </c>
      <c r="G969" s="4">
        <f t="shared" si="188"/>
        <v>259.39999999999998</v>
      </c>
      <c r="H969" s="9">
        <f t="shared" si="189"/>
        <v>6.4849999999999991E-2</v>
      </c>
      <c r="I969" s="4"/>
      <c r="J969" s="64">
        <v>540</v>
      </c>
      <c r="K969" s="31">
        <f t="shared" si="184"/>
        <v>0.60000000000002274</v>
      </c>
      <c r="L969" s="14">
        <f t="shared" si="187"/>
        <v>1.5000000000000568E-4</v>
      </c>
      <c r="M969" s="4"/>
    </row>
    <row r="970" spans="2:13">
      <c r="B970" s="43"/>
      <c r="C970" s="7">
        <v>1.1145833333333699</v>
      </c>
      <c r="D970" s="7">
        <v>1.12500000000004</v>
      </c>
      <c r="E970" s="30">
        <v>800</v>
      </c>
      <c r="F970" s="60">
        <v>541.27</v>
      </c>
      <c r="G970" s="4">
        <f t="shared" si="188"/>
        <v>258.73</v>
      </c>
      <c r="H970" s="9">
        <f t="shared" si="189"/>
        <v>6.4682500000000004E-2</v>
      </c>
      <c r="I970" s="4"/>
      <c r="J970" s="64">
        <v>540</v>
      </c>
      <c r="K970" s="31">
        <f t="shared" si="184"/>
        <v>1.2699999999999818</v>
      </c>
      <c r="L970" s="14">
        <f t="shared" si="187"/>
        <v>3.1749999999999547E-4</v>
      </c>
      <c r="M970" s="4"/>
    </row>
    <row r="971" spans="2:13">
      <c r="B971" s="43"/>
      <c r="C971" s="7">
        <v>1.12500000000004</v>
      </c>
      <c r="D971" s="7">
        <v>1.13541666666671</v>
      </c>
      <c r="E971" s="30">
        <v>800</v>
      </c>
      <c r="F971" s="60">
        <v>544.86</v>
      </c>
      <c r="G971" s="4">
        <f t="shared" si="188"/>
        <v>255.14</v>
      </c>
      <c r="H971" s="9">
        <f t="shared" si="189"/>
        <v>6.3784999999999994E-2</v>
      </c>
      <c r="I971" s="4"/>
      <c r="J971" s="64">
        <v>540</v>
      </c>
      <c r="K971" s="31">
        <f t="shared" si="184"/>
        <v>4.8600000000000136</v>
      </c>
      <c r="L971" s="14">
        <f t="shared" si="187"/>
        <v>1.2150000000000034E-3</v>
      </c>
      <c r="M971" s="4"/>
    </row>
    <row r="972" spans="2:13">
      <c r="B972" s="43"/>
      <c r="C972" s="7">
        <v>1.13541666666671</v>
      </c>
      <c r="D972" s="7">
        <v>1.1458333333333801</v>
      </c>
      <c r="E972" s="30">
        <v>800</v>
      </c>
      <c r="F972" s="60">
        <v>543.21</v>
      </c>
      <c r="G972" s="4">
        <f t="shared" si="188"/>
        <v>256.78999999999996</v>
      </c>
      <c r="H972" s="9">
        <f t="shared" si="189"/>
        <v>6.4197499999999991E-2</v>
      </c>
      <c r="I972" s="4"/>
      <c r="J972" s="64">
        <v>540</v>
      </c>
      <c r="K972" s="31">
        <f t="shared" si="184"/>
        <v>3.2100000000000364</v>
      </c>
      <c r="L972" s="14">
        <f t="shared" si="187"/>
        <v>8.0250000000000904E-4</v>
      </c>
      <c r="M972" s="4"/>
    </row>
    <row r="973" spans="2:13">
      <c r="B973" s="43"/>
      <c r="C973" s="7">
        <v>1.1458333333333801</v>
      </c>
      <c r="D973" s="7">
        <v>1.15625000000005</v>
      </c>
      <c r="E973" s="30">
        <v>800</v>
      </c>
      <c r="F973" s="60">
        <v>544.21</v>
      </c>
      <c r="G973" s="4">
        <f t="shared" si="188"/>
        <v>255.78999999999996</v>
      </c>
      <c r="H973" s="9">
        <f t="shared" si="189"/>
        <v>6.394749999999999E-2</v>
      </c>
      <c r="I973" s="4"/>
      <c r="J973" s="64">
        <v>540</v>
      </c>
      <c r="K973" s="31">
        <f t="shared" si="184"/>
        <v>4.2100000000000364</v>
      </c>
      <c r="L973" s="14">
        <f t="shared" si="187"/>
        <v>1.0525000000000092E-3</v>
      </c>
      <c r="M973" s="4"/>
    </row>
    <row r="974" spans="2:13">
      <c r="B974" s="43"/>
      <c r="C974" s="7">
        <v>1.15625000000005</v>
      </c>
      <c r="D974" s="7">
        <v>1.16666666666672</v>
      </c>
      <c r="E974" s="30">
        <v>800</v>
      </c>
      <c r="F974" s="60">
        <v>544.37</v>
      </c>
      <c r="G974" s="4">
        <f t="shared" si="188"/>
        <v>255.63</v>
      </c>
      <c r="H974" s="9">
        <f t="shared" si="189"/>
        <v>6.3907499999999992E-2</v>
      </c>
      <c r="I974" s="4"/>
      <c r="J974" s="64">
        <v>540</v>
      </c>
      <c r="K974" s="31">
        <f t="shared" si="184"/>
        <v>4.3700000000000045</v>
      </c>
      <c r="L974" s="14">
        <f t="shared" si="187"/>
        <v>1.0925000000000012E-3</v>
      </c>
      <c r="M974" s="4"/>
    </row>
    <row r="975" spans="2:13">
      <c r="B975" s="43"/>
      <c r="C975" s="7">
        <v>1.16666666666672</v>
      </c>
      <c r="D975" s="7">
        <v>1.1770833333333901</v>
      </c>
      <c r="E975" s="30">
        <v>800</v>
      </c>
      <c r="F975" s="60">
        <v>546.78</v>
      </c>
      <c r="G975" s="4">
        <f t="shared" si="188"/>
        <v>253.22000000000003</v>
      </c>
      <c r="H975" s="9">
        <f t="shared" si="189"/>
        <v>6.3305E-2</v>
      </c>
      <c r="I975" s="4"/>
      <c r="J975" s="64">
        <v>540</v>
      </c>
      <c r="K975" s="31">
        <f t="shared" si="184"/>
        <v>6.7799999999999727</v>
      </c>
      <c r="L975" s="14">
        <f t="shared" si="187"/>
        <v>1.6949999999999932E-3</v>
      </c>
      <c r="M975" s="4"/>
    </row>
    <row r="976" spans="2:13">
      <c r="B976" s="43"/>
      <c r="C976" s="7">
        <v>1.1770833333333901</v>
      </c>
      <c r="D976" s="7">
        <v>1.18750000000006</v>
      </c>
      <c r="E976" s="30">
        <v>800</v>
      </c>
      <c r="F976" s="60">
        <v>544.14</v>
      </c>
      <c r="G976" s="4">
        <f t="shared" si="188"/>
        <v>255.86</v>
      </c>
      <c r="H976" s="9">
        <f t="shared" si="189"/>
        <v>6.3965000000000008E-2</v>
      </c>
      <c r="I976" s="4"/>
      <c r="J976" s="64">
        <v>540</v>
      </c>
      <c r="K976" s="31">
        <f t="shared" si="184"/>
        <v>4.1399999999999864</v>
      </c>
      <c r="L976" s="14">
        <f t="shared" si="187"/>
        <v>1.0349999999999966E-3</v>
      </c>
      <c r="M976" s="4"/>
    </row>
    <row r="977" spans="2:13">
      <c r="B977" s="43"/>
      <c r="C977" s="7">
        <v>1.18750000000006</v>
      </c>
      <c r="D977" s="7">
        <v>1.19791666666673</v>
      </c>
      <c r="E977" s="30">
        <v>800</v>
      </c>
      <c r="F977" s="60">
        <v>544.54</v>
      </c>
      <c r="G977" s="4">
        <f t="shared" si="188"/>
        <v>255.46000000000004</v>
      </c>
      <c r="H977" s="9">
        <f t="shared" si="189"/>
        <v>6.3865000000000005E-2</v>
      </c>
      <c r="I977" s="4"/>
      <c r="J977" s="64">
        <v>540</v>
      </c>
      <c r="K977" s="31">
        <f t="shared" si="184"/>
        <v>4.5399999999999636</v>
      </c>
      <c r="L977" s="14">
        <f t="shared" si="187"/>
        <v>1.1349999999999908E-3</v>
      </c>
      <c r="M977" s="4"/>
    </row>
    <row r="978" spans="2:13">
      <c r="B978" s="43"/>
      <c r="C978" s="7">
        <v>1.19791666666673</v>
      </c>
      <c r="D978" s="7">
        <v>1.2083333333334001</v>
      </c>
      <c r="E978" s="30">
        <v>800</v>
      </c>
      <c r="F978" s="60">
        <v>544.49</v>
      </c>
      <c r="G978" s="4">
        <f t="shared" si="188"/>
        <v>255.51</v>
      </c>
      <c r="H978" s="9">
        <f t="shared" si="189"/>
        <v>6.3877500000000004E-2</v>
      </c>
      <c r="I978" s="4"/>
      <c r="J978" s="64">
        <v>540</v>
      </c>
      <c r="K978" s="31">
        <f t="shared" si="184"/>
        <v>4.4900000000000091</v>
      </c>
      <c r="L978" s="14">
        <f t="shared" si="187"/>
        <v>1.1225000000000022E-3</v>
      </c>
      <c r="M978" s="4"/>
    </row>
    <row r="979" spans="2:13">
      <c r="B979" s="43"/>
      <c r="C979" s="7">
        <v>1.2083333333334001</v>
      </c>
      <c r="D979" s="35">
        <v>1.2187500000000699</v>
      </c>
      <c r="E979" s="30">
        <v>800</v>
      </c>
      <c r="F979" s="60">
        <v>548.71</v>
      </c>
      <c r="G979" s="4">
        <f t="shared" si="188"/>
        <v>251.28999999999996</v>
      </c>
      <c r="H979" s="9">
        <f t="shared" si="189"/>
        <v>6.2822499999999989E-2</v>
      </c>
      <c r="I979" s="4"/>
      <c r="J979" s="64">
        <f>J978+30</f>
        <v>570</v>
      </c>
      <c r="K979" s="31">
        <f t="shared" si="184"/>
        <v>-21.289999999999964</v>
      </c>
      <c r="L979" s="14">
        <f t="shared" si="187"/>
        <v>0</v>
      </c>
      <c r="M979" s="4"/>
    </row>
    <row r="980" spans="2:13">
      <c r="B980" s="43"/>
      <c r="C980" s="7">
        <v>1.2187500000000699</v>
      </c>
      <c r="D980" s="7">
        <v>1.22916666666674</v>
      </c>
      <c r="E980" s="30">
        <v>800</v>
      </c>
      <c r="F980" s="60">
        <v>658.21</v>
      </c>
      <c r="G980" s="4">
        <f t="shared" si="188"/>
        <v>141.78999999999996</v>
      </c>
      <c r="H980" s="9">
        <f t="shared" si="189"/>
        <v>3.5447499999999993E-2</v>
      </c>
      <c r="I980" s="4"/>
      <c r="J980" s="29">
        <f>J979+80</f>
        <v>650</v>
      </c>
      <c r="K980" s="31">
        <f>J980-F980</f>
        <v>-8.2100000000000364</v>
      </c>
      <c r="L980" s="14">
        <f t="shared" si="187"/>
        <v>0</v>
      </c>
      <c r="M980" s="4"/>
    </row>
    <row r="981" spans="2:13">
      <c r="B981" s="43"/>
      <c r="C981" s="7">
        <v>1.22916666666674</v>
      </c>
      <c r="D981" s="7">
        <v>1.2395833333334101</v>
      </c>
      <c r="E981" s="30">
        <v>800</v>
      </c>
      <c r="F981" s="60">
        <v>790.5</v>
      </c>
      <c r="G981" s="4">
        <f t="shared" si="188"/>
        <v>9.5</v>
      </c>
      <c r="H981" s="9">
        <f t="shared" si="189"/>
        <v>2.3749999999999999E-3</v>
      </c>
      <c r="I981" s="4"/>
      <c r="J981" s="64">
        <f t="shared" ref="J981" si="190">J980+80</f>
        <v>730</v>
      </c>
      <c r="K981" s="31">
        <f t="shared" ref="K981:K982" si="191">J981-F981</f>
        <v>-60.5</v>
      </c>
      <c r="L981" s="14">
        <f t="shared" si="187"/>
        <v>0</v>
      </c>
      <c r="M981" s="4"/>
    </row>
    <row r="982" spans="2:13">
      <c r="B982" s="43"/>
      <c r="C982" s="7">
        <v>1.2395833333334101</v>
      </c>
      <c r="D982" s="7">
        <v>1.2500000000000799</v>
      </c>
      <c r="E982" s="30">
        <v>800</v>
      </c>
      <c r="F982" s="60">
        <v>810.71</v>
      </c>
      <c r="G982" s="4">
        <f t="shared" si="188"/>
        <v>-10.710000000000036</v>
      </c>
      <c r="H982" s="76">
        <v>0</v>
      </c>
      <c r="I982" s="4"/>
      <c r="J982" s="64">
        <v>800</v>
      </c>
      <c r="K982" s="31">
        <f t="shared" si="191"/>
        <v>-10.710000000000036</v>
      </c>
      <c r="L982" s="14">
        <f t="shared" si="187"/>
        <v>0</v>
      </c>
      <c r="M982" s="4"/>
    </row>
    <row r="983" spans="2:13">
      <c r="B983" s="43"/>
      <c r="C983" s="7"/>
      <c r="D983" s="7"/>
      <c r="E983" s="30"/>
      <c r="F983" s="60"/>
      <c r="G983" s="4"/>
      <c r="H983" s="9"/>
      <c r="I983" s="9">
        <f>SUM(H959:H982)</f>
        <v>1.3906325000000002</v>
      </c>
      <c r="J983" s="64"/>
      <c r="K983" s="31"/>
      <c r="L983" s="14"/>
      <c r="M983" s="4">
        <f>SUM(L959:L982)</f>
        <v>1.1379999999999994E-2</v>
      </c>
    </row>
    <row r="984" spans="2:13">
      <c r="B984" s="34">
        <v>46044</v>
      </c>
      <c r="C984" s="7">
        <v>1.4375000000001401</v>
      </c>
      <c r="D984" s="7">
        <v>1.4479166666668</v>
      </c>
      <c r="E984" s="30">
        <v>800</v>
      </c>
      <c r="F984" s="60">
        <v>745.98</v>
      </c>
      <c r="G984" s="4">
        <f t="shared" si="188"/>
        <v>54.019999999999982</v>
      </c>
      <c r="H984" s="9">
        <f t="shared" si="189"/>
        <v>1.3504999999999996E-2</v>
      </c>
      <c r="I984" s="4"/>
      <c r="J984" s="29">
        <f>E984-80</f>
        <v>720</v>
      </c>
      <c r="K984" s="31">
        <f t="shared" si="184"/>
        <v>25.980000000000018</v>
      </c>
      <c r="L984" s="14"/>
      <c r="M984" s="4"/>
    </row>
    <row r="985" spans="2:13">
      <c r="B985" s="43"/>
      <c r="C985" s="7">
        <v>1.44791666666681</v>
      </c>
      <c r="D985" s="7">
        <v>1.45833333333347</v>
      </c>
      <c r="E985" s="30">
        <v>800</v>
      </c>
      <c r="F985" s="60">
        <v>636.51</v>
      </c>
      <c r="G985" s="4">
        <f t="shared" si="188"/>
        <v>163.49</v>
      </c>
      <c r="H985" s="9">
        <f t="shared" si="189"/>
        <v>4.0872499999999999E-2</v>
      </c>
      <c r="I985" s="4"/>
      <c r="J985" s="29">
        <f>J984-80</f>
        <v>640</v>
      </c>
      <c r="K985" s="31">
        <f t="shared" si="184"/>
        <v>-3.4900000000000091</v>
      </c>
      <c r="L985" s="14">
        <f t="shared" si="187"/>
        <v>0</v>
      </c>
      <c r="M985" s="4"/>
    </row>
    <row r="986" spans="2:13">
      <c r="B986" s="43"/>
      <c r="C986" s="7">
        <v>1.45833333333348</v>
      </c>
      <c r="D986" s="7">
        <v>1.4687500000001401</v>
      </c>
      <c r="E986" s="30">
        <v>800</v>
      </c>
      <c r="F986" s="60">
        <v>566.37</v>
      </c>
      <c r="G986" s="4">
        <f t="shared" si="188"/>
        <v>233.63</v>
      </c>
      <c r="H986" s="9">
        <f t="shared" si="189"/>
        <v>5.8407500000000001E-2</v>
      </c>
      <c r="I986" s="4"/>
      <c r="J986" s="64">
        <f>J985-80</f>
        <v>560</v>
      </c>
      <c r="K986" s="31">
        <f t="shared" si="184"/>
        <v>6.3700000000000045</v>
      </c>
      <c r="L986" s="14">
        <f t="shared" si="187"/>
        <v>1.592500000000001E-3</v>
      </c>
      <c r="M986" s="4"/>
    </row>
    <row r="987" spans="2:13">
      <c r="B987" s="43"/>
      <c r="C987" s="7">
        <v>1.4687500000001501</v>
      </c>
      <c r="D987" s="7">
        <v>1.47916666666681</v>
      </c>
      <c r="E987" s="30">
        <v>800</v>
      </c>
      <c r="F987" s="60">
        <v>541.16</v>
      </c>
      <c r="G987" s="4">
        <f t="shared" si="188"/>
        <v>258.84000000000003</v>
      </c>
      <c r="H987" s="9">
        <f t="shared" si="189"/>
        <v>6.4710000000000004E-2</v>
      </c>
      <c r="I987" s="4"/>
      <c r="J987" s="29">
        <v>540</v>
      </c>
      <c r="K987" s="31">
        <f t="shared" si="184"/>
        <v>1.1599999999999682</v>
      </c>
      <c r="L987" s="14">
        <f t="shared" si="187"/>
        <v>2.8999999999999203E-4</v>
      </c>
      <c r="M987" s="4"/>
    </row>
    <row r="988" spans="2:13">
      <c r="B988" s="43"/>
      <c r="C988" s="7">
        <v>1.47916666666682</v>
      </c>
      <c r="D988" s="7">
        <v>1.48958333333348</v>
      </c>
      <c r="E988" s="30">
        <v>800</v>
      </c>
      <c r="F988" s="60">
        <v>548.15</v>
      </c>
      <c r="G988" s="4">
        <f t="shared" si="188"/>
        <v>251.85000000000002</v>
      </c>
      <c r="H988" s="9">
        <f t="shared" si="189"/>
        <v>6.2962500000000005E-2</v>
      </c>
      <c r="I988" s="4"/>
      <c r="J988" s="64">
        <v>540</v>
      </c>
      <c r="K988" s="31">
        <f t="shared" si="184"/>
        <v>8.1499999999999773</v>
      </c>
      <c r="L988" s="14">
        <f t="shared" si="187"/>
        <v>2.0374999999999942E-3</v>
      </c>
      <c r="M988" s="4"/>
    </row>
    <row r="989" spans="2:13">
      <c r="B989" s="43"/>
      <c r="C989" s="7">
        <v>1.48958333333349</v>
      </c>
      <c r="D989" s="7">
        <v>1.5000000000001501</v>
      </c>
      <c r="E989" s="30">
        <v>800</v>
      </c>
      <c r="F989" s="60">
        <v>542.97</v>
      </c>
      <c r="G989" s="4">
        <f t="shared" si="188"/>
        <v>257.02999999999997</v>
      </c>
      <c r="H989" s="9">
        <f t="shared" si="189"/>
        <v>6.4257499999999995E-2</v>
      </c>
      <c r="I989" s="4"/>
      <c r="J989" s="64">
        <v>540</v>
      </c>
      <c r="K989" s="31">
        <f t="shared" si="184"/>
        <v>2.9700000000000273</v>
      </c>
      <c r="L989" s="14">
        <f t="shared" si="187"/>
        <v>7.4250000000000683E-4</v>
      </c>
      <c r="M989" s="4"/>
    </row>
    <row r="990" spans="2:13">
      <c r="B990" s="43"/>
      <c r="C990" s="7">
        <v>1.5000000000001601</v>
      </c>
      <c r="D990" s="7">
        <v>1.51041666666682</v>
      </c>
      <c r="E990" s="30">
        <v>800</v>
      </c>
      <c r="F990" s="60">
        <v>544.11</v>
      </c>
      <c r="G990" s="4">
        <f t="shared" si="188"/>
        <v>255.89</v>
      </c>
      <c r="H990" s="9">
        <f t="shared" si="189"/>
        <v>6.3972500000000002E-2</v>
      </c>
      <c r="I990" s="4"/>
      <c r="J990" s="64">
        <v>540</v>
      </c>
      <c r="K990" s="31">
        <f t="shared" si="184"/>
        <v>4.1100000000000136</v>
      </c>
      <c r="L990" s="14">
        <f t="shared" si="187"/>
        <v>1.0275000000000035E-3</v>
      </c>
      <c r="M990" s="4"/>
    </row>
    <row r="991" spans="2:13">
      <c r="B991" s="43"/>
      <c r="C991" s="7">
        <v>1.5104166666668299</v>
      </c>
      <c r="D991" s="35">
        <v>1.52083333333349</v>
      </c>
      <c r="E991" s="30">
        <v>800</v>
      </c>
      <c r="F991" s="60">
        <v>544.55999999999995</v>
      </c>
      <c r="G991" s="4">
        <f t="shared" si="188"/>
        <v>255.44000000000005</v>
      </c>
      <c r="H991" s="9">
        <f t="shared" si="189"/>
        <v>6.3860000000000014E-2</v>
      </c>
      <c r="I991" s="4"/>
      <c r="J991" s="64">
        <v>540</v>
      </c>
      <c r="K991" s="31">
        <f t="shared" si="184"/>
        <v>4.5599999999999454</v>
      </c>
      <c r="L991" s="14">
        <f t="shared" si="187"/>
        <v>1.1399999999999863E-3</v>
      </c>
      <c r="M991" s="4"/>
    </row>
    <row r="992" spans="2:13">
      <c r="B992" s="43"/>
      <c r="C992" s="7">
        <v>1.5208333333335</v>
      </c>
      <c r="D992" s="7">
        <v>1.5312500000001601</v>
      </c>
      <c r="E992" s="30">
        <v>800</v>
      </c>
      <c r="F992" s="60">
        <v>606.76</v>
      </c>
      <c r="G992" s="4">
        <f t="shared" si="188"/>
        <v>193.24</v>
      </c>
      <c r="H992" s="9">
        <f t="shared" si="189"/>
        <v>4.8310000000000006E-2</v>
      </c>
      <c r="I992" s="4"/>
      <c r="J992" s="29">
        <f>J991+80</f>
        <v>620</v>
      </c>
      <c r="K992" s="31">
        <f>J992-F992</f>
        <v>13.240000000000009</v>
      </c>
      <c r="L992" s="14">
        <f t="shared" si="187"/>
        <v>3.3100000000000022E-3</v>
      </c>
      <c r="M992" s="4"/>
    </row>
    <row r="993" spans="2:13">
      <c r="B993" s="43"/>
      <c r="C993" s="7">
        <v>1.5312500000001701</v>
      </c>
      <c r="D993" s="7">
        <v>1.5416666666668299</v>
      </c>
      <c r="E993" s="30">
        <v>800</v>
      </c>
      <c r="F993" s="60">
        <v>689.47</v>
      </c>
      <c r="G993" s="4">
        <f t="shared" si="188"/>
        <v>110.52999999999997</v>
      </c>
      <c r="H993" s="9">
        <f t="shared" si="189"/>
        <v>2.7632499999999994E-2</v>
      </c>
      <c r="I993" s="4"/>
      <c r="J993" s="64">
        <f t="shared" ref="J993:J994" si="192">J992+80</f>
        <v>700</v>
      </c>
      <c r="K993" s="31">
        <f t="shared" ref="K993:K994" si="193">J993-F993</f>
        <v>10.529999999999973</v>
      </c>
      <c r="L993" s="14">
        <f t="shared" si="187"/>
        <v>2.6324999999999934E-3</v>
      </c>
      <c r="M993" s="4"/>
    </row>
    <row r="994" spans="2:13">
      <c r="B994" s="43"/>
      <c r="C994" s="7">
        <v>1.5416666666668399</v>
      </c>
      <c r="D994" s="7">
        <v>1.5520833333335</v>
      </c>
      <c r="E994" s="30">
        <v>800</v>
      </c>
      <c r="F994" s="60">
        <v>790.68</v>
      </c>
      <c r="G994" s="4">
        <f t="shared" si="188"/>
        <v>9.32000000000005</v>
      </c>
      <c r="H994" s="9">
        <f t="shared" si="189"/>
        <v>2.3300000000000126E-3</v>
      </c>
      <c r="I994" s="4"/>
      <c r="J994" s="64">
        <f t="shared" si="192"/>
        <v>780</v>
      </c>
      <c r="K994" s="31">
        <f t="shared" si="193"/>
        <v>-10.67999999999995</v>
      </c>
      <c r="L994" s="14">
        <f t="shared" si="187"/>
        <v>0</v>
      </c>
      <c r="M994" s="4"/>
    </row>
    <row r="995" spans="2:13">
      <c r="B995" s="43"/>
      <c r="C995" s="7"/>
      <c r="D995" s="7"/>
      <c r="E995" s="30"/>
      <c r="F995" s="60"/>
      <c r="G995" s="4"/>
      <c r="H995" s="9"/>
      <c r="I995" s="9">
        <f>SUM(H984:H994)</f>
        <v>0.51082000000000005</v>
      </c>
      <c r="J995" s="29"/>
      <c r="K995" s="31"/>
      <c r="L995" s="14"/>
      <c r="M995" s="4">
        <f>SUM(L984:L994)</f>
        <v>1.2772499999999978E-2</v>
      </c>
    </row>
    <row r="996" spans="2:13">
      <c r="B996" s="34">
        <v>46044</v>
      </c>
      <c r="C996" s="7">
        <v>1.55208333333351</v>
      </c>
      <c r="D996" s="7">
        <v>1.5625000000001701</v>
      </c>
      <c r="E996" s="30">
        <v>800</v>
      </c>
      <c r="F996" s="60">
        <v>738.65</v>
      </c>
      <c r="G996" s="4">
        <f t="shared" si="188"/>
        <v>61.350000000000023</v>
      </c>
      <c r="H996" s="9">
        <f t="shared" si="189"/>
        <v>1.5337500000000006E-2</v>
      </c>
      <c r="I996" s="4"/>
      <c r="J996" s="29">
        <f>E996-80</f>
        <v>720</v>
      </c>
      <c r="K996" s="31">
        <f t="shared" si="184"/>
        <v>18.649999999999977</v>
      </c>
      <c r="L996" s="14"/>
      <c r="M996" s="4"/>
    </row>
    <row r="997" spans="2:13">
      <c r="B997" s="43"/>
      <c r="C997" s="7">
        <v>1.5625000000001801</v>
      </c>
      <c r="D997" s="7">
        <v>1.5729166666668399</v>
      </c>
      <c r="E997" s="30">
        <v>800</v>
      </c>
      <c r="F997" s="60">
        <v>607.01</v>
      </c>
      <c r="G997" s="4">
        <f t="shared" si="188"/>
        <v>192.99</v>
      </c>
      <c r="H997" s="9">
        <f t="shared" si="189"/>
        <v>4.8247500000000006E-2</v>
      </c>
      <c r="I997" s="4"/>
      <c r="J997" s="29">
        <f>J996-80</f>
        <v>640</v>
      </c>
      <c r="K997" s="31">
        <f t="shared" si="184"/>
        <v>-32.990000000000009</v>
      </c>
      <c r="L997" s="14">
        <f t="shared" si="187"/>
        <v>0</v>
      </c>
      <c r="M997" s="4"/>
    </row>
    <row r="998" spans="2:13">
      <c r="B998" s="43"/>
      <c r="C998" s="7">
        <v>1.5729166666668499</v>
      </c>
      <c r="D998" s="35">
        <v>1.58333333333351</v>
      </c>
      <c r="E998" s="30">
        <v>800</v>
      </c>
      <c r="F998" s="60">
        <v>561.20000000000005</v>
      </c>
      <c r="G998" s="4">
        <f t="shared" si="188"/>
        <v>238.79999999999995</v>
      </c>
      <c r="H998" s="9">
        <f t="shared" si="189"/>
        <v>5.9699999999999989E-2</v>
      </c>
      <c r="I998" s="4"/>
      <c r="J998" s="29">
        <f>J997+30</f>
        <v>670</v>
      </c>
      <c r="K998" s="31">
        <f>J998-F998</f>
        <v>108.79999999999995</v>
      </c>
      <c r="L998" s="14">
        <f t="shared" si="187"/>
        <v>2.7199999999999988E-2</v>
      </c>
      <c r="M998" s="4"/>
    </row>
    <row r="999" spans="2:13">
      <c r="B999" s="43"/>
      <c r="C999" s="7">
        <v>1.58333333333352</v>
      </c>
      <c r="D999" s="7">
        <v>1.5937500000001801</v>
      </c>
      <c r="E999" s="30">
        <v>800</v>
      </c>
      <c r="F999" s="60">
        <v>631.24</v>
      </c>
      <c r="G999" s="4">
        <f t="shared" si="188"/>
        <v>168.76</v>
      </c>
      <c r="H999" s="9">
        <f t="shared" si="189"/>
        <v>4.2189999999999998E-2</v>
      </c>
      <c r="I999" s="4"/>
      <c r="J999" s="29">
        <f>J998+80</f>
        <v>750</v>
      </c>
      <c r="K999" s="31">
        <f t="shared" ref="K999:K1000" si="194">J999-F999</f>
        <v>118.75999999999999</v>
      </c>
      <c r="L999" s="14">
        <f t="shared" si="187"/>
        <v>2.9689999999999998E-2</v>
      </c>
      <c r="M999" s="4"/>
    </row>
    <row r="1000" spans="2:13">
      <c r="B1000" s="43"/>
      <c r="C1000" s="7">
        <v>1.5937500000001901</v>
      </c>
      <c r="D1000" s="7">
        <v>1.6041666666668499</v>
      </c>
      <c r="E1000" s="30">
        <v>800</v>
      </c>
      <c r="F1000" s="60">
        <v>784.96</v>
      </c>
      <c r="G1000" s="4">
        <f t="shared" si="188"/>
        <v>15.039999999999964</v>
      </c>
      <c r="H1000" s="9">
        <f t="shared" si="189"/>
        <v>3.7599999999999908E-3</v>
      </c>
      <c r="I1000" s="4"/>
      <c r="J1000" s="64">
        <v>800</v>
      </c>
      <c r="K1000" s="31">
        <f t="shared" si="194"/>
        <v>15.039999999999964</v>
      </c>
      <c r="L1000" s="14">
        <f t="shared" si="187"/>
        <v>3.7599999999999908E-3</v>
      </c>
      <c r="M1000" s="4"/>
    </row>
    <row r="1001" spans="2:13">
      <c r="B1001" s="43"/>
      <c r="C1001" s="7"/>
      <c r="D1001" s="7"/>
      <c r="E1001" s="30"/>
      <c r="F1001" s="60"/>
      <c r="G1001" s="4"/>
      <c r="H1001" s="9"/>
      <c r="I1001" s="9">
        <f>SUM(H996:H1000)</f>
        <v>0.169235</v>
      </c>
      <c r="J1001" s="29"/>
      <c r="K1001" s="31"/>
      <c r="L1001" s="14"/>
      <c r="M1001" s="4">
        <f>SUM(L996:L1000)</f>
        <v>6.0649999999999975E-2</v>
      </c>
    </row>
    <row r="1002" spans="2:13">
      <c r="B1002" s="34">
        <v>46044</v>
      </c>
      <c r="C1002" s="7">
        <v>1.84375000000028</v>
      </c>
      <c r="D1002" s="7">
        <v>1.8541666666669301</v>
      </c>
      <c r="E1002" s="30">
        <v>800</v>
      </c>
      <c r="F1002" s="60">
        <v>783.63</v>
      </c>
      <c r="G1002" s="4">
        <f t="shared" si="188"/>
        <v>16.370000000000005</v>
      </c>
      <c r="H1002" s="9">
        <f t="shared" si="189"/>
        <v>4.0925000000000015E-3</v>
      </c>
      <c r="I1002" s="4"/>
      <c r="J1002" s="29">
        <f>E1002-55</f>
        <v>745</v>
      </c>
      <c r="K1002" s="31">
        <f t="shared" ref="K1002:K1057" si="195">F1002-J1002</f>
        <v>38.629999999999995</v>
      </c>
      <c r="L1002" s="14"/>
      <c r="M1002" s="4"/>
    </row>
    <row r="1003" spans="2:13">
      <c r="B1003" s="43"/>
      <c r="C1003" s="7">
        <v>1.8541666666669501</v>
      </c>
      <c r="D1003" s="7">
        <v>1.8645833333335999</v>
      </c>
      <c r="E1003" s="30">
        <v>800</v>
      </c>
      <c r="F1003" s="60">
        <v>663.13</v>
      </c>
      <c r="G1003" s="4">
        <f t="shared" si="188"/>
        <v>136.87</v>
      </c>
      <c r="H1003" s="9">
        <f t="shared" si="189"/>
        <v>3.4217499999999998E-2</v>
      </c>
      <c r="I1003" s="4"/>
      <c r="J1003" s="29">
        <f>J1002-80</f>
        <v>665</v>
      </c>
      <c r="K1003" s="31">
        <f t="shared" si="195"/>
        <v>-1.8700000000000045</v>
      </c>
      <c r="L1003" s="14">
        <f t="shared" si="187"/>
        <v>0</v>
      </c>
      <c r="M1003" s="4"/>
    </row>
    <row r="1004" spans="2:13">
      <c r="B1004" s="43"/>
      <c r="C1004" s="7">
        <v>1.8645833333336199</v>
      </c>
      <c r="D1004" s="7">
        <v>1.87500000000027</v>
      </c>
      <c r="E1004" s="30">
        <v>800</v>
      </c>
      <c r="F1004" s="60">
        <v>568.46</v>
      </c>
      <c r="G1004" s="4">
        <f t="shared" si="188"/>
        <v>231.53999999999996</v>
      </c>
      <c r="H1004" s="9">
        <f t="shared" si="189"/>
        <v>5.7884999999999992E-2</v>
      </c>
      <c r="I1004" s="4"/>
      <c r="J1004" s="64">
        <f t="shared" ref="J1004" si="196">J1003-80</f>
        <v>585</v>
      </c>
      <c r="K1004" s="31">
        <f t="shared" si="195"/>
        <v>-16.539999999999964</v>
      </c>
      <c r="L1004" s="14">
        <f t="shared" si="187"/>
        <v>0</v>
      </c>
      <c r="M1004" s="4"/>
    </row>
    <row r="1005" spans="2:13">
      <c r="B1005" s="43"/>
      <c r="C1005" s="7">
        <v>1.87500000000029</v>
      </c>
      <c r="D1005" s="7">
        <v>1.8854166666669401</v>
      </c>
      <c r="E1005" s="30">
        <v>800</v>
      </c>
      <c r="F1005" s="60">
        <v>557.83000000000004</v>
      </c>
      <c r="G1005" s="4">
        <f t="shared" si="188"/>
        <v>242.16999999999996</v>
      </c>
      <c r="H1005" s="9">
        <f t="shared" si="189"/>
        <v>6.0542499999999992E-2</v>
      </c>
      <c r="I1005" s="4"/>
      <c r="J1005" s="64">
        <v>540</v>
      </c>
      <c r="K1005" s="31">
        <f t="shared" si="195"/>
        <v>17.830000000000041</v>
      </c>
      <c r="L1005" s="14">
        <f t="shared" si="187"/>
        <v>4.4575000000000101E-3</v>
      </c>
      <c r="M1005" s="4"/>
    </row>
    <row r="1006" spans="2:13">
      <c r="B1006" s="43"/>
      <c r="C1006" s="7">
        <v>1.8854166666669601</v>
      </c>
      <c r="D1006" s="7">
        <v>1.8958333333336099</v>
      </c>
      <c r="E1006" s="30">
        <v>800</v>
      </c>
      <c r="F1006" s="60">
        <v>546.15</v>
      </c>
      <c r="G1006" s="4">
        <f t="shared" si="188"/>
        <v>253.85000000000002</v>
      </c>
      <c r="H1006" s="9">
        <f t="shared" si="189"/>
        <v>6.3462500000000005E-2</v>
      </c>
      <c r="I1006" s="4"/>
      <c r="J1006" s="64">
        <v>540</v>
      </c>
      <c r="K1006" s="31">
        <f t="shared" si="195"/>
        <v>6.1499999999999773</v>
      </c>
      <c r="L1006" s="14">
        <f t="shared" si="187"/>
        <v>1.5374999999999944E-3</v>
      </c>
      <c r="M1006" s="4"/>
    </row>
    <row r="1007" spans="2:13">
      <c r="B1007" s="43"/>
      <c r="C1007" s="7">
        <v>1.8958333333336299</v>
      </c>
      <c r="D1007" s="7">
        <v>1.90625000000028</v>
      </c>
      <c r="E1007" s="30">
        <v>800</v>
      </c>
      <c r="F1007" s="60">
        <v>541.76</v>
      </c>
      <c r="G1007" s="4">
        <f t="shared" si="188"/>
        <v>258.24</v>
      </c>
      <c r="H1007" s="9">
        <f t="shared" si="189"/>
        <v>6.4560000000000006E-2</v>
      </c>
      <c r="I1007" s="4"/>
      <c r="J1007" s="64">
        <v>540</v>
      </c>
      <c r="K1007" s="31">
        <f t="shared" si="195"/>
        <v>1.7599999999999909</v>
      </c>
      <c r="L1007" s="14">
        <f t="shared" si="187"/>
        <v>4.3999999999999774E-4</v>
      </c>
      <c r="M1007" s="4"/>
    </row>
    <row r="1008" spans="2:13">
      <c r="B1008" s="43"/>
      <c r="C1008" s="7">
        <v>1.9062500000003</v>
      </c>
      <c r="D1008" s="7">
        <v>1.9166666666669501</v>
      </c>
      <c r="E1008" s="30">
        <v>800</v>
      </c>
      <c r="F1008" s="60">
        <v>542.52</v>
      </c>
      <c r="G1008" s="4">
        <f t="shared" si="188"/>
        <v>257.48</v>
      </c>
      <c r="H1008" s="9">
        <f t="shared" si="189"/>
        <v>6.4370000000000011E-2</v>
      </c>
      <c r="I1008" s="4"/>
      <c r="J1008" s="64">
        <v>540</v>
      </c>
      <c r="K1008" s="31">
        <f t="shared" si="195"/>
        <v>2.5199999999999818</v>
      </c>
      <c r="L1008" s="14">
        <f t="shared" si="187"/>
        <v>6.2999999999999547E-4</v>
      </c>
      <c r="M1008" s="4"/>
    </row>
    <row r="1009" spans="2:13">
      <c r="B1009" s="43"/>
      <c r="C1009" s="7">
        <v>1.9166666666669701</v>
      </c>
      <c r="D1009" s="7">
        <v>1.9270833333336199</v>
      </c>
      <c r="E1009" s="30">
        <v>800</v>
      </c>
      <c r="F1009" s="60">
        <v>546.38</v>
      </c>
      <c r="G1009" s="4">
        <f t="shared" si="188"/>
        <v>253.62</v>
      </c>
      <c r="H1009" s="9">
        <f t="shared" si="189"/>
        <v>6.3405000000000003E-2</v>
      </c>
      <c r="I1009" s="4"/>
      <c r="J1009" s="64">
        <v>540</v>
      </c>
      <c r="K1009" s="31">
        <f t="shared" si="195"/>
        <v>6.3799999999999955</v>
      </c>
      <c r="L1009" s="14">
        <f t="shared" ref="L1009:L1071" si="197">IF(K1009/4000&gt;0,K1009/4000,0)</f>
        <v>1.5949999999999988E-3</v>
      </c>
      <c r="M1009" s="4"/>
    </row>
    <row r="1010" spans="2:13">
      <c r="B1010" s="43"/>
      <c r="C1010" s="7">
        <v>1.9270833333336399</v>
      </c>
      <c r="D1010" s="7">
        <v>1.93750000000029</v>
      </c>
      <c r="E1010" s="30">
        <v>800</v>
      </c>
      <c r="F1010" s="60">
        <v>545.53</v>
      </c>
      <c r="G1010" s="4">
        <f t="shared" si="188"/>
        <v>254.47000000000003</v>
      </c>
      <c r="H1010" s="9">
        <f t="shared" si="189"/>
        <v>6.3617500000000007E-2</v>
      </c>
      <c r="I1010" s="4"/>
      <c r="J1010" s="64">
        <v>540</v>
      </c>
      <c r="K1010" s="31">
        <f t="shared" si="195"/>
        <v>5.5299999999999727</v>
      </c>
      <c r="L1010" s="14">
        <f t="shared" si="197"/>
        <v>1.3824999999999931E-3</v>
      </c>
      <c r="M1010" s="4"/>
    </row>
    <row r="1011" spans="2:13">
      <c r="B1011" s="43"/>
      <c r="C1011" s="7">
        <v>1.93750000000031</v>
      </c>
      <c r="D1011" s="7">
        <v>1.9479166666669601</v>
      </c>
      <c r="E1011" s="30">
        <v>800</v>
      </c>
      <c r="F1011" s="60">
        <v>542.97</v>
      </c>
      <c r="G1011" s="4">
        <f t="shared" si="188"/>
        <v>257.02999999999997</v>
      </c>
      <c r="H1011" s="9">
        <f t="shared" si="189"/>
        <v>6.4257499999999995E-2</v>
      </c>
      <c r="I1011" s="4"/>
      <c r="J1011" s="64">
        <v>540</v>
      </c>
      <c r="K1011" s="31">
        <f t="shared" si="195"/>
        <v>2.9700000000000273</v>
      </c>
      <c r="L1011" s="14">
        <f t="shared" si="197"/>
        <v>7.4250000000000683E-4</v>
      </c>
      <c r="M1011" s="4"/>
    </row>
    <row r="1012" spans="2:13">
      <c r="B1012" s="43"/>
      <c r="C1012" s="7">
        <v>1.94791666666698</v>
      </c>
      <c r="D1012" s="7">
        <v>1.9583333333336299</v>
      </c>
      <c r="E1012" s="30">
        <v>800</v>
      </c>
      <c r="F1012" s="60">
        <v>543.28</v>
      </c>
      <c r="G1012" s="4">
        <f t="shared" si="188"/>
        <v>256.72000000000003</v>
      </c>
      <c r="H1012" s="9">
        <f t="shared" si="189"/>
        <v>6.4180000000000001E-2</v>
      </c>
      <c r="I1012" s="4"/>
      <c r="J1012" s="64">
        <v>540</v>
      </c>
      <c r="K1012" s="31">
        <f t="shared" si="195"/>
        <v>3.2799999999999727</v>
      </c>
      <c r="L1012" s="14">
        <f t="shared" si="197"/>
        <v>8.1999999999999315E-4</v>
      </c>
      <c r="M1012" s="4"/>
    </row>
    <row r="1013" spans="2:13">
      <c r="B1013" s="43"/>
      <c r="C1013" s="7">
        <v>1.9583333333336499</v>
      </c>
      <c r="D1013" s="7">
        <v>1.9687500000003</v>
      </c>
      <c r="E1013" s="30">
        <v>800</v>
      </c>
      <c r="F1013" s="60">
        <v>542.1</v>
      </c>
      <c r="G1013" s="4">
        <f t="shared" si="188"/>
        <v>257.89999999999998</v>
      </c>
      <c r="H1013" s="9">
        <f t="shared" si="189"/>
        <v>6.4474999999999991E-2</v>
      </c>
      <c r="I1013" s="4"/>
      <c r="J1013" s="64">
        <v>540</v>
      </c>
      <c r="K1013" s="31">
        <f t="shared" si="195"/>
        <v>2.1000000000000227</v>
      </c>
      <c r="L1013" s="14">
        <f t="shared" si="197"/>
        <v>5.2500000000000571E-4</v>
      </c>
      <c r="M1013" s="4"/>
    </row>
    <row r="1014" spans="2:13">
      <c r="B1014" s="43"/>
      <c r="C1014" s="7">
        <v>1.96875000000032</v>
      </c>
      <c r="D1014" s="7">
        <v>1.9791666666669701</v>
      </c>
      <c r="E1014" s="30">
        <v>800</v>
      </c>
      <c r="F1014" s="60">
        <v>543.5</v>
      </c>
      <c r="G1014" s="4">
        <f t="shared" si="188"/>
        <v>256.5</v>
      </c>
      <c r="H1014" s="9">
        <f t="shared" si="189"/>
        <v>6.4125000000000001E-2</v>
      </c>
      <c r="I1014" s="4"/>
      <c r="J1014" s="64">
        <v>540</v>
      </c>
      <c r="K1014" s="31">
        <f t="shared" si="195"/>
        <v>3.5</v>
      </c>
      <c r="L1014" s="14">
        <f t="shared" si="197"/>
        <v>8.7500000000000002E-4</v>
      </c>
      <c r="M1014" s="4"/>
    </row>
    <row r="1015" spans="2:13">
      <c r="B1015" s="43"/>
      <c r="C1015" s="7">
        <v>1.97916666666699</v>
      </c>
      <c r="D1015" s="7">
        <v>1.9895833333336399</v>
      </c>
      <c r="E1015" s="30">
        <v>800</v>
      </c>
      <c r="F1015" s="60">
        <v>545.21</v>
      </c>
      <c r="G1015" s="4">
        <f t="shared" si="188"/>
        <v>254.78999999999996</v>
      </c>
      <c r="H1015" s="9">
        <f t="shared" si="189"/>
        <v>6.369749999999999E-2</v>
      </c>
      <c r="I1015" s="4"/>
      <c r="J1015" s="64">
        <v>540</v>
      </c>
      <c r="K1015" s="31">
        <f t="shared" si="195"/>
        <v>5.2100000000000364</v>
      </c>
      <c r="L1015" s="14">
        <f t="shared" si="197"/>
        <v>1.3025000000000092E-3</v>
      </c>
      <c r="M1015" s="4"/>
    </row>
    <row r="1016" spans="2:13">
      <c r="B1016" s="43"/>
      <c r="C1016" s="7">
        <v>1.9895833333336601</v>
      </c>
      <c r="D1016" s="35">
        <v>2.00000000000031</v>
      </c>
      <c r="E1016" s="30">
        <v>800</v>
      </c>
      <c r="F1016" s="61">
        <v>545.05999999999995</v>
      </c>
      <c r="G1016" s="4">
        <f t="shared" si="188"/>
        <v>254.94000000000005</v>
      </c>
      <c r="H1016" s="9">
        <f t="shared" si="189"/>
        <v>6.3735000000000014E-2</v>
      </c>
      <c r="I1016" s="4"/>
      <c r="J1016" s="64">
        <v>540</v>
      </c>
      <c r="K1016" s="31">
        <f t="shared" si="195"/>
        <v>5.0599999999999454</v>
      </c>
      <c r="L1016" s="14">
        <f t="shared" si="197"/>
        <v>1.2649999999999864E-3</v>
      </c>
      <c r="M1016" s="4"/>
    </row>
    <row r="1017" spans="2:13">
      <c r="B1017" s="43"/>
      <c r="C1017" s="43"/>
      <c r="D1017" s="43"/>
      <c r="E1017" s="4"/>
      <c r="F1017" s="4"/>
      <c r="G1017" s="4"/>
      <c r="H1017" s="9"/>
      <c r="I1017" s="9">
        <f>SUM(H1002:H1016)</f>
        <v>0.86062249999999996</v>
      </c>
      <c r="J1017" s="29"/>
      <c r="K1017" s="31"/>
      <c r="L1017" s="14"/>
      <c r="M1017" s="4">
        <f>SUM(L1002:L1016)</f>
        <v>1.5572499999999991E-2</v>
      </c>
    </row>
    <row r="1018" spans="2:13">
      <c r="B1018" s="34">
        <v>46045</v>
      </c>
      <c r="C1018" s="7">
        <v>1</v>
      </c>
      <c r="D1018" s="7">
        <v>1.0104166666666701</v>
      </c>
      <c r="E1018" s="30">
        <v>850</v>
      </c>
      <c r="F1018" s="60">
        <v>543.27</v>
      </c>
      <c r="G1018" s="4">
        <f t="shared" si="188"/>
        <v>306.73</v>
      </c>
      <c r="H1018" s="9">
        <f t="shared" si="189"/>
        <v>7.6682500000000001E-2</v>
      </c>
      <c r="I1018" s="4"/>
      <c r="J1018" s="65">
        <v>540</v>
      </c>
      <c r="K1018" s="31">
        <f t="shared" si="195"/>
        <v>3.2699999999999818</v>
      </c>
      <c r="L1018" s="14"/>
      <c r="M1018" s="4"/>
    </row>
    <row r="1019" spans="2:13">
      <c r="B1019" s="43"/>
      <c r="C1019" s="7">
        <v>1.0104166666666701</v>
      </c>
      <c r="D1019" s="7">
        <v>1.0208333333333399</v>
      </c>
      <c r="E1019" s="30">
        <v>850</v>
      </c>
      <c r="F1019" s="60">
        <v>543.53</v>
      </c>
      <c r="G1019" s="4">
        <f t="shared" si="188"/>
        <v>306.47000000000003</v>
      </c>
      <c r="H1019" s="9">
        <f t="shared" si="189"/>
        <v>7.6617500000000005E-2</v>
      </c>
      <c r="I1019" s="4"/>
      <c r="J1019" s="65">
        <v>540</v>
      </c>
      <c r="K1019" s="31">
        <f t="shared" si="195"/>
        <v>3.5299999999999727</v>
      </c>
      <c r="L1019" s="14">
        <f t="shared" si="197"/>
        <v>8.8249999999999321E-4</v>
      </c>
      <c r="M1019" s="4"/>
    </row>
    <row r="1020" spans="2:13">
      <c r="B1020" s="43"/>
      <c r="C1020" s="7">
        <v>1.0208333333333399</v>
      </c>
      <c r="D1020" s="7">
        <v>1.03125000000001</v>
      </c>
      <c r="E1020" s="30">
        <v>850</v>
      </c>
      <c r="F1020" s="60">
        <v>545.98</v>
      </c>
      <c r="G1020" s="4">
        <f t="shared" si="188"/>
        <v>304.02</v>
      </c>
      <c r="H1020" s="9">
        <f t="shared" si="189"/>
        <v>7.6004999999999989E-2</v>
      </c>
      <c r="I1020" s="4"/>
      <c r="J1020" s="65">
        <v>540</v>
      </c>
      <c r="K1020" s="31">
        <f t="shared" si="195"/>
        <v>5.9800000000000182</v>
      </c>
      <c r="L1020" s="14">
        <f t="shared" si="197"/>
        <v>1.4950000000000046E-3</v>
      </c>
      <c r="M1020" s="4"/>
    </row>
    <row r="1021" spans="2:13">
      <c r="B1021" s="43"/>
      <c r="C1021" s="7">
        <v>1.03125000000001</v>
      </c>
      <c r="D1021" s="7">
        <v>1.0416666666666801</v>
      </c>
      <c r="E1021" s="30">
        <v>850</v>
      </c>
      <c r="F1021" s="60">
        <v>545.02</v>
      </c>
      <c r="G1021" s="4">
        <f t="shared" si="188"/>
        <v>304.98</v>
      </c>
      <c r="H1021" s="9">
        <f t="shared" si="189"/>
        <v>7.6245000000000007E-2</v>
      </c>
      <c r="I1021" s="4"/>
      <c r="J1021" s="64">
        <v>540</v>
      </c>
      <c r="K1021" s="31">
        <f t="shared" si="195"/>
        <v>5.0199999999999818</v>
      </c>
      <c r="L1021" s="14">
        <f t="shared" si="197"/>
        <v>1.2549999999999955E-3</v>
      </c>
      <c r="M1021" s="4"/>
    </row>
    <row r="1022" spans="2:13">
      <c r="B1022" s="43"/>
      <c r="C1022" s="7">
        <v>1.0416666666666801</v>
      </c>
      <c r="D1022" s="7">
        <v>1.0520833333333499</v>
      </c>
      <c r="E1022" s="30">
        <v>850</v>
      </c>
      <c r="F1022" s="60">
        <v>545.44000000000005</v>
      </c>
      <c r="G1022" s="4">
        <f t="shared" ref="G1022:G1082" si="198">E1022-F1022</f>
        <v>304.55999999999995</v>
      </c>
      <c r="H1022" s="9">
        <f t="shared" ref="H1022:H1081" si="199">G1022/4000</f>
        <v>7.6139999999999985E-2</v>
      </c>
      <c r="I1022" s="4"/>
      <c r="J1022" s="64">
        <v>540</v>
      </c>
      <c r="K1022" s="31">
        <f t="shared" si="195"/>
        <v>5.4400000000000546</v>
      </c>
      <c r="L1022" s="14">
        <f t="shared" si="197"/>
        <v>1.3600000000000135E-3</v>
      </c>
      <c r="M1022" s="4"/>
    </row>
    <row r="1023" spans="2:13">
      <c r="B1023" s="43"/>
      <c r="C1023" s="7">
        <v>1.0520833333333499</v>
      </c>
      <c r="D1023" s="7">
        <v>1.06250000000002</v>
      </c>
      <c r="E1023" s="30">
        <v>850</v>
      </c>
      <c r="F1023" s="60">
        <v>545.26</v>
      </c>
      <c r="G1023" s="4">
        <f t="shared" si="198"/>
        <v>304.74</v>
      </c>
      <c r="H1023" s="9">
        <f t="shared" si="199"/>
        <v>7.6185000000000003E-2</v>
      </c>
      <c r="I1023" s="4"/>
      <c r="J1023" s="64">
        <v>540</v>
      </c>
      <c r="K1023" s="31">
        <f t="shared" si="195"/>
        <v>5.2599999999999909</v>
      </c>
      <c r="L1023" s="14">
        <f t="shared" si="197"/>
        <v>1.3149999999999978E-3</v>
      </c>
      <c r="M1023" s="4"/>
    </row>
    <row r="1024" spans="2:13">
      <c r="B1024" s="43"/>
      <c r="C1024" s="7">
        <v>1.06250000000002</v>
      </c>
      <c r="D1024" s="7">
        <v>1.0729166666666901</v>
      </c>
      <c r="E1024" s="30">
        <v>850</v>
      </c>
      <c r="F1024" s="60">
        <v>546.12</v>
      </c>
      <c r="G1024" s="4">
        <f t="shared" si="198"/>
        <v>303.88</v>
      </c>
      <c r="H1024" s="9">
        <f t="shared" si="199"/>
        <v>7.5969999999999996E-2</v>
      </c>
      <c r="I1024" s="4"/>
      <c r="J1024" s="64">
        <v>540</v>
      </c>
      <c r="K1024" s="31">
        <f t="shared" si="195"/>
        <v>6.1200000000000045</v>
      </c>
      <c r="L1024" s="14">
        <f t="shared" si="197"/>
        <v>1.5300000000000012E-3</v>
      </c>
      <c r="M1024" s="4"/>
    </row>
    <row r="1025" spans="2:13">
      <c r="B1025" s="43"/>
      <c r="C1025" s="7">
        <v>1.0729166666666901</v>
      </c>
      <c r="D1025" s="7">
        <v>1.0833333333333599</v>
      </c>
      <c r="E1025" s="30">
        <v>850</v>
      </c>
      <c r="F1025" s="60">
        <v>545.51</v>
      </c>
      <c r="G1025" s="4">
        <f t="shared" si="198"/>
        <v>304.49</v>
      </c>
      <c r="H1025" s="9">
        <f t="shared" si="199"/>
        <v>7.6122499999999996E-2</v>
      </c>
      <c r="I1025" s="4"/>
      <c r="J1025" s="64">
        <v>540</v>
      </c>
      <c r="K1025" s="31">
        <f t="shared" si="195"/>
        <v>5.5099999999999909</v>
      </c>
      <c r="L1025" s="14">
        <f t="shared" si="197"/>
        <v>1.3774999999999976E-3</v>
      </c>
      <c r="M1025" s="4"/>
    </row>
    <row r="1026" spans="2:13">
      <c r="B1026" s="43"/>
      <c r="C1026" s="7">
        <v>1.0833333333333599</v>
      </c>
      <c r="D1026" s="7">
        <v>1.09375000000003</v>
      </c>
      <c r="E1026" s="30">
        <v>850</v>
      </c>
      <c r="F1026" s="60">
        <v>544.86</v>
      </c>
      <c r="G1026" s="4">
        <f t="shared" si="198"/>
        <v>305.14</v>
      </c>
      <c r="H1026" s="9">
        <f t="shared" si="199"/>
        <v>7.6284999999999992E-2</v>
      </c>
      <c r="I1026" s="4"/>
      <c r="J1026" s="64">
        <v>540</v>
      </c>
      <c r="K1026" s="31">
        <f t="shared" si="195"/>
        <v>4.8600000000000136</v>
      </c>
      <c r="L1026" s="14">
        <f t="shared" si="197"/>
        <v>1.2150000000000034E-3</v>
      </c>
      <c r="M1026" s="4"/>
    </row>
    <row r="1027" spans="2:13">
      <c r="B1027" s="43"/>
      <c r="C1027" s="7">
        <v>1.09375000000003</v>
      </c>
      <c r="D1027" s="7">
        <v>1.1041666666667</v>
      </c>
      <c r="E1027" s="30">
        <v>850</v>
      </c>
      <c r="F1027" s="60">
        <v>542.97</v>
      </c>
      <c r="G1027" s="4">
        <f t="shared" si="198"/>
        <v>307.02999999999997</v>
      </c>
      <c r="H1027" s="9">
        <f t="shared" si="199"/>
        <v>7.6757499999999992E-2</v>
      </c>
      <c r="I1027" s="4"/>
      <c r="J1027" s="64">
        <v>540</v>
      </c>
      <c r="K1027" s="31">
        <f t="shared" si="195"/>
        <v>2.9700000000000273</v>
      </c>
      <c r="L1027" s="14">
        <f t="shared" si="197"/>
        <v>7.4250000000000683E-4</v>
      </c>
      <c r="M1027" s="4"/>
    </row>
    <row r="1028" spans="2:13">
      <c r="B1028" s="43"/>
      <c r="C1028" s="7">
        <v>1.1041666666667</v>
      </c>
      <c r="D1028" s="7">
        <v>1.1145833333333699</v>
      </c>
      <c r="E1028" s="30">
        <v>850</v>
      </c>
      <c r="F1028" s="60">
        <v>545.14</v>
      </c>
      <c r="G1028" s="4">
        <f t="shared" si="198"/>
        <v>304.86</v>
      </c>
      <c r="H1028" s="9">
        <f t="shared" si="199"/>
        <v>7.6215000000000005E-2</v>
      </c>
      <c r="I1028" s="4"/>
      <c r="J1028" s="64">
        <v>540</v>
      </c>
      <c r="K1028" s="31">
        <f t="shared" si="195"/>
        <v>5.1399999999999864</v>
      </c>
      <c r="L1028" s="14">
        <f t="shared" si="197"/>
        <v>1.2849999999999966E-3</v>
      </c>
      <c r="M1028" s="4"/>
    </row>
    <row r="1029" spans="2:13">
      <c r="B1029" s="43"/>
      <c r="C1029" s="7">
        <v>1.1145833333333699</v>
      </c>
      <c r="D1029" s="7">
        <v>1.12500000000004</v>
      </c>
      <c r="E1029" s="30">
        <v>850</v>
      </c>
      <c r="F1029" s="60">
        <v>544.28</v>
      </c>
      <c r="G1029" s="4">
        <f t="shared" si="198"/>
        <v>305.72000000000003</v>
      </c>
      <c r="H1029" s="9">
        <f t="shared" si="199"/>
        <v>7.6430000000000012E-2</v>
      </c>
      <c r="I1029" s="4"/>
      <c r="J1029" s="64">
        <v>540</v>
      </c>
      <c r="K1029" s="31">
        <f t="shared" si="195"/>
        <v>4.2799999999999727</v>
      </c>
      <c r="L1029" s="14">
        <f t="shared" si="197"/>
        <v>1.0699999999999933E-3</v>
      </c>
      <c r="M1029" s="4"/>
    </row>
    <row r="1030" spans="2:13">
      <c r="B1030" s="43"/>
      <c r="C1030" s="7">
        <v>1.12500000000004</v>
      </c>
      <c r="D1030" s="7">
        <v>1.13541666666671</v>
      </c>
      <c r="E1030" s="30">
        <v>850</v>
      </c>
      <c r="F1030" s="60">
        <v>545.94000000000005</v>
      </c>
      <c r="G1030" s="4">
        <f t="shared" si="198"/>
        <v>304.05999999999995</v>
      </c>
      <c r="H1030" s="9">
        <f t="shared" si="199"/>
        <v>7.6014999999999985E-2</v>
      </c>
      <c r="I1030" s="4"/>
      <c r="J1030" s="64">
        <v>540</v>
      </c>
      <c r="K1030" s="31">
        <f t="shared" si="195"/>
        <v>5.9400000000000546</v>
      </c>
      <c r="L1030" s="14">
        <f t="shared" si="197"/>
        <v>1.4850000000000137E-3</v>
      </c>
      <c r="M1030" s="4"/>
    </row>
    <row r="1031" spans="2:13">
      <c r="B1031" s="43"/>
      <c r="C1031" s="7">
        <v>1.13541666666671</v>
      </c>
      <c r="D1031" s="7">
        <v>1.1458333333333801</v>
      </c>
      <c r="E1031" s="30">
        <v>850</v>
      </c>
      <c r="F1031" s="60">
        <v>544.85</v>
      </c>
      <c r="G1031" s="4">
        <f t="shared" si="198"/>
        <v>305.14999999999998</v>
      </c>
      <c r="H1031" s="9">
        <f t="shared" si="199"/>
        <v>7.6287499999999994E-2</v>
      </c>
      <c r="I1031" s="4"/>
      <c r="J1031" s="64">
        <v>540</v>
      </c>
      <c r="K1031" s="31">
        <f t="shared" si="195"/>
        <v>4.8500000000000227</v>
      </c>
      <c r="L1031" s="14">
        <f t="shared" si="197"/>
        <v>1.2125000000000057E-3</v>
      </c>
      <c r="M1031" s="4"/>
    </row>
    <row r="1032" spans="2:13">
      <c r="B1032" s="43"/>
      <c r="C1032" s="7">
        <v>1.1458333333333801</v>
      </c>
      <c r="D1032" s="7">
        <v>1.15625000000005</v>
      </c>
      <c r="E1032" s="30">
        <v>850</v>
      </c>
      <c r="F1032" s="60">
        <v>544.95000000000005</v>
      </c>
      <c r="G1032" s="4">
        <f t="shared" si="198"/>
        <v>305.04999999999995</v>
      </c>
      <c r="H1032" s="9">
        <f t="shared" si="199"/>
        <v>7.6262499999999983E-2</v>
      </c>
      <c r="I1032" s="4"/>
      <c r="J1032" s="64">
        <v>540</v>
      </c>
      <c r="K1032" s="31">
        <f t="shared" si="195"/>
        <v>4.9500000000000455</v>
      </c>
      <c r="L1032" s="14">
        <f t="shared" si="197"/>
        <v>1.2375000000000114E-3</v>
      </c>
      <c r="M1032" s="4"/>
    </row>
    <row r="1033" spans="2:13">
      <c r="B1033" s="43"/>
      <c r="C1033" s="7">
        <v>1.15625000000005</v>
      </c>
      <c r="D1033" s="7">
        <v>1.16666666666672</v>
      </c>
      <c r="E1033" s="30">
        <v>850</v>
      </c>
      <c r="F1033" s="60">
        <v>547.23</v>
      </c>
      <c r="G1033" s="4">
        <f t="shared" si="198"/>
        <v>302.77</v>
      </c>
      <c r="H1033" s="9">
        <f t="shared" si="199"/>
        <v>7.5692499999999996E-2</v>
      </c>
      <c r="I1033" s="4"/>
      <c r="J1033" s="64">
        <v>540</v>
      </c>
      <c r="K1033" s="31">
        <f t="shared" si="195"/>
        <v>7.2300000000000182</v>
      </c>
      <c r="L1033" s="14">
        <f t="shared" si="197"/>
        <v>1.8075000000000046E-3</v>
      </c>
      <c r="M1033" s="4"/>
    </row>
    <row r="1034" spans="2:13">
      <c r="B1034" s="43"/>
      <c r="C1034" s="7">
        <v>1.16666666666672</v>
      </c>
      <c r="D1034" s="7">
        <v>1.1770833333333901</v>
      </c>
      <c r="E1034" s="30">
        <v>850</v>
      </c>
      <c r="F1034" s="60">
        <v>544.57000000000005</v>
      </c>
      <c r="G1034" s="4">
        <f t="shared" si="198"/>
        <v>305.42999999999995</v>
      </c>
      <c r="H1034" s="9">
        <f t="shared" si="199"/>
        <v>7.6357499999999981E-2</v>
      </c>
      <c r="I1034" s="4"/>
      <c r="J1034" s="64">
        <v>540</v>
      </c>
      <c r="K1034" s="31">
        <f t="shared" si="195"/>
        <v>4.57000000000005</v>
      </c>
      <c r="L1034" s="14">
        <f t="shared" si="197"/>
        <v>1.1425000000000124E-3</v>
      </c>
      <c r="M1034" s="4"/>
    </row>
    <row r="1035" spans="2:13">
      <c r="B1035" s="43"/>
      <c r="C1035" s="7">
        <v>1.1770833333333901</v>
      </c>
      <c r="D1035" s="7">
        <v>1.18750000000006</v>
      </c>
      <c r="E1035" s="30">
        <v>850</v>
      </c>
      <c r="F1035" s="60">
        <v>541.70000000000005</v>
      </c>
      <c r="G1035" s="4">
        <f t="shared" si="198"/>
        <v>308.29999999999995</v>
      </c>
      <c r="H1035" s="9">
        <f t="shared" si="199"/>
        <v>7.7074999999999991E-2</v>
      </c>
      <c r="I1035" s="4"/>
      <c r="J1035" s="64">
        <v>540</v>
      </c>
      <c r="K1035" s="31">
        <f t="shared" si="195"/>
        <v>1.7000000000000455</v>
      </c>
      <c r="L1035" s="14">
        <f t="shared" si="197"/>
        <v>4.2500000000001136E-4</v>
      </c>
      <c r="M1035" s="4"/>
    </row>
    <row r="1036" spans="2:13">
      <c r="B1036" s="43"/>
      <c r="C1036" s="7">
        <v>1.18750000000006</v>
      </c>
      <c r="D1036" s="7">
        <v>1.19791666666673</v>
      </c>
      <c r="E1036" s="30">
        <v>850</v>
      </c>
      <c r="F1036" s="60">
        <v>540.92999999999995</v>
      </c>
      <c r="G1036" s="4">
        <f t="shared" si="198"/>
        <v>309.07000000000005</v>
      </c>
      <c r="H1036" s="9">
        <f t="shared" si="199"/>
        <v>7.7267500000000017E-2</v>
      </c>
      <c r="I1036" s="4"/>
      <c r="J1036" s="64">
        <v>540</v>
      </c>
      <c r="K1036" s="31">
        <f t="shared" si="195"/>
        <v>0.92999999999994998</v>
      </c>
      <c r="L1036" s="14">
        <f t="shared" si="197"/>
        <v>2.3249999999998749E-4</v>
      </c>
      <c r="M1036" s="4"/>
    </row>
    <row r="1037" spans="2:13">
      <c r="B1037" s="43"/>
      <c r="C1037" s="7">
        <v>1.19791666666673</v>
      </c>
      <c r="D1037" s="7">
        <v>1.2083333333334001</v>
      </c>
      <c r="E1037" s="30">
        <v>850</v>
      </c>
      <c r="F1037" s="60">
        <v>542.33000000000004</v>
      </c>
      <c r="G1037" s="4">
        <f t="shared" si="198"/>
        <v>307.66999999999996</v>
      </c>
      <c r="H1037" s="9">
        <f t="shared" si="199"/>
        <v>7.6917499999999986E-2</v>
      </c>
      <c r="I1037" s="4"/>
      <c r="J1037" s="64">
        <v>540</v>
      </c>
      <c r="K1037" s="31">
        <f t="shared" si="195"/>
        <v>2.3300000000000409</v>
      </c>
      <c r="L1037" s="14">
        <f t="shared" si="197"/>
        <v>5.825000000000102E-4</v>
      </c>
      <c r="M1037" s="4"/>
    </row>
    <row r="1038" spans="2:13">
      <c r="B1038" s="43"/>
      <c r="C1038" s="7">
        <v>1.2083333333334001</v>
      </c>
      <c r="D1038" s="7">
        <v>1.2187500000000699</v>
      </c>
      <c r="E1038" s="30">
        <v>850</v>
      </c>
      <c r="F1038" s="60">
        <v>541.6</v>
      </c>
      <c r="G1038" s="4">
        <f t="shared" si="198"/>
        <v>308.39999999999998</v>
      </c>
      <c r="H1038" s="9">
        <f t="shared" si="199"/>
        <v>7.7099999999999988E-2</v>
      </c>
      <c r="I1038" s="4"/>
      <c r="J1038" s="64">
        <v>540</v>
      </c>
      <c r="K1038" s="31">
        <f t="shared" si="195"/>
        <v>1.6000000000000227</v>
      </c>
      <c r="L1038" s="14">
        <f t="shared" si="197"/>
        <v>4.0000000000000571E-4</v>
      </c>
      <c r="M1038" s="4"/>
    </row>
    <row r="1039" spans="2:13">
      <c r="B1039" s="43"/>
      <c r="C1039" s="7">
        <v>1.2187500000000699</v>
      </c>
      <c r="D1039" s="7">
        <v>1.22916666666674</v>
      </c>
      <c r="E1039" s="30">
        <v>850</v>
      </c>
      <c r="F1039" s="60">
        <v>544.58000000000004</v>
      </c>
      <c r="G1039" s="4">
        <f t="shared" si="198"/>
        <v>305.41999999999996</v>
      </c>
      <c r="H1039" s="9">
        <f t="shared" si="199"/>
        <v>7.6354999999999992E-2</v>
      </c>
      <c r="I1039" s="4"/>
      <c r="J1039" s="64">
        <v>540</v>
      </c>
      <c r="K1039" s="31">
        <f t="shared" si="195"/>
        <v>4.5800000000000409</v>
      </c>
      <c r="L1039" s="14">
        <f t="shared" si="197"/>
        <v>1.1450000000000102E-3</v>
      </c>
      <c r="M1039" s="4"/>
    </row>
    <row r="1040" spans="2:13">
      <c r="B1040" s="43"/>
      <c r="C1040" s="7">
        <v>1.22916666666674</v>
      </c>
      <c r="D1040" s="7">
        <v>1.2395833333334101</v>
      </c>
      <c r="E1040" s="30">
        <v>850</v>
      </c>
      <c r="F1040" s="60">
        <v>544.89</v>
      </c>
      <c r="G1040" s="4">
        <f t="shared" si="198"/>
        <v>305.11</v>
      </c>
      <c r="H1040" s="9">
        <f t="shared" si="199"/>
        <v>7.6277499999999998E-2</v>
      </c>
      <c r="I1040" s="4"/>
      <c r="J1040" s="64">
        <v>540</v>
      </c>
      <c r="K1040" s="31">
        <f t="shared" si="195"/>
        <v>4.8899999999999864</v>
      </c>
      <c r="L1040" s="14">
        <f t="shared" si="197"/>
        <v>1.2224999999999966E-3</v>
      </c>
      <c r="M1040" s="4"/>
    </row>
    <row r="1041" spans="2:13">
      <c r="B1041" s="43"/>
      <c r="C1041" s="7">
        <v>1.2395833333334101</v>
      </c>
      <c r="D1041" s="7">
        <v>1.2500000000000799</v>
      </c>
      <c r="E1041" s="30">
        <v>850</v>
      </c>
      <c r="F1041" s="60">
        <v>545.63</v>
      </c>
      <c r="G1041" s="4">
        <f t="shared" si="198"/>
        <v>304.37</v>
      </c>
      <c r="H1041" s="9">
        <f t="shared" si="199"/>
        <v>7.6092500000000007E-2</v>
      </c>
      <c r="I1041" s="4"/>
      <c r="J1041" s="64">
        <v>540</v>
      </c>
      <c r="K1041" s="31">
        <f t="shared" si="195"/>
        <v>5.6299999999999955</v>
      </c>
      <c r="L1041" s="14">
        <f t="shared" si="197"/>
        <v>1.4074999999999988E-3</v>
      </c>
      <c r="M1041" s="4"/>
    </row>
    <row r="1042" spans="2:13">
      <c r="B1042" s="43"/>
      <c r="C1042" s="7">
        <v>1.2500000000000799</v>
      </c>
      <c r="D1042" s="7">
        <v>1.26041666666675</v>
      </c>
      <c r="E1042" s="30">
        <v>850</v>
      </c>
      <c r="F1042" s="60">
        <v>545.92999999999995</v>
      </c>
      <c r="G1042" s="4">
        <f t="shared" si="198"/>
        <v>304.07000000000005</v>
      </c>
      <c r="H1042" s="9">
        <f t="shared" si="199"/>
        <v>7.6017500000000016E-2</v>
      </c>
      <c r="I1042" s="4"/>
      <c r="J1042" s="64">
        <v>540</v>
      </c>
      <c r="K1042" s="31">
        <f t="shared" si="195"/>
        <v>5.92999999999995</v>
      </c>
      <c r="L1042" s="14">
        <f t="shared" si="197"/>
        <v>1.4824999999999875E-3</v>
      </c>
      <c r="M1042" s="4"/>
    </row>
    <row r="1043" spans="2:13">
      <c r="B1043" s="43"/>
      <c r="C1043" s="7">
        <v>1.26041666666675</v>
      </c>
      <c r="D1043" s="35">
        <v>1.2708333333334201</v>
      </c>
      <c r="E1043" s="30">
        <v>850</v>
      </c>
      <c r="F1043" s="60">
        <v>542.84</v>
      </c>
      <c r="G1043" s="4">
        <f t="shared" si="198"/>
        <v>307.15999999999997</v>
      </c>
      <c r="H1043" s="9">
        <f t="shared" si="199"/>
        <v>7.6789999999999997E-2</v>
      </c>
      <c r="I1043" s="4"/>
      <c r="J1043" s="64">
        <v>540</v>
      </c>
      <c r="K1043" s="31">
        <f t="shared" si="195"/>
        <v>2.8400000000000318</v>
      </c>
      <c r="L1043" s="14">
        <f t="shared" si="197"/>
        <v>7.1000000000000793E-4</v>
      </c>
      <c r="M1043" s="4"/>
    </row>
    <row r="1044" spans="2:13">
      <c r="B1044" s="43"/>
      <c r="C1044" s="7">
        <v>1.2708333333334201</v>
      </c>
      <c r="D1044" s="7">
        <v>1.2812500000000899</v>
      </c>
      <c r="E1044" s="30">
        <v>850</v>
      </c>
      <c r="F1044" s="60">
        <v>609.08000000000004</v>
      </c>
      <c r="G1044" s="4">
        <f t="shared" si="198"/>
        <v>240.91999999999996</v>
      </c>
      <c r="H1044" s="9">
        <f t="shared" si="199"/>
        <v>6.0229999999999992E-2</v>
      </c>
      <c r="I1044" s="4"/>
      <c r="J1044" s="29">
        <f>J1043+80</f>
        <v>620</v>
      </c>
      <c r="K1044" s="31">
        <f>J1044-F1044</f>
        <v>10.919999999999959</v>
      </c>
      <c r="L1044" s="14">
        <f t="shared" si="197"/>
        <v>2.7299999999999898E-3</v>
      </c>
      <c r="M1044" s="4"/>
    </row>
    <row r="1045" spans="2:13">
      <c r="B1045" s="43"/>
      <c r="C1045" s="7">
        <v>1.2812500000000899</v>
      </c>
      <c r="D1045" s="7">
        <v>1.29166666666676</v>
      </c>
      <c r="E1045" s="30">
        <v>850</v>
      </c>
      <c r="F1045" s="60">
        <v>725.35</v>
      </c>
      <c r="G1045" s="4">
        <f t="shared" si="198"/>
        <v>124.64999999999998</v>
      </c>
      <c r="H1045" s="9">
        <f t="shared" si="199"/>
        <v>3.1162499999999996E-2</v>
      </c>
      <c r="I1045" s="4"/>
      <c r="J1045" s="64">
        <f t="shared" ref="J1045:J1046" si="200">J1044+80</f>
        <v>700</v>
      </c>
      <c r="K1045" s="31">
        <f t="shared" ref="K1045:K1047" si="201">J1045-F1045</f>
        <v>-25.350000000000023</v>
      </c>
      <c r="L1045" s="14">
        <f t="shared" si="197"/>
        <v>0</v>
      </c>
      <c r="M1045" s="4"/>
    </row>
    <row r="1046" spans="2:13">
      <c r="B1046" s="43"/>
      <c r="C1046" s="7">
        <v>1.29166666666676</v>
      </c>
      <c r="D1046" s="7">
        <v>1.3020833333334301</v>
      </c>
      <c r="E1046" s="30">
        <v>850</v>
      </c>
      <c r="F1046" s="60">
        <v>829.55</v>
      </c>
      <c r="G1046" s="4">
        <f t="shared" si="198"/>
        <v>20.450000000000045</v>
      </c>
      <c r="H1046" s="9">
        <f t="shared" si="199"/>
        <v>5.1125000000000111E-3</v>
      </c>
      <c r="I1046" s="4"/>
      <c r="J1046" s="64">
        <f t="shared" si="200"/>
        <v>780</v>
      </c>
      <c r="K1046" s="31">
        <f t="shared" si="201"/>
        <v>-49.549999999999955</v>
      </c>
      <c r="L1046" s="14">
        <f t="shared" si="197"/>
        <v>0</v>
      </c>
      <c r="M1046" s="4"/>
    </row>
    <row r="1047" spans="2:13">
      <c r="B1047" s="43"/>
      <c r="C1047" s="7">
        <v>1.3020833333334301</v>
      </c>
      <c r="D1047" s="7">
        <v>1.3125000000000999</v>
      </c>
      <c r="E1047" s="30">
        <v>850</v>
      </c>
      <c r="F1047" s="60">
        <v>861.9</v>
      </c>
      <c r="G1047" s="4">
        <f t="shared" si="198"/>
        <v>-11.899999999999977</v>
      </c>
      <c r="H1047" s="76">
        <v>0</v>
      </c>
      <c r="I1047" s="4"/>
      <c r="J1047" s="64">
        <v>850</v>
      </c>
      <c r="K1047" s="31">
        <f t="shared" si="201"/>
        <v>-11.899999999999977</v>
      </c>
      <c r="L1047" s="14">
        <f t="shared" si="197"/>
        <v>0</v>
      </c>
      <c r="M1047" s="4"/>
    </row>
    <row r="1048" spans="2:13">
      <c r="B1048" s="43"/>
      <c r="C1048" s="7"/>
      <c r="D1048" s="7"/>
      <c r="E1048" s="30"/>
      <c r="F1048" s="60"/>
      <c r="G1048" s="4"/>
      <c r="H1048" s="9"/>
      <c r="I1048" s="9">
        <f>SUM(H1018:H1047)</f>
        <v>2.0826674999999999</v>
      </c>
      <c r="J1048" s="64"/>
      <c r="K1048" s="31"/>
      <c r="L1048" s="14"/>
      <c r="M1048" s="4">
        <f>SUM(L1018:L1047)</f>
        <v>3.0750000000000059E-2</v>
      </c>
    </row>
    <row r="1049" spans="2:13">
      <c r="B1049" s="34">
        <v>46045</v>
      </c>
      <c r="C1049" s="7">
        <v>1.39583333333346</v>
      </c>
      <c r="D1049" s="7">
        <v>1.4062500000001199</v>
      </c>
      <c r="E1049" s="30">
        <v>850</v>
      </c>
      <c r="F1049" s="60">
        <v>789.89</v>
      </c>
      <c r="G1049" s="4">
        <f t="shared" si="198"/>
        <v>60.110000000000014</v>
      </c>
      <c r="H1049" s="9">
        <f t="shared" si="199"/>
        <v>1.5027500000000003E-2</v>
      </c>
      <c r="I1049" s="4"/>
      <c r="J1049" s="29">
        <f>E1049-80</f>
        <v>770</v>
      </c>
      <c r="K1049" s="31">
        <f t="shared" si="195"/>
        <v>19.889999999999986</v>
      </c>
      <c r="L1049" s="14"/>
      <c r="M1049" s="4"/>
    </row>
    <row r="1050" spans="2:13">
      <c r="B1050" s="43"/>
      <c r="C1050" s="7">
        <v>1.4062500000001299</v>
      </c>
      <c r="D1050" s="7">
        <v>1.41666666666679</v>
      </c>
      <c r="E1050" s="30">
        <v>850</v>
      </c>
      <c r="F1050" s="60">
        <v>664.08</v>
      </c>
      <c r="G1050" s="4">
        <f t="shared" si="198"/>
        <v>185.91999999999996</v>
      </c>
      <c r="H1050" s="9">
        <f t="shared" si="199"/>
        <v>4.6479999999999987E-2</v>
      </c>
      <c r="I1050" s="4"/>
      <c r="J1050" s="29">
        <f>J1049-80</f>
        <v>690</v>
      </c>
      <c r="K1050" s="31">
        <f t="shared" si="195"/>
        <v>-25.919999999999959</v>
      </c>
      <c r="L1050" s="14">
        <f t="shared" si="197"/>
        <v>0</v>
      </c>
      <c r="M1050" s="4"/>
    </row>
    <row r="1051" spans="2:13">
      <c r="B1051" s="43"/>
      <c r="C1051" s="7">
        <v>1.4166666666668</v>
      </c>
      <c r="D1051" s="7">
        <v>1.42708333333346</v>
      </c>
      <c r="E1051" s="30">
        <v>850</v>
      </c>
      <c r="F1051" s="60">
        <v>617.58000000000004</v>
      </c>
      <c r="G1051" s="4">
        <f t="shared" si="198"/>
        <v>232.41999999999996</v>
      </c>
      <c r="H1051" s="9">
        <f t="shared" si="199"/>
        <v>5.810499999999999E-2</v>
      </c>
      <c r="I1051" s="4"/>
      <c r="J1051" s="64">
        <f>J1050-80</f>
        <v>610</v>
      </c>
      <c r="K1051" s="31">
        <f t="shared" si="195"/>
        <v>7.5800000000000409</v>
      </c>
      <c r="L1051" s="14">
        <f t="shared" si="197"/>
        <v>1.8950000000000102E-3</v>
      </c>
      <c r="M1051" s="4"/>
    </row>
    <row r="1052" spans="2:13">
      <c r="B1052" s="43"/>
      <c r="C1052" s="7">
        <v>1.42708333333347</v>
      </c>
      <c r="D1052" s="7">
        <v>1.4375000000001299</v>
      </c>
      <c r="E1052" s="30">
        <v>850</v>
      </c>
      <c r="F1052" s="60">
        <v>553.9</v>
      </c>
      <c r="G1052" s="4">
        <f t="shared" si="198"/>
        <v>296.10000000000002</v>
      </c>
      <c r="H1052" s="9">
        <f t="shared" si="199"/>
        <v>7.4025000000000007E-2</v>
      </c>
      <c r="I1052" s="4"/>
      <c r="J1052" s="64">
        <v>540</v>
      </c>
      <c r="K1052" s="31">
        <f t="shared" si="195"/>
        <v>13.899999999999977</v>
      </c>
      <c r="L1052" s="14">
        <f t="shared" si="197"/>
        <v>3.4749999999999942E-3</v>
      </c>
      <c r="M1052" s="4"/>
    </row>
    <row r="1053" spans="2:13">
      <c r="B1053" s="43"/>
      <c r="C1053" s="7">
        <v>1.4375000000001401</v>
      </c>
      <c r="D1053" s="7">
        <v>1.4479166666668</v>
      </c>
      <c r="E1053" s="30">
        <v>850</v>
      </c>
      <c r="F1053" s="60">
        <v>543.11</v>
      </c>
      <c r="G1053" s="4">
        <f t="shared" si="198"/>
        <v>306.89</v>
      </c>
      <c r="H1053" s="9">
        <f t="shared" si="199"/>
        <v>7.6722499999999999E-2</v>
      </c>
      <c r="I1053" s="4"/>
      <c r="J1053" s="64">
        <v>540</v>
      </c>
      <c r="K1053" s="31">
        <f t="shared" si="195"/>
        <v>3.1100000000000136</v>
      </c>
      <c r="L1053" s="14">
        <f t="shared" si="197"/>
        <v>7.7750000000000345E-4</v>
      </c>
      <c r="M1053" s="4"/>
    </row>
    <row r="1054" spans="2:13">
      <c r="B1054" s="43"/>
      <c r="C1054" s="7">
        <v>1.44791666666681</v>
      </c>
      <c r="D1054" s="7">
        <v>1.45833333333347</v>
      </c>
      <c r="E1054" s="30">
        <v>850</v>
      </c>
      <c r="F1054" s="60">
        <v>551.42999999999995</v>
      </c>
      <c r="G1054" s="4">
        <f t="shared" si="198"/>
        <v>298.57000000000005</v>
      </c>
      <c r="H1054" s="9">
        <f t="shared" si="199"/>
        <v>7.4642500000000014E-2</v>
      </c>
      <c r="I1054" s="4"/>
      <c r="J1054" s="64">
        <v>540</v>
      </c>
      <c r="K1054" s="31">
        <f t="shared" si="195"/>
        <v>11.42999999999995</v>
      </c>
      <c r="L1054" s="14">
        <f t="shared" si="197"/>
        <v>2.8574999999999877E-3</v>
      </c>
      <c r="M1054" s="4"/>
    </row>
    <row r="1055" spans="2:13">
      <c r="B1055" s="43"/>
      <c r="C1055" s="7">
        <v>1.45833333333348</v>
      </c>
      <c r="D1055" s="7">
        <v>1.4687500000001401</v>
      </c>
      <c r="E1055" s="30">
        <v>850</v>
      </c>
      <c r="F1055" s="60">
        <v>546.53</v>
      </c>
      <c r="G1055" s="4">
        <f t="shared" si="198"/>
        <v>303.47000000000003</v>
      </c>
      <c r="H1055" s="9">
        <f t="shared" si="199"/>
        <v>7.5867500000000004E-2</v>
      </c>
      <c r="I1055" s="4"/>
      <c r="J1055" s="64">
        <v>540</v>
      </c>
      <c r="K1055" s="31">
        <f t="shared" si="195"/>
        <v>6.5299999999999727</v>
      </c>
      <c r="L1055" s="14">
        <f t="shared" si="197"/>
        <v>1.6324999999999931E-3</v>
      </c>
      <c r="M1055" s="4"/>
    </row>
    <row r="1056" spans="2:13">
      <c r="B1056" s="43"/>
      <c r="C1056" s="7">
        <v>1.4687500000001501</v>
      </c>
      <c r="D1056" s="7">
        <v>1.47916666666681</v>
      </c>
      <c r="E1056" s="30">
        <v>850</v>
      </c>
      <c r="F1056" s="60">
        <v>542.1</v>
      </c>
      <c r="G1056" s="4">
        <f t="shared" si="198"/>
        <v>307.89999999999998</v>
      </c>
      <c r="H1056" s="9">
        <f t="shared" si="199"/>
        <v>7.6974999999999988E-2</v>
      </c>
      <c r="I1056" s="4"/>
      <c r="J1056" s="64">
        <v>540</v>
      </c>
      <c r="K1056" s="31">
        <f t="shared" si="195"/>
        <v>2.1000000000000227</v>
      </c>
      <c r="L1056" s="14">
        <f t="shared" si="197"/>
        <v>5.2500000000000571E-4</v>
      </c>
      <c r="M1056" s="4"/>
    </row>
    <row r="1057" spans="2:13">
      <c r="B1057" s="43"/>
      <c r="C1057" s="7">
        <v>1.47916666666682</v>
      </c>
      <c r="D1057" s="7">
        <v>1.48958333333348</v>
      </c>
      <c r="E1057" s="30">
        <v>850</v>
      </c>
      <c r="F1057" s="60">
        <v>540.02</v>
      </c>
      <c r="G1057" s="4">
        <f t="shared" si="198"/>
        <v>309.98</v>
      </c>
      <c r="H1057" s="9">
        <f t="shared" si="199"/>
        <v>7.7495000000000008E-2</v>
      </c>
      <c r="I1057" s="4"/>
      <c r="J1057" s="64">
        <v>540</v>
      </c>
      <c r="K1057" s="31">
        <f t="shared" si="195"/>
        <v>1.999999999998181E-2</v>
      </c>
      <c r="L1057" s="14">
        <f t="shared" si="197"/>
        <v>4.9999999999954527E-6</v>
      </c>
      <c r="M1057" s="4"/>
    </row>
    <row r="1058" spans="2:13">
      <c r="B1058" s="43"/>
      <c r="C1058" s="7">
        <v>1.48958333333349</v>
      </c>
      <c r="D1058" s="7">
        <v>1.5000000000001501</v>
      </c>
      <c r="E1058" s="30">
        <v>850</v>
      </c>
      <c r="F1058" s="60">
        <v>543.63</v>
      </c>
      <c r="G1058" s="4">
        <f t="shared" si="198"/>
        <v>306.37</v>
      </c>
      <c r="H1058" s="9">
        <f t="shared" si="199"/>
        <v>7.6592500000000008E-2</v>
      </c>
      <c r="I1058" s="4"/>
      <c r="J1058" s="64">
        <v>540</v>
      </c>
      <c r="K1058" s="31">
        <f t="shared" ref="K1058:K1120" si="202">F1058-J1058</f>
        <v>3.6299999999999955</v>
      </c>
      <c r="L1058" s="14">
        <f t="shared" si="197"/>
        <v>9.0749999999999891E-4</v>
      </c>
      <c r="M1058" s="4"/>
    </row>
    <row r="1059" spans="2:13">
      <c r="B1059" s="43"/>
      <c r="C1059" s="7">
        <v>1.5000000000001601</v>
      </c>
      <c r="D1059" s="7">
        <v>1.51041666666682</v>
      </c>
      <c r="E1059" s="30">
        <v>850</v>
      </c>
      <c r="F1059" s="60">
        <v>543.85</v>
      </c>
      <c r="G1059" s="4">
        <f t="shared" si="198"/>
        <v>306.14999999999998</v>
      </c>
      <c r="H1059" s="9">
        <f t="shared" si="199"/>
        <v>7.6537499999999994E-2</v>
      </c>
      <c r="I1059" s="4"/>
      <c r="J1059" s="64">
        <v>540</v>
      </c>
      <c r="K1059" s="31">
        <f t="shared" si="202"/>
        <v>3.8500000000000227</v>
      </c>
      <c r="L1059" s="14">
        <f t="shared" si="197"/>
        <v>9.6250000000000567E-4</v>
      </c>
      <c r="M1059" s="4"/>
    </row>
    <row r="1060" spans="2:13">
      <c r="B1060" s="43"/>
      <c r="C1060" s="7">
        <v>1.5104166666668299</v>
      </c>
      <c r="D1060" s="7">
        <v>1.52083333333349</v>
      </c>
      <c r="E1060" s="30">
        <v>850</v>
      </c>
      <c r="F1060" s="60">
        <v>547.15</v>
      </c>
      <c r="G1060" s="4">
        <f t="shared" si="198"/>
        <v>302.85000000000002</v>
      </c>
      <c r="H1060" s="9">
        <f t="shared" si="199"/>
        <v>7.5712500000000002E-2</v>
      </c>
      <c r="I1060" s="4"/>
      <c r="J1060" s="64">
        <v>540</v>
      </c>
      <c r="K1060" s="31">
        <f t="shared" si="202"/>
        <v>7.1499999999999773</v>
      </c>
      <c r="L1060" s="14">
        <f t="shared" si="197"/>
        <v>1.7874999999999944E-3</v>
      </c>
      <c r="M1060" s="4"/>
    </row>
    <row r="1061" spans="2:13">
      <c r="B1061" s="43"/>
      <c r="C1061" s="7">
        <v>1.5208333333335</v>
      </c>
      <c r="D1061" s="7">
        <v>1.5312500000001601</v>
      </c>
      <c r="E1061" s="30">
        <v>850</v>
      </c>
      <c r="F1061" s="60">
        <v>543.52</v>
      </c>
      <c r="G1061" s="4">
        <f t="shared" si="198"/>
        <v>306.48</v>
      </c>
      <c r="H1061" s="9">
        <f t="shared" si="199"/>
        <v>7.6620000000000008E-2</v>
      </c>
      <c r="I1061" s="4"/>
      <c r="J1061" s="64">
        <v>540</v>
      </c>
      <c r="K1061" s="31">
        <f t="shared" si="202"/>
        <v>3.5199999999999818</v>
      </c>
      <c r="L1061" s="14">
        <f t="shared" si="197"/>
        <v>8.7999999999999548E-4</v>
      </c>
      <c r="M1061" s="4"/>
    </row>
    <row r="1062" spans="2:13">
      <c r="B1062" s="43"/>
      <c r="C1062" s="7">
        <v>1.5312500000001701</v>
      </c>
      <c r="D1062" s="7">
        <v>1.5416666666668299</v>
      </c>
      <c r="E1062" s="30">
        <v>850</v>
      </c>
      <c r="F1062" s="60">
        <v>542.44000000000005</v>
      </c>
      <c r="G1062" s="4">
        <f t="shared" si="198"/>
        <v>307.55999999999995</v>
      </c>
      <c r="H1062" s="9">
        <f t="shared" si="199"/>
        <v>7.6889999999999986E-2</v>
      </c>
      <c r="I1062" s="4"/>
      <c r="J1062" s="64">
        <v>540</v>
      </c>
      <c r="K1062" s="31">
        <f t="shared" si="202"/>
        <v>2.4400000000000546</v>
      </c>
      <c r="L1062" s="14">
        <f t="shared" si="197"/>
        <v>6.1000000000001363E-4</v>
      </c>
      <c r="M1062" s="4"/>
    </row>
    <row r="1063" spans="2:13">
      <c r="B1063" s="43"/>
      <c r="C1063" s="7">
        <v>1.5416666666668399</v>
      </c>
      <c r="D1063" s="7">
        <v>1.5520833333335</v>
      </c>
      <c r="E1063" s="30">
        <v>850</v>
      </c>
      <c r="F1063" s="60">
        <v>544.84</v>
      </c>
      <c r="G1063" s="4">
        <f t="shared" si="198"/>
        <v>305.15999999999997</v>
      </c>
      <c r="H1063" s="9">
        <f t="shared" si="199"/>
        <v>7.6289999999999997E-2</v>
      </c>
      <c r="I1063" s="4"/>
      <c r="J1063" s="64">
        <v>540</v>
      </c>
      <c r="K1063" s="31">
        <f t="shared" si="202"/>
        <v>4.8400000000000318</v>
      </c>
      <c r="L1063" s="14">
        <f t="shared" si="197"/>
        <v>1.2100000000000079E-3</v>
      </c>
      <c r="M1063" s="4"/>
    </row>
    <row r="1064" spans="2:13">
      <c r="B1064" s="43"/>
      <c r="C1064" s="7">
        <v>1.55208333333351</v>
      </c>
      <c r="D1064" s="7">
        <v>1.5625000000001701</v>
      </c>
      <c r="E1064" s="30">
        <v>850</v>
      </c>
      <c r="F1064" s="60">
        <v>542.64</v>
      </c>
      <c r="G1064" s="4">
        <f t="shared" si="198"/>
        <v>307.36</v>
      </c>
      <c r="H1064" s="9">
        <f t="shared" si="199"/>
        <v>7.6840000000000006E-2</v>
      </c>
      <c r="I1064" s="4"/>
      <c r="J1064" s="64">
        <v>540</v>
      </c>
      <c r="K1064" s="31">
        <f t="shared" si="202"/>
        <v>2.6399999999999864</v>
      </c>
      <c r="L1064" s="14">
        <f t="shared" si="197"/>
        <v>6.5999999999999664E-4</v>
      </c>
      <c r="M1064" s="4"/>
    </row>
    <row r="1065" spans="2:13">
      <c r="B1065" s="43"/>
      <c r="C1065" s="7">
        <v>1.5625000000001801</v>
      </c>
      <c r="D1065" s="7">
        <v>1.5729166666668399</v>
      </c>
      <c r="E1065" s="30">
        <v>850</v>
      </c>
      <c r="F1065" s="60">
        <v>548.6</v>
      </c>
      <c r="G1065" s="4">
        <f t="shared" si="198"/>
        <v>301.39999999999998</v>
      </c>
      <c r="H1065" s="9">
        <f t="shared" si="199"/>
        <v>7.535E-2</v>
      </c>
      <c r="I1065" s="4"/>
      <c r="J1065" s="64">
        <v>540</v>
      </c>
      <c r="K1065" s="31">
        <f t="shared" si="202"/>
        <v>8.6000000000000227</v>
      </c>
      <c r="L1065" s="14">
        <f t="shared" si="197"/>
        <v>2.1500000000000056E-3</v>
      </c>
      <c r="M1065" s="4"/>
    </row>
    <row r="1066" spans="2:13">
      <c r="B1066" s="43"/>
      <c r="C1066" s="7">
        <v>1.5729166666668499</v>
      </c>
      <c r="D1066" s="7">
        <v>1.58333333333351</v>
      </c>
      <c r="E1066" s="30">
        <v>850</v>
      </c>
      <c r="F1066" s="60">
        <v>545.51</v>
      </c>
      <c r="G1066" s="4">
        <f t="shared" si="198"/>
        <v>304.49</v>
      </c>
      <c r="H1066" s="9">
        <f t="shared" si="199"/>
        <v>7.6122499999999996E-2</v>
      </c>
      <c r="I1066" s="4"/>
      <c r="J1066" s="64">
        <v>540</v>
      </c>
      <c r="K1066" s="31">
        <f t="shared" si="202"/>
        <v>5.5099999999999909</v>
      </c>
      <c r="L1066" s="14">
        <f t="shared" si="197"/>
        <v>1.3774999999999976E-3</v>
      </c>
      <c r="M1066" s="4"/>
    </row>
    <row r="1067" spans="2:13">
      <c r="B1067" s="43"/>
      <c r="C1067" s="7">
        <v>1.58333333333352</v>
      </c>
      <c r="D1067" s="7">
        <v>1.5937500000001801</v>
      </c>
      <c r="E1067" s="30">
        <v>850</v>
      </c>
      <c r="F1067" s="60">
        <v>543.26</v>
      </c>
      <c r="G1067" s="4">
        <f t="shared" si="198"/>
        <v>306.74</v>
      </c>
      <c r="H1067" s="9">
        <f t="shared" si="199"/>
        <v>7.6685000000000003E-2</v>
      </c>
      <c r="I1067" s="4"/>
      <c r="J1067" s="64">
        <v>540</v>
      </c>
      <c r="K1067" s="31">
        <f t="shared" si="202"/>
        <v>3.2599999999999909</v>
      </c>
      <c r="L1067" s="14">
        <f t="shared" si="197"/>
        <v>8.1499999999999769E-4</v>
      </c>
      <c r="M1067" s="4"/>
    </row>
    <row r="1068" spans="2:13">
      <c r="B1068" s="43"/>
      <c r="C1068" s="7">
        <v>1.5937500000001901</v>
      </c>
      <c r="D1068" s="7">
        <v>1.6041666666668499</v>
      </c>
      <c r="E1068" s="30">
        <v>850</v>
      </c>
      <c r="F1068" s="60">
        <v>544.26</v>
      </c>
      <c r="G1068" s="4">
        <f t="shared" si="198"/>
        <v>305.74</v>
      </c>
      <c r="H1068" s="9">
        <f t="shared" si="199"/>
        <v>7.6435000000000003E-2</v>
      </c>
      <c r="I1068" s="4"/>
      <c r="J1068" s="64">
        <v>540</v>
      </c>
      <c r="K1068" s="31">
        <f t="shared" si="202"/>
        <v>4.2599999999999909</v>
      </c>
      <c r="L1068" s="14">
        <f t="shared" si="197"/>
        <v>1.0649999999999978E-3</v>
      </c>
      <c r="M1068" s="4"/>
    </row>
    <row r="1069" spans="2:13">
      <c r="B1069" s="43"/>
      <c r="C1069" s="7">
        <v>1.6041666666668599</v>
      </c>
      <c r="D1069" s="7">
        <v>1.61458333333352</v>
      </c>
      <c r="E1069" s="30">
        <v>850</v>
      </c>
      <c r="F1069" s="60">
        <v>542.76</v>
      </c>
      <c r="G1069" s="4">
        <f t="shared" si="198"/>
        <v>307.24</v>
      </c>
      <c r="H1069" s="9">
        <f t="shared" si="199"/>
        <v>7.6810000000000003E-2</v>
      </c>
      <c r="I1069" s="4"/>
      <c r="J1069" s="64">
        <v>540</v>
      </c>
      <c r="K1069" s="31">
        <f t="shared" si="202"/>
        <v>2.7599999999999909</v>
      </c>
      <c r="L1069" s="14">
        <f t="shared" si="197"/>
        <v>6.8999999999999769E-4</v>
      </c>
      <c r="M1069" s="4"/>
    </row>
    <row r="1070" spans="2:13">
      <c r="B1070" s="43"/>
      <c r="C1070" s="7">
        <v>1.61458333333353</v>
      </c>
      <c r="D1070" s="7">
        <v>1.6250000000001901</v>
      </c>
      <c r="E1070" s="30">
        <v>850</v>
      </c>
      <c r="F1070" s="60">
        <v>539.82000000000005</v>
      </c>
      <c r="G1070" s="4">
        <f t="shared" si="198"/>
        <v>310.17999999999995</v>
      </c>
      <c r="H1070" s="9">
        <f t="shared" si="199"/>
        <v>7.7544999999999989E-2</v>
      </c>
      <c r="I1070" s="4"/>
      <c r="J1070" s="64">
        <v>540</v>
      </c>
      <c r="K1070" s="31">
        <f t="shared" si="202"/>
        <v>-0.17999999999994998</v>
      </c>
      <c r="L1070" s="14">
        <f t="shared" si="197"/>
        <v>0</v>
      </c>
      <c r="M1070" s="4"/>
    </row>
    <row r="1071" spans="2:13">
      <c r="B1071" s="43"/>
      <c r="C1071" s="7">
        <v>1.6250000000002001</v>
      </c>
      <c r="D1071" s="7">
        <v>1.6354166666668599</v>
      </c>
      <c r="E1071" s="30">
        <v>850</v>
      </c>
      <c r="F1071" s="60">
        <v>544.65</v>
      </c>
      <c r="G1071" s="4">
        <f t="shared" si="198"/>
        <v>305.35000000000002</v>
      </c>
      <c r="H1071" s="9">
        <f t="shared" si="199"/>
        <v>7.6337500000000003E-2</v>
      </c>
      <c r="I1071" s="4"/>
      <c r="J1071" s="64">
        <v>540</v>
      </c>
      <c r="K1071" s="31">
        <f t="shared" si="202"/>
        <v>4.6499999999999773</v>
      </c>
      <c r="L1071" s="14">
        <f t="shared" si="197"/>
        <v>1.1624999999999943E-3</v>
      </c>
      <c r="M1071" s="4"/>
    </row>
    <row r="1072" spans="2:13">
      <c r="B1072" s="43"/>
      <c r="C1072" s="7">
        <v>1.6354166666668699</v>
      </c>
      <c r="D1072" s="7">
        <v>1.64583333333353</v>
      </c>
      <c r="E1072" s="30">
        <v>850</v>
      </c>
      <c r="F1072" s="60">
        <v>544.66999999999996</v>
      </c>
      <c r="G1072" s="4">
        <f t="shared" si="198"/>
        <v>305.33000000000004</v>
      </c>
      <c r="H1072" s="9">
        <f t="shared" si="199"/>
        <v>7.6332500000000011E-2</v>
      </c>
      <c r="I1072" s="4"/>
      <c r="J1072" s="64">
        <v>540</v>
      </c>
      <c r="K1072" s="31">
        <f t="shared" si="202"/>
        <v>4.6699999999999591</v>
      </c>
      <c r="L1072" s="14">
        <f t="shared" ref="L1072:L1134" si="203">IF(K1072/4000&gt;0,K1072/4000,0)</f>
        <v>1.1674999999999897E-3</v>
      </c>
      <c r="M1072" s="4"/>
    </row>
    <row r="1073" spans="2:13">
      <c r="B1073" s="43"/>
      <c r="C1073" s="7">
        <v>1.64583333333354</v>
      </c>
      <c r="D1073" s="7">
        <v>1.6562500000002001</v>
      </c>
      <c r="E1073" s="30">
        <v>850</v>
      </c>
      <c r="F1073" s="60">
        <v>545.6</v>
      </c>
      <c r="G1073" s="4">
        <f t="shared" si="198"/>
        <v>304.39999999999998</v>
      </c>
      <c r="H1073" s="9">
        <f t="shared" si="199"/>
        <v>7.6100000000000001E-2</v>
      </c>
      <c r="I1073" s="4"/>
      <c r="J1073" s="64">
        <v>540</v>
      </c>
      <c r="K1073" s="31">
        <f t="shared" si="202"/>
        <v>5.6000000000000227</v>
      </c>
      <c r="L1073" s="14">
        <f t="shared" si="203"/>
        <v>1.4000000000000056E-3</v>
      </c>
      <c r="M1073" s="4"/>
    </row>
    <row r="1074" spans="2:13">
      <c r="B1074" s="43"/>
      <c r="C1074" s="7">
        <v>1.6562500000002101</v>
      </c>
      <c r="D1074" s="7">
        <v>1.6666666666668699</v>
      </c>
      <c r="E1074" s="30">
        <v>850</v>
      </c>
      <c r="F1074" s="60">
        <v>542.84</v>
      </c>
      <c r="G1074" s="4">
        <f t="shared" si="198"/>
        <v>307.15999999999997</v>
      </c>
      <c r="H1074" s="9">
        <f t="shared" si="199"/>
        <v>7.6789999999999997E-2</v>
      </c>
      <c r="I1074" s="4"/>
      <c r="J1074" s="64">
        <v>540</v>
      </c>
      <c r="K1074" s="31">
        <f t="shared" si="202"/>
        <v>2.8400000000000318</v>
      </c>
      <c r="L1074" s="14">
        <f t="shared" si="203"/>
        <v>7.1000000000000793E-4</v>
      </c>
      <c r="M1074" s="4"/>
    </row>
    <row r="1075" spans="2:13">
      <c r="B1075" s="43"/>
      <c r="C1075" s="7">
        <v>1.6666666666668899</v>
      </c>
      <c r="D1075" s="7">
        <v>1.67708333333354</v>
      </c>
      <c r="E1075" s="30">
        <v>850</v>
      </c>
      <c r="F1075" s="60">
        <v>544.57000000000005</v>
      </c>
      <c r="G1075" s="4">
        <f t="shared" si="198"/>
        <v>305.42999999999995</v>
      </c>
      <c r="H1075" s="9">
        <f t="shared" si="199"/>
        <v>7.6357499999999981E-2</v>
      </c>
      <c r="I1075" s="4"/>
      <c r="J1075" s="64">
        <v>540</v>
      </c>
      <c r="K1075" s="31">
        <f t="shared" si="202"/>
        <v>4.57000000000005</v>
      </c>
      <c r="L1075" s="14">
        <f t="shared" si="203"/>
        <v>1.1425000000000124E-3</v>
      </c>
      <c r="M1075" s="4"/>
    </row>
    <row r="1076" spans="2:13">
      <c r="B1076" s="43"/>
      <c r="C1076" s="7">
        <v>1.67708333333356</v>
      </c>
      <c r="D1076" s="7">
        <v>1.6875000000002101</v>
      </c>
      <c r="E1076" s="30">
        <v>850</v>
      </c>
      <c r="F1076" s="60">
        <v>543.41</v>
      </c>
      <c r="G1076" s="4">
        <f t="shared" si="198"/>
        <v>306.59000000000003</v>
      </c>
      <c r="H1076" s="9">
        <f t="shared" si="199"/>
        <v>7.6647500000000007E-2</v>
      </c>
      <c r="I1076" s="4"/>
      <c r="J1076" s="64">
        <v>540</v>
      </c>
      <c r="K1076" s="31">
        <f t="shared" si="202"/>
        <v>3.4099999999999682</v>
      </c>
      <c r="L1076" s="14">
        <f t="shared" si="203"/>
        <v>8.5249999999999204E-4</v>
      </c>
      <c r="M1076" s="4"/>
    </row>
    <row r="1077" spans="2:13">
      <c r="B1077" s="43"/>
      <c r="C1077" s="7">
        <v>1.68750000000023</v>
      </c>
      <c r="D1077" s="7">
        <v>1.6979166666668799</v>
      </c>
      <c r="E1077" s="30">
        <v>850</v>
      </c>
      <c r="F1077" s="60">
        <v>543.22</v>
      </c>
      <c r="G1077" s="4">
        <f t="shared" si="198"/>
        <v>306.77999999999997</v>
      </c>
      <c r="H1077" s="9">
        <f t="shared" si="199"/>
        <v>7.6694999999999999E-2</v>
      </c>
      <c r="I1077" s="4"/>
      <c r="J1077" s="64">
        <v>540</v>
      </c>
      <c r="K1077" s="31">
        <f t="shared" si="202"/>
        <v>3.2200000000000273</v>
      </c>
      <c r="L1077" s="14">
        <f t="shared" si="203"/>
        <v>8.0500000000000677E-4</v>
      </c>
      <c r="M1077" s="4"/>
    </row>
    <row r="1078" spans="2:13">
      <c r="B1078" s="43"/>
      <c r="C1078" s="7">
        <v>1.6979166666669001</v>
      </c>
      <c r="D1078" s="35">
        <v>1.70833333333355</v>
      </c>
      <c r="E1078" s="30">
        <v>850</v>
      </c>
      <c r="F1078" s="60">
        <v>543.41</v>
      </c>
      <c r="G1078" s="4">
        <f t="shared" si="198"/>
        <v>306.59000000000003</v>
      </c>
      <c r="H1078" s="9">
        <f t="shared" si="199"/>
        <v>7.6647500000000007E-2</v>
      </c>
      <c r="I1078" s="4"/>
      <c r="J1078" s="64">
        <v>540</v>
      </c>
      <c r="K1078" s="31">
        <f t="shared" si="202"/>
        <v>3.4099999999999682</v>
      </c>
      <c r="L1078" s="14">
        <f t="shared" si="203"/>
        <v>8.5249999999999204E-4</v>
      </c>
      <c r="M1078" s="4"/>
    </row>
    <row r="1079" spans="2:13">
      <c r="B1079" s="43"/>
      <c r="C1079" s="7">
        <v>1.70833333333356</v>
      </c>
      <c r="D1079" s="7">
        <v>1.71875000000022</v>
      </c>
      <c r="E1079" s="30">
        <v>850</v>
      </c>
      <c r="F1079" s="60">
        <v>596.87</v>
      </c>
      <c r="G1079" s="4">
        <f t="shared" si="198"/>
        <v>253.13</v>
      </c>
      <c r="H1079" s="9">
        <f t="shared" si="199"/>
        <v>6.3282500000000005E-2</v>
      </c>
      <c r="I1079" s="4"/>
      <c r="J1079" s="29">
        <f>J1078+80</f>
        <v>620</v>
      </c>
      <c r="K1079" s="31">
        <f>J1079-E1079</f>
        <v>-230</v>
      </c>
      <c r="L1079" s="14">
        <f t="shared" si="203"/>
        <v>0</v>
      </c>
      <c r="M1079" s="4"/>
    </row>
    <row r="1080" spans="2:13">
      <c r="B1080" s="43"/>
      <c r="C1080" s="7">
        <v>1.71875000000023</v>
      </c>
      <c r="D1080" s="7">
        <v>1.7291666666668899</v>
      </c>
      <c r="E1080" s="30">
        <v>850</v>
      </c>
      <c r="F1080" s="60">
        <v>732.14</v>
      </c>
      <c r="G1080" s="4">
        <f t="shared" si="198"/>
        <v>117.86000000000001</v>
      </c>
      <c r="H1080" s="9">
        <f t="shared" si="199"/>
        <v>2.9465000000000005E-2</v>
      </c>
      <c r="I1080" s="4"/>
      <c r="J1080" s="64">
        <f t="shared" ref="J1080:J1081" si="204">J1079+80</f>
        <v>700</v>
      </c>
      <c r="K1080" s="31">
        <f t="shared" ref="K1080:K1082" si="205">J1080-E1080</f>
        <v>-150</v>
      </c>
      <c r="L1080" s="14">
        <f t="shared" si="203"/>
        <v>0</v>
      </c>
      <c r="M1080" s="4"/>
    </row>
    <row r="1081" spans="2:13">
      <c r="B1081" s="43"/>
      <c r="C1081" s="7">
        <v>1.7291666666669001</v>
      </c>
      <c r="D1081" s="7">
        <v>1.73958333333356</v>
      </c>
      <c r="E1081" s="30">
        <v>850</v>
      </c>
      <c r="F1081" s="60">
        <v>821.31</v>
      </c>
      <c r="G1081" s="4">
        <f t="shared" si="198"/>
        <v>28.690000000000055</v>
      </c>
      <c r="H1081" s="9">
        <f t="shared" si="199"/>
        <v>7.1725000000000139E-3</v>
      </c>
      <c r="I1081" s="4"/>
      <c r="J1081" s="64">
        <f t="shared" si="204"/>
        <v>780</v>
      </c>
      <c r="K1081" s="31">
        <f t="shared" si="205"/>
        <v>-70</v>
      </c>
      <c r="L1081" s="14">
        <f t="shared" si="203"/>
        <v>0</v>
      </c>
      <c r="M1081" s="4"/>
    </row>
    <row r="1082" spans="2:13">
      <c r="B1082" s="43"/>
      <c r="C1082" s="7">
        <v>1.73958333333358</v>
      </c>
      <c r="D1082" s="7">
        <v>1.75000000000023</v>
      </c>
      <c r="E1082" s="30">
        <v>850</v>
      </c>
      <c r="F1082" s="60">
        <v>854.81</v>
      </c>
      <c r="G1082" s="4">
        <f t="shared" si="198"/>
        <v>-4.8099999999999454</v>
      </c>
      <c r="H1082" s="76">
        <v>0</v>
      </c>
      <c r="I1082" s="4"/>
      <c r="J1082" s="64">
        <v>850</v>
      </c>
      <c r="K1082" s="31">
        <f t="shared" si="205"/>
        <v>0</v>
      </c>
      <c r="L1082" s="14">
        <f t="shared" si="203"/>
        <v>0</v>
      </c>
      <c r="M1082" s="4"/>
    </row>
    <row r="1083" spans="2:13">
      <c r="B1083" s="43"/>
      <c r="C1083" s="7"/>
      <c r="D1083" s="7"/>
      <c r="E1083" s="30"/>
      <c r="F1083" s="60"/>
      <c r="G1083" s="4"/>
      <c r="H1083" s="9"/>
      <c r="I1083" s="9">
        <f>SUM(H1049:H1082)</f>
        <v>2.2815975000000002</v>
      </c>
      <c r="J1083" s="64"/>
      <c r="K1083" s="31"/>
      <c r="L1083" s="14"/>
      <c r="M1083" s="4">
        <f>SUM(L1049:L1082)</f>
        <v>3.2374999999999994E-2</v>
      </c>
    </row>
    <row r="1084" spans="2:13">
      <c r="B1084" s="34">
        <v>46045</v>
      </c>
      <c r="C1084" s="7">
        <v>1.8229166666669401</v>
      </c>
      <c r="D1084" s="7">
        <v>1.8333333333335899</v>
      </c>
      <c r="E1084" s="30">
        <v>850</v>
      </c>
      <c r="F1084" s="60">
        <v>835.19</v>
      </c>
      <c r="G1084" s="4">
        <f t="shared" ref="G1084:G1141" si="206">E1084-F1084</f>
        <v>14.809999999999945</v>
      </c>
      <c r="H1084" s="9">
        <f t="shared" ref="H1084:H1141" si="207">G1084/4000</f>
        <v>3.7024999999999862E-3</v>
      </c>
      <c r="I1084" s="4"/>
      <c r="J1084" s="29">
        <f>E1084-55</f>
        <v>795</v>
      </c>
      <c r="K1084" s="31">
        <f t="shared" si="202"/>
        <v>40.190000000000055</v>
      </c>
      <c r="L1084" s="14"/>
      <c r="M1084" s="4"/>
    </row>
    <row r="1085" spans="2:13">
      <c r="B1085" s="43"/>
      <c r="C1085" s="7">
        <v>1.8333333333336099</v>
      </c>
      <c r="D1085" s="7">
        <v>1.84375000000026</v>
      </c>
      <c r="E1085" s="30">
        <v>850</v>
      </c>
      <c r="F1085" s="60">
        <v>730.95</v>
      </c>
      <c r="G1085" s="4">
        <f t="shared" si="206"/>
        <v>119.04999999999995</v>
      </c>
      <c r="H1085" s="9">
        <f t="shared" si="207"/>
        <v>2.976249999999999E-2</v>
      </c>
      <c r="I1085" s="4"/>
      <c r="J1085" s="29">
        <f>J1084-80</f>
        <v>715</v>
      </c>
      <c r="K1085" s="31">
        <f t="shared" si="202"/>
        <v>15.950000000000045</v>
      </c>
      <c r="L1085" s="14">
        <f t="shared" si="203"/>
        <v>3.987500000000011E-3</v>
      </c>
      <c r="M1085" s="4"/>
    </row>
    <row r="1086" spans="2:13">
      <c r="B1086" s="43"/>
      <c r="C1086" s="7">
        <v>1.84375000000028</v>
      </c>
      <c r="D1086" s="7">
        <v>1.8541666666669301</v>
      </c>
      <c r="E1086" s="30">
        <v>850</v>
      </c>
      <c r="F1086" s="60">
        <v>619</v>
      </c>
      <c r="G1086" s="4">
        <f t="shared" si="206"/>
        <v>231</v>
      </c>
      <c r="H1086" s="9">
        <f t="shared" si="207"/>
        <v>5.7750000000000003E-2</v>
      </c>
      <c r="I1086" s="4"/>
      <c r="J1086" s="64">
        <f t="shared" ref="J1086:J1087" si="208">J1085-80</f>
        <v>635</v>
      </c>
      <c r="K1086" s="31">
        <f t="shared" si="202"/>
        <v>-16</v>
      </c>
      <c r="L1086" s="14">
        <f t="shared" si="203"/>
        <v>0</v>
      </c>
      <c r="M1086" s="4"/>
    </row>
    <row r="1087" spans="2:13">
      <c r="B1087" s="43"/>
      <c r="C1087" s="7">
        <v>1.8541666666669501</v>
      </c>
      <c r="D1087" s="7">
        <v>1.8645833333335999</v>
      </c>
      <c r="E1087" s="30">
        <v>850</v>
      </c>
      <c r="F1087" s="60">
        <v>565.19000000000005</v>
      </c>
      <c r="G1087" s="4">
        <f t="shared" si="206"/>
        <v>284.80999999999995</v>
      </c>
      <c r="H1087" s="9">
        <f t="shared" si="207"/>
        <v>7.1202499999999988E-2</v>
      </c>
      <c r="I1087" s="4"/>
      <c r="J1087" s="64">
        <f t="shared" si="208"/>
        <v>555</v>
      </c>
      <c r="K1087" s="31">
        <f t="shared" si="202"/>
        <v>10.190000000000055</v>
      </c>
      <c r="L1087" s="14">
        <f t="shared" si="203"/>
        <v>2.5475000000000137E-3</v>
      </c>
      <c r="M1087" s="4"/>
    </row>
    <row r="1088" spans="2:13">
      <c r="B1088" s="43"/>
      <c r="C1088" s="7">
        <v>1.8645833333336199</v>
      </c>
      <c r="D1088" s="7">
        <v>1.87500000000027</v>
      </c>
      <c r="E1088" s="30">
        <v>850</v>
      </c>
      <c r="F1088" s="60">
        <v>550.39</v>
      </c>
      <c r="G1088" s="4">
        <f t="shared" si="206"/>
        <v>299.61</v>
      </c>
      <c r="H1088" s="9">
        <f t="shared" si="207"/>
        <v>7.4902499999999997E-2</v>
      </c>
      <c r="I1088" s="4"/>
      <c r="J1088" s="64">
        <v>540</v>
      </c>
      <c r="K1088" s="31">
        <f t="shared" si="202"/>
        <v>10.389999999999986</v>
      </c>
      <c r="L1088" s="14">
        <f t="shared" si="203"/>
        <v>2.5974999999999965E-3</v>
      </c>
      <c r="M1088" s="4"/>
    </row>
    <row r="1089" spans="2:13">
      <c r="B1089" s="43"/>
      <c r="C1089" s="7">
        <v>1.87500000000029</v>
      </c>
      <c r="D1089" s="7">
        <v>1.8854166666669401</v>
      </c>
      <c r="E1089" s="30">
        <v>850</v>
      </c>
      <c r="F1089" s="60">
        <v>542.41</v>
      </c>
      <c r="G1089" s="4">
        <f t="shared" si="206"/>
        <v>307.59000000000003</v>
      </c>
      <c r="H1089" s="9">
        <f t="shared" si="207"/>
        <v>7.6897500000000008E-2</v>
      </c>
      <c r="I1089" s="4"/>
      <c r="J1089" s="64">
        <v>540</v>
      </c>
      <c r="K1089" s="31">
        <f t="shared" si="202"/>
        <v>2.4099999999999682</v>
      </c>
      <c r="L1089" s="14">
        <f t="shared" si="203"/>
        <v>6.0249999999999204E-4</v>
      </c>
      <c r="M1089" s="4"/>
    </row>
    <row r="1090" spans="2:13">
      <c r="B1090" s="43"/>
      <c r="C1090" s="7">
        <v>1.8854166666669601</v>
      </c>
      <c r="D1090" s="7">
        <v>1.8958333333336099</v>
      </c>
      <c r="E1090" s="30">
        <v>850</v>
      </c>
      <c r="F1090" s="60">
        <v>548.85</v>
      </c>
      <c r="G1090" s="4">
        <f t="shared" si="206"/>
        <v>301.14999999999998</v>
      </c>
      <c r="H1090" s="9">
        <f t="shared" si="207"/>
        <v>7.5287499999999993E-2</v>
      </c>
      <c r="I1090" s="4"/>
      <c r="J1090" s="64">
        <v>540</v>
      </c>
      <c r="K1090" s="31">
        <f t="shared" si="202"/>
        <v>8.8500000000000227</v>
      </c>
      <c r="L1090" s="14">
        <f t="shared" si="203"/>
        <v>2.2125000000000057E-3</v>
      </c>
      <c r="M1090" s="4"/>
    </row>
    <row r="1091" spans="2:13">
      <c r="B1091" s="43"/>
      <c r="C1091" s="7">
        <v>1.8958333333336299</v>
      </c>
      <c r="D1091" s="7">
        <v>1.90625000000028</v>
      </c>
      <c r="E1091" s="30">
        <v>850</v>
      </c>
      <c r="F1091" s="60">
        <v>550.29</v>
      </c>
      <c r="G1091" s="4">
        <f t="shared" si="206"/>
        <v>299.71000000000004</v>
      </c>
      <c r="H1091" s="9">
        <f t="shared" si="207"/>
        <v>7.4927500000000008E-2</v>
      </c>
      <c r="I1091" s="4"/>
      <c r="J1091" s="64">
        <v>540</v>
      </c>
      <c r="K1091" s="31">
        <f t="shared" si="202"/>
        <v>10.289999999999964</v>
      </c>
      <c r="L1091" s="14">
        <f t="shared" si="203"/>
        <v>2.572499999999991E-3</v>
      </c>
      <c r="M1091" s="4"/>
    </row>
    <row r="1092" spans="2:13">
      <c r="B1092" s="43"/>
      <c r="C1092" s="7">
        <v>1.9062500000003</v>
      </c>
      <c r="D1092" s="7">
        <v>1.9166666666669501</v>
      </c>
      <c r="E1092" s="30">
        <v>850</v>
      </c>
      <c r="F1092" s="60">
        <v>545.57000000000005</v>
      </c>
      <c r="G1092" s="4">
        <f t="shared" si="206"/>
        <v>304.42999999999995</v>
      </c>
      <c r="H1092" s="9">
        <f t="shared" si="207"/>
        <v>7.6107499999999981E-2</v>
      </c>
      <c r="I1092" s="4"/>
      <c r="J1092" s="64">
        <v>540</v>
      </c>
      <c r="K1092" s="31">
        <f t="shared" si="202"/>
        <v>5.57000000000005</v>
      </c>
      <c r="L1092" s="14">
        <f t="shared" si="203"/>
        <v>1.3925000000000124E-3</v>
      </c>
      <c r="M1092" s="4"/>
    </row>
    <row r="1093" spans="2:13">
      <c r="B1093" s="43"/>
      <c r="C1093" s="7">
        <v>1.9166666666669701</v>
      </c>
      <c r="D1093" s="7">
        <v>1.9270833333336199</v>
      </c>
      <c r="E1093" s="30">
        <v>850</v>
      </c>
      <c r="F1093" s="60">
        <v>545.61</v>
      </c>
      <c r="G1093" s="4">
        <f t="shared" si="206"/>
        <v>304.39</v>
      </c>
      <c r="H1093" s="9">
        <f t="shared" si="207"/>
        <v>7.6097499999999998E-2</v>
      </c>
      <c r="I1093" s="4"/>
      <c r="J1093" s="64">
        <v>540</v>
      </c>
      <c r="K1093" s="31">
        <f t="shared" si="202"/>
        <v>5.6100000000000136</v>
      </c>
      <c r="L1093" s="14">
        <f t="shared" si="203"/>
        <v>1.4025000000000034E-3</v>
      </c>
      <c r="M1093" s="4"/>
    </row>
    <row r="1094" spans="2:13">
      <c r="B1094" s="43"/>
      <c r="C1094" s="7">
        <v>1.9270833333336399</v>
      </c>
      <c r="D1094" s="7">
        <v>1.93750000000029</v>
      </c>
      <c r="E1094" s="30">
        <v>850</v>
      </c>
      <c r="F1094" s="60">
        <v>541.16999999999996</v>
      </c>
      <c r="G1094" s="4">
        <f t="shared" si="206"/>
        <v>308.83000000000004</v>
      </c>
      <c r="H1094" s="9">
        <f t="shared" si="207"/>
        <v>7.7207500000000012E-2</v>
      </c>
      <c r="I1094" s="4"/>
      <c r="J1094" s="64">
        <v>540</v>
      </c>
      <c r="K1094" s="31">
        <f t="shared" si="202"/>
        <v>1.1699999999999591</v>
      </c>
      <c r="L1094" s="14">
        <f t="shared" si="203"/>
        <v>2.9249999999998976E-4</v>
      </c>
      <c r="M1094" s="4"/>
    </row>
    <row r="1095" spans="2:13">
      <c r="B1095" s="43"/>
      <c r="C1095" s="7">
        <v>1.93750000000031</v>
      </c>
      <c r="D1095" s="7">
        <v>1.9479166666669601</v>
      </c>
      <c r="E1095" s="30">
        <v>850</v>
      </c>
      <c r="F1095" s="60">
        <v>543.4</v>
      </c>
      <c r="G1095" s="4">
        <f t="shared" si="206"/>
        <v>306.60000000000002</v>
      </c>
      <c r="H1095" s="9">
        <f t="shared" si="207"/>
        <v>7.665000000000001E-2</v>
      </c>
      <c r="I1095" s="4"/>
      <c r="J1095" s="64">
        <v>540</v>
      </c>
      <c r="K1095" s="31">
        <f t="shared" si="202"/>
        <v>3.3999999999999773</v>
      </c>
      <c r="L1095" s="14">
        <f t="shared" si="203"/>
        <v>8.4999999999999431E-4</v>
      </c>
      <c r="M1095" s="4"/>
    </row>
    <row r="1096" spans="2:13">
      <c r="B1096" s="43"/>
      <c r="C1096" s="7">
        <v>1.94791666666698</v>
      </c>
      <c r="D1096" s="7">
        <v>1.9583333333336299</v>
      </c>
      <c r="E1096" s="30">
        <v>850</v>
      </c>
      <c r="F1096" s="60">
        <v>541.27</v>
      </c>
      <c r="G1096" s="4">
        <f t="shared" si="206"/>
        <v>308.73</v>
      </c>
      <c r="H1096" s="9">
        <f t="shared" si="207"/>
        <v>7.7182500000000001E-2</v>
      </c>
      <c r="I1096" s="4"/>
      <c r="J1096" s="64">
        <v>540</v>
      </c>
      <c r="K1096" s="31">
        <f t="shared" si="202"/>
        <v>1.2699999999999818</v>
      </c>
      <c r="L1096" s="14">
        <f t="shared" si="203"/>
        <v>3.1749999999999547E-4</v>
      </c>
      <c r="M1096" s="4"/>
    </row>
    <row r="1097" spans="2:13">
      <c r="B1097" s="43"/>
      <c r="C1097" s="7">
        <v>1.9583333333336499</v>
      </c>
      <c r="D1097" s="7">
        <v>1.9687500000003</v>
      </c>
      <c r="E1097" s="30">
        <v>850</v>
      </c>
      <c r="F1097" s="60">
        <v>544.85</v>
      </c>
      <c r="G1097" s="4">
        <f t="shared" si="206"/>
        <v>305.14999999999998</v>
      </c>
      <c r="H1097" s="9">
        <f t="shared" si="207"/>
        <v>7.6287499999999994E-2</v>
      </c>
      <c r="I1097" s="4"/>
      <c r="J1097" s="64">
        <v>540</v>
      </c>
      <c r="K1097" s="31">
        <f t="shared" si="202"/>
        <v>4.8500000000000227</v>
      </c>
      <c r="L1097" s="14">
        <f t="shared" si="203"/>
        <v>1.2125000000000057E-3</v>
      </c>
      <c r="M1097" s="4"/>
    </row>
    <row r="1098" spans="2:13">
      <c r="B1098" s="43"/>
      <c r="C1098" s="7">
        <v>1.96875000000032</v>
      </c>
      <c r="D1098" s="7">
        <v>1.9791666666669701</v>
      </c>
      <c r="E1098" s="30">
        <v>850</v>
      </c>
      <c r="F1098" s="60">
        <v>545.03</v>
      </c>
      <c r="G1098" s="4">
        <f t="shared" si="206"/>
        <v>304.97000000000003</v>
      </c>
      <c r="H1098" s="9">
        <f t="shared" si="207"/>
        <v>7.6242500000000005E-2</v>
      </c>
      <c r="I1098" s="4"/>
      <c r="J1098" s="64">
        <v>540</v>
      </c>
      <c r="K1098" s="31">
        <f t="shared" si="202"/>
        <v>5.0299999999999727</v>
      </c>
      <c r="L1098" s="14">
        <f t="shared" si="203"/>
        <v>1.2574999999999932E-3</v>
      </c>
      <c r="M1098" s="4"/>
    </row>
    <row r="1099" spans="2:13">
      <c r="B1099" s="43"/>
      <c r="C1099" s="7">
        <v>1.97916666666699</v>
      </c>
      <c r="D1099" s="7">
        <v>1.9895833333336399</v>
      </c>
      <c r="E1099" s="30">
        <v>850</v>
      </c>
      <c r="F1099" s="60">
        <v>545.04999999999995</v>
      </c>
      <c r="G1099" s="4">
        <f t="shared" si="206"/>
        <v>304.95000000000005</v>
      </c>
      <c r="H1099" s="9">
        <f t="shared" si="207"/>
        <v>7.6237500000000014E-2</v>
      </c>
      <c r="I1099" s="4"/>
      <c r="J1099" s="64">
        <v>540</v>
      </c>
      <c r="K1099" s="31">
        <f t="shared" si="202"/>
        <v>5.0499999999999545</v>
      </c>
      <c r="L1099" s="14">
        <f t="shared" si="203"/>
        <v>1.2624999999999887E-3</v>
      </c>
      <c r="M1099" s="4"/>
    </row>
    <row r="1100" spans="2:13">
      <c r="B1100" s="43"/>
      <c r="C1100" s="7">
        <v>1.9895833333336601</v>
      </c>
      <c r="D1100" s="35">
        <v>2.00000000000031</v>
      </c>
      <c r="E1100" s="30">
        <v>850</v>
      </c>
      <c r="F1100" s="61">
        <v>543.16999999999996</v>
      </c>
      <c r="G1100" s="4">
        <f t="shared" si="206"/>
        <v>306.83000000000004</v>
      </c>
      <c r="H1100" s="9">
        <f t="shared" si="207"/>
        <v>7.6707500000000012E-2</v>
      </c>
      <c r="I1100" s="4"/>
      <c r="J1100" s="64">
        <v>540</v>
      </c>
      <c r="K1100" s="31">
        <f t="shared" si="202"/>
        <v>3.1699999999999591</v>
      </c>
      <c r="L1100" s="14">
        <f t="shared" si="203"/>
        <v>7.9249999999998972E-4</v>
      </c>
      <c r="M1100" s="4"/>
    </row>
    <row r="1101" spans="2:13">
      <c r="B1101" s="43"/>
      <c r="C1101" s="43"/>
      <c r="D1101" s="43"/>
      <c r="E1101" s="4"/>
      <c r="F1101" s="4"/>
      <c r="G1101" s="4"/>
      <c r="H1101" s="9"/>
      <c r="I1101" s="9">
        <f>SUM(H1084:H1100)</f>
        <v>1.1531525</v>
      </c>
      <c r="J1101" s="29"/>
      <c r="K1101" s="31"/>
      <c r="L1101" s="14"/>
      <c r="M1101" s="4">
        <f>SUM(L1084:L1100)</f>
        <v>2.3299999999999987E-2</v>
      </c>
    </row>
    <row r="1102" spans="2:13">
      <c r="B1102" s="34">
        <v>46046</v>
      </c>
      <c r="C1102" s="7">
        <v>1</v>
      </c>
      <c r="D1102" s="7">
        <v>1.0104166666666701</v>
      </c>
      <c r="E1102" s="30">
        <v>850</v>
      </c>
      <c r="F1102" s="60">
        <v>541.48</v>
      </c>
      <c r="G1102" s="4">
        <f t="shared" si="206"/>
        <v>308.52</v>
      </c>
      <c r="H1102" s="9">
        <f t="shared" si="207"/>
        <v>7.712999999999999E-2</v>
      </c>
      <c r="I1102" s="4"/>
      <c r="J1102" s="65">
        <v>540</v>
      </c>
      <c r="K1102" s="31">
        <f t="shared" si="202"/>
        <v>1.4800000000000182</v>
      </c>
      <c r="L1102" s="14"/>
      <c r="M1102" s="4"/>
    </row>
    <row r="1103" spans="2:13">
      <c r="B1103" s="43"/>
      <c r="C1103" s="7">
        <v>1.0104166666666701</v>
      </c>
      <c r="D1103" s="7">
        <v>1.0208333333333399</v>
      </c>
      <c r="E1103" s="30">
        <v>850</v>
      </c>
      <c r="F1103" s="60">
        <v>539.58000000000004</v>
      </c>
      <c r="G1103" s="4">
        <f t="shared" si="206"/>
        <v>310.41999999999996</v>
      </c>
      <c r="H1103" s="9">
        <f t="shared" si="207"/>
        <v>7.7604999999999993E-2</v>
      </c>
      <c r="I1103" s="4"/>
      <c r="J1103" s="65">
        <v>540</v>
      </c>
      <c r="K1103" s="31">
        <f t="shared" si="202"/>
        <v>-0.41999999999995907</v>
      </c>
      <c r="L1103" s="14">
        <f t="shared" si="203"/>
        <v>0</v>
      </c>
      <c r="M1103" s="4"/>
    </row>
    <row r="1104" spans="2:13">
      <c r="B1104" s="43"/>
      <c r="C1104" s="7">
        <v>1.0208333333333399</v>
      </c>
      <c r="D1104" s="7">
        <v>1.03125000000001</v>
      </c>
      <c r="E1104" s="30">
        <v>850</v>
      </c>
      <c r="F1104" s="60">
        <v>540.09</v>
      </c>
      <c r="G1104" s="4">
        <f t="shared" si="206"/>
        <v>309.90999999999997</v>
      </c>
      <c r="H1104" s="9">
        <f t="shared" si="207"/>
        <v>7.7477499999999991E-2</v>
      </c>
      <c r="I1104" s="4"/>
      <c r="J1104" s="65">
        <v>540</v>
      </c>
      <c r="K1104" s="31">
        <f t="shared" si="202"/>
        <v>9.0000000000031832E-2</v>
      </c>
      <c r="L1104" s="14">
        <f t="shared" si="203"/>
        <v>2.2500000000007957E-5</v>
      </c>
      <c r="M1104" s="4"/>
    </row>
    <row r="1105" spans="2:13">
      <c r="B1105" s="43"/>
      <c r="C1105" s="7">
        <v>1.03125000000001</v>
      </c>
      <c r="D1105" s="7">
        <v>1.0416666666666801</v>
      </c>
      <c r="E1105" s="30">
        <v>850</v>
      </c>
      <c r="F1105" s="60">
        <v>539.5</v>
      </c>
      <c r="G1105" s="4">
        <f t="shared" si="206"/>
        <v>310.5</v>
      </c>
      <c r="H1105" s="9">
        <f t="shared" si="207"/>
        <v>7.7625E-2</v>
      </c>
      <c r="I1105" s="4"/>
      <c r="J1105" s="64">
        <v>540</v>
      </c>
      <c r="K1105" s="31">
        <f t="shared" si="202"/>
        <v>-0.5</v>
      </c>
      <c r="L1105" s="14">
        <f t="shared" si="203"/>
        <v>0</v>
      </c>
      <c r="M1105" s="4"/>
    </row>
    <row r="1106" spans="2:13">
      <c r="B1106" s="43"/>
      <c r="C1106" s="7">
        <v>1.0416666666666801</v>
      </c>
      <c r="D1106" s="7">
        <v>1.0520833333333499</v>
      </c>
      <c r="E1106" s="30">
        <v>850</v>
      </c>
      <c r="F1106" s="60">
        <v>539.58000000000004</v>
      </c>
      <c r="G1106" s="4">
        <f t="shared" si="206"/>
        <v>310.41999999999996</v>
      </c>
      <c r="H1106" s="9">
        <f t="shared" si="207"/>
        <v>7.7604999999999993E-2</v>
      </c>
      <c r="I1106" s="4"/>
      <c r="J1106" s="64">
        <v>540</v>
      </c>
      <c r="K1106" s="31">
        <f t="shared" si="202"/>
        <v>-0.41999999999995907</v>
      </c>
      <c r="L1106" s="14">
        <f t="shared" si="203"/>
        <v>0</v>
      </c>
      <c r="M1106" s="4"/>
    </row>
    <row r="1107" spans="2:13">
      <c r="B1107" s="43"/>
      <c r="C1107" s="7">
        <v>1.0520833333333499</v>
      </c>
      <c r="D1107" s="7">
        <v>1.06250000000002</v>
      </c>
      <c r="E1107" s="30">
        <v>850</v>
      </c>
      <c r="F1107" s="60">
        <v>540.9</v>
      </c>
      <c r="G1107" s="4">
        <f t="shared" si="206"/>
        <v>309.10000000000002</v>
      </c>
      <c r="H1107" s="9">
        <f t="shared" si="207"/>
        <v>7.727500000000001E-2</v>
      </c>
      <c r="I1107" s="4"/>
      <c r="J1107" s="64">
        <v>540</v>
      </c>
      <c r="K1107" s="31">
        <f t="shared" si="202"/>
        <v>0.89999999999997726</v>
      </c>
      <c r="L1107" s="14">
        <f t="shared" si="203"/>
        <v>2.2499999999999433E-4</v>
      </c>
      <c r="M1107" s="4"/>
    </row>
    <row r="1108" spans="2:13">
      <c r="B1108" s="43"/>
      <c r="C1108" s="7">
        <v>1.06250000000002</v>
      </c>
      <c r="D1108" s="7">
        <v>1.0729166666666901</v>
      </c>
      <c r="E1108" s="30">
        <v>850</v>
      </c>
      <c r="F1108" s="60">
        <v>541.19000000000005</v>
      </c>
      <c r="G1108" s="4">
        <f t="shared" si="206"/>
        <v>308.80999999999995</v>
      </c>
      <c r="H1108" s="9">
        <f t="shared" si="207"/>
        <v>7.7202499999999979E-2</v>
      </c>
      <c r="I1108" s="4"/>
      <c r="J1108" s="64">
        <v>540</v>
      </c>
      <c r="K1108" s="31">
        <f t="shared" si="202"/>
        <v>1.1900000000000546</v>
      </c>
      <c r="L1108" s="14">
        <f t="shared" si="203"/>
        <v>2.9750000000001363E-4</v>
      </c>
      <c r="M1108" s="4"/>
    </row>
    <row r="1109" spans="2:13">
      <c r="B1109" s="43"/>
      <c r="C1109" s="7">
        <v>1.0729166666666901</v>
      </c>
      <c r="D1109" s="7">
        <v>1.0833333333333599</v>
      </c>
      <c r="E1109" s="30">
        <v>850</v>
      </c>
      <c r="F1109" s="60">
        <v>542.75</v>
      </c>
      <c r="G1109" s="4">
        <f t="shared" si="206"/>
        <v>307.25</v>
      </c>
      <c r="H1109" s="9">
        <f t="shared" si="207"/>
        <v>7.6812500000000006E-2</v>
      </c>
      <c r="I1109" s="4"/>
      <c r="J1109" s="64">
        <v>540</v>
      </c>
      <c r="K1109" s="31">
        <f t="shared" si="202"/>
        <v>2.75</v>
      </c>
      <c r="L1109" s="14">
        <f t="shared" si="203"/>
        <v>6.8749999999999996E-4</v>
      </c>
      <c r="M1109" s="4"/>
    </row>
    <row r="1110" spans="2:13">
      <c r="B1110" s="43"/>
      <c r="C1110" s="7">
        <v>1.0833333333333599</v>
      </c>
      <c r="D1110" s="7">
        <v>1.09375000000003</v>
      </c>
      <c r="E1110" s="30">
        <v>850</v>
      </c>
      <c r="F1110" s="60">
        <v>540.61</v>
      </c>
      <c r="G1110" s="4">
        <f t="shared" si="206"/>
        <v>309.39</v>
      </c>
      <c r="H1110" s="9">
        <f t="shared" si="207"/>
        <v>7.73475E-2</v>
      </c>
      <c r="I1110" s="4"/>
      <c r="J1110" s="64">
        <v>540</v>
      </c>
      <c r="K1110" s="31">
        <f t="shared" si="202"/>
        <v>0.61000000000001364</v>
      </c>
      <c r="L1110" s="14">
        <f t="shared" si="203"/>
        <v>1.5250000000000341E-4</v>
      </c>
      <c r="M1110" s="4"/>
    </row>
    <row r="1111" spans="2:13">
      <c r="B1111" s="43"/>
      <c r="C1111" s="7">
        <v>1.09375000000003</v>
      </c>
      <c r="D1111" s="7">
        <v>1.1041666666667</v>
      </c>
      <c r="E1111" s="30">
        <v>850</v>
      </c>
      <c r="F1111" s="60">
        <v>540.57000000000005</v>
      </c>
      <c r="G1111" s="4">
        <f t="shared" si="206"/>
        <v>309.42999999999995</v>
      </c>
      <c r="H1111" s="9">
        <f t="shared" si="207"/>
        <v>7.7357499999999982E-2</v>
      </c>
      <c r="I1111" s="4"/>
      <c r="J1111" s="64">
        <v>540</v>
      </c>
      <c r="K1111" s="31">
        <f t="shared" si="202"/>
        <v>0.57000000000005002</v>
      </c>
      <c r="L1111" s="14">
        <f t="shared" si="203"/>
        <v>1.4250000000001252E-4</v>
      </c>
      <c r="M1111" s="4"/>
    </row>
    <row r="1112" spans="2:13">
      <c r="B1112" s="43"/>
      <c r="C1112" s="7">
        <v>1.1041666666667</v>
      </c>
      <c r="D1112" s="7">
        <v>1.1145833333333699</v>
      </c>
      <c r="E1112" s="30">
        <v>850</v>
      </c>
      <c r="F1112" s="60">
        <v>541.03</v>
      </c>
      <c r="G1112" s="4">
        <f t="shared" si="206"/>
        <v>308.97000000000003</v>
      </c>
      <c r="H1112" s="9">
        <f t="shared" si="207"/>
        <v>7.7242500000000006E-2</v>
      </c>
      <c r="I1112" s="4"/>
      <c r="J1112" s="64">
        <v>540</v>
      </c>
      <c r="K1112" s="31">
        <f t="shared" si="202"/>
        <v>1.0299999999999727</v>
      </c>
      <c r="L1112" s="14">
        <f t="shared" si="203"/>
        <v>2.5749999999999319E-4</v>
      </c>
      <c r="M1112" s="4"/>
    </row>
    <row r="1113" spans="2:13">
      <c r="B1113" s="43"/>
      <c r="C1113" s="7">
        <v>1.1145833333333699</v>
      </c>
      <c r="D1113" s="7">
        <v>1.12500000000004</v>
      </c>
      <c r="E1113" s="30">
        <v>850</v>
      </c>
      <c r="F1113" s="60">
        <v>540.4</v>
      </c>
      <c r="G1113" s="4">
        <f t="shared" si="206"/>
        <v>309.60000000000002</v>
      </c>
      <c r="H1113" s="9">
        <f t="shared" si="207"/>
        <v>7.740000000000001E-2</v>
      </c>
      <c r="I1113" s="4"/>
      <c r="J1113" s="64">
        <v>540</v>
      </c>
      <c r="K1113" s="31">
        <f t="shared" si="202"/>
        <v>0.39999999999997726</v>
      </c>
      <c r="L1113" s="14">
        <f t="shared" si="203"/>
        <v>9.9999999999994313E-5</v>
      </c>
      <c r="M1113" s="4"/>
    </row>
    <row r="1114" spans="2:13">
      <c r="B1114" s="43"/>
      <c r="C1114" s="7">
        <v>1.12500000000004</v>
      </c>
      <c r="D1114" s="7">
        <v>1.13541666666671</v>
      </c>
      <c r="E1114" s="30">
        <v>850</v>
      </c>
      <c r="F1114" s="60">
        <v>540.97</v>
      </c>
      <c r="G1114" s="4">
        <f t="shared" si="206"/>
        <v>309.02999999999997</v>
      </c>
      <c r="H1114" s="9">
        <f t="shared" si="207"/>
        <v>7.7257499999999993E-2</v>
      </c>
      <c r="I1114" s="4"/>
      <c r="J1114" s="64">
        <v>540</v>
      </c>
      <c r="K1114" s="31">
        <f t="shared" si="202"/>
        <v>0.97000000000002728</v>
      </c>
      <c r="L1114" s="14">
        <f t="shared" si="203"/>
        <v>2.4250000000000682E-4</v>
      </c>
      <c r="M1114" s="4"/>
    </row>
    <row r="1115" spans="2:13">
      <c r="B1115" s="43"/>
      <c r="C1115" s="7">
        <v>1.13541666666671</v>
      </c>
      <c r="D1115" s="7">
        <v>1.1458333333333801</v>
      </c>
      <c r="E1115" s="30">
        <v>850</v>
      </c>
      <c r="F1115" s="60">
        <v>540.38</v>
      </c>
      <c r="G1115" s="4">
        <f t="shared" si="206"/>
        <v>309.62</v>
      </c>
      <c r="H1115" s="9">
        <f t="shared" si="207"/>
        <v>7.7405000000000002E-2</v>
      </c>
      <c r="I1115" s="4"/>
      <c r="J1115" s="64">
        <v>540</v>
      </c>
      <c r="K1115" s="31">
        <f t="shared" si="202"/>
        <v>0.37999999999999545</v>
      </c>
      <c r="L1115" s="14">
        <f t="shared" si="203"/>
        <v>9.4999999999998867E-5</v>
      </c>
      <c r="M1115" s="4"/>
    </row>
    <row r="1116" spans="2:13">
      <c r="B1116" s="43"/>
      <c r="C1116" s="7">
        <v>1.1458333333333801</v>
      </c>
      <c r="D1116" s="7">
        <v>1.15625000000005</v>
      </c>
      <c r="E1116" s="30">
        <v>850</v>
      </c>
      <c r="F1116" s="60">
        <v>541.32000000000005</v>
      </c>
      <c r="G1116" s="4">
        <f t="shared" si="206"/>
        <v>308.67999999999995</v>
      </c>
      <c r="H1116" s="9">
        <f t="shared" si="207"/>
        <v>7.7169999999999989E-2</v>
      </c>
      <c r="I1116" s="4"/>
      <c r="J1116" s="64">
        <v>540</v>
      </c>
      <c r="K1116" s="31">
        <f t="shared" si="202"/>
        <v>1.32000000000005</v>
      </c>
      <c r="L1116" s="14">
        <f t="shared" si="203"/>
        <v>3.3000000000001252E-4</v>
      </c>
      <c r="M1116" s="4"/>
    </row>
    <row r="1117" spans="2:13">
      <c r="B1117" s="43"/>
      <c r="C1117" s="7">
        <v>1.15625000000005</v>
      </c>
      <c r="D1117" s="7">
        <v>1.16666666666672</v>
      </c>
      <c r="E1117" s="30">
        <v>850</v>
      </c>
      <c r="F1117" s="60">
        <v>542.07000000000005</v>
      </c>
      <c r="G1117" s="4">
        <f t="shared" si="206"/>
        <v>307.92999999999995</v>
      </c>
      <c r="H1117" s="9">
        <f t="shared" si="207"/>
        <v>7.6982499999999981E-2</v>
      </c>
      <c r="I1117" s="4"/>
      <c r="J1117" s="64">
        <v>540</v>
      </c>
      <c r="K1117" s="31">
        <f t="shared" si="202"/>
        <v>2.07000000000005</v>
      </c>
      <c r="L1117" s="14">
        <f t="shared" si="203"/>
        <v>5.1750000000001252E-4</v>
      </c>
      <c r="M1117" s="4"/>
    </row>
    <row r="1118" spans="2:13">
      <c r="B1118" s="43"/>
      <c r="C1118" s="7">
        <v>1.16666666666672</v>
      </c>
      <c r="D1118" s="7">
        <v>1.1770833333333901</v>
      </c>
      <c r="E1118" s="30">
        <v>850</v>
      </c>
      <c r="F1118" s="60">
        <v>540.98</v>
      </c>
      <c r="G1118" s="4">
        <f t="shared" si="206"/>
        <v>309.02</v>
      </c>
      <c r="H1118" s="9">
        <f t="shared" si="207"/>
        <v>7.725499999999999E-2</v>
      </c>
      <c r="I1118" s="4"/>
      <c r="J1118" s="64">
        <v>540</v>
      </c>
      <c r="K1118" s="31">
        <f t="shared" si="202"/>
        <v>0.98000000000001819</v>
      </c>
      <c r="L1118" s="14">
        <f t="shared" si="203"/>
        <v>2.4500000000000455E-4</v>
      </c>
      <c r="M1118" s="4"/>
    </row>
    <row r="1119" spans="2:13">
      <c r="B1119" s="43"/>
      <c r="C1119" s="7">
        <v>1.1770833333333901</v>
      </c>
      <c r="D1119" s="7">
        <v>1.18750000000006</v>
      </c>
      <c r="E1119" s="30">
        <v>850</v>
      </c>
      <c r="F1119" s="60">
        <v>540.80999999999995</v>
      </c>
      <c r="G1119" s="4">
        <f t="shared" si="206"/>
        <v>309.19000000000005</v>
      </c>
      <c r="H1119" s="9">
        <f t="shared" si="207"/>
        <v>7.7297500000000019E-2</v>
      </c>
      <c r="I1119" s="4"/>
      <c r="J1119" s="64">
        <v>540</v>
      </c>
      <c r="K1119" s="31">
        <f t="shared" si="202"/>
        <v>0.80999999999994543</v>
      </c>
      <c r="L1119" s="14">
        <f t="shared" si="203"/>
        <v>2.0249999999998636E-4</v>
      </c>
      <c r="M1119" s="4"/>
    </row>
    <row r="1120" spans="2:13">
      <c r="B1120" s="43"/>
      <c r="C1120" s="7">
        <v>1.18750000000006</v>
      </c>
      <c r="D1120" s="7">
        <v>1.19791666666673</v>
      </c>
      <c r="E1120" s="30">
        <v>850</v>
      </c>
      <c r="F1120" s="60">
        <v>540.89</v>
      </c>
      <c r="G1120" s="4">
        <f t="shared" si="206"/>
        <v>309.11</v>
      </c>
      <c r="H1120" s="9">
        <f t="shared" si="207"/>
        <v>7.7277499999999999E-2</v>
      </c>
      <c r="I1120" s="4"/>
      <c r="J1120" s="64">
        <v>540</v>
      </c>
      <c r="K1120" s="31">
        <f t="shared" si="202"/>
        <v>0.88999999999998636</v>
      </c>
      <c r="L1120" s="14">
        <f t="shared" si="203"/>
        <v>2.224999999999966E-4</v>
      </c>
      <c r="M1120" s="4"/>
    </row>
    <row r="1121" spans="2:13">
      <c r="B1121" s="43"/>
      <c r="C1121" s="7">
        <v>1.19791666666673</v>
      </c>
      <c r="D1121" s="7">
        <v>1.2083333333334001</v>
      </c>
      <c r="E1121" s="30">
        <v>850</v>
      </c>
      <c r="F1121" s="60">
        <v>541.41999999999996</v>
      </c>
      <c r="G1121" s="4">
        <f t="shared" si="206"/>
        <v>308.58000000000004</v>
      </c>
      <c r="H1121" s="9">
        <f t="shared" si="207"/>
        <v>7.7145000000000005E-2</v>
      </c>
      <c r="I1121" s="4"/>
      <c r="J1121" s="64">
        <v>540</v>
      </c>
      <c r="K1121" s="31">
        <f t="shared" ref="K1121:K1162" si="209">F1121-J1121</f>
        <v>1.4199999999999591</v>
      </c>
      <c r="L1121" s="14">
        <f t="shared" si="203"/>
        <v>3.5499999999998976E-4</v>
      </c>
      <c r="M1121" s="4"/>
    </row>
    <row r="1122" spans="2:13">
      <c r="B1122" s="43"/>
      <c r="C1122" s="7">
        <v>1.2083333333334001</v>
      </c>
      <c r="D1122" s="35">
        <v>1.2187500000000699</v>
      </c>
      <c r="E1122" s="30">
        <v>850</v>
      </c>
      <c r="F1122" s="60">
        <v>541.54</v>
      </c>
      <c r="G1122" s="4">
        <f t="shared" si="206"/>
        <v>308.46000000000004</v>
      </c>
      <c r="H1122" s="9">
        <f t="shared" si="207"/>
        <v>7.7115000000000003E-2</v>
      </c>
      <c r="I1122" s="4"/>
      <c r="J1122" s="64">
        <v>540</v>
      </c>
      <c r="K1122" s="31">
        <f t="shared" si="209"/>
        <v>1.5399999999999636</v>
      </c>
      <c r="L1122" s="14">
        <f t="shared" si="203"/>
        <v>3.8499999999999093E-4</v>
      </c>
      <c r="M1122" s="4"/>
    </row>
    <row r="1123" spans="2:13">
      <c r="B1123" s="43"/>
      <c r="C1123" s="7">
        <v>1.2187500000000699</v>
      </c>
      <c r="D1123" s="7">
        <v>1.22916666666674</v>
      </c>
      <c r="E1123" s="30">
        <v>850</v>
      </c>
      <c r="F1123" s="60">
        <v>582.86</v>
      </c>
      <c r="G1123" s="4">
        <f t="shared" si="206"/>
        <v>267.14</v>
      </c>
      <c r="H1123" s="9">
        <f t="shared" si="207"/>
        <v>6.6784999999999997E-2</v>
      </c>
      <c r="I1123" s="4"/>
      <c r="J1123" s="29">
        <f>J1122+80</f>
        <v>620</v>
      </c>
      <c r="K1123" s="31">
        <f>J1123-F1123</f>
        <v>37.139999999999986</v>
      </c>
      <c r="L1123" s="14">
        <f t="shared" si="203"/>
        <v>9.2849999999999964E-3</v>
      </c>
      <c r="M1123" s="4"/>
    </row>
    <row r="1124" spans="2:13">
      <c r="B1124" s="43"/>
      <c r="C1124" s="7">
        <v>1.22916666666674</v>
      </c>
      <c r="D1124" s="7">
        <v>1.2395833333334101</v>
      </c>
      <c r="E1124" s="30">
        <v>850</v>
      </c>
      <c r="F1124" s="60">
        <v>701.15</v>
      </c>
      <c r="G1124" s="4">
        <f t="shared" si="206"/>
        <v>148.85000000000002</v>
      </c>
      <c r="H1124" s="9">
        <f t="shared" si="207"/>
        <v>3.7212500000000003E-2</v>
      </c>
      <c r="I1124" s="4"/>
      <c r="J1124" s="64">
        <f t="shared" ref="J1124:J1125" si="210">J1123+80</f>
        <v>700</v>
      </c>
      <c r="K1124" s="31">
        <f t="shared" ref="K1124:K1126" si="211">J1124-F1124</f>
        <v>-1.1499999999999773</v>
      </c>
      <c r="L1124" s="14">
        <f t="shared" si="203"/>
        <v>0</v>
      </c>
      <c r="M1124" s="4"/>
    </row>
    <row r="1125" spans="2:13">
      <c r="B1125" s="43"/>
      <c r="C1125" s="7">
        <v>1.2395833333334101</v>
      </c>
      <c r="D1125" s="7">
        <v>1.2500000000000799</v>
      </c>
      <c r="E1125" s="30">
        <v>850</v>
      </c>
      <c r="F1125" s="60">
        <v>802.34</v>
      </c>
      <c r="G1125" s="4">
        <f t="shared" si="206"/>
        <v>47.659999999999968</v>
      </c>
      <c r="H1125" s="9">
        <f t="shared" si="207"/>
        <v>1.1914999999999992E-2</v>
      </c>
      <c r="I1125" s="4"/>
      <c r="J1125" s="64">
        <f t="shared" si="210"/>
        <v>780</v>
      </c>
      <c r="K1125" s="31">
        <f t="shared" si="211"/>
        <v>-22.340000000000032</v>
      </c>
      <c r="L1125" s="14">
        <f t="shared" si="203"/>
        <v>0</v>
      </c>
      <c r="M1125" s="4"/>
    </row>
    <row r="1126" spans="2:13">
      <c r="B1126" s="43"/>
      <c r="C1126" s="7">
        <v>1.2500000000000799</v>
      </c>
      <c r="D1126" s="7">
        <v>1.26041666666675</v>
      </c>
      <c r="E1126" s="30">
        <v>850</v>
      </c>
      <c r="F1126" s="60">
        <v>859.25</v>
      </c>
      <c r="G1126" s="4">
        <f t="shared" si="206"/>
        <v>-9.25</v>
      </c>
      <c r="H1126" s="76">
        <v>0</v>
      </c>
      <c r="I1126" s="4"/>
      <c r="J1126" s="64">
        <v>850</v>
      </c>
      <c r="K1126" s="31">
        <f t="shared" si="211"/>
        <v>-9.25</v>
      </c>
      <c r="L1126" s="14">
        <f t="shared" si="203"/>
        <v>0</v>
      </c>
      <c r="M1126" s="4"/>
    </row>
    <row r="1127" spans="2:13">
      <c r="B1127" s="43"/>
      <c r="C1127" s="7"/>
      <c r="D1127" s="7"/>
      <c r="E1127" s="30"/>
      <c r="F1127" s="60"/>
      <c r="G1127" s="4"/>
      <c r="H1127" s="9"/>
      <c r="I1127" s="9">
        <f>SUM(H1102:H1126)</f>
        <v>1.7388975000000002</v>
      </c>
      <c r="J1127" s="64"/>
      <c r="K1127" s="31"/>
      <c r="L1127" s="14"/>
      <c r="M1127" s="4">
        <f>SUM(L1102:L1126)</f>
        <v>1.3765000000000015E-2</v>
      </c>
    </row>
    <row r="1128" spans="2:13">
      <c r="B1128" s="43"/>
      <c r="C1128" s="43"/>
      <c r="D1128" s="43"/>
      <c r="E1128" s="4"/>
      <c r="F1128" s="4"/>
      <c r="G1128" s="4"/>
      <c r="H1128" s="9"/>
      <c r="I1128" s="4"/>
      <c r="J1128" s="29"/>
      <c r="K1128" s="31"/>
      <c r="L1128" s="14"/>
      <c r="M1128" s="4"/>
    </row>
    <row r="1129" spans="2:13">
      <c r="B1129" s="34">
        <v>46046</v>
      </c>
      <c r="C1129" s="7">
        <v>1.45833333333348</v>
      </c>
      <c r="D1129" s="7">
        <v>1.4687500000001401</v>
      </c>
      <c r="E1129" s="30">
        <v>850</v>
      </c>
      <c r="F1129" s="60">
        <v>831.94</v>
      </c>
      <c r="G1129" s="4">
        <f t="shared" si="206"/>
        <v>18.059999999999945</v>
      </c>
      <c r="H1129" s="9">
        <f t="shared" si="207"/>
        <v>4.514999999999986E-3</v>
      </c>
      <c r="I1129" s="4"/>
      <c r="J1129" s="29">
        <f>E1129-55</f>
        <v>795</v>
      </c>
      <c r="K1129" s="31">
        <f t="shared" si="209"/>
        <v>36.940000000000055</v>
      </c>
      <c r="L1129" s="14"/>
      <c r="M1129" s="4"/>
    </row>
    <row r="1130" spans="2:13">
      <c r="B1130" s="43"/>
      <c r="C1130" s="7">
        <v>1.4687500000001501</v>
      </c>
      <c r="D1130" s="7">
        <v>1.47916666666681</v>
      </c>
      <c r="E1130" s="30">
        <v>850</v>
      </c>
      <c r="F1130" s="60">
        <v>732.2</v>
      </c>
      <c r="G1130" s="4">
        <f t="shared" si="206"/>
        <v>117.79999999999995</v>
      </c>
      <c r="H1130" s="9">
        <f t="shared" si="207"/>
        <v>2.944999999999999E-2</v>
      </c>
      <c r="I1130" s="4"/>
      <c r="J1130" s="29">
        <f>J1129-80</f>
        <v>715</v>
      </c>
      <c r="K1130" s="31">
        <f t="shared" si="209"/>
        <v>17.200000000000045</v>
      </c>
      <c r="L1130" s="14">
        <f t="shared" si="203"/>
        <v>4.3000000000000113E-3</v>
      </c>
      <c r="M1130" s="4"/>
    </row>
    <row r="1131" spans="2:13">
      <c r="B1131" s="43"/>
      <c r="C1131" s="7">
        <v>1.47916666666682</v>
      </c>
      <c r="D1131" s="7">
        <v>1.48958333333348</v>
      </c>
      <c r="E1131" s="30">
        <v>850</v>
      </c>
      <c r="F1131" s="60">
        <v>578.94000000000005</v>
      </c>
      <c r="G1131" s="4">
        <f t="shared" si="206"/>
        <v>271.05999999999995</v>
      </c>
      <c r="H1131" s="9">
        <f t="shared" si="207"/>
        <v>6.7764999999999992E-2</v>
      </c>
      <c r="I1131" s="4"/>
      <c r="J1131" s="64">
        <f t="shared" ref="J1131:J1132" si="212">J1130-80</f>
        <v>635</v>
      </c>
      <c r="K1131" s="31">
        <f t="shared" si="209"/>
        <v>-56.059999999999945</v>
      </c>
      <c r="L1131" s="14">
        <f t="shared" si="203"/>
        <v>0</v>
      </c>
      <c r="M1131" s="4"/>
    </row>
    <row r="1132" spans="2:13">
      <c r="B1132" s="43"/>
      <c r="C1132" s="7">
        <v>1.48958333333349</v>
      </c>
      <c r="D1132" s="7">
        <v>1.5000000000001501</v>
      </c>
      <c r="E1132" s="30">
        <v>850</v>
      </c>
      <c r="F1132" s="60">
        <v>561.75</v>
      </c>
      <c r="G1132" s="4">
        <f t="shared" si="206"/>
        <v>288.25</v>
      </c>
      <c r="H1132" s="9">
        <f t="shared" si="207"/>
        <v>7.2062500000000002E-2</v>
      </c>
      <c r="I1132" s="4"/>
      <c r="J1132" s="64">
        <f t="shared" si="212"/>
        <v>555</v>
      </c>
      <c r="K1132" s="31">
        <f t="shared" si="209"/>
        <v>6.75</v>
      </c>
      <c r="L1132" s="14">
        <f t="shared" si="203"/>
        <v>1.6875E-3</v>
      </c>
      <c r="M1132" s="4"/>
    </row>
    <row r="1133" spans="2:13">
      <c r="B1133" s="43"/>
      <c r="C1133" s="7">
        <v>1.5000000000001601</v>
      </c>
      <c r="D1133" s="7">
        <v>1.51041666666682</v>
      </c>
      <c r="E1133" s="30">
        <v>850</v>
      </c>
      <c r="F1133" s="60">
        <v>547.9</v>
      </c>
      <c r="G1133" s="4">
        <f t="shared" si="206"/>
        <v>302.10000000000002</v>
      </c>
      <c r="H1133" s="9">
        <f t="shared" si="207"/>
        <v>7.5525000000000009E-2</v>
      </c>
      <c r="I1133" s="4"/>
      <c r="J1133" s="64">
        <v>540</v>
      </c>
      <c r="K1133" s="31">
        <f t="shared" si="209"/>
        <v>7.8999999999999773</v>
      </c>
      <c r="L1133" s="14">
        <f t="shared" si="203"/>
        <v>1.9749999999999941E-3</v>
      </c>
      <c r="M1133" s="4"/>
    </row>
    <row r="1134" spans="2:13">
      <c r="B1134" s="43"/>
      <c r="C1134" s="7">
        <v>1.5104166666668299</v>
      </c>
      <c r="D1134" s="7">
        <v>1.52083333333349</v>
      </c>
      <c r="E1134" s="30">
        <v>850</v>
      </c>
      <c r="F1134" s="60">
        <v>544.72</v>
      </c>
      <c r="G1134" s="4">
        <f t="shared" si="206"/>
        <v>305.27999999999997</v>
      </c>
      <c r="H1134" s="9">
        <f t="shared" si="207"/>
        <v>7.6319999999999999E-2</v>
      </c>
      <c r="I1134" s="4"/>
      <c r="J1134" s="64">
        <v>540</v>
      </c>
      <c r="K1134" s="31">
        <f t="shared" si="209"/>
        <v>4.7200000000000273</v>
      </c>
      <c r="L1134" s="14">
        <f t="shared" si="203"/>
        <v>1.1800000000000068E-3</v>
      </c>
      <c r="M1134" s="4"/>
    </row>
    <row r="1135" spans="2:13">
      <c r="B1135" s="43"/>
      <c r="C1135" s="7">
        <v>1.5208333333335</v>
      </c>
      <c r="D1135" s="35">
        <v>1.5312500000001601</v>
      </c>
      <c r="E1135" s="30">
        <v>850</v>
      </c>
      <c r="F1135" s="60">
        <v>543.79</v>
      </c>
      <c r="G1135" s="4">
        <f t="shared" si="206"/>
        <v>306.21000000000004</v>
      </c>
      <c r="H1135" s="9">
        <f t="shared" si="207"/>
        <v>7.6552500000000009E-2</v>
      </c>
      <c r="I1135" s="4"/>
      <c r="J1135" s="64">
        <v>540</v>
      </c>
      <c r="K1135" s="31">
        <f t="shared" si="209"/>
        <v>3.7899999999999636</v>
      </c>
      <c r="L1135" s="14">
        <f t="shared" ref="L1135:L1176" si="213">IF(K1135/4000&gt;0,K1135/4000,0)</f>
        <v>9.4749999999999088E-4</v>
      </c>
      <c r="M1135" s="4"/>
    </row>
    <row r="1136" spans="2:13">
      <c r="B1136" s="43"/>
      <c r="C1136" s="7">
        <v>1.5312500000001701</v>
      </c>
      <c r="D1136" s="7">
        <v>1.5416666666668299</v>
      </c>
      <c r="E1136" s="30">
        <v>850</v>
      </c>
      <c r="F1136" s="60">
        <v>647.09</v>
      </c>
      <c r="G1136" s="4">
        <f t="shared" si="206"/>
        <v>202.90999999999997</v>
      </c>
      <c r="H1136" s="9">
        <f t="shared" si="207"/>
        <v>5.0727499999999995E-2</v>
      </c>
      <c r="I1136" s="4"/>
      <c r="J1136" s="64">
        <f>J1135+80</f>
        <v>620</v>
      </c>
      <c r="K1136" s="31">
        <f>J1136-F1136</f>
        <v>-27.090000000000032</v>
      </c>
      <c r="L1136" s="14">
        <f t="shared" si="213"/>
        <v>0</v>
      </c>
      <c r="M1136" s="4"/>
    </row>
    <row r="1137" spans="2:13">
      <c r="B1137" s="43"/>
      <c r="C1137" s="7">
        <v>1.5416666666668399</v>
      </c>
      <c r="D1137" s="7">
        <v>1.5520833333335</v>
      </c>
      <c r="E1137" s="30">
        <v>850</v>
      </c>
      <c r="F1137" s="60">
        <v>728.23</v>
      </c>
      <c r="G1137" s="4">
        <f t="shared" si="206"/>
        <v>121.76999999999998</v>
      </c>
      <c r="H1137" s="9">
        <f t="shared" si="207"/>
        <v>3.0442499999999994E-2</v>
      </c>
      <c r="I1137" s="4"/>
      <c r="J1137" s="64">
        <f t="shared" ref="J1137:J1138" si="214">J1136+80</f>
        <v>700</v>
      </c>
      <c r="K1137" s="31">
        <f t="shared" ref="K1137:K1138" si="215">J1137-F1137</f>
        <v>-28.230000000000018</v>
      </c>
      <c r="L1137" s="14">
        <f t="shared" si="213"/>
        <v>0</v>
      </c>
      <c r="M1137" s="4"/>
    </row>
    <row r="1138" spans="2:13">
      <c r="B1138" s="43"/>
      <c r="C1138" s="7">
        <v>1.55208333333351</v>
      </c>
      <c r="D1138" s="7">
        <v>1.5625000000001701</v>
      </c>
      <c r="E1138" s="30">
        <v>850</v>
      </c>
      <c r="F1138" s="60">
        <v>795.39</v>
      </c>
      <c r="G1138" s="4">
        <f t="shared" si="206"/>
        <v>54.610000000000014</v>
      </c>
      <c r="H1138" s="9">
        <f t="shared" si="207"/>
        <v>1.3652500000000003E-2</v>
      </c>
      <c r="I1138" s="9">
        <f>SUM(H1129:H1138)</f>
        <v>0.49701249999999997</v>
      </c>
      <c r="J1138" s="56">
        <f t="shared" si="214"/>
        <v>780</v>
      </c>
      <c r="K1138" s="31">
        <f t="shared" si="215"/>
        <v>-15.389999999999986</v>
      </c>
      <c r="L1138" s="14">
        <f t="shared" si="213"/>
        <v>0</v>
      </c>
      <c r="M1138" s="4">
        <f>SUM(L1129:L1138)</f>
        <v>1.0090000000000002E-2</v>
      </c>
    </row>
    <row r="1139" spans="2:13">
      <c r="B1139" s="34">
        <v>46046</v>
      </c>
      <c r="C1139" s="7">
        <v>1.5625000000001801</v>
      </c>
      <c r="D1139" s="7">
        <v>1.5729166666668399</v>
      </c>
      <c r="E1139" s="30">
        <v>850</v>
      </c>
      <c r="F1139" s="60">
        <v>762.04</v>
      </c>
      <c r="G1139" s="4">
        <f t="shared" si="206"/>
        <v>87.960000000000036</v>
      </c>
      <c r="H1139" s="9">
        <f t="shared" si="207"/>
        <v>2.199000000000001E-2</v>
      </c>
      <c r="I1139" s="4"/>
      <c r="J1139" s="29">
        <f>J1138-80</f>
        <v>700</v>
      </c>
      <c r="K1139" s="31">
        <f t="shared" si="209"/>
        <v>62.039999999999964</v>
      </c>
      <c r="L1139" s="14"/>
      <c r="M1139" s="4"/>
    </row>
    <row r="1140" spans="2:13">
      <c r="B1140" s="43"/>
      <c r="C1140" s="7">
        <v>1.5729166666668499</v>
      </c>
      <c r="D1140" s="35">
        <v>1.58333333333351</v>
      </c>
      <c r="E1140" s="30">
        <v>850</v>
      </c>
      <c r="F1140" s="60">
        <v>728.63</v>
      </c>
      <c r="G1140" s="4">
        <f t="shared" si="206"/>
        <v>121.37</v>
      </c>
      <c r="H1140" s="9">
        <f t="shared" si="207"/>
        <v>3.0342500000000001E-2</v>
      </c>
      <c r="I1140" s="4"/>
      <c r="J1140" s="64">
        <f>J1139-30+55</f>
        <v>725</v>
      </c>
      <c r="K1140" s="31">
        <f>J1140-F1140</f>
        <v>-3.6299999999999955</v>
      </c>
      <c r="L1140" s="14">
        <f t="shared" si="213"/>
        <v>0</v>
      </c>
      <c r="M1140" s="4"/>
    </row>
    <row r="1141" spans="2:13">
      <c r="B1141" s="43"/>
      <c r="C1141" s="7">
        <v>1.58333333333352</v>
      </c>
      <c r="D1141" s="7">
        <v>1.5937500000001801</v>
      </c>
      <c r="E1141" s="30">
        <v>850</v>
      </c>
      <c r="F1141" s="60">
        <v>831.57</v>
      </c>
      <c r="G1141" s="4">
        <f t="shared" si="206"/>
        <v>18.42999999999995</v>
      </c>
      <c r="H1141" s="9">
        <f t="shared" si="207"/>
        <v>4.6074999999999875E-3</v>
      </c>
      <c r="I1141" s="4"/>
      <c r="J1141" s="64">
        <f t="shared" ref="J1141" si="216">J1140+80</f>
        <v>805</v>
      </c>
      <c r="K1141" s="31">
        <f>J1141-F1141</f>
        <v>-26.57000000000005</v>
      </c>
      <c r="L1141" s="14">
        <f t="shared" si="213"/>
        <v>0</v>
      </c>
      <c r="M1141" s="4"/>
    </row>
    <row r="1142" spans="2:13">
      <c r="B1142" s="43"/>
      <c r="C1142" s="7">
        <v>1.5937500000001901</v>
      </c>
      <c r="D1142" s="74">
        <v>1.6041666666668499</v>
      </c>
      <c r="E1142" s="30">
        <v>850</v>
      </c>
      <c r="F1142" s="73">
        <v>858.6</v>
      </c>
      <c r="G1142" s="4">
        <f t="shared" ref="G1142" si="217">E1142-F1142</f>
        <v>-8.6000000000000227</v>
      </c>
      <c r="H1142" s="76">
        <v>0</v>
      </c>
      <c r="I1142" s="4"/>
      <c r="J1142" s="64">
        <v>850</v>
      </c>
      <c r="K1142" s="31">
        <f>J1142-F1142</f>
        <v>-8.6000000000000227</v>
      </c>
      <c r="L1142" s="14">
        <f t="shared" ref="L1142" si="218">IF(K1142/4000&gt;0,K1142/4000,0)</f>
        <v>0</v>
      </c>
      <c r="M1142" s="4"/>
    </row>
    <row r="1143" spans="2:13">
      <c r="B1143" s="43"/>
      <c r="C1143" s="43"/>
      <c r="D1143" s="43"/>
      <c r="E1143" s="4"/>
      <c r="F1143" s="4"/>
      <c r="G1143" s="4"/>
      <c r="H1143" s="9"/>
      <c r="I1143" s="9">
        <f>SUM(H1139:H1142)</f>
        <v>5.6939999999999998E-2</v>
      </c>
      <c r="J1143" s="29"/>
      <c r="K1143" s="31"/>
      <c r="L1143" s="14"/>
      <c r="M1143" s="4">
        <f>SUM(L1139:L1142)</f>
        <v>0</v>
      </c>
    </row>
    <row r="1144" spans="2:13">
      <c r="B1144" s="34">
        <v>46046</v>
      </c>
      <c r="C1144" s="7">
        <v>1.8020833333335999</v>
      </c>
      <c r="D1144" s="7">
        <v>1.81250000000025</v>
      </c>
      <c r="E1144" s="30">
        <v>850</v>
      </c>
      <c r="F1144" s="60">
        <v>833.53</v>
      </c>
      <c r="G1144" s="4">
        <f t="shared" ref="G1144:G1189" si="219">E1144-F1144</f>
        <v>16.470000000000027</v>
      </c>
      <c r="H1144" s="9">
        <f t="shared" ref="H1144:H1189" si="220">G1144/4000</f>
        <v>4.1175000000000066E-3</v>
      </c>
      <c r="I1144" s="4"/>
      <c r="J1144" s="29">
        <f>E1144-55</f>
        <v>795</v>
      </c>
      <c r="K1144" s="31">
        <f t="shared" si="209"/>
        <v>38.529999999999973</v>
      </c>
      <c r="L1144" s="14"/>
      <c r="M1144" s="4"/>
    </row>
    <row r="1145" spans="2:13">
      <c r="B1145" s="43"/>
      <c r="C1145" s="7">
        <v>1.81250000000027</v>
      </c>
      <c r="D1145" s="7">
        <v>1.8229166666669201</v>
      </c>
      <c r="E1145" s="30">
        <v>850</v>
      </c>
      <c r="F1145" s="60">
        <v>713.9</v>
      </c>
      <c r="G1145" s="4">
        <f t="shared" si="219"/>
        <v>136.10000000000002</v>
      </c>
      <c r="H1145" s="9">
        <f t="shared" si="220"/>
        <v>3.4025000000000007E-2</v>
      </c>
      <c r="I1145" s="4"/>
      <c r="J1145" s="29">
        <f>J1144-80</f>
        <v>715</v>
      </c>
      <c r="K1145" s="31">
        <f t="shared" si="209"/>
        <v>-1.1000000000000227</v>
      </c>
      <c r="L1145" s="14"/>
      <c r="M1145" s="4"/>
    </row>
    <row r="1146" spans="2:13">
      <c r="B1146" s="43"/>
      <c r="C1146" s="7">
        <v>1.8229166666669401</v>
      </c>
      <c r="D1146" s="7">
        <v>1.8333333333335899</v>
      </c>
      <c r="E1146" s="30">
        <v>850</v>
      </c>
      <c r="F1146" s="60">
        <v>596</v>
      </c>
      <c r="G1146" s="4">
        <f t="shared" si="219"/>
        <v>254</v>
      </c>
      <c r="H1146" s="9">
        <f t="shared" si="220"/>
        <v>6.3500000000000001E-2</v>
      </c>
      <c r="I1146" s="4"/>
      <c r="J1146" s="64">
        <f t="shared" ref="J1146" si="221">J1145-80</f>
        <v>635</v>
      </c>
      <c r="K1146" s="31">
        <f t="shared" si="209"/>
        <v>-39</v>
      </c>
      <c r="L1146" s="14">
        <f t="shared" si="213"/>
        <v>0</v>
      </c>
      <c r="M1146" s="4"/>
    </row>
    <row r="1147" spans="2:13">
      <c r="B1147" s="43"/>
      <c r="C1147" s="7">
        <v>1.8333333333336099</v>
      </c>
      <c r="D1147" s="35">
        <v>1.84375000000026</v>
      </c>
      <c r="E1147" s="30">
        <v>850</v>
      </c>
      <c r="F1147" s="60">
        <v>567.07000000000005</v>
      </c>
      <c r="G1147" s="4">
        <f t="shared" si="219"/>
        <v>282.92999999999995</v>
      </c>
      <c r="H1147" s="9">
        <f t="shared" si="220"/>
        <v>7.073249999999999E-2</v>
      </c>
      <c r="I1147" s="9">
        <f>SUM(H1144:H1147)</f>
        <v>0.172375</v>
      </c>
      <c r="J1147" s="64">
        <f>J1146-30+55</f>
        <v>660</v>
      </c>
      <c r="K1147" s="31">
        <f t="shared" si="209"/>
        <v>-92.92999999999995</v>
      </c>
      <c r="L1147" s="14">
        <f t="shared" si="213"/>
        <v>0</v>
      </c>
      <c r="M1147" s="4">
        <f>SUM(L1144:L1147)</f>
        <v>0</v>
      </c>
    </row>
    <row r="1148" spans="2:13">
      <c r="B1148" s="34">
        <v>46046</v>
      </c>
      <c r="C1148" s="7">
        <v>1.84375000000028</v>
      </c>
      <c r="D1148" s="35">
        <v>1.8541666666669301</v>
      </c>
      <c r="E1148" s="30">
        <v>850</v>
      </c>
      <c r="F1148" s="60">
        <v>673.89</v>
      </c>
      <c r="G1148" s="4">
        <f t="shared" si="219"/>
        <v>176.11</v>
      </c>
      <c r="H1148" s="9">
        <f t="shared" si="220"/>
        <v>4.4027500000000004E-2</v>
      </c>
      <c r="I1148" s="9">
        <f>SUM(H1148)</f>
        <v>4.4027500000000004E-2</v>
      </c>
      <c r="J1148" s="79">
        <v>700</v>
      </c>
      <c r="K1148" s="31">
        <f t="shared" si="209"/>
        <v>-26.110000000000014</v>
      </c>
      <c r="L1148" s="14">
        <f t="shared" si="213"/>
        <v>0</v>
      </c>
      <c r="M1148" s="4">
        <f>SUM(L1148)</f>
        <v>0</v>
      </c>
    </row>
    <row r="1149" spans="2:13">
      <c r="B1149" s="34">
        <v>46046</v>
      </c>
      <c r="C1149" s="7">
        <v>1.8541666666669501</v>
      </c>
      <c r="D1149" s="7">
        <v>1.8645833333335999</v>
      </c>
      <c r="E1149" s="30">
        <v>850</v>
      </c>
      <c r="F1149" s="60">
        <v>614.72</v>
      </c>
      <c r="G1149" s="4">
        <f t="shared" si="219"/>
        <v>235.27999999999997</v>
      </c>
      <c r="H1149" s="9">
        <f t="shared" si="220"/>
        <v>5.881999999999999E-2</v>
      </c>
      <c r="I1149" s="4"/>
      <c r="J1149" s="29">
        <f>J1148-80</f>
        <v>620</v>
      </c>
      <c r="K1149" s="31">
        <f t="shared" si="209"/>
        <v>-5.2799999999999727</v>
      </c>
      <c r="L1149" s="14"/>
      <c r="M1149" s="4"/>
    </row>
    <row r="1150" spans="2:13">
      <c r="B1150" s="43"/>
      <c r="C1150" s="7">
        <v>1.8645833333336199</v>
      </c>
      <c r="D1150" s="7">
        <v>1.87500000000027</v>
      </c>
      <c r="E1150" s="30">
        <v>850</v>
      </c>
      <c r="F1150" s="60">
        <v>550.37</v>
      </c>
      <c r="G1150" s="4">
        <f t="shared" si="219"/>
        <v>299.63</v>
      </c>
      <c r="H1150" s="9">
        <f t="shared" si="220"/>
        <v>7.4907500000000002E-2</v>
      </c>
      <c r="I1150" s="4"/>
      <c r="J1150" s="64">
        <v>540</v>
      </c>
      <c r="K1150" s="31">
        <f t="shared" si="209"/>
        <v>10.370000000000005</v>
      </c>
      <c r="L1150" s="14">
        <f t="shared" si="213"/>
        <v>2.5925000000000011E-3</v>
      </c>
      <c r="M1150" s="4"/>
    </row>
    <row r="1151" spans="2:13">
      <c r="B1151" s="43"/>
      <c r="C1151" s="7">
        <v>1.87500000000029</v>
      </c>
      <c r="D1151" s="7">
        <v>1.8854166666669401</v>
      </c>
      <c r="E1151" s="30">
        <v>850</v>
      </c>
      <c r="F1151" s="60">
        <v>538.30999999999995</v>
      </c>
      <c r="G1151" s="4">
        <f t="shared" si="219"/>
        <v>311.69000000000005</v>
      </c>
      <c r="H1151" s="9">
        <f t="shared" si="220"/>
        <v>7.792250000000002E-2</v>
      </c>
      <c r="I1151" s="4"/>
      <c r="J1151" s="64">
        <v>540</v>
      </c>
      <c r="K1151" s="31">
        <f t="shared" si="209"/>
        <v>-1.6900000000000546</v>
      </c>
      <c r="L1151" s="14">
        <f t="shared" si="213"/>
        <v>0</v>
      </c>
      <c r="M1151" s="4"/>
    </row>
    <row r="1152" spans="2:13">
      <c r="B1152" s="43"/>
      <c r="C1152" s="7">
        <v>1.8854166666669601</v>
      </c>
      <c r="D1152" s="7">
        <v>1.8958333333336099</v>
      </c>
      <c r="E1152" s="30">
        <v>850</v>
      </c>
      <c r="F1152" s="60">
        <v>544.03</v>
      </c>
      <c r="G1152" s="4">
        <f t="shared" si="219"/>
        <v>305.97000000000003</v>
      </c>
      <c r="H1152" s="9">
        <f t="shared" si="220"/>
        <v>7.6492500000000005E-2</v>
      </c>
      <c r="I1152" s="4"/>
      <c r="J1152" s="64">
        <v>540</v>
      </c>
      <c r="K1152" s="31">
        <f t="shared" si="209"/>
        <v>4.0299999999999727</v>
      </c>
      <c r="L1152" s="14">
        <f t="shared" si="213"/>
        <v>1.0074999999999932E-3</v>
      </c>
      <c r="M1152" s="4"/>
    </row>
    <row r="1153" spans="2:13">
      <c r="B1153" s="43"/>
      <c r="C1153" s="7">
        <v>1.8958333333336299</v>
      </c>
      <c r="D1153" s="7">
        <v>1.90625000000028</v>
      </c>
      <c r="E1153" s="30">
        <v>850</v>
      </c>
      <c r="F1153" s="60">
        <v>539.53</v>
      </c>
      <c r="G1153" s="4">
        <f t="shared" si="219"/>
        <v>310.47000000000003</v>
      </c>
      <c r="H1153" s="9">
        <f t="shared" si="220"/>
        <v>7.7617500000000006E-2</v>
      </c>
      <c r="I1153" s="4"/>
      <c r="J1153" s="64">
        <v>540</v>
      </c>
      <c r="K1153" s="31">
        <f t="shared" si="209"/>
        <v>-0.47000000000002728</v>
      </c>
      <c r="L1153" s="14">
        <f t="shared" si="213"/>
        <v>0</v>
      </c>
      <c r="M1153" s="4"/>
    </row>
    <row r="1154" spans="2:13">
      <c r="B1154" s="43"/>
      <c r="C1154" s="7">
        <v>1.9062500000003</v>
      </c>
      <c r="D1154" s="7">
        <v>1.9166666666669501</v>
      </c>
      <c r="E1154" s="30">
        <v>850</v>
      </c>
      <c r="F1154" s="60">
        <v>544.87</v>
      </c>
      <c r="G1154" s="4">
        <f t="shared" si="219"/>
        <v>305.13</v>
      </c>
      <c r="H1154" s="9">
        <f t="shared" si="220"/>
        <v>7.6282500000000003E-2</v>
      </c>
      <c r="I1154" s="4"/>
      <c r="J1154" s="64">
        <v>540</v>
      </c>
      <c r="K1154" s="31">
        <f t="shared" si="209"/>
        <v>4.8700000000000045</v>
      </c>
      <c r="L1154" s="14">
        <f t="shared" si="213"/>
        <v>1.2175000000000011E-3</v>
      </c>
      <c r="M1154" s="4"/>
    </row>
    <row r="1155" spans="2:13">
      <c r="B1155" s="43"/>
      <c r="C1155" s="7">
        <v>1.9166666666669701</v>
      </c>
      <c r="D1155" s="7">
        <v>1.9270833333336199</v>
      </c>
      <c r="E1155" s="30">
        <v>850</v>
      </c>
      <c r="F1155" s="60">
        <v>545.84</v>
      </c>
      <c r="G1155" s="4">
        <f t="shared" si="219"/>
        <v>304.15999999999997</v>
      </c>
      <c r="H1155" s="9">
        <f t="shared" si="220"/>
        <v>7.6039999999999996E-2</v>
      </c>
      <c r="I1155" s="9">
        <f>SUM(H1149:H1155)</f>
        <v>0.5180825</v>
      </c>
      <c r="J1155" s="64">
        <v>540</v>
      </c>
      <c r="K1155" s="31">
        <f t="shared" si="209"/>
        <v>5.8400000000000318</v>
      </c>
      <c r="L1155" s="14">
        <f t="shared" si="213"/>
        <v>1.4600000000000079E-3</v>
      </c>
      <c r="M1155" s="4">
        <f>SUM(L1149:L1155)</f>
        <v>6.2775000000000036E-3</v>
      </c>
    </row>
    <row r="1156" spans="2:13">
      <c r="B1156" s="43"/>
      <c r="C1156" s="7">
        <v>1.9270833333336399</v>
      </c>
      <c r="D1156" s="35">
        <v>1.93750000000029</v>
      </c>
      <c r="E1156" s="30">
        <v>850</v>
      </c>
      <c r="F1156" s="60">
        <v>552.52</v>
      </c>
      <c r="G1156" s="4">
        <f t="shared" si="219"/>
        <v>297.48</v>
      </c>
      <c r="H1156" s="9">
        <f t="shared" si="220"/>
        <v>7.4370000000000006E-2</v>
      </c>
      <c r="I1156" s="4"/>
      <c r="J1156" s="64">
        <f>J1155+55</f>
        <v>595</v>
      </c>
      <c r="K1156" s="31">
        <f t="shared" si="209"/>
        <v>-42.480000000000018</v>
      </c>
      <c r="L1156" s="14">
        <f t="shared" si="213"/>
        <v>0</v>
      </c>
      <c r="M1156" s="4"/>
    </row>
    <row r="1157" spans="2:13">
      <c r="B1157" s="43"/>
      <c r="C1157" s="7">
        <v>1.93750000000031</v>
      </c>
      <c r="D1157" s="7">
        <v>1.9479166666669601</v>
      </c>
      <c r="E1157" s="30">
        <v>850</v>
      </c>
      <c r="F1157" s="60">
        <v>654.38</v>
      </c>
      <c r="G1157" s="4">
        <f t="shared" si="219"/>
        <v>195.62</v>
      </c>
      <c r="H1157" s="9">
        <f t="shared" si="220"/>
        <v>4.8905000000000004E-2</v>
      </c>
      <c r="I1157" s="4"/>
      <c r="J1157" s="29">
        <f>J1156+80</f>
        <v>675</v>
      </c>
      <c r="K1157" s="31">
        <f t="shared" si="209"/>
        <v>-20.620000000000005</v>
      </c>
      <c r="L1157" s="14">
        <f t="shared" si="213"/>
        <v>0</v>
      </c>
      <c r="M1157" s="4"/>
    </row>
    <row r="1158" spans="2:13">
      <c r="B1158" s="43"/>
      <c r="C1158" s="7">
        <v>1.94791666666698</v>
      </c>
      <c r="D1158" s="7">
        <v>1.9583333333336299</v>
      </c>
      <c r="E1158" s="30">
        <v>850</v>
      </c>
      <c r="F1158" s="60">
        <v>748.78</v>
      </c>
      <c r="G1158" s="4">
        <f t="shared" si="219"/>
        <v>101.22000000000003</v>
      </c>
      <c r="H1158" s="9">
        <f t="shared" si="220"/>
        <v>2.5305000000000008E-2</v>
      </c>
      <c r="I1158" s="9">
        <f>SUM(H1156:H1158)</f>
        <v>0.14858000000000002</v>
      </c>
      <c r="J1158" s="64">
        <f t="shared" ref="J1158" si="222">J1157+80</f>
        <v>755</v>
      </c>
      <c r="K1158" s="31">
        <f t="shared" si="209"/>
        <v>-6.2200000000000273</v>
      </c>
      <c r="L1158" s="14">
        <f t="shared" si="213"/>
        <v>0</v>
      </c>
      <c r="M1158" s="4">
        <f>SUM(L1156:L1158)</f>
        <v>0</v>
      </c>
    </row>
    <row r="1159" spans="2:13">
      <c r="B1159" s="34">
        <v>46046</v>
      </c>
      <c r="C1159" s="7">
        <v>1.9583333333336499</v>
      </c>
      <c r="D1159" s="35">
        <v>1.9687500000003</v>
      </c>
      <c r="E1159" s="30">
        <v>850</v>
      </c>
      <c r="F1159" s="60">
        <v>811.59</v>
      </c>
      <c r="G1159" s="4">
        <f t="shared" si="219"/>
        <v>38.409999999999968</v>
      </c>
      <c r="H1159" s="9">
        <f t="shared" si="220"/>
        <v>9.6024999999999913E-3</v>
      </c>
      <c r="I1159" s="4"/>
      <c r="J1159" s="64">
        <f>J1158+55-30</f>
        <v>780</v>
      </c>
      <c r="K1159" s="31">
        <f t="shared" si="209"/>
        <v>31.590000000000032</v>
      </c>
      <c r="L1159" s="14"/>
      <c r="M1159" s="4"/>
    </row>
    <row r="1160" spans="2:13">
      <c r="B1160" s="43"/>
      <c r="C1160" s="7">
        <v>1.96875000000032</v>
      </c>
      <c r="D1160" s="7">
        <v>1.9791666666669701</v>
      </c>
      <c r="E1160" s="30">
        <v>850</v>
      </c>
      <c r="F1160" s="60">
        <v>672.93</v>
      </c>
      <c r="G1160" s="4">
        <f t="shared" si="219"/>
        <v>177.07000000000005</v>
      </c>
      <c r="H1160" s="9">
        <f t="shared" si="220"/>
        <v>4.4267500000000015E-2</v>
      </c>
      <c r="I1160" s="4"/>
      <c r="J1160" s="29">
        <f>J1159-80</f>
        <v>700</v>
      </c>
      <c r="K1160" s="31">
        <f t="shared" si="209"/>
        <v>-27.07000000000005</v>
      </c>
      <c r="L1160" s="14">
        <f t="shared" si="213"/>
        <v>0</v>
      </c>
      <c r="M1160" s="4"/>
    </row>
    <row r="1161" spans="2:13">
      <c r="B1161" s="43"/>
      <c r="C1161" s="7">
        <v>1.97916666666699</v>
      </c>
      <c r="D1161" s="7">
        <v>1.9895833333336399</v>
      </c>
      <c r="E1161" s="30">
        <v>850</v>
      </c>
      <c r="F1161" s="60">
        <v>562.83000000000004</v>
      </c>
      <c r="G1161" s="4">
        <f t="shared" si="219"/>
        <v>287.16999999999996</v>
      </c>
      <c r="H1161" s="9">
        <f t="shared" si="220"/>
        <v>7.1792499999999995E-2</v>
      </c>
      <c r="I1161" s="4"/>
      <c r="J1161" s="64">
        <f t="shared" ref="J1161:J1162" si="223">J1160-80</f>
        <v>620</v>
      </c>
      <c r="K1161" s="31">
        <f t="shared" si="209"/>
        <v>-57.169999999999959</v>
      </c>
      <c r="L1161" s="14">
        <f t="shared" si="213"/>
        <v>0</v>
      </c>
      <c r="M1161" s="4"/>
    </row>
    <row r="1162" spans="2:13">
      <c r="B1162" s="43"/>
      <c r="C1162" s="7">
        <v>1.9895833333336601</v>
      </c>
      <c r="D1162" s="35">
        <v>2.00000000000031</v>
      </c>
      <c r="E1162" s="30">
        <v>850</v>
      </c>
      <c r="F1162" s="61">
        <v>544.61</v>
      </c>
      <c r="G1162" s="4">
        <f t="shared" si="219"/>
        <v>305.39</v>
      </c>
      <c r="H1162" s="9">
        <f t="shared" si="220"/>
        <v>7.6347499999999999E-2</v>
      </c>
      <c r="I1162" s="4"/>
      <c r="J1162" s="64">
        <f t="shared" si="223"/>
        <v>540</v>
      </c>
      <c r="K1162" s="31">
        <f t="shared" si="209"/>
        <v>4.6100000000000136</v>
      </c>
      <c r="L1162" s="14">
        <f t="shared" si="213"/>
        <v>1.1525000000000033E-3</v>
      </c>
      <c r="M1162" s="4"/>
    </row>
    <row r="1163" spans="2:13">
      <c r="B1163" s="43"/>
      <c r="C1163" s="43"/>
      <c r="D1163" s="43"/>
      <c r="E1163" s="4"/>
      <c r="F1163" s="4"/>
      <c r="G1163" s="4"/>
      <c r="H1163" s="9"/>
      <c r="I1163" s="9">
        <f>SUM(H1159:H1162)</f>
        <v>0.20201000000000002</v>
      </c>
      <c r="J1163" s="29"/>
      <c r="K1163" s="31"/>
      <c r="L1163" s="14"/>
      <c r="M1163" s="4">
        <f>SUM(L1159:L1162)</f>
        <v>1.1525000000000033E-3</v>
      </c>
    </row>
    <row r="1164" spans="2:13">
      <c r="B1164" s="34">
        <v>46047</v>
      </c>
      <c r="C1164" s="7">
        <v>1</v>
      </c>
      <c r="D1164" s="7">
        <v>1.0104166666666701</v>
      </c>
      <c r="E1164" s="30">
        <v>900</v>
      </c>
      <c r="F1164" s="60">
        <v>541.66999999999996</v>
      </c>
      <c r="G1164" s="4">
        <f t="shared" si="219"/>
        <v>358.33000000000004</v>
      </c>
      <c r="H1164" s="9">
        <f t="shared" si="220"/>
        <v>8.9582500000000009E-2</v>
      </c>
      <c r="I1164" s="4"/>
      <c r="J1164" s="65">
        <v>540</v>
      </c>
      <c r="K1164" s="31">
        <f t="shared" ref="K1164:K1226" si="224">F1164-J1164</f>
        <v>1.6699999999999591</v>
      </c>
      <c r="L1164" s="14">
        <f t="shared" si="213"/>
        <v>4.1749999999998977E-4</v>
      </c>
      <c r="M1164" s="4"/>
    </row>
    <row r="1165" spans="2:13">
      <c r="B1165" s="43"/>
      <c r="C1165" s="7">
        <v>1.0104166666666701</v>
      </c>
      <c r="D1165" s="7">
        <v>1.0208333333333399</v>
      </c>
      <c r="E1165" s="30">
        <v>900</v>
      </c>
      <c r="F1165" s="60">
        <v>545.34</v>
      </c>
      <c r="G1165" s="4">
        <f t="shared" si="219"/>
        <v>354.65999999999997</v>
      </c>
      <c r="H1165" s="9">
        <f t="shared" si="220"/>
        <v>8.8664999999999994E-2</v>
      </c>
      <c r="I1165" s="4"/>
      <c r="J1165" s="65">
        <v>540</v>
      </c>
      <c r="K1165" s="31">
        <f t="shared" si="224"/>
        <v>5.3400000000000318</v>
      </c>
      <c r="L1165" s="14">
        <f t="shared" si="213"/>
        <v>1.3350000000000081E-3</v>
      </c>
      <c r="M1165" s="4"/>
    </row>
    <row r="1166" spans="2:13">
      <c r="B1166" s="43"/>
      <c r="C1166" s="7">
        <v>1.0208333333333399</v>
      </c>
      <c r="D1166" s="7">
        <v>1.03125000000001</v>
      </c>
      <c r="E1166" s="30">
        <v>900</v>
      </c>
      <c r="F1166" s="60">
        <v>542.22</v>
      </c>
      <c r="G1166" s="4">
        <f t="shared" si="219"/>
        <v>357.78</v>
      </c>
      <c r="H1166" s="9">
        <f t="shared" si="220"/>
        <v>8.9444999999999997E-2</v>
      </c>
      <c r="I1166" s="4"/>
      <c r="J1166" s="65">
        <v>540</v>
      </c>
      <c r="K1166" s="31">
        <f t="shared" si="224"/>
        <v>2.2200000000000273</v>
      </c>
      <c r="L1166" s="14">
        <f t="shared" si="213"/>
        <v>5.5500000000000677E-4</v>
      </c>
      <c r="M1166" s="4"/>
    </row>
    <row r="1167" spans="2:13">
      <c r="B1167" s="43"/>
      <c r="C1167" s="7">
        <v>1.03125000000001</v>
      </c>
      <c r="D1167" s="7">
        <v>1.0416666666666801</v>
      </c>
      <c r="E1167" s="30">
        <v>900</v>
      </c>
      <c r="F1167" s="60">
        <v>546.28</v>
      </c>
      <c r="G1167" s="4">
        <f t="shared" si="219"/>
        <v>353.72</v>
      </c>
      <c r="H1167" s="9">
        <f t="shared" si="220"/>
        <v>8.8430000000000009E-2</v>
      </c>
      <c r="I1167" s="4"/>
      <c r="J1167" s="65">
        <v>540</v>
      </c>
      <c r="K1167" s="31">
        <f t="shared" si="224"/>
        <v>6.2799999999999727</v>
      </c>
      <c r="L1167" s="14">
        <f t="shared" si="213"/>
        <v>1.5699999999999933E-3</v>
      </c>
      <c r="M1167" s="4"/>
    </row>
    <row r="1168" spans="2:13">
      <c r="B1168" s="43"/>
      <c r="C1168" s="7">
        <v>1.0416666666666801</v>
      </c>
      <c r="D1168" s="7">
        <v>1.0520833333333499</v>
      </c>
      <c r="E1168" s="30">
        <v>900</v>
      </c>
      <c r="F1168" s="60">
        <v>546.1</v>
      </c>
      <c r="G1168" s="4">
        <f t="shared" si="219"/>
        <v>353.9</v>
      </c>
      <c r="H1168" s="9">
        <f t="shared" si="220"/>
        <v>8.8474999999999998E-2</v>
      </c>
      <c r="I1168" s="4"/>
      <c r="J1168" s="64">
        <v>540</v>
      </c>
      <c r="K1168" s="31">
        <f t="shared" si="224"/>
        <v>6.1000000000000227</v>
      </c>
      <c r="L1168" s="14">
        <f t="shared" si="213"/>
        <v>1.5250000000000057E-3</v>
      </c>
      <c r="M1168" s="4"/>
    </row>
    <row r="1169" spans="2:13">
      <c r="B1169" s="43"/>
      <c r="C1169" s="7">
        <v>1.0520833333333499</v>
      </c>
      <c r="D1169" s="7">
        <v>1.06250000000002</v>
      </c>
      <c r="E1169" s="30">
        <v>900</v>
      </c>
      <c r="F1169" s="60">
        <v>547.91999999999996</v>
      </c>
      <c r="G1169" s="4">
        <f t="shared" si="219"/>
        <v>352.08000000000004</v>
      </c>
      <c r="H1169" s="9">
        <f t="shared" si="220"/>
        <v>8.8020000000000015E-2</v>
      </c>
      <c r="I1169" s="4"/>
      <c r="J1169" s="64">
        <v>540</v>
      </c>
      <c r="K1169" s="31">
        <f t="shared" si="224"/>
        <v>7.9199999999999591</v>
      </c>
      <c r="L1169" s="14">
        <f t="shared" si="213"/>
        <v>1.9799999999999896E-3</v>
      </c>
      <c r="M1169" s="4"/>
    </row>
    <row r="1170" spans="2:13">
      <c r="B1170" s="43"/>
      <c r="C1170" s="7">
        <v>1.06250000000002</v>
      </c>
      <c r="D1170" s="7">
        <v>1.0729166666666901</v>
      </c>
      <c r="E1170" s="30">
        <v>900</v>
      </c>
      <c r="F1170" s="60">
        <v>546.76</v>
      </c>
      <c r="G1170" s="4">
        <f t="shared" si="219"/>
        <v>353.24</v>
      </c>
      <c r="H1170" s="9">
        <f t="shared" si="220"/>
        <v>8.831E-2</v>
      </c>
      <c r="I1170" s="4"/>
      <c r="J1170" s="64">
        <v>540</v>
      </c>
      <c r="K1170" s="31">
        <f t="shared" si="224"/>
        <v>6.7599999999999909</v>
      </c>
      <c r="L1170" s="14">
        <f t="shared" si="213"/>
        <v>1.6899999999999977E-3</v>
      </c>
      <c r="M1170" s="4"/>
    </row>
    <row r="1171" spans="2:13">
      <c r="B1171" s="43"/>
      <c r="C1171" s="7">
        <v>1.0729166666666901</v>
      </c>
      <c r="D1171" s="7">
        <v>1.0833333333333599</v>
      </c>
      <c r="E1171" s="30">
        <v>900</v>
      </c>
      <c r="F1171" s="60">
        <v>547.01</v>
      </c>
      <c r="G1171" s="4">
        <f t="shared" si="219"/>
        <v>352.99</v>
      </c>
      <c r="H1171" s="9">
        <f t="shared" si="220"/>
        <v>8.8247500000000006E-2</v>
      </c>
      <c r="I1171" s="4"/>
      <c r="J1171" s="64">
        <v>540</v>
      </c>
      <c r="K1171" s="31">
        <f t="shared" si="224"/>
        <v>7.0099999999999909</v>
      </c>
      <c r="L1171" s="14">
        <f t="shared" si="213"/>
        <v>1.7524999999999978E-3</v>
      </c>
      <c r="M1171" s="4"/>
    </row>
    <row r="1172" spans="2:13">
      <c r="B1172" s="43"/>
      <c r="C1172" s="7">
        <v>1.0833333333333599</v>
      </c>
      <c r="D1172" s="7">
        <v>1.09375000000003</v>
      </c>
      <c r="E1172" s="30">
        <v>900</v>
      </c>
      <c r="F1172" s="60">
        <v>547.52</v>
      </c>
      <c r="G1172" s="4">
        <f t="shared" si="219"/>
        <v>352.48</v>
      </c>
      <c r="H1172" s="9">
        <f t="shared" si="220"/>
        <v>8.8120000000000004E-2</v>
      </c>
      <c r="I1172" s="4"/>
      <c r="J1172" s="64">
        <v>540</v>
      </c>
      <c r="K1172" s="31">
        <f t="shared" si="224"/>
        <v>7.5199999999999818</v>
      </c>
      <c r="L1172" s="14">
        <f t="shared" si="213"/>
        <v>1.8799999999999954E-3</v>
      </c>
      <c r="M1172" s="4"/>
    </row>
    <row r="1173" spans="2:13">
      <c r="B1173" s="43"/>
      <c r="C1173" s="7">
        <v>1.09375000000003</v>
      </c>
      <c r="D1173" s="7">
        <v>1.1041666666667</v>
      </c>
      <c r="E1173" s="30">
        <v>900</v>
      </c>
      <c r="F1173" s="60">
        <v>545.16</v>
      </c>
      <c r="G1173" s="4">
        <f t="shared" si="219"/>
        <v>354.84000000000003</v>
      </c>
      <c r="H1173" s="9">
        <f t="shared" si="220"/>
        <v>8.8710000000000011E-2</v>
      </c>
      <c r="I1173" s="4"/>
      <c r="J1173" s="64">
        <v>540</v>
      </c>
      <c r="K1173" s="31">
        <f t="shared" si="224"/>
        <v>5.1599999999999682</v>
      </c>
      <c r="L1173" s="14">
        <f t="shared" si="213"/>
        <v>1.2899999999999921E-3</v>
      </c>
      <c r="M1173" s="4"/>
    </row>
    <row r="1174" spans="2:13">
      <c r="B1174" s="43"/>
      <c r="C1174" s="7">
        <v>1.1041666666667</v>
      </c>
      <c r="D1174" s="7">
        <v>1.1145833333333699</v>
      </c>
      <c r="E1174" s="30">
        <v>900</v>
      </c>
      <c r="F1174" s="60">
        <v>546.58000000000004</v>
      </c>
      <c r="G1174" s="4">
        <f t="shared" si="219"/>
        <v>353.41999999999996</v>
      </c>
      <c r="H1174" s="9">
        <f t="shared" si="220"/>
        <v>8.8354999999999989E-2</v>
      </c>
      <c r="I1174" s="4"/>
      <c r="J1174" s="64">
        <v>540</v>
      </c>
      <c r="K1174" s="31">
        <f t="shared" si="224"/>
        <v>6.5800000000000409</v>
      </c>
      <c r="L1174" s="14">
        <f t="shared" si="213"/>
        <v>1.6450000000000102E-3</v>
      </c>
      <c r="M1174" s="4"/>
    </row>
    <row r="1175" spans="2:13">
      <c r="B1175" s="43"/>
      <c r="C1175" s="7">
        <v>1.1145833333333699</v>
      </c>
      <c r="D1175" s="7">
        <v>1.12500000000004</v>
      </c>
      <c r="E1175" s="30">
        <v>900</v>
      </c>
      <c r="F1175" s="60">
        <v>546.64</v>
      </c>
      <c r="G1175" s="4">
        <f t="shared" si="219"/>
        <v>353.36</v>
      </c>
      <c r="H1175" s="9">
        <f t="shared" si="220"/>
        <v>8.8340000000000002E-2</v>
      </c>
      <c r="I1175" s="4"/>
      <c r="J1175" s="64">
        <v>540</v>
      </c>
      <c r="K1175" s="31">
        <f t="shared" si="224"/>
        <v>6.6399999999999864</v>
      </c>
      <c r="L1175" s="14">
        <f t="shared" si="213"/>
        <v>1.6599999999999965E-3</v>
      </c>
      <c r="M1175" s="4"/>
    </row>
    <row r="1176" spans="2:13">
      <c r="B1176" s="43"/>
      <c r="C1176" s="7">
        <v>1.12500000000004</v>
      </c>
      <c r="D1176" s="7">
        <v>1.13541666666671</v>
      </c>
      <c r="E1176" s="30">
        <v>900</v>
      </c>
      <c r="F1176" s="60">
        <v>545.41</v>
      </c>
      <c r="G1176" s="4">
        <f t="shared" si="219"/>
        <v>354.59000000000003</v>
      </c>
      <c r="H1176" s="9">
        <f t="shared" si="220"/>
        <v>8.8647500000000004E-2</v>
      </c>
      <c r="I1176" s="4"/>
      <c r="J1176" s="64">
        <v>540</v>
      </c>
      <c r="K1176" s="31">
        <f t="shared" si="224"/>
        <v>5.4099999999999682</v>
      </c>
      <c r="L1176" s="14">
        <f t="shared" si="213"/>
        <v>1.3524999999999919E-3</v>
      </c>
      <c r="M1176" s="4"/>
    </row>
    <row r="1177" spans="2:13">
      <c r="B1177" s="43"/>
      <c r="C1177" s="7">
        <v>1.13541666666671</v>
      </c>
      <c r="D1177" s="7">
        <v>1.1458333333333801</v>
      </c>
      <c r="E1177" s="30">
        <v>900</v>
      </c>
      <c r="F1177" s="60">
        <v>543.70000000000005</v>
      </c>
      <c r="G1177" s="4">
        <f t="shared" si="219"/>
        <v>356.29999999999995</v>
      </c>
      <c r="H1177" s="9">
        <f t="shared" si="220"/>
        <v>8.9074999999999988E-2</v>
      </c>
      <c r="I1177" s="4"/>
      <c r="J1177" s="64">
        <v>540</v>
      </c>
      <c r="K1177" s="31">
        <f t="shared" si="224"/>
        <v>3.7000000000000455</v>
      </c>
      <c r="L1177" s="14">
        <f t="shared" ref="L1177:L1240" si="225">IF(K1177/4000&gt;0,K1177/4000,0)</f>
        <v>9.2500000000001132E-4</v>
      </c>
      <c r="M1177" s="4"/>
    </row>
    <row r="1178" spans="2:13">
      <c r="B1178" s="43"/>
      <c r="C1178" s="7">
        <v>1.1458333333333801</v>
      </c>
      <c r="D1178" s="7">
        <v>1.15625000000005</v>
      </c>
      <c r="E1178" s="30">
        <v>900</v>
      </c>
      <c r="F1178" s="60">
        <v>544.64</v>
      </c>
      <c r="G1178" s="4">
        <f t="shared" si="219"/>
        <v>355.36</v>
      </c>
      <c r="H1178" s="9">
        <f t="shared" si="220"/>
        <v>8.8840000000000002E-2</v>
      </c>
      <c r="I1178" s="4"/>
      <c r="J1178" s="64">
        <v>540</v>
      </c>
      <c r="K1178" s="31">
        <f t="shared" si="224"/>
        <v>4.6399999999999864</v>
      </c>
      <c r="L1178" s="14">
        <f t="shared" si="225"/>
        <v>1.1599999999999965E-3</v>
      </c>
      <c r="M1178" s="4"/>
    </row>
    <row r="1179" spans="2:13">
      <c r="B1179" s="43"/>
      <c r="C1179" s="7">
        <v>1.15625000000005</v>
      </c>
      <c r="D1179" s="7">
        <v>1.16666666666672</v>
      </c>
      <c r="E1179" s="30">
        <v>900</v>
      </c>
      <c r="F1179" s="60">
        <v>547.21</v>
      </c>
      <c r="G1179" s="4">
        <f t="shared" si="219"/>
        <v>352.78999999999996</v>
      </c>
      <c r="H1179" s="9">
        <f t="shared" si="220"/>
        <v>8.8197499999999984E-2</v>
      </c>
      <c r="I1179" s="4"/>
      <c r="J1179" s="64">
        <v>540</v>
      </c>
      <c r="K1179" s="31">
        <f t="shared" si="224"/>
        <v>7.2100000000000364</v>
      </c>
      <c r="L1179" s="14">
        <f t="shared" si="225"/>
        <v>1.8025000000000092E-3</v>
      </c>
      <c r="M1179" s="4"/>
    </row>
    <row r="1180" spans="2:13">
      <c r="B1180" s="43"/>
      <c r="C1180" s="7">
        <v>1.16666666666672</v>
      </c>
      <c r="D1180" s="7">
        <v>1.1770833333333901</v>
      </c>
      <c r="E1180" s="30">
        <v>900</v>
      </c>
      <c r="F1180" s="60">
        <v>546.80999999999995</v>
      </c>
      <c r="G1180" s="4">
        <f t="shared" si="219"/>
        <v>353.19000000000005</v>
      </c>
      <c r="H1180" s="9">
        <f t="shared" si="220"/>
        <v>8.8297500000000015E-2</v>
      </c>
      <c r="I1180" s="4"/>
      <c r="J1180" s="64">
        <v>540</v>
      </c>
      <c r="K1180" s="31">
        <f t="shared" si="224"/>
        <v>6.8099999999999454</v>
      </c>
      <c r="L1180" s="14">
        <f t="shared" si="225"/>
        <v>1.7024999999999864E-3</v>
      </c>
      <c r="M1180" s="4"/>
    </row>
    <row r="1181" spans="2:13">
      <c r="B1181" s="43"/>
      <c r="C1181" s="7">
        <v>1.1770833333333901</v>
      </c>
      <c r="D1181" s="7">
        <v>1.18750000000006</v>
      </c>
      <c r="E1181" s="30">
        <v>900</v>
      </c>
      <c r="F1181" s="60">
        <v>547.29999999999995</v>
      </c>
      <c r="G1181" s="4">
        <f t="shared" si="219"/>
        <v>352.70000000000005</v>
      </c>
      <c r="H1181" s="9">
        <f t="shared" si="220"/>
        <v>8.8175000000000017E-2</v>
      </c>
      <c r="I1181" s="4"/>
      <c r="J1181" s="64">
        <v>540</v>
      </c>
      <c r="K1181" s="31">
        <f t="shared" si="224"/>
        <v>7.2999999999999545</v>
      </c>
      <c r="L1181" s="14">
        <f t="shared" si="225"/>
        <v>1.8249999999999885E-3</v>
      </c>
      <c r="M1181" s="4"/>
    </row>
    <row r="1182" spans="2:13">
      <c r="B1182" s="43"/>
      <c r="C1182" s="7">
        <v>1.18750000000006</v>
      </c>
      <c r="D1182" s="7">
        <v>1.19791666666673</v>
      </c>
      <c r="E1182" s="30">
        <v>900</v>
      </c>
      <c r="F1182" s="60">
        <v>547.16</v>
      </c>
      <c r="G1182" s="4">
        <f t="shared" si="219"/>
        <v>352.84000000000003</v>
      </c>
      <c r="H1182" s="9">
        <f t="shared" si="220"/>
        <v>8.8210000000000011E-2</v>
      </c>
      <c r="I1182" s="4"/>
      <c r="J1182" s="64">
        <v>540</v>
      </c>
      <c r="K1182" s="31">
        <f t="shared" si="224"/>
        <v>7.1599999999999682</v>
      </c>
      <c r="L1182" s="14">
        <f t="shared" si="225"/>
        <v>1.7899999999999921E-3</v>
      </c>
      <c r="M1182" s="4"/>
    </row>
    <row r="1183" spans="2:13">
      <c r="B1183" s="43"/>
      <c r="C1183" s="7">
        <v>1.19791666666673</v>
      </c>
      <c r="D1183" s="7">
        <v>1.2083333333334001</v>
      </c>
      <c r="E1183" s="30">
        <v>900</v>
      </c>
      <c r="F1183" s="60">
        <v>544.77</v>
      </c>
      <c r="G1183" s="4">
        <f t="shared" si="219"/>
        <v>355.23</v>
      </c>
      <c r="H1183" s="9">
        <f t="shared" si="220"/>
        <v>8.8807500000000011E-2</v>
      </c>
      <c r="I1183" s="4"/>
      <c r="J1183" s="64">
        <v>540</v>
      </c>
      <c r="K1183" s="31">
        <f t="shared" si="224"/>
        <v>4.7699999999999818</v>
      </c>
      <c r="L1183" s="14">
        <f t="shared" si="225"/>
        <v>1.1924999999999954E-3</v>
      </c>
      <c r="M1183" s="4"/>
    </row>
    <row r="1184" spans="2:13">
      <c r="B1184" s="43"/>
      <c r="C1184" s="7">
        <v>1.2083333333334001</v>
      </c>
      <c r="D1184" s="7">
        <v>1.2187500000000699</v>
      </c>
      <c r="E1184" s="30">
        <v>900</v>
      </c>
      <c r="F1184" s="60">
        <v>544.02</v>
      </c>
      <c r="G1184" s="4">
        <f t="shared" si="219"/>
        <v>355.98</v>
      </c>
      <c r="H1184" s="9">
        <f t="shared" si="220"/>
        <v>8.8995000000000005E-2</v>
      </c>
      <c r="I1184" s="4"/>
      <c r="J1184" s="64">
        <v>540</v>
      </c>
      <c r="K1184" s="31">
        <f t="shared" si="224"/>
        <v>4.0199999999999818</v>
      </c>
      <c r="L1184" s="14">
        <f t="shared" si="225"/>
        <v>1.0049999999999955E-3</v>
      </c>
      <c r="M1184" s="4"/>
    </row>
    <row r="1185" spans="2:13">
      <c r="B1185" s="43"/>
      <c r="C1185" s="7">
        <v>1.2187500000000699</v>
      </c>
      <c r="D1185" s="7">
        <v>1.22916666666674</v>
      </c>
      <c r="E1185" s="30">
        <v>900</v>
      </c>
      <c r="F1185" s="60">
        <v>544.57000000000005</v>
      </c>
      <c r="G1185" s="4">
        <f t="shared" si="219"/>
        <v>355.42999999999995</v>
      </c>
      <c r="H1185" s="9">
        <f t="shared" si="220"/>
        <v>8.8857499999999992E-2</v>
      </c>
      <c r="I1185" s="4"/>
      <c r="J1185" s="64">
        <v>540</v>
      </c>
      <c r="K1185" s="31">
        <f t="shared" si="224"/>
        <v>4.57000000000005</v>
      </c>
      <c r="L1185" s="14">
        <f t="shared" si="225"/>
        <v>1.1425000000000124E-3</v>
      </c>
      <c r="M1185" s="4"/>
    </row>
    <row r="1186" spans="2:13">
      <c r="B1186" s="43"/>
      <c r="C1186" s="7">
        <v>1.22916666666674</v>
      </c>
      <c r="D1186" s="7">
        <v>1.2395833333334101</v>
      </c>
      <c r="E1186" s="30">
        <v>900</v>
      </c>
      <c r="F1186" s="60">
        <v>544.57000000000005</v>
      </c>
      <c r="G1186" s="4">
        <f t="shared" si="219"/>
        <v>355.42999999999995</v>
      </c>
      <c r="H1186" s="9">
        <f t="shared" si="220"/>
        <v>8.8857499999999992E-2</v>
      </c>
      <c r="I1186" s="4"/>
      <c r="J1186" s="64">
        <v>540</v>
      </c>
      <c r="K1186" s="31">
        <f t="shared" si="224"/>
        <v>4.57000000000005</v>
      </c>
      <c r="L1186" s="14">
        <f t="shared" si="225"/>
        <v>1.1425000000000124E-3</v>
      </c>
      <c r="M1186" s="4"/>
    </row>
    <row r="1187" spans="2:13">
      <c r="B1187" s="43"/>
      <c r="C1187" s="7">
        <v>1.2395833333334101</v>
      </c>
      <c r="D1187" s="7">
        <v>1.2500000000000799</v>
      </c>
      <c r="E1187" s="30">
        <v>900</v>
      </c>
      <c r="F1187" s="60">
        <v>547.09</v>
      </c>
      <c r="G1187" s="4">
        <f t="shared" si="219"/>
        <v>352.90999999999997</v>
      </c>
      <c r="H1187" s="9">
        <f t="shared" si="220"/>
        <v>8.8227499999999986E-2</v>
      </c>
      <c r="I1187" s="4"/>
      <c r="J1187" s="64">
        <v>540</v>
      </c>
      <c r="K1187" s="31">
        <f t="shared" si="224"/>
        <v>7.0900000000000318</v>
      </c>
      <c r="L1187" s="14">
        <f t="shared" si="225"/>
        <v>1.772500000000008E-3</v>
      </c>
      <c r="M1187" s="4"/>
    </row>
    <row r="1188" spans="2:13">
      <c r="B1188" s="43"/>
      <c r="C1188" s="7">
        <v>1.2500000000000799</v>
      </c>
      <c r="D1188" s="35">
        <v>1.26041666666675</v>
      </c>
      <c r="E1188" s="30">
        <v>900</v>
      </c>
      <c r="F1188" s="60">
        <v>547.77</v>
      </c>
      <c r="G1188" s="4">
        <f t="shared" si="219"/>
        <v>352.23</v>
      </c>
      <c r="H1188" s="9">
        <f t="shared" si="220"/>
        <v>8.8057500000000011E-2</v>
      </c>
      <c r="I1188" s="4"/>
      <c r="J1188" s="64">
        <f>J1187+30</f>
        <v>570</v>
      </c>
      <c r="K1188" s="31">
        <f>J1188-F1188</f>
        <v>22.230000000000018</v>
      </c>
      <c r="L1188" s="14">
        <f t="shared" si="225"/>
        <v>5.5575000000000043E-3</v>
      </c>
      <c r="M1188" s="4"/>
    </row>
    <row r="1189" spans="2:13">
      <c r="B1189" s="43"/>
      <c r="C1189" s="7">
        <v>1.26041666666675</v>
      </c>
      <c r="D1189" s="7">
        <v>1.2708333333334201</v>
      </c>
      <c r="E1189" s="30">
        <v>900</v>
      </c>
      <c r="F1189" s="60">
        <v>638.84</v>
      </c>
      <c r="G1189" s="4">
        <f t="shared" si="219"/>
        <v>261.15999999999997</v>
      </c>
      <c r="H1189" s="9">
        <f t="shared" si="220"/>
        <v>6.5289999999999987E-2</v>
      </c>
      <c r="I1189" s="4"/>
      <c r="J1189" s="29">
        <f>J1188+80</f>
        <v>650</v>
      </c>
      <c r="K1189" s="31">
        <f t="shared" ref="K1189:K1193" si="226">J1189-F1189</f>
        <v>11.159999999999968</v>
      </c>
      <c r="L1189" s="14">
        <f t="shared" si="225"/>
        <v>2.7899999999999921E-3</v>
      </c>
      <c r="M1189" s="4"/>
    </row>
    <row r="1190" spans="2:13">
      <c r="B1190" s="43"/>
      <c r="C1190" s="7">
        <v>1.2708333333334201</v>
      </c>
      <c r="D1190" s="7">
        <v>1.2812500000000899</v>
      </c>
      <c r="E1190" s="30">
        <v>900</v>
      </c>
      <c r="F1190" s="60">
        <v>740.71</v>
      </c>
      <c r="G1190" s="4">
        <f t="shared" ref="G1190:G1253" si="227">E1190-F1190</f>
        <v>159.28999999999996</v>
      </c>
      <c r="H1190" s="9">
        <f t="shared" ref="H1190:H1253" si="228">G1190/4000</f>
        <v>3.982249999999999E-2</v>
      </c>
      <c r="I1190" s="4"/>
      <c r="J1190" s="64">
        <f t="shared" ref="J1190:J1192" si="229">J1189+80</f>
        <v>730</v>
      </c>
      <c r="K1190" s="31">
        <f t="shared" si="226"/>
        <v>-10.710000000000036</v>
      </c>
      <c r="L1190" s="14">
        <f t="shared" si="225"/>
        <v>0</v>
      </c>
      <c r="M1190" s="4"/>
    </row>
    <row r="1191" spans="2:13">
      <c r="B1191" s="43"/>
      <c r="C1191" s="7">
        <v>1.2812500000000899</v>
      </c>
      <c r="D1191" s="7">
        <v>1.29166666666676</v>
      </c>
      <c r="E1191" s="30">
        <v>900</v>
      </c>
      <c r="F1191" s="60">
        <v>889.97</v>
      </c>
      <c r="G1191" s="4">
        <f t="shared" si="227"/>
        <v>10.029999999999973</v>
      </c>
      <c r="H1191" s="9">
        <f t="shared" si="228"/>
        <v>2.5074999999999932E-3</v>
      </c>
      <c r="I1191" s="4"/>
      <c r="J1191" s="64">
        <f t="shared" si="229"/>
        <v>810</v>
      </c>
      <c r="K1191" s="31">
        <f t="shared" si="226"/>
        <v>-79.970000000000027</v>
      </c>
      <c r="L1191" s="14">
        <f t="shared" si="225"/>
        <v>0</v>
      </c>
      <c r="M1191" s="4"/>
    </row>
    <row r="1192" spans="2:13">
      <c r="B1192" s="43"/>
      <c r="C1192" s="7">
        <v>1.29166666666676</v>
      </c>
      <c r="D1192" s="7">
        <v>1.3020833333334301</v>
      </c>
      <c r="E1192" s="30">
        <v>900</v>
      </c>
      <c r="F1192" s="60">
        <v>916.99</v>
      </c>
      <c r="G1192" s="4">
        <f t="shared" si="227"/>
        <v>-16.990000000000009</v>
      </c>
      <c r="H1192" s="76">
        <v>0</v>
      </c>
      <c r="I1192" s="4"/>
      <c r="J1192" s="64">
        <f t="shared" si="229"/>
        <v>890</v>
      </c>
      <c r="K1192" s="31">
        <f t="shared" si="226"/>
        <v>-26.990000000000009</v>
      </c>
      <c r="L1192" s="14">
        <f t="shared" si="225"/>
        <v>0</v>
      </c>
      <c r="M1192" s="4"/>
    </row>
    <row r="1193" spans="2:13">
      <c r="B1193" s="43"/>
      <c r="C1193" s="7">
        <v>1.3020833333334301</v>
      </c>
      <c r="D1193" s="7">
        <v>1.3125000000000999</v>
      </c>
      <c r="E1193" s="30">
        <v>900</v>
      </c>
      <c r="F1193" s="60">
        <v>914.3</v>
      </c>
      <c r="G1193" s="4">
        <f t="shared" si="227"/>
        <v>-14.299999999999955</v>
      </c>
      <c r="H1193" s="76">
        <v>0</v>
      </c>
      <c r="I1193" s="4"/>
      <c r="J1193" s="64">
        <v>900</v>
      </c>
      <c r="K1193" s="31">
        <f t="shared" si="226"/>
        <v>-14.299999999999955</v>
      </c>
      <c r="L1193" s="14">
        <f t="shared" si="225"/>
        <v>0</v>
      </c>
      <c r="M1193" s="4"/>
    </row>
    <row r="1194" spans="2:13">
      <c r="B1194" s="43"/>
      <c r="C1194" s="43"/>
      <c r="D1194" s="43"/>
      <c r="E1194" s="4"/>
      <c r="F1194" s="4"/>
      <c r="G1194" s="4"/>
      <c r="H1194" s="9"/>
      <c r="I1194" s="9">
        <f>SUM(H1164:H1193)</f>
        <v>2.3215650000000001</v>
      </c>
      <c r="J1194" s="29"/>
      <c r="K1194" s="31"/>
      <c r="L1194" s="14"/>
      <c r="M1194" s="4">
        <f>SUM(L1164:L1193)</f>
        <v>4.2459999999999991E-2</v>
      </c>
    </row>
    <row r="1195" spans="2:13">
      <c r="B1195" s="34">
        <v>46047</v>
      </c>
      <c r="C1195" s="7">
        <v>1.42708333333347</v>
      </c>
      <c r="D1195" s="7">
        <v>1.4375000000001299</v>
      </c>
      <c r="E1195" s="30">
        <v>900</v>
      </c>
      <c r="F1195" s="60">
        <v>871.41</v>
      </c>
      <c r="G1195" s="4">
        <f t="shared" si="227"/>
        <v>28.590000000000032</v>
      </c>
      <c r="H1195" s="9">
        <f t="shared" si="228"/>
        <v>7.147500000000008E-3</v>
      </c>
      <c r="I1195" s="4"/>
      <c r="J1195" s="29">
        <f>E1195-80</f>
        <v>820</v>
      </c>
      <c r="K1195" s="31">
        <f t="shared" si="224"/>
        <v>51.409999999999968</v>
      </c>
      <c r="L1195" s="14"/>
      <c r="M1195" s="4"/>
    </row>
    <row r="1196" spans="2:13">
      <c r="B1196" s="43"/>
      <c r="C1196" s="7">
        <v>1.4375000000001401</v>
      </c>
      <c r="D1196" s="7">
        <v>1.4479166666668</v>
      </c>
      <c r="E1196" s="30">
        <v>900</v>
      </c>
      <c r="F1196" s="60">
        <v>736.21</v>
      </c>
      <c r="G1196" s="4">
        <f t="shared" si="227"/>
        <v>163.78999999999996</v>
      </c>
      <c r="H1196" s="9">
        <f t="shared" si="228"/>
        <v>4.0947499999999991E-2</v>
      </c>
      <c r="I1196" s="4"/>
      <c r="J1196" s="29">
        <f>J1195-80</f>
        <v>740</v>
      </c>
      <c r="K1196" s="31">
        <f t="shared" si="224"/>
        <v>-3.7899999999999636</v>
      </c>
      <c r="L1196" s="14">
        <f t="shared" si="225"/>
        <v>0</v>
      </c>
      <c r="M1196" s="4"/>
    </row>
    <row r="1197" spans="2:13">
      <c r="B1197" s="43"/>
      <c r="C1197" s="7">
        <v>1.44791666666681</v>
      </c>
      <c r="D1197" s="7">
        <v>1.45833333333347</v>
      </c>
      <c r="E1197" s="30">
        <v>900</v>
      </c>
      <c r="F1197" s="60">
        <v>595.79999999999995</v>
      </c>
      <c r="G1197" s="4">
        <f t="shared" si="227"/>
        <v>304.20000000000005</v>
      </c>
      <c r="H1197" s="9">
        <f t="shared" si="228"/>
        <v>7.6050000000000006E-2</v>
      </c>
      <c r="I1197" s="4"/>
      <c r="J1197" s="64">
        <f t="shared" ref="J1197:J1198" si="230">J1196-80</f>
        <v>660</v>
      </c>
      <c r="K1197" s="31">
        <f t="shared" si="224"/>
        <v>-64.200000000000045</v>
      </c>
      <c r="L1197" s="14">
        <f t="shared" si="225"/>
        <v>0</v>
      </c>
      <c r="M1197" s="4"/>
    </row>
    <row r="1198" spans="2:13">
      <c r="B1198" s="43"/>
      <c r="C1198" s="7">
        <v>1.45833333333348</v>
      </c>
      <c r="D1198" s="7">
        <v>1.4687500000001401</v>
      </c>
      <c r="E1198" s="30">
        <v>900</v>
      </c>
      <c r="F1198" s="60">
        <v>538.57000000000005</v>
      </c>
      <c r="G1198" s="4">
        <f t="shared" si="227"/>
        <v>361.42999999999995</v>
      </c>
      <c r="H1198" s="9">
        <f t="shared" si="228"/>
        <v>9.0357499999999993E-2</v>
      </c>
      <c r="I1198" s="4"/>
      <c r="J1198" s="64">
        <f t="shared" si="230"/>
        <v>580</v>
      </c>
      <c r="K1198" s="31">
        <f t="shared" si="224"/>
        <v>-41.42999999999995</v>
      </c>
      <c r="L1198" s="14">
        <f t="shared" si="225"/>
        <v>0</v>
      </c>
      <c r="M1198" s="4"/>
    </row>
    <row r="1199" spans="2:13">
      <c r="B1199" s="43"/>
      <c r="C1199" s="7">
        <v>1.4687500000001501</v>
      </c>
      <c r="D1199" s="7">
        <v>1.47916666666681</v>
      </c>
      <c r="E1199" s="30">
        <v>900</v>
      </c>
      <c r="F1199" s="60">
        <v>539.96</v>
      </c>
      <c r="G1199" s="4">
        <f t="shared" si="227"/>
        <v>360.03999999999996</v>
      </c>
      <c r="H1199" s="9">
        <f t="shared" si="228"/>
        <v>9.0009999999999993E-2</v>
      </c>
      <c r="I1199" s="4"/>
      <c r="J1199" s="64">
        <v>540</v>
      </c>
      <c r="K1199" s="31">
        <f t="shared" si="224"/>
        <v>-3.999999999996362E-2</v>
      </c>
      <c r="L1199" s="14">
        <f t="shared" si="225"/>
        <v>0</v>
      </c>
      <c r="M1199" s="4"/>
    </row>
    <row r="1200" spans="2:13">
      <c r="B1200" s="43"/>
      <c r="C1200" s="7">
        <v>1.47916666666682</v>
      </c>
      <c r="D1200" s="7">
        <v>1.48958333333348</v>
      </c>
      <c r="E1200" s="30">
        <v>900</v>
      </c>
      <c r="F1200" s="60">
        <v>538.20000000000005</v>
      </c>
      <c r="G1200" s="4">
        <f t="shared" si="227"/>
        <v>361.79999999999995</v>
      </c>
      <c r="H1200" s="9">
        <f t="shared" si="228"/>
        <v>9.0449999999999989E-2</v>
      </c>
      <c r="I1200" s="4"/>
      <c r="J1200" s="64">
        <v>540</v>
      </c>
      <c r="K1200" s="31">
        <f t="shared" si="224"/>
        <v>-1.7999999999999545</v>
      </c>
      <c r="L1200" s="14">
        <f t="shared" si="225"/>
        <v>0</v>
      </c>
      <c r="M1200" s="4"/>
    </row>
    <row r="1201" spans="2:13">
      <c r="B1201" s="43"/>
      <c r="C1201" s="7">
        <v>1.48958333333349</v>
      </c>
      <c r="D1201" s="7">
        <v>1.5000000000001501</v>
      </c>
      <c r="E1201" s="30">
        <v>900</v>
      </c>
      <c r="F1201" s="60">
        <v>537.16</v>
      </c>
      <c r="G1201" s="4">
        <f t="shared" si="227"/>
        <v>362.84000000000003</v>
      </c>
      <c r="H1201" s="9">
        <f t="shared" si="228"/>
        <v>9.0710000000000013E-2</v>
      </c>
      <c r="I1201" s="4"/>
      <c r="J1201" s="64">
        <v>540</v>
      </c>
      <c r="K1201" s="31">
        <f t="shared" si="224"/>
        <v>-2.8400000000000318</v>
      </c>
      <c r="L1201" s="14">
        <f t="shared" si="225"/>
        <v>0</v>
      </c>
      <c r="M1201" s="4"/>
    </row>
    <row r="1202" spans="2:13">
      <c r="B1202" s="43"/>
      <c r="C1202" s="7">
        <v>1.5000000000001601</v>
      </c>
      <c r="D1202" s="7">
        <v>1.51041666666682</v>
      </c>
      <c r="E1202" s="30">
        <v>900</v>
      </c>
      <c r="F1202" s="60">
        <v>535.80999999999995</v>
      </c>
      <c r="G1202" s="4">
        <f t="shared" si="227"/>
        <v>364.19000000000005</v>
      </c>
      <c r="H1202" s="9">
        <f t="shared" si="228"/>
        <v>9.1047500000000017E-2</v>
      </c>
      <c r="I1202" s="4"/>
      <c r="J1202" s="64">
        <v>540</v>
      </c>
      <c r="K1202" s="31">
        <f t="shared" si="224"/>
        <v>-4.1900000000000546</v>
      </c>
      <c r="L1202" s="14">
        <f t="shared" si="225"/>
        <v>0</v>
      </c>
      <c r="M1202" s="4"/>
    </row>
    <row r="1203" spans="2:13">
      <c r="B1203" s="43"/>
      <c r="C1203" s="7">
        <v>1.5104166666668299</v>
      </c>
      <c r="D1203" s="7">
        <v>1.52083333333349</v>
      </c>
      <c r="E1203" s="30">
        <v>900</v>
      </c>
      <c r="F1203" s="60">
        <v>539.42999999999995</v>
      </c>
      <c r="G1203" s="4">
        <f t="shared" si="227"/>
        <v>360.57000000000005</v>
      </c>
      <c r="H1203" s="9">
        <f t="shared" si="228"/>
        <v>9.0142500000000014E-2</v>
      </c>
      <c r="I1203" s="4"/>
      <c r="J1203" s="64">
        <v>540</v>
      </c>
      <c r="K1203" s="31">
        <f t="shared" si="224"/>
        <v>-0.57000000000005002</v>
      </c>
      <c r="L1203" s="14">
        <f t="shared" si="225"/>
        <v>0</v>
      </c>
      <c r="M1203" s="4"/>
    </row>
    <row r="1204" spans="2:13">
      <c r="B1204" s="43"/>
      <c r="C1204" s="7">
        <v>1.5208333333335</v>
      </c>
      <c r="D1204" s="7">
        <v>1.5312500000001601</v>
      </c>
      <c r="E1204" s="30">
        <v>900</v>
      </c>
      <c r="F1204" s="60">
        <v>539.36</v>
      </c>
      <c r="G1204" s="4">
        <f t="shared" si="227"/>
        <v>360.64</v>
      </c>
      <c r="H1204" s="9">
        <f t="shared" si="228"/>
        <v>9.015999999999999E-2</v>
      </c>
      <c r="I1204" s="4"/>
      <c r="J1204" s="64">
        <v>540</v>
      </c>
      <c r="K1204" s="31">
        <f t="shared" si="224"/>
        <v>-0.63999999999998636</v>
      </c>
      <c r="L1204" s="14">
        <f t="shared" si="225"/>
        <v>0</v>
      </c>
      <c r="M1204" s="4"/>
    </row>
    <row r="1205" spans="2:13">
      <c r="B1205" s="43"/>
      <c r="C1205" s="7">
        <v>1.5312500000001701</v>
      </c>
      <c r="D1205" s="7">
        <v>1.5416666666668299</v>
      </c>
      <c r="E1205" s="30">
        <v>900</v>
      </c>
      <c r="F1205" s="60">
        <v>540.66999999999996</v>
      </c>
      <c r="G1205" s="4">
        <f t="shared" si="227"/>
        <v>359.33000000000004</v>
      </c>
      <c r="H1205" s="9">
        <f t="shared" si="228"/>
        <v>8.983250000000001E-2</v>
      </c>
      <c r="I1205" s="4"/>
      <c r="J1205" s="64">
        <v>540</v>
      </c>
      <c r="K1205" s="31">
        <f t="shared" si="224"/>
        <v>0.66999999999995907</v>
      </c>
      <c r="L1205" s="14">
        <f t="shared" si="225"/>
        <v>1.6749999999998976E-4</v>
      </c>
      <c r="M1205" s="4"/>
    </row>
    <row r="1206" spans="2:13">
      <c r="B1206" s="43"/>
      <c r="C1206" s="7">
        <v>1.5416666666668399</v>
      </c>
      <c r="D1206" s="7">
        <v>1.5520833333335</v>
      </c>
      <c r="E1206" s="30">
        <v>900</v>
      </c>
      <c r="F1206" s="60">
        <v>539.48</v>
      </c>
      <c r="G1206" s="4">
        <f t="shared" si="227"/>
        <v>360.52</v>
      </c>
      <c r="H1206" s="9">
        <f t="shared" si="228"/>
        <v>9.0130000000000002E-2</v>
      </c>
      <c r="I1206" s="4"/>
      <c r="J1206" s="64">
        <v>540</v>
      </c>
      <c r="K1206" s="31">
        <f t="shared" si="224"/>
        <v>-0.51999999999998181</v>
      </c>
      <c r="L1206" s="14">
        <f t="shared" si="225"/>
        <v>0</v>
      </c>
      <c r="M1206" s="4"/>
    </row>
    <row r="1207" spans="2:13">
      <c r="B1207" s="43"/>
      <c r="C1207" s="7">
        <v>1.55208333333351</v>
      </c>
      <c r="D1207" s="7">
        <v>1.5625000000001701</v>
      </c>
      <c r="E1207" s="30">
        <v>900</v>
      </c>
      <c r="F1207" s="60">
        <v>539.48</v>
      </c>
      <c r="G1207" s="4">
        <f t="shared" si="227"/>
        <v>360.52</v>
      </c>
      <c r="H1207" s="9">
        <f t="shared" si="228"/>
        <v>9.0130000000000002E-2</v>
      </c>
      <c r="I1207" s="4"/>
      <c r="J1207" s="64">
        <v>540</v>
      </c>
      <c r="K1207" s="31">
        <f t="shared" si="224"/>
        <v>-0.51999999999998181</v>
      </c>
      <c r="L1207" s="14">
        <f t="shared" si="225"/>
        <v>0</v>
      </c>
      <c r="M1207" s="4"/>
    </row>
    <row r="1208" spans="2:13">
      <c r="B1208" s="43"/>
      <c r="C1208" s="7">
        <v>1.5625000000001801</v>
      </c>
      <c r="D1208" s="7">
        <v>1.5729166666668399</v>
      </c>
      <c r="E1208" s="30">
        <v>900</v>
      </c>
      <c r="F1208" s="60">
        <v>539.29999999999995</v>
      </c>
      <c r="G1208" s="4">
        <f t="shared" si="227"/>
        <v>360.70000000000005</v>
      </c>
      <c r="H1208" s="9">
        <f t="shared" si="228"/>
        <v>9.0175000000000005E-2</v>
      </c>
      <c r="I1208" s="4"/>
      <c r="J1208" s="64">
        <v>540</v>
      </c>
      <c r="K1208" s="31">
        <f t="shared" si="224"/>
        <v>-0.70000000000004547</v>
      </c>
      <c r="L1208" s="14">
        <f t="shared" si="225"/>
        <v>0</v>
      </c>
      <c r="M1208" s="4"/>
    </row>
    <row r="1209" spans="2:13">
      <c r="B1209" s="43"/>
      <c r="C1209" s="7">
        <v>1.5729166666668499</v>
      </c>
      <c r="D1209" s="7">
        <v>1.58333333333351</v>
      </c>
      <c r="E1209" s="30">
        <v>900</v>
      </c>
      <c r="F1209" s="60">
        <v>539.9</v>
      </c>
      <c r="G1209" s="4">
        <f t="shared" si="227"/>
        <v>360.1</v>
      </c>
      <c r="H1209" s="9">
        <f t="shared" si="228"/>
        <v>9.0025000000000008E-2</v>
      </c>
      <c r="I1209" s="4"/>
      <c r="J1209" s="64">
        <v>540</v>
      </c>
      <c r="K1209" s="31">
        <f t="shared" si="224"/>
        <v>-0.10000000000002274</v>
      </c>
      <c r="L1209" s="14">
        <f t="shared" si="225"/>
        <v>0</v>
      </c>
      <c r="M1209" s="4"/>
    </row>
    <row r="1210" spans="2:13">
      <c r="B1210" s="43"/>
      <c r="C1210" s="7">
        <v>1.58333333333352</v>
      </c>
      <c r="D1210" s="7">
        <v>1.5937500000001801</v>
      </c>
      <c r="E1210" s="30">
        <v>900</v>
      </c>
      <c r="F1210" s="60">
        <v>540.08000000000004</v>
      </c>
      <c r="G1210" s="4">
        <f t="shared" si="227"/>
        <v>359.91999999999996</v>
      </c>
      <c r="H1210" s="9">
        <f t="shared" si="228"/>
        <v>8.9979999999999991E-2</v>
      </c>
      <c r="I1210" s="4"/>
      <c r="J1210" s="64">
        <v>540</v>
      </c>
      <c r="K1210" s="31">
        <f t="shared" si="224"/>
        <v>8.0000000000040927E-2</v>
      </c>
      <c r="L1210" s="14">
        <f t="shared" si="225"/>
        <v>2.000000000001023E-5</v>
      </c>
      <c r="M1210" s="4"/>
    </row>
    <row r="1211" spans="2:13">
      <c r="B1211" s="43"/>
      <c r="C1211" s="7">
        <v>1.5937500000001901</v>
      </c>
      <c r="D1211" s="7">
        <v>1.6041666666668499</v>
      </c>
      <c r="E1211" s="30">
        <v>900</v>
      </c>
      <c r="F1211" s="60">
        <v>540.61</v>
      </c>
      <c r="G1211" s="4">
        <f t="shared" si="227"/>
        <v>359.39</v>
      </c>
      <c r="H1211" s="9">
        <f t="shared" si="228"/>
        <v>8.9847499999999997E-2</v>
      </c>
      <c r="I1211" s="4"/>
      <c r="J1211" s="64">
        <v>540</v>
      </c>
      <c r="K1211" s="31">
        <f t="shared" si="224"/>
        <v>0.61000000000001364</v>
      </c>
      <c r="L1211" s="14">
        <f t="shared" si="225"/>
        <v>1.5250000000000341E-4</v>
      </c>
      <c r="M1211" s="4"/>
    </row>
    <row r="1212" spans="2:13">
      <c r="B1212" s="43"/>
      <c r="C1212" s="7">
        <v>1.6041666666668599</v>
      </c>
      <c r="D1212" s="7">
        <v>1.61458333333352</v>
      </c>
      <c r="E1212" s="30">
        <v>900</v>
      </c>
      <c r="F1212" s="60">
        <v>542.84</v>
      </c>
      <c r="G1212" s="4">
        <f t="shared" si="227"/>
        <v>357.15999999999997</v>
      </c>
      <c r="H1212" s="9">
        <f t="shared" si="228"/>
        <v>8.9289999999999994E-2</v>
      </c>
      <c r="I1212" s="4"/>
      <c r="J1212" s="64">
        <v>540</v>
      </c>
      <c r="K1212" s="31">
        <f t="shared" si="224"/>
        <v>2.8400000000000318</v>
      </c>
      <c r="L1212" s="14">
        <f t="shared" si="225"/>
        <v>7.1000000000000793E-4</v>
      </c>
      <c r="M1212" s="4"/>
    </row>
    <row r="1213" spans="2:13">
      <c r="B1213" s="43"/>
      <c r="C1213" s="7">
        <v>1.61458333333353</v>
      </c>
      <c r="D1213" s="7">
        <v>1.6250000000001901</v>
      </c>
      <c r="E1213" s="30">
        <v>900</v>
      </c>
      <c r="F1213" s="60">
        <v>540.97</v>
      </c>
      <c r="G1213" s="4">
        <f t="shared" si="227"/>
        <v>359.03</v>
      </c>
      <c r="H1213" s="9">
        <f t="shared" si="228"/>
        <v>8.975749999999999E-2</v>
      </c>
      <c r="I1213" s="4"/>
      <c r="J1213" s="64">
        <v>540</v>
      </c>
      <c r="K1213" s="31">
        <f t="shared" si="224"/>
        <v>0.97000000000002728</v>
      </c>
      <c r="L1213" s="14">
        <f t="shared" si="225"/>
        <v>2.4250000000000682E-4</v>
      </c>
      <c r="M1213" s="4"/>
    </row>
    <row r="1214" spans="2:13">
      <c r="B1214" s="43"/>
      <c r="C1214" s="7">
        <v>1.6250000000002001</v>
      </c>
      <c r="D1214" s="7">
        <v>1.6354166666668599</v>
      </c>
      <c r="E1214" s="30">
        <v>900</v>
      </c>
      <c r="F1214" s="60">
        <v>537.59</v>
      </c>
      <c r="G1214" s="4">
        <f t="shared" si="227"/>
        <v>362.40999999999997</v>
      </c>
      <c r="H1214" s="9">
        <f t="shared" si="228"/>
        <v>9.0602499999999989E-2</v>
      </c>
      <c r="I1214" s="4"/>
      <c r="J1214" s="64">
        <v>540</v>
      </c>
      <c r="K1214" s="31">
        <f t="shared" si="224"/>
        <v>-2.4099999999999682</v>
      </c>
      <c r="L1214" s="14">
        <f t="shared" si="225"/>
        <v>0</v>
      </c>
      <c r="M1214" s="4"/>
    </row>
    <row r="1215" spans="2:13">
      <c r="B1215" s="43"/>
      <c r="C1215" s="7">
        <v>1.6354166666668699</v>
      </c>
      <c r="D1215" s="7">
        <v>1.64583333333353</v>
      </c>
      <c r="E1215" s="30">
        <v>900</v>
      </c>
      <c r="F1215" s="60">
        <v>539.99</v>
      </c>
      <c r="G1215" s="4">
        <f t="shared" si="227"/>
        <v>360.01</v>
      </c>
      <c r="H1215" s="9">
        <f t="shared" si="228"/>
        <v>9.0002499999999999E-2</v>
      </c>
      <c r="I1215" s="4"/>
      <c r="J1215" s="64">
        <v>540</v>
      </c>
      <c r="K1215" s="31">
        <f t="shared" si="224"/>
        <v>-9.9999999999909051E-3</v>
      </c>
      <c r="L1215" s="14">
        <f t="shared" si="225"/>
        <v>0</v>
      </c>
      <c r="M1215" s="4"/>
    </row>
    <row r="1216" spans="2:13">
      <c r="B1216" s="43"/>
      <c r="C1216" s="7">
        <v>1.64583333333354</v>
      </c>
      <c r="D1216" s="7">
        <v>1.6562500000002001</v>
      </c>
      <c r="E1216" s="30">
        <v>900</v>
      </c>
      <c r="F1216" s="60">
        <v>538.46</v>
      </c>
      <c r="G1216" s="4">
        <f t="shared" si="227"/>
        <v>361.53999999999996</v>
      </c>
      <c r="H1216" s="9">
        <f t="shared" si="228"/>
        <v>9.0384999999999993E-2</v>
      </c>
      <c r="I1216" s="4"/>
      <c r="J1216" s="64">
        <v>540</v>
      </c>
      <c r="K1216" s="31">
        <f t="shared" si="224"/>
        <v>-1.5399999999999636</v>
      </c>
      <c r="L1216" s="14">
        <f t="shared" si="225"/>
        <v>0</v>
      </c>
      <c r="M1216" s="4"/>
    </row>
    <row r="1217" spans="2:13">
      <c r="B1217" s="43"/>
      <c r="C1217" s="7">
        <v>1.6562500000002101</v>
      </c>
      <c r="D1217" s="7">
        <v>1.6666666666668699</v>
      </c>
      <c r="E1217" s="30">
        <v>900</v>
      </c>
      <c r="F1217" s="60">
        <v>540.79</v>
      </c>
      <c r="G1217" s="4">
        <f t="shared" si="227"/>
        <v>359.21000000000004</v>
      </c>
      <c r="H1217" s="9">
        <f t="shared" si="228"/>
        <v>8.9802500000000007E-2</v>
      </c>
      <c r="I1217" s="4"/>
      <c r="J1217" s="64">
        <v>540</v>
      </c>
      <c r="K1217" s="31">
        <f t="shared" si="224"/>
        <v>0.78999999999996362</v>
      </c>
      <c r="L1217" s="14">
        <f t="shared" si="225"/>
        <v>1.974999999999909E-4</v>
      </c>
      <c r="M1217" s="4"/>
    </row>
    <row r="1218" spans="2:13">
      <c r="B1218" s="43"/>
      <c r="C1218" s="7">
        <v>1.6666666666668899</v>
      </c>
      <c r="D1218" s="7">
        <v>1.67708333333354</v>
      </c>
      <c r="E1218" s="30">
        <v>900</v>
      </c>
      <c r="F1218" s="60">
        <v>542.36</v>
      </c>
      <c r="G1218" s="4">
        <f t="shared" si="227"/>
        <v>357.64</v>
      </c>
      <c r="H1218" s="9">
        <f t="shared" si="228"/>
        <v>8.9410000000000003E-2</v>
      </c>
      <c r="I1218" s="4"/>
      <c r="J1218" s="64">
        <v>540</v>
      </c>
      <c r="K1218" s="31">
        <f t="shared" si="224"/>
        <v>2.3600000000000136</v>
      </c>
      <c r="L1218" s="14">
        <f t="shared" si="225"/>
        <v>5.9000000000000339E-4</v>
      </c>
      <c r="M1218" s="4"/>
    </row>
    <row r="1219" spans="2:13">
      <c r="B1219" s="43"/>
      <c r="C1219" s="7">
        <v>1.67708333333356</v>
      </c>
      <c r="D1219" s="7">
        <v>1.6875000000002101</v>
      </c>
      <c r="E1219" s="30">
        <v>900</v>
      </c>
      <c r="F1219" s="60">
        <v>538.66</v>
      </c>
      <c r="G1219" s="4">
        <f t="shared" si="227"/>
        <v>361.34000000000003</v>
      </c>
      <c r="H1219" s="9">
        <f t="shared" si="228"/>
        <v>9.0335000000000013E-2</v>
      </c>
      <c r="I1219" s="4"/>
      <c r="J1219" s="64">
        <v>540</v>
      </c>
      <c r="K1219" s="31">
        <f t="shared" si="224"/>
        <v>-1.3400000000000318</v>
      </c>
      <c r="L1219" s="14">
        <f t="shared" si="225"/>
        <v>0</v>
      </c>
      <c r="M1219" s="4"/>
    </row>
    <row r="1220" spans="2:13">
      <c r="B1220" s="43"/>
      <c r="C1220" s="7">
        <v>1.68750000000023</v>
      </c>
      <c r="D1220" s="7">
        <v>1.6979166666668799</v>
      </c>
      <c r="E1220" s="30">
        <v>900</v>
      </c>
      <c r="F1220" s="60">
        <v>544.57000000000005</v>
      </c>
      <c r="G1220" s="4">
        <f t="shared" si="227"/>
        <v>355.42999999999995</v>
      </c>
      <c r="H1220" s="9">
        <f t="shared" si="228"/>
        <v>8.8857499999999992E-2</v>
      </c>
      <c r="I1220" s="4"/>
      <c r="J1220" s="64">
        <v>540</v>
      </c>
      <c r="K1220" s="31">
        <f t="shared" si="224"/>
        <v>4.57000000000005</v>
      </c>
      <c r="L1220" s="14">
        <f t="shared" si="225"/>
        <v>1.1425000000000124E-3</v>
      </c>
      <c r="M1220" s="4"/>
    </row>
    <row r="1221" spans="2:13">
      <c r="B1221" s="43"/>
      <c r="C1221" s="7">
        <v>1.6979166666669001</v>
      </c>
      <c r="D1221" s="7">
        <v>1.70833333333355</v>
      </c>
      <c r="E1221" s="30">
        <v>900</v>
      </c>
      <c r="F1221" s="60">
        <v>537.64</v>
      </c>
      <c r="G1221" s="4">
        <f t="shared" si="227"/>
        <v>362.36</v>
      </c>
      <c r="H1221" s="9">
        <f t="shared" si="228"/>
        <v>9.0590000000000004E-2</v>
      </c>
      <c r="I1221" s="4"/>
      <c r="J1221" s="64">
        <v>540</v>
      </c>
      <c r="K1221" s="31">
        <f t="shared" si="224"/>
        <v>-2.3600000000000136</v>
      </c>
      <c r="L1221" s="14">
        <f t="shared" si="225"/>
        <v>0</v>
      </c>
      <c r="M1221" s="4"/>
    </row>
    <row r="1222" spans="2:13">
      <c r="B1222" s="43"/>
      <c r="C1222" s="7">
        <v>1.70833333333356</v>
      </c>
      <c r="D1222" s="7">
        <v>1.71875000000022</v>
      </c>
      <c r="E1222" s="30">
        <v>900</v>
      </c>
      <c r="F1222" s="60">
        <v>540.80999999999995</v>
      </c>
      <c r="G1222" s="4">
        <f t="shared" si="227"/>
        <v>359.19000000000005</v>
      </c>
      <c r="H1222" s="9">
        <f t="shared" si="228"/>
        <v>8.9797500000000016E-2</v>
      </c>
      <c r="I1222" s="4"/>
      <c r="J1222" s="64">
        <v>540</v>
      </c>
      <c r="K1222" s="31">
        <f t="shared" si="224"/>
        <v>0.80999999999994543</v>
      </c>
      <c r="L1222" s="14">
        <f t="shared" si="225"/>
        <v>2.0249999999998636E-4</v>
      </c>
      <c r="M1222" s="4"/>
    </row>
    <row r="1223" spans="2:13">
      <c r="B1223" s="43"/>
      <c r="C1223" s="7">
        <v>1.71875000000023</v>
      </c>
      <c r="D1223" s="7">
        <v>1.7291666666668899</v>
      </c>
      <c r="E1223" s="30">
        <v>900</v>
      </c>
      <c r="F1223" s="60">
        <v>541.45000000000005</v>
      </c>
      <c r="G1223" s="4">
        <f t="shared" si="227"/>
        <v>358.54999999999995</v>
      </c>
      <c r="H1223" s="9">
        <f t="shared" si="228"/>
        <v>8.9637499999999995E-2</v>
      </c>
      <c r="I1223" s="4"/>
      <c r="J1223" s="64">
        <v>540</v>
      </c>
      <c r="K1223" s="31">
        <f t="shared" si="224"/>
        <v>1.4500000000000455</v>
      </c>
      <c r="L1223" s="14">
        <f t="shared" si="225"/>
        <v>3.6250000000001136E-4</v>
      </c>
      <c r="M1223" s="4"/>
    </row>
    <row r="1224" spans="2:13">
      <c r="B1224" s="43"/>
      <c r="C1224" s="7">
        <v>1.7291666666669001</v>
      </c>
      <c r="D1224" s="7">
        <v>1.73958333333356</v>
      </c>
      <c r="E1224" s="30">
        <v>900</v>
      </c>
      <c r="F1224" s="60">
        <v>544.19000000000005</v>
      </c>
      <c r="G1224" s="4">
        <f t="shared" si="227"/>
        <v>355.80999999999995</v>
      </c>
      <c r="H1224" s="9">
        <f t="shared" si="228"/>
        <v>8.895249999999999E-2</v>
      </c>
      <c r="I1224" s="4"/>
      <c r="J1224" s="64">
        <v>540</v>
      </c>
      <c r="K1224" s="31">
        <f t="shared" si="224"/>
        <v>4.1900000000000546</v>
      </c>
      <c r="L1224" s="14">
        <f t="shared" si="225"/>
        <v>1.0475000000000137E-3</v>
      </c>
      <c r="M1224" s="4"/>
    </row>
    <row r="1225" spans="2:13">
      <c r="B1225" s="43"/>
      <c r="C1225" s="7">
        <v>1.73958333333358</v>
      </c>
      <c r="D1225" s="7">
        <v>1.75000000000023</v>
      </c>
      <c r="E1225" s="30">
        <v>900</v>
      </c>
      <c r="F1225" s="60">
        <v>546.80999999999995</v>
      </c>
      <c r="G1225" s="4">
        <f t="shared" si="227"/>
        <v>353.19000000000005</v>
      </c>
      <c r="H1225" s="9">
        <f t="shared" si="228"/>
        <v>8.8297500000000015E-2</v>
      </c>
      <c r="I1225" s="4"/>
      <c r="J1225" s="64">
        <v>540</v>
      </c>
      <c r="K1225" s="31">
        <f t="shared" si="224"/>
        <v>6.8099999999999454</v>
      </c>
      <c r="L1225" s="14">
        <f t="shared" si="225"/>
        <v>1.7024999999999864E-3</v>
      </c>
      <c r="M1225" s="4"/>
    </row>
    <row r="1226" spans="2:13">
      <c r="B1226" s="43"/>
      <c r="C1226" s="7">
        <v>1.75000000000025</v>
      </c>
      <c r="D1226" s="7">
        <v>1.7604166666669001</v>
      </c>
      <c r="E1226" s="30">
        <v>900</v>
      </c>
      <c r="F1226" s="60">
        <v>543.42999999999995</v>
      </c>
      <c r="G1226" s="4">
        <f t="shared" si="227"/>
        <v>356.57000000000005</v>
      </c>
      <c r="H1226" s="9">
        <f t="shared" si="228"/>
        <v>8.9142500000000013E-2</v>
      </c>
      <c r="I1226" s="4"/>
      <c r="J1226" s="64">
        <v>540</v>
      </c>
      <c r="K1226" s="31">
        <f t="shared" si="224"/>
        <v>3.42999999999995</v>
      </c>
      <c r="L1226" s="14">
        <f t="shared" si="225"/>
        <v>8.574999999999875E-4</v>
      </c>
      <c r="M1226" s="4"/>
    </row>
    <row r="1227" spans="2:13">
      <c r="B1227" s="43"/>
      <c r="C1227" s="7">
        <v>1.7604166666669101</v>
      </c>
      <c r="D1227" s="7">
        <v>1.77083333333357</v>
      </c>
      <c r="E1227" s="30">
        <v>900</v>
      </c>
      <c r="F1227" s="60">
        <v>540.87</v>
      </c>
      <c r="G1227" s="4">
        <f t="shared" si="227"/>
        <v>359.13</v>
      </c>
      <c r="H1227" s="9">
        <f t="shared" si="228"/>
        <v>8.9782500000000001E-2</v>
      </c>
      <c r="I1227" s="4"/>
      <c r="J1227" s="64">
        <v>540</v>
      </c>
      <c r="K1227" s="31">
        <f t="shared" ref="K1227:K1289" si="231">F1227-J1227</f>
        <v>0.87000000000000455</v>
      </c>
      <c r="L1227" s="14">
        <f t="shared" si="225"/>
        <v>2.1750000000000114E-4</v>
      </c>
      <c r="M1227" s="4"/>
    </row>
    <row r="1228" spans="2:13">
      <c r="B1228" s="43"/>
      <c r="C1228" s="7">
        <v>1.77083333333358</v>
      </c>
      <c r="D1228" s="7">
        <v>1.78125000000024</v>
      </c>
      <c r="E1228" s="30">
        <v>900</v>
      </c>
      <c r="F1228" s="60">
        <v>540.57000000000005</v>
      </c>
      <c r="G1228" s="4">
        <f t="shared" si="227"/>
        <v>359.42999999999995</v>
      </c>
      <c r="H1228" s="9">
        <f t="shared" si="228"/>
        <v>8.9857499999999993E-2</v>
      </c>
      <c r="I1228" s="4"/>
      <c r="J1228" s="64">
        <v>540</v>
      </c>
      <c r="K1228" s="31">
        <f t="shared" si="231"/>
        <v>0.57000000000005002</v>
      </c>
      <c r="L1228" s="14">
        <f t="shared" si="225"/>
        <v>1.4250000000001252E-4</v>
      </c>
      <c r="M1228" s="4"/>
    </row>
    <row r="1229" spans="2:13">
      <c r="B1229" s="43"/>
      <c r="C1229" s="7">
        <v>1.78125000000025</v>
      </c>
      <c r="D1229" s="7">
        <v>1.7916666666669101</v>
      </c>
      <c r="E1229" s="30">
        <v>900</v>
      </c>
      <c r="F1229" s="60">
        <v>543.34</v>
      </c>
      <c r="G1229" s="4">
        <f t="shared" si="227"/>
        <v>356.65999999999997</v>
      </c>
      <c r="H1229" s="9">
        <f t="shared" si="228"/>
        <v>8.9164999999999994E-2</v>
      </c>
      <c r="I1229" s="4"/>
      <c r="J1229" s="64">
        <v>540</v>
      </c>
      <c r="K1229" s="31">
        <f t="shared" si="231"/>
        <v>3.3400000000000318</v>
      </c>
      <c r="L1229" s="14">
        <f t="shared" si="225"/>
        <v>8.3500000000000794E-4</v>
      </c>
      <c r="M1229" s="4"/>
    </row>
    <row r="1230" spans="2:13">
      <c r="B1230" s="43"/>
      <c r="C1230" s="7">
        <v>1.7916666666669201</v>
      </c>
      <c r="D1230" s="7">
        <v>1.80208333333358</v>
      </c>
      <c r="E1230" s="30">
        <v>900</v>
      </c>
      <c r="F1230" s="60">
        <v>544.09</v>
      </c>
      <c r="G1230" s="4">
        <f t="shared" si="227"/>
        <v>355.90999999999997</v>
      </c>
      <c r="H1230" s="9">
        <f t="shared" si="228"/>
        <v>8.8977499999999987E-2</v>
      </c>
      <c r="I1230" s="4"/>
      <c r="J1230" s="64">
        <v>540</v>
      </c>
      <c r="K1230" s="31">
        <f t="shared" si="231"/>
        <v>4.0900000000000318</v>
      </c>
      <c r="L1230" s="14">
        <f t="shared" si="225"/>
        <v>1.022500000000008E-3</v>
      </c>
      <c r="M1230" s="4"/>
    </row>
    <row r="1231" spans="2:13">
      <c r="B1231" s="43"/>
      <c r="C1231" s="7">
        <v>1.8020833333335999</v>
      </c>
      <c r="D1231" s="7">
        <v>1.81250000000025</v>
      </c>
      <c r="E1231" s="30">
        <v>900</v>
      </c>
      <c r="F1231" s="60">
        <v>541.20000000000005</v>
      </c>
      <c r="G1231" s="4">
        <f t="shared" si="227"/>
        <v>358.79999999999995</v>
      </c>
      <c r="H1231" s="9">
        <f t="shared" si="228"/>
        <v>8.9699999999999988E-2</v>
      </c>
      <c r="I1231" s="4"/>
      <c r="J1231" s="64">
        <v>540</v>
      </c>
      <c r="K1231" s="31">
        <f t="shared" si="231"/>
        <v>1.2000000000000455</v>
      </c>
      <c r="L1231" s="14">
        <f t="shared" si="225"/>
        <v>3.0000000000001136E-4</v>
      </c>
      <c r="M1231" s="4"/>
    </row>
    <row r="1232" spans="2:13">
      <c r="B1232" s="43"/>
      <c r="C1232" s="7">
        <v>1.81250000000027</v>
      </c>
      <c r="D1232" s="7">
        <v>1.8229166666669201</v>
      </c>
      <c r="E1232" s="30">
        <v>900</v>
      </c>
      <c r="F1232" s="60">
        <v>541.87</v>
      </c>
      <c r="G1232" s="4">
        <f t="shared" si="227"/>
        <v>358.13</v>
      </c>
      <c r="H1232" s="9">
        <f t="shared" si="228"/>
        <v>8.9532500000000001E-2</v>
      </c>
      <c r="I1232" s="4"/>
      <c r="J1232" s="64">
        <v>540</v>
      </c>
      <c r="K1232" s="31">
        <f t="shared" si="231"/>
        <v>1.8700000000000045</v>
      </c>
      <c r="L1232" s="14">
        <f t="shared" si="225"/>
        <v>4.6750000000000112E-4</v>
      </c>
      <c r="M1232" s="4"/>
    </row>
    <row r="1233" spans="2:19">
      <c r="B1233" s="43"/>
      <c r="C1233" s="7">
        <v>1.8229166666669401</v>
      </c>
      <c r="D1233" s="7">
        <v>1.8333333333335899</v>
      </c>
      <c r="E1233" s="30">
        <v>900</v>
      </c>
      <c r="F1233" s="60">
        <v>544.62</v>
      </c>
      <c r="G1233" s="4">
        <f t="shared" si="227"/>
        <v>355.38</v>
      </c>
      <c r="H1233" s="9">
        <f t="shared" si="228"/>
        <v>8.8844999999999993E-2</v>
      </c>
      <c r="I1233" s="4"/>
      <c r="J1233" s="64">
        <v>540</v>
      </c>
      <c r="K1233" s="31">
        <f t="shared" si="231"/>
        <v>4.6200000000000045</v>
      </c>
      <c r="L1233" s="14">
        <f t="shared" si="225"/>
        <v>1.1550000000000011E-3</v>
      </c>
      <c r="M1233" s="4"/>
    </row>
    <row r="1234" spans="2:19">
      <c r="B1234" s="43"/>
      <c r="C1234" s="7">
        <v>1.8333333333336099</v>
      </c>
      <c r="D1234" s="7">
        <v>1.84375000000026</v>
      </c>
      <c r="E1234" s="30">
        <v>900</v>
      </c>
      <c r="F1234" s="60">
        <v>544.73</v>
      </c>
      <c r="G1234" s="4">
        <f t="shared" si="227"/>
        <v>355.27</v>
      </c>
      <c r="H1234" s="9">
        <f t="shared" si="228"/>
        <v>8.8817499999999994E-2</v>
      </c>
      <c r="I1234" s="4"/>
      <c r="J1234" s="64">
        <v>540</v>
      </c>
      <c r="K1234" s="31">
        <f t="shared" si="231"/>
        <v>4.7300000000000182</v>
      </c>
      <c r="L1234" s="14">
        <f t="shared" si="225"/>
        <v>1.1825000000000045E-3</v>
      </c>
      <c r="M1234" s="4"/>
    </row>
    <row r="1235" spans="2:19">
      <c r="B1235" s="43"/>
      <c r="C1235" s="7">
        <v>1.84375000000028</v>
      </c>
      <c r="D1235" s="7">
        <v>1.8541666666669301</v>
      </c>
      <c r="E1235" s="30">
        <v>900</v>
      </c>
      <c r="F1235" s="60">
        <v>543.29999999999995</v>
      </c>
      <c r="G1235" s="4">
        <f t="shared" si="227"/>
        <v>356.70000000000005</v>
      </c>
      <c r="H1235" s="9">
        <f t="shared" si="228"/>
        <v>8.9175000000000018E-2</v>
      </c>
      <c r="I1235" s="4"/>
      <c r="J1235" s="64">
        <v>540</v>
      </c>
      <c r="K1235" s="31">
        <f t="shared" si="231"/>
        <v>3.2999999999999545</v>
      </c>
      <c r="L1235" s="14">
        <f t="shared" si="225"/>
        <v>8.2499999999998861E-4</v>
      </c>
      <c r="M1235" s="4"/>
    </row>
    <row r="1236" spans="2:19">
      <c r="B1236" s="43"/>
      <c r="C1236" s="7">
        <v>1.8541666666669501</v>
      </c>
      <c r="D1236" s="7">
        <v>1.8645833333335999</v>
      </c>
      <c r="E1236" s="30">
        <v>900</v>
      </c>
      <c r="F1236" s="60">
        <v>544.13</v>
      </c>
      <c r="G1236" s="4">
        <f t="shared" si="227"/>
        <v>355.87</v>
      </c>
      <c r="H1236" s="9">
        <f t="shared" si="228"/>
        <v>8.8967500000000005E-2</v>
      </c>
      <c r="I1236" s="4"/>
      <c r="J1236" s="64">
        <v>540</v>
      </c>
      <c r="K1236" s="31">
        <f t="shared" si="231"/>
        <v>4.1299999999999955</v>
      </c>
      <c r="L1236" s="14">
        <f t="shared" si="225"/>
        <v>1.0324999999999989E-3</v>
      </c>
      <c r="M1236" s="4"/>
    </row>
    <row r="1237" spans="2:19">
      <c r="B1237" s="43"/>
      <c r="C1237" s="7">
        <v>1.8645833333336199</v>
      </c>
      <c r="D1237" s="7">
        <v>1.87500000000027</v>
      </c>
      <c r="E1237" s="30">
        <v>900</v>
      </c>
      <c r="F1237" s="60">
        <v>541.86</v>
      </c>
      <c r="G1237" s="4">
        <f t="shared" si="227"/>
        <v>358.14</v>
      </c>
      <c r="H1237" s="9">
        <f t="shared" si="228"/>
        <v>8.9535000000000003E-2</v>
      </c>
      <c r="I1237" s="4"/>
      <c r="J1237" s="64">
        <v>540</v>
      </c>
      <c r="K1237" s="31">
        <f t="shared" si="231"/>
        <v>1.8600000000000136</v>
      </c>
      <c r="L1237" s="14">
        <f t="shared" si="225"/>
        <v>4.6500000000000339E-4</v>
      </c>
      <c r="M1237" s="4"/>
    </row>
    <row r="1238" spans="2:19">
      <c r="B1238" s="43"/>
      <c r="C1238" s="7">
        <v>1.87500000000029</v>
      </c>
      <c r="D1238" s="7">
        <v>1.8854166666669401</v>
      </c>
      <c r="E1238" s="30">
        <v>900</v>
      </c>
      <c r="F1238" s="60">
        <v>545.16999999999996</v>
      </c>
      <c r="G1238" s="4">
        <f t="shared" si="227"/>
        <v>354.83000000000004</v>
      </c>
      <c r="H1238" s="9">
        <f t="shared" si="228"/>
        <v>8.8707500000000009E-2</v>
      </c>
      <c r="I1238" s="4"/>
      <c r="J1238" s="64">
        <v>540</v>
      </c>
      <c r="K1238" s="31">
        <f t="shared" si="231"/>
        <v>5.1699999999999591</v>
      </c>
      <c r="L1238" s="14">
        <f t="shared" si="225"/>
        <v>1.2924999999999898E-3</v>
      </c>
      <c r="M1238" s="4"/>
    </row>
    <row r="1239" spans="2:19">
      <c r="B1239" s="43"/>
      <c r="C1239" s="7">
        <v>1.8854166666669601</v>
      </c>
      <c r="D1239" s="7">
        <v>1.8958333333336099</v>
      </c>
      <c r="E1239" s="30">
        <v>900</v>
      </c>
      <c r="F1239" s="60">
        <v>544.97</v>
      </c>
      <c r="G1239" s="4">
        <f t="shared" si="227"/>
        <v>355.03</v>
      </c>
      <c r="H1239" s="9">
        <f t="shared" si="228"/>
        <v>8.8757499999999989E-2</v>
      </c>
      <c r="I1239" s="4"/>
      <c r="J1239" s="64">
        <v>540</v>
      </c>
      <c r="K1239" s="31">
        <f t="shared" si="231"/>
        <v>4.9700000000000273</v>
      </c>
      <c r="L1239" s="14">
        <f t="shared" si="225"/>
        <v>1.2425000000000068E-3</v>
      </c>
      <c r="M1239" s="4"/>
    </row>
    <row r="1240" spans="2:19">
      <c r="B1240" s="43"/>
      <c r="C1240" s="7">
        <v>1.8958333333336299</v>
      </c>
      <c r="D1240" s="7">
        <v>1.90625000000028</v>
      </c>
      <c r="E1240" s="30">
        <v>900</v>
      </c>
      <c r="F1240" s="60">
        <v>547.63</v>
      </c>
      <c r="G1240" s="4">
        <f t="shared" si="227"/>
        <v>352.37</v>
      </c>
      <c r="H1240" s="9">
        <f t="shared" si="228"/>
        <v>8.8092500000000004E-2</v>
      </c>
      <c r="I1240" s="4"/>
      <c r="J1240" s="64">
        <v>540</v>
      </c>
      <c r="K1240" s="31">
        <f t="shared" si="231"/>
        <v>7.6299999999999955</v>
      </c>
      <c r="L1240" s="14">
        <f t="shared" si="225"/>
        <v>1.9074999999999988E-3</v>
      </c>
      <c r="M1240" s="4"/>
    </row>
    <row r="1241" spans="2:19">
      <c r="B1241" s="43"/>
      <c r="C1241" s="7">
        <v>1.9062500000003</v>
      </c>
      <c r="D1241" s="7">
        <v>1.9166666666669501</v>
      </c>
      <c r="E1241" s="30">
        <v>900</v>
      </c>
      <c r="F1241" s="60">
        <v>546.14</v>
      </c>
      <c r="G1241" s="4">
        <f t="shared" si="227"/>
        <v>353.86</v>
      </c>
      <c r="H1241" s="9">
        <f t="shared" si="228"/>
        <v>8.8465000000000002E-2</v>
      </c>
      <c r="I1241" s="4"/>
      <c r="J1241" s="64">
        <v>540</v>
      </c>
      <c r="K1241" s="31">
        <f t="shared" si="231"/>
        <v>6.1399999999999864</v>
      </c>
      <c r="L1241" s="14">
        <f t="shared" ref="L1241:L1303" si="232">IF(K1241/4000&gt;0,K1241/4000,0)</f>
        <v>1.5349999999999967E-3</v>
      </c>
      <c r="M1241" s="4"/>
    </row>
    <row r="1242" spans="2:19">
      <c r="B1242" s="43"/>
      <c r="C1242" s="7">
        <v>1.9166666666669701</v>
      </c>
      <c r="D1242" s="7">
        <v>1.9270833333336199</v>
      </c>
      <c r="E1242" s="30">
        <v>900</v>
      </c>
      <c r="F1242" s="60">
        <v>542.42999999999995</v>
      </c>
      <c r="G1242" s="4">
        <f t="shared" si="227"/>
        <v>357.57000000000005</v>
      </c>
      <c r="H1242" s="9">
        <f t="shared" si="228"/>
        <v>8.9392500000000014E-2</v>
      </c>
      <c r="I1242" s="4"/>
      <c r="J1242" s="64">
        <v>540</v>
      </c>
      <c r="K1242" s="31">
        <f t="shared" si="231"/>
        <v>2.42999999999995</v>
      </c>
      <c r="L1242" s="14">
        <f t="shared" si="232"/>
        <v>6.074999999999875E-4</v>
      </c>
      <c r="M1242" s="4"/>
    </row>
    <row r="1243" spans="2:19">
      <c r="B1243" s="43"/>
      <c r="C1243" s="7">
        <v>1.9270833333336399</v>
      </c>
      <c r="D1243" s="7">
        <v>1.93750000000029</v>
      </c>
      <c r="E1243" s="30">
        <v>900</v>
      </c>
      <c r="F1243" s="60">
        <v>546.72</v>
      </c>
      <c r="G1243" s="4">
        <f t="shared" si="227"/>
        <v>353.28</v>
      </c>
      <c r="H1243" s="9">
        <f t="shared" si="228"/>
        <v>8.8319999999999996E-2</v>
      </c>
      <c r="I1243" s="4"/>
      <c r="J1243" s="64">
        <v>540</v>
      </c>
      <c r="K1243" s="31">
        <f t="shared" si="231"/>
        <v>6.7200000000000273</v>
      </c>
      <c r="L1243" s="14">
        <f t="shared" si="232"/>
        <v>1.6800000000000068E-3</v>
      </c>
      <c r="M1243" s="4"/>
      <c r="S1243" s="60"/>
    </row>
    <row r="1244" spans="2:19">
      <c r="B1244" s="43"/>
      <c r="C1244" s="7">
        <v>1.93750000000031</v>
      </c>
      <c r="D1244" s="7">
        <v>1.9479166666669601</v>
      </c>
      <c r="E1244" s="30">
        <v>900</v>
      </c>
      <c r="F1244" s="80">
        <v>542.928</v>
      </c>
      <c r="G1244" s="4">
        <f t="shared" si="227"/>
        <v>357.072</v>
      </c>
      <c r="H1244" s="9">
        <f t="shared" si="228"/>
        <v>8.9268E-2</v>
      </c>
      <c r="I1244" s="4"/>
      <c r="J1244" s="64">
        <v>540</v>
      </c>
      <c r="K1244" s="31">
        <f t="shared" si="231"/>
        <v>2.9279999999999973</v>
      </c>
      <c r="L1244" s="14">
        <f t="shared" si="232"/>
        <v>7.3199999999999936E-4</v>
      </c>
      <c r="M1244" s="4"/>
      <c r="S1244" s="60"/>
    </row>
    <row r="1245" spans="2:19">
      <c r="B1245" s="43"/>
      <c r="C1245" s="7">
        <v>1.94791666666698</v>
      </c>
      <c r="D1245" s="7">
        <v>1.9583333333336299</v>
      </c>
      <c r="E1245" s="30">
        <v>900</v>
      </c>
      <c r="F1245" s="80">
        <v>541.32799999999997</v>
      </c>
      <c r="G1245" s="4">
        <f t="shared" si="227"/>
        <v>358.67200000000003</v>
      </c>
      <c r="H1245" s="9">
        <f t="shared" si="228"/>
        <v>8.9668000000000012E-2</v>
      </c>
      <c r="I1245" s="4"/>
      <c r="J1245" s="64">
        <v>540</v>
      </c>
      <c r="K1245" s="31">
        <f t="shared" si="231"/>
        <v>1.3279999999999745</v>
      </c>
      <c r="L1245" s="14">
        <f t="shared" si="232"/>
        <v>3.3199999999999365E-4</v>
      </c>
      <c r="M1245" s="4"/>
      <c r="S1245" s="60"/>
    </row>
    <row r="1246" spans="2:19">
      <c r="B1246" s="43"/>
      <c r="C1246" s="7">
        <v>1.9583333333336499</v>
      </c>
      <c r="D1246" s="7">
        <v>1.9687500000003</v>
      </c>
      <c r="E1246" s="30">
        <v>900</v>
      </c>
      <c r="F1246" s="80">
        <v>543.36400000000003</v>
      </c>
      <c r="G1246" s="4">
        <f t="shared" si="227"/>
        <v>356.63599999999997</v>
      </c>
      <c r="H1246" s="9">
        <f t="shared" si="228"/>
        <v>8.9158999999999988E-2</v>
      </c>
      <c r="I1246" s="4"/>
      <c r="J1246" s="64">
        <v>540</v>
      </c>
      <c r="K1246" s="31">
        <f t="shared" si="231"/>
        <v>3.3640000000000327</v>
      </c>
      <c r="L1246" s="14">
        <f t="shared" si="232"/>
        <v>8.4100000000000819E-4</v>
      </c>
      <c r="M1246" s="4"/>
      <c r="S1246" s="60"/>
    </row>
    <row r="1247" spans="2:19">
      <c r="B1247" s="43"/>
      <c r="C1247" s="7">
        <v>1.96875000000032</v>
      </c>
      <c r="D1247" s="7">
        <v>1.9791666666669701</v>
      </c>
      <c r="E1247" s="30">
        <v>900</v>
      </c>
      <c r="F1247" s="80">
        <v>543.79999999999995</v>
      </c>
      <c r="G1247" s="4">
        <f t="shared" si="227"/>
        <v>356.20000000000005</v>
      </c>
      <c r="H1247" s="9">
        <f t="shared" si="228"/>
        <v>8.9050000000000018E-2</v>
      </c>
      <c r="I1247" s="4"/>
      <c r="J1247" s="64">
        <v>540</v>
      </c>
      <c r="K1247" s="31">
        <f t="shared" si="231"/>
        <v>3.7999999999999545</v>
      </c>
      <c r="L1247" s="14">
        <f t="shared" si="232"/>
        <v>9.4999999999998861E-4</v>
      </c>
      <c r="M1247" s="4"/>
      <c r="S1247" s="60"/>
    </row>
    <row r="1248" spans="2:19">
      <c r="B1248" s="43"/>
      <c r="C1248" s="7">
        <v>1.97916666666699</v>
      </c>
      <c r="D1248" s="7">
        <v>1.9895833333336399</v>
      </c>
      <c r="E1248" s="30">
        <v>900</v>
      </c>
      <c r="F1248" s="80">
        <v>542.346</v>
      </c>
      <c r="G1248" s="4">
        <f t="shared" si="227"/>
        <v>357.654</v>
      </c>
      <c r="H1248" s="9">
        <f t="shared" si="228"/>
        <v>8.9413499999999993E-2</v>
      </c>
      <c r="I1248" s="4"/>
      <c r="J1248" s="64">
        <v>540</v>
      </c>
      <c r="K1248" s="31">
        <f t="shared" si="231"/>
        <v>2.3460000000000036</v>
      </c>
      <c r="L1248" s="14">
        <f t="shared" si="232"/>
        <v>5.8650000000000087E-4</v>
      </c>
      <c r="M1248" s="4"/>
      <c r="S1248" s="61"/>
    </row>
    <row r="1249" spans="2:13">
      <c r="B1249" s="43"/>
      <c r="C1249" s="7">
        <v>1.9895833333336601</v>
      </c>
      <c r="D1249" s="35">
        <v>2.00000000000031</v>
      </c>
      <c r="E1249" s="30">
        <v>900</v>
      </c>
      <c r="F1249" s="81">
        <v>543.50900000000001</v>
      </c>
      <c r="G1249" s="4">
        <f t="shared" si="227"/>
        <v>356.49099999999999</v>
      </c>
      <c r="H1249" s="9">
        <f t="shared" si="228"/>
        <v>8.9122750000000001E-2</v>
      </c>
      <c r="I1249" s="4"/>
      <c r="J1249" s="64">
        <v>540</v>
      </c>
      <c r="K1249" s="31">
        <f t="shared" si="231"/>
        <v>3.5090000000000146</v>
      </c>
      <c r="L1249" s="14">
        <f t="shared" si="232"/>
        <v>8.7725000000000368E-4</v>
      </c>
      <c r="M1249" s="4"/>
    </row>
    <row r="1250" spans="2:13">
      <c r="B1250" s="43"/>
      <c r="C1250" s="43"/>
      <c r="D1250" s="43"/>
      <c r="E1250" s="4"/>
      <c r="F1250" s="4"/>
      <c r="G1250" s="4"/>
      <c r="H1250" s="9"/>
      <c r="I1250" s="9">
        <f>SUM(H1195:H1249)</f>
        <v>4.7817737499999984</v>
      </c>
      <c r="J1250" s="29"/>
      <c r="K1250" s="31"/>
      <c r="L1250" s="14"/>
      <c r="M1250" s="4">
        <f>SUM(L1195:L1249)</f>
        <v>2.7623750000000034E-2</v>
      </c>
    </row>
    <row r="1251" spans="2:13">
      <c r="B1251" s="34">
        <v>46048</v>
      </c>
      <c r="C1251" s="7">
        <v>1</v>
      </c>
      <c r="D1251" s="7">
        <v>1.0104166666666701</v>
      </c>
      <c r="E1251" s="30">
        <v>900</v>
      </c>
      <c r="F1251" s="60">
        <v>547.55999999999995</v>
      </c>
      <c r="G1251" s="4">
        <f t="shared" si="227"/>
        <v>352.44000000000005</v>
      </c>
      <c r="H1251" s="9">
        <f t="shared" si="228"/>
        <v>8.8110000000000008E-2</v>
      </c>
      <c r="I1251" s="4"/>
      <c r="J1251" s="65">
        <v>540</v>
      </c>
      <c r="K1251" s="31">
        <f t="shared" si="231"/>
        <v>7.5599999999999454</v>
      </c>
      <c r="L1251" s="14"/>
      <c r="M1251" s="4"/>
    </row>
    <row r="1252" spans="2:13">
      <c r="B1252" s="43"/>
      <c r="C1252" s="7">
        <v>1.0104166666666701</v>
      </c>
      <c r="D1252" s="7">
        <v>1.0208333333333399</v>
      </c>
      <c r="E1252" s="30">
        <v>900</v>
      </c>
      <c r="F1252" s="60">
        <v>545.02</v>
      </c>
      <c r="G1252" s="4">
        <f t="shared" si="227"/>
        <v>354.98</v>
      </c>
      <c r="H1252" s="9">
        <f t="shared" si="228"/>
        <v>8.8745000000000004E-2</v>
      </c>
      <c r="I1252" s="4"/>
      <c r="J1252" s="65">
        <v>540</v>
      </c>
      <c r="K1252" s="31">
        <f t="shared" si="231"/>
        <v>5.0199999999999818</v>
      </c>
      <c r="L1252" s="14">
        <f t="shared" si="232"/>
        <v>1.2549999999999955E-3</v>
      </c>
      <c r="M1252" s="4"/>
    </row>
    <row r="1253" spans="2:13">
      <c r="B1253" s="43"/>
      <c r="C1253" s="7">
        <v>1.0208333333333399</v>
      </c>
      <c r="D1253" s="7">
        <v>1.03125000000001</v>
      </c>
      <c r="E1253" s="30">
        <v>900</v>
      </c>
      <c r="F1253" s="60">
        <v>544.66</v>
      </c>
      <c r="G1253" s="4">
        <f t="shared" si="227"/>
        <v>355.34000000000003</v>
      </c>
      <c r="H1253" s="9">
        <f t="shared" si="228"/>
        <v>8.8835000000000011E-2</v>
      </c>
      <c r="I1253" s="4"/>
      <c r="J1253" s="65">
        <v>540</v>
      </c>
      <c r="K1253" s="31">
        <f t="shared" si="231"/>
        <v>4.6599999999999682</v>
      </c>
      <c r="L1253" s="14">
        <f t="shared" si="232"/>
        <v>1.164999999999992E-3</v>
      </c>
      <c r="M1253" s="4"/>
    </row>
    <row r="1254" spans="2:13">
      <c r="B1254" s="43"/>
      <c r="C1254" s="7">
        <v>1.03125000000001</v>
      </c>
      <c r="D1254" s="7">
        <v>1.0416666666666801</v>
      </c>
      <c r="E1254" s="30">
        <v>900</v>
      </c>
      <c r="F1254" s="60">
        <v>544.65</v>
      </c>
      <c r="G1254" s="4">
        <f t="shared" ref="G1254:G1316" si="233">E1254-F1254</f>
        <v>355.35</v>
      </c>
      <c r="H1254" s="9">
        <f t="shared" ref="H1254:H1316" si="234">G1254/4000</f>
        <v>8.88375E-2</v>
      </c>
      <c r="I1254" s="4"/>
      <c r="J1254" s="65">
        <v>540</v>
      </c>
      <c r="K1254" s="31">
        <f t="shared" si="231"/>
        <v>4.6499999999999773</v>
      </c>
      <c r="L1254" s="14">
        <f t="shared" si="232"/>
        <v>1.1624999999999943E-3</v>
      </c>
      <c r="M1254" s="4"/>
    </row>
    <row r="1255" spans="2:13">
      <c r="B1255" s="43"/>
      <c r="C1255" s="7">
        <v>1.0416666666666801</v>
      </c>
      <c r="D1255" s="7">
        <v>1.0520833333333499</v>
      </c>
      <c r="E1255" s="30">
        <v>900</v>
      </c>
      <c r="F1255" s="60">
        <v>547.95000000000005</v>
      </c>
      <c r="G1255" s="4">
        <f t="shared" si="233"/>
        <v>352.04999999999995</v>
      </c>
      <c r="H1255" s="9">
        <f t="shared" si="234"/>
        <v>8.8012499999999994E-2</v>
      </c>
      <c r="I1255" s="4"/>
      <c r="J1255" s="64">
        <v>540</v>
      </c>
      <c r="K1255" s="31">
        <f t="shared" si="231"/>
        <v>7.9500000000000455</v>
      </c>
      <c r="L1255" s="14">
        <f t="shared" si="232"/>
        <v>1.9875000000000114E-3</v>
      </c>
      <c r="M1255" s="4"/>
    </row>
    <row r="1256" spans="2:13">
      <c r="B1256" s="43"/>
      <c r="C1256" s="7">
        <v>1.0520833333333499</v>
      </c>
      <c r="D1256" s="7">
        <v>1.06250000000002</v>
      </c>
      <c r="E1256" s="30">
        <v>900</v>
      </c>
      <c r="F1256" s="60">
        <v>548.77</v>
      </c>
      <c r="G1256" s="4">
        <f t="shared" si="233"/>
        <v>351.23</v>
      </c>
      <c r="H1256" s="9">
        <f t="shared" si="234"/>
        <v>8.7807500000000011E-2</v>
      </c>
      <c r="I1256" s="4"/>
      <c r="J1256" s="64">
        <v>540</v>
      </c>
      <c r="K1256" s="31">
        <f t="shared" si="231"/>
        <v>8.7699999999999818</v>
      </c>
      <c r="L1256" s="14">
        <f t="shared" si="232"/>
        <v>2.1924999999999957E-3</v>
      </c>
      <c r="M1256" s="4"/>
    </row>
    <row r="1257" spans="2:13">
      <c r="B1257" s="43"/>
      <c r="C1257" s="7">
        <v>1.06250000000002</v>
      </c>
      <c r="D1257" s="7">
        <v>1.0729166666666901</v>
      </c>
      <c r="E1257" s="30">
        <v>900</v>
      </c>
      <c r="F1257" s="60">
        <v>548.61</v>
      </c>
      <c r="G1257" s="4">
        <f t="shared" si="233"/>
        <v>351.39</v>
      </c>
      <c r="H1257" s="9">
        <f t="shared" si="234"/>
        <v>8.7847499999999995E-2</v>
      </c>
      <c r="I1257" s="4"/>
      <c r="J1257" s="64">
        <v>540</v>
      </c>
      <c r="K1257" s="31">
        <f t="shared" si="231"/>
        <v>8.6100000000000136</v>
      </c>
      <c r="L1257" s="14">
        <f t="shared" si="232"/>
        <v>2.1525000000000034E-3</v>
      </c>
      <c r="M1257" s="4"/>
    </row>
    <row r="1258" spans="2:13">
      <c r="B1258" s="43"/>
      <c r="C1258" s="7">
        <v>1.0729166666666901</v>
      </c>
      <c r="D1258" s="7">
        <v>1.0833333333333599</v>
      </c>
      <c r="E1258" s="30">
        <v>900</v>
      </c>
      <c r="F1258" s="60">
        <v>547.66999999999996</v>
      </c>
      <c r="G1258" s="4">
        <f t="shared" si="233"/>
        <v>352.33000000000004</v>
      </c>
      <c r="H1258" s="9">
        <f t="shared" si="234"/>
        <v>8.8082500000000008E-2</v>
      </c>
      <c r="I1258" s="4"/>
      <c r="J1258" s="64">
        <v>540</v>
      </c>
      <c r="K1258" s="31">
        <f t="shared" si="231"/>
        <v>7.6699999999999591</v>
      </c>
      <c r="L1258" s="14">
        <f t="shared" si="232"/>
        <v>1.9174999999999897E-3</v>
      </c>
      <c r="M1258" s="4"/>
    </row>
    <row r="1259" spans="2:13">
      <c r="B1259" s="43"/>
      <c r="C1259" s="7">
        <v>1.0833333333333599</v>
      </c>
      <c r="D1259" s="7">
        <v>1.09375000000003</v>
      </c>
      <c r="E1259" s="30">
        <v>900</v>
      </c>
      <c r="F1259" s="60">
        <v>546.36</v>
      </c>
      <c r="G1259" s="4">
        <f t="shared" si="233"/>
        <v>353.64</v>
      </c>
      <c r="H1259" s="9">
        <f t="shared" si="234"/>
        <v>8.8410000000000002E-2</v>
      </c>
      <c r="I1259" s="4"/>
      <c r="J1259" s="64">
        <v>540</v>
      </c>
      <c r="K1259" s="31">
        <f t="shared" si="231"/>
        <v>6.3600000000000136</v>
      </c>
      <c r="L1259" s="14">
        <f t="shared" si="232"/>
        <v>1.5900000000000033E-3</v>
      </c>
      <c r="M1259" s="4"/>
    </row>
    <row r="1260" spans="2:13">
      <c r="B1260" s="43"/>
      <c r="C1260" s="7">
        <v>1.09375000000003</v>
      </c>
      <c r="D1260" s="7">
        <v>1.1041666666667</v>
      </c>
      <c r="E1260" s="30">
        <v>900</v>
      </c>
      <c r="F1260" s="60">
        <v>547.66999999999996</v>
      </c>
      <c r="G1260" s="4">
        <f t="shared" si="233"/>
        <v>352.33000000000004</v>
      </c>
      <c r="H1260" s="9">
        <f t="shared" si="234"/>
        <v>8.8082500000000008E-2</v>
      </c>
      <c r="I1260" s="4"/>
      <c r="J1260" s="64">
        <v>540</v>
      </c>
      <c r="K1260" s="31">
        <f t="shared" si="231"/>
        <v>7.6699999999999591</v>
      </c>
      <c r="L1260" s="14">
        <f t="shared" si="232"/>
        <v>1.9174999999999897E-3</v>
      </c>
      <c r="M1260" s="4"/>
    </row>
    <row r="1261" spans="2:13">
      <c r="B1261" s="43"/>
      <c r="C1261" s="7">
        <v>1.1041666666667</v>
      </c>
      <c r="D1261" s="7">
        <v>1.1145833333333699</v>
      </c>
      <c r="E1261" s="30">
        <v>900</v>
      </c>
      <c r="F1261" s="60">
        <v>544.87</v>
      </c>
      <c r="G1261" s="4">
        <f t="shared" si="233"/>
        <v>355.13</v>
      </c>
      <c r="H1261" s="9">
        <f t="shared" si="234"/>
        <v>8.87825E-2</v>
      </c>
      <c r="I1261" s="4"/>
      <c r="J1261" s="64">
        <v>540</v>
      </c>
      <c r="K1261" s="31">
        <f t="shared" si="231"/>
        <v>4.8700000000000045</v>
      </c>
      <c r="L1261" s="14">
        <f t="shared" si="232"/>
        <v>1.2175000000000011E-3</v>
      </c>
      <c r="M1261" s="4"/>
    </row>
    <row r="1262" spans="2:13">
      <c r="B1262" s="43"/>
      <c r="C1262" s="7">
        <v>1.1145833333333699</v>
      </c>
      <c r="D1262" s="7">
        <v>1.12500000000004</v>
      </c>
      <c r="E1262" s="30">
        <v>900</v>
      </c>
      <c r="F1262" s="60">
        <v>541.01</v>
      </c>
      <c r="G1262" s="4">
        <f t="shared" si="233"/>
        <v>358.99</v>
      </c>
      <c r="H1262" s="9">
        <f t="shared" si="234"/>
        <v>8.9747500000000008E-2</v>
      </c>
      <c r="I1262" s="4"/>
      <c r="J1262" s="64">
        <v>540</v>
      </c>
      <c r="K1262" s="31">
        <f t="shared" si="231"/>
        <v>1.0099999999999909</v>
      </c>
      <c r="L1262" s="14">
        <f t="shared" si="232"/>
        <v>2.5249999999999773E-4</v>
      </c>
      <c r="M1262" s="4"/>
    </row>
    <row r="1263" spans="2:13">
      <c r="B1263" s="43"/>
      <c r="C1263" s="7">
        <v>1.12500000000004</v>
      </c>
      <c r="D1263" s="7">
        <v>1.13541666666671</v>
      </c>
      <c r="E1263" s="30">
        <v>900</v>
      </c>
      <c r="F1263" s="60">
        <v>543.03</v>
      </c>
      <c r="G1263" s="4">
        <f t="shared" si="233"/>
        <v>356.97</v>
      </c>
      <c r="H1263" s="9">
        <f t="shared" si="234"/>
        <v>8.9242500000000002E-2</v>
      </c>
      <c r="I1263" s="4"/>
      <c r="J1263" s="64">
        <v>540</v>
      </c>
      <c r="K1263" s="31">
        <f t="shared" si="231"/>
        <v>3.0299999999999727</v>
      </c>
      <c r="L1263" s="14">
        <f t="shared" si="232"/>
        <v>7.574999999999932E-4</v>
      </c>
      <c r="M1263" s="4"/>
    </row>
    <row r="1264" spans="2:13">
      <c r="B1264" s="43"/>
      <c r="C1264" s="7">
        <v>1.13541666666671</v>
      </c>
      <c r="D1264" s="7">
        <v>1.1458333333333801</v>
      </c>
      <c r="E1264" s="30">
        <v>900</v>
      </c>
      <c r="F1264" s="60">
        <v>542.41</v>
      </c>
      <c r="G1264" s="4">
        <f t="shared" si="233"/>
        <v>357.59000000000003</v>
      </c>
      <c r="H1264" s="9">
        <f t="shared" si="234"/>
        <v>8.9397500000000005E-2</v>
      </c>
      <c r="I1264" s="4"/>
      <c r="J1264" s="64">
        <v>540</v>
      </c>
      <c r="K1264" s="31">
        <f t="shared" si="231"/>
        <v>2.4099999999999682</v>
      </c>
      <c r="L1264" s="14">
        <f t="shared" si="232"/>
        <v>6.0249999999999204E-4</v>
      </c>
      <c r="M1264" s="4"/>
    </row>
    <row r="1265" spans="2:13">
      <c r="B1265" s="43"/>
      <c r="C1265" s="7">
        <v>1.1458333333333801</v>
      </c>
      <c r="D1265" s="7">
        <v>1.15625000000005</v>
      </c>
      <c r="E1265" s="30">
        <v>900</v>
      </c>
      <c r="F1265" s="60">
        <v>543.23</v>
      </c>
      <c r="G1265" s="4">
        <f t="shared" si="233"/>
        <v>356.77</v>
      </c>
      <c r="H1265" s="9">
        <f t="shared" si="234"/>
        <v>8.9192499999999994E-2</v>
      </c>
      <c r="I1265" s="4"/>
      <c r="J1265" s="64">
        <v>540</v>
      </c>
      <c r="K1265" s="31">
        <f t="shared" si="231"/>
        <v>3.2300000000000182</v>
      </c>
      <c r="L1265" s="14">
        <f t="shared" si="232"/>
        <v>8.075000000000045E-4</v>
      </c>
      <c r="M1265" s="4"/>
    </row>
    <row r="1266" spans="2:13">
      <c r="B1266" s="43"/>
      <c r="C1266" s="7">
        <v>1.15625000000005</v>
      </c>
      <c r="D1266" s="7">
        <v>1.16666666666672</v>
      </c>
      <c r="E1266" s="30">
        <v>900</v>
      </c>
      <c r="F1266" s="60">
        <v>543.33000000000004</v>
      </c>
      <c r="G1266" s="4">
        <f t="shared" si="233"/>
        <v>356.66999999999996</v>
      </c>
      <c r="H1266" s="9">
        <f t="shared" si="234"/>
        <v>8.9167499999999983E-2</v>
      </c>
      <c r="I1266" s="4"/>
      <c r="J1266" s="64">
        <v>540</v>
      </c>
      <c r="K1266" s="31">
        <f t="shared" si="231"/>
        <v>3.3300000000000409</v>
      </c>
      <c r="L1266" s="14">
        <f t="shared" si="232"/>
        <v>8.3250000000001021E-4</v>
      </c>
      <c r="M1266" s="4"/>
    </row>
    <row r="1267" spans="2:13">
      <c r="B1267" s="43"/>
      <c r="C1267" s="7">
        <v>1.16666666666672</v>
      </c>
      <c r="D1267" s="7">
        <v>1.1770833333333901</v>
      </c>
      <c r="E1267" s="30">
        <v>900</v>
      </c>
      <c r="F1267" s="60">
        <v>542.49</v>
      </c>
      <c r="G1267" s="4">
        <f t="shared" si="233"/>
        <v>357.51</v>
      </c>
      <c r="H1267" s="9">
        <f t="shared" si="234"/>
        <v>8.9377499999999999E-2</v>
      </c>
      <c r="I1267" s="4"/>
      <c r="J1267" s="64">
        <v>540</v>
      </c>
      <c r="K1267" s="31">
        <f t="shared" si="231"/>
        <v>2.4900000000000091</v>
      </c>
      <c r="L1267" s="14">
        <f t="shared" si="232"/>
        <v>6.2250000000000228E-4</v>
      </c>
      <c r="M1267" s="4"/>
    </row>
    <row r="1268" spans="2:13">
      <c r="B1268" s="43"/>
      <c r="C1268" s="7">
        <v>1.1770833333333901</v>
      </c>
      <c r="D1268" s="7">
        <v>1.18750000000006</v>
      </c>
      <c r="E1268" s="30">
        <v>900</v>
      </c>
      <c r="F1268" s="60">
        <v>544.16999999999996</v>
      </c>
      <c r="G1268" s="4">
        <f t="shared" si="233"/>
        <v>355.83000000000004</v>
      </c>
      <c r="H1268" s="9">
        <f t="shared" si="234"/>
        <v>8.8957500000000009E-2</v>
      </c>
      <c r="I1268" s="4"/>
      <c r="J1268" s="64">
        <v>540</v>
      </c>
      <c r="K1268" s="31">
        <f t="shared" si="231"/>
        <v>4.1699999999999591</v>
      </c>
      <c r="L1268" s="14">
        <f t="shared" si="232"/>
        <v>1.0424999999999898E-3</v>
      </c>
      <c r="M1268" s="4"/>
    </row>
    <row r="1269" spans="2:13">
      <c r="B1269" s="43"/>
      <c r="C1269" s="7">
        <v>1.18750000000006</v>
      </c>
      <c r="D1269" s="7">
        <v>1.19791666666673</v>
      </c>
      <c r="E1269" s="30">
        <v>900</v>
      </c>
      <c r="F1269" s="60">
        <v>546.21</v>
      </c>
      <c r="G1269" s="4">
        <f t="shared" si="233"/>
        <v>353.78999999999996</v>
      </c>
      <c r="H1269" s="9">
        <f t="shared" si="234"/>
        <v>8.8447499999999984E-2</v>
      </c>
      <c r="I1269" s="4"/>
      <c r="J1269" s="64">
        <v>540</v>
      </c>
      <c r="K1269" s="31">
        <f t="shared" si="231"/>
        <v>6.2100000000000364</v>
      </c>
      <c r="L1269" s="14">
        <f t="shared" si="232"/>
        <v>1.5525000000000092E-3</v>
      </c>
      <c r="M1269" s="4"/>
    </row>
    <row r="1270" spans="2:13">
      <c r="B1270" s="43"/>
      <c r="C1270" s="7">
        <v>1.19791666666673</v>
      </c>
      <c r="D1270" s="7">
        <v>1.2083333333334001</v>
      </c>
      <c r="E1270" s="30">
        <v>900</v>
      </c>
      <c r="F1270" s="60">
        <v>546.70000000000005</v>
      </c>
      <c r="G1270" s="4">
        <f t="shared" si="233"/>
        <v>353.29999999999995</v>
      </c>
      <c r="H1270" s="9">
        <f t="shared" si="234"/>
        <v>8.8324999999999987E-2</v>
      </c>
      <c r="I1270" s="4"/>
      <c r="J1270" s="64">
        <v>540</v>
      </c>
      <c r="K1270" s="31">
        <f t="shared" si="231"/>
        <v>6.7000000000000455</v>
      </c>
      <c r="L1270" s="14">
        <f t="shared" si="232"/>
        <v>1.6750000000000113E-3</v>
      </c>
      <c r="M1270" s="4"/>
    </row>
    <row r="1271" spans="2:13">
      <c r="B1271" s="43"/>
      <c r="C1271" s="7">
        <v>1.2083333333334001</v>
      </c>
      <c r="D1271" s="35">
        <v>1.2187500000000699</v>
      </c>
      <c r="E1271" s="30">
        <v>900</v>
      </c>
      <c r="F1271" s="60">
        <v>566.29</v>
      </c>
      <c r="G1271" s="4">
        <f t="shared" si="233"/>
        <v>333.71000000000004</v>
      </c>
      <c r="H1271" s="9">
        <f t="shared" si="234"/>
        <v>8.3427500000000016E-2</v>
      </c>
      <c r="I1271" s="4"/>
      <c r="J1271" s="64">
        <f>J1270+55</f>
        <v>595</v>
      </c>
      <c r="K1271" s="31">
        <f>J1271-F1271</f>
        <v>28.710000000000036</v>
      </c>
      <c r="L1271" s="14">
        <f t="shared" si="232"/>
        <v>7.1775000000000094E-3</v>
      </c>
      <c r="M1271" s="4"/>
    </row>
    <row r="1272" spans="2:13">
      <c r="B1272" s="43"/>
      <c r="C1272" s="7">
        <v>1.2187500000000699</v>
      </c>
      <c r="D1272" s="7">
        <v>1.22916666666674</v>
      </c>
      <c r="E1272" s="30">
        <v>900</v>
      </c>
      <c r="F1272" s="60">
        <v>754.08</v>
      </c>
      <c r="G1272" s="4">
        <f t="shared" si="233"/>
        <v>145.91999999999996</v>
      </c>
      <c r="H1272" s="9">
        <f t="shared" si="234"/>
        <v>3.6479999999999992E-2</v>
      </c>
      <c r="I1272" s="4"/>
      <c r="J1272" s="29">
        <f>J1271+80</f>
        <v>675</v>
      </c>
      <c r="K1272" s="31">
        <f t="shared" ref="K1272:K1275" si="235">J1272-F1272</f>
        <v>-79.080000000000041</v>
      </c>
      <c r="L1272" s="14">
        <f t="shared" si="232"/>
        <v>0</v>
      </c>
      <c r="M1272" s="4"/>
    </row>
    <row r="1273" spans="2:13">
      <c r="B1273" s="43"/>
      <c r="C1273" s="7">
        <v>1.22916666666674</v>
      </c>
      <c r="D1273" s="7">
        <v>1.2395833333334101</v>
      </c>
      <c r="E1273" s="30">
        <v>900</v>
      </c>
      <c r="F1273" s="60">
        <v>896.38</v>
      </c>
      <c r="G1273" s="4">
        <f t="shared" si="233"/>
        <v>3.6200000000000045</v>
      </c>
      <c r="H1273" s="9">
        <f t="shared" si="234"/>
        <v>9.0500000000000118E-4</v>
      </c>
      <c r="I1273" s="4"/>
      <c r="J1273" s="64">
        <f t="shared" ref="J1273:J1274" si="236">J1272+80</f>
        <v>755</v>
      </c>
      <c r="K1273" s="31">
        <f t="shared" si="235"/>
        <v>-141.38</v>
      </c>
      <c r="L1273" s="14">
        <f t="shared" si="232"/>
        <v>0</v>
      </c>
      <c r="M1273" s="4"/>
    </row>
    <row r="1274" spans="2:13">
      <c r="B1274" s="43"/>
      <c r="C1274" s="7">
        <v>1.2395833333334101</v>
      </c>
      <c r="D1274" s="7">
        <v>1.2500000000000799</v>
      </c>
      <c r="E1274" s="30">
        <v>900</v>
      </c>
      <c r="F1274" s="60">
        <v>916.45</v>
      </c>
      <c r="G1274" s="4">
        <f t="shared" si="233"/>
        <v>-16.450000000000045</v>
      </c>
      <c r="H1274" s="76">
        <v>0</v>
      </c>
      <c r="I1274" s="4"/>
      <c r="J1274" s="64">
        <f t="shared" si="236"/>
        <v>835</v>
      </c>
      <c r="K1274" s="31">
        <f t="shared" si="235"/>
        <v>-81.450000000000045</v>
      </c>
      <c r="L1274" s="14">
        <f t="shared" si="232"/>
        <v>0</v>
      </c>
      <c r="M1274" s="4"/>
    </row>
    <row r="1275" spans="2:13">
      <c r="B1275" s="43"/>
      <c r="C1275" s="7">
        <v>1.2500000000000799</v>
      </c>
      <c r="D1275" s="7">
        <v>1.26041666666675</v>
      </c>
      <c r="E1275" s="30">
        <v>900</v>
      </c>
      <c r="F1275" s="60">
        <v>914.84</v>
      </c>
      <c r="G1275" s="4">
        <f t="shared" si="233"/>
        <v>-14.840000000000032</v>
      </c>
      <c r="H1275" s="76">
        <v>0</v>
      </c>
      <c r="I1275" s="4"/>
      <c r="J1275" s="64">
        <v>900</v>
      </c>
      <c r="K1275" s="31">
        <f t="shared" si="235"/>
        <v>-14.840000000000032</v>
      </c>
      <c r="L1275" s="14">
        <f t="shared" si="232"/>
        <v>0</v>
      </c>
      <c r="M1275" s="4"/>
    </row>
    <row r="1276" spans="2:13">
      <c r="B1276" s="43"/>
      <c r="C1276" s="7"/>
      <c r="D1276" s="7"/>
      <c r="E1276" s="30"/>
      <c r="F1276" s="60"/>
      <c r="G1276" s="4"/>
      <c r="H1276" s="9"/>
      <c r="I1276" s="9">
        <f>SUM(H1251:H1275)</f>
        <v>1.8942200000000002</v>
      </c>
      <c r="J1276" s="64"/>
      <c r="K1276" s="31"/>
      <c r="L1276" s="14"/>
      <c r="M1276" s="4">
        <f>SUM(L1251:L1275)</f>
        <v>3.1879999999999999E-2</v>
      </c>
    </row>
    <row r="1277" spans="2:13">
      <c r="B1277" s="34">
        <v>46048</v>
      </c>
      <c r="C1277" s="7">
        <v>1.5416666666668399</v>
      </c>
      <c r="D1277" s="7">
        <v>1.5520833333335</v>
      </c>
      <c r="E1277" s="30">
        <v>900</v>
      </c>
      <c r="F1277" s="60">
        <v>888.85</v>
      </c>
      <c r="G1277" s="4">
        <f t="shared" si="233"/>
        <v>11.149999999999977</v>
      </c>
      <c r="H1277" s="9">
        <f t="shared" si="234"/>
        <v>2.7874999999999944E-3</v>
      </c>
      <c r="I1277" s="4"/>
      <c r="J1277" s="29">
        <f>E1277-55</f>
        <v>845</v>
      </c>
      <c r="K1277" s="31">
        <f t="shared" si="231"/>
        <v>43.850000000000023</v>
      </c>
      <c r="L1277" s="14"/>
      <c r="M1277" s="4"/>
    </row>
    <row r="1278" spans="2:13">
      <c r="B1278" s="43"/>
      <c r="C1278" s="7">
        <v>1.55208333333351</v>
      </c>
      <c r="D1278" s="7">
        <v>1.5625000000001701</v>
      </c>
      <c r="E1278" s="30">
        <v>900</v>
      </c>
      <c r="F1278" s="60">
        <v>777.44</v>
      </c>
      <c r="G1278" s="4">
        <f t="shared" si="233"/>
        <v>122.55999999999995</v>
      </c>
      <c r="H1278" s="9">
        <f t="shared" si="234"/>
        <v>3.0639999999999987E-2</v>
      </c>
      <c r="I1278" s="4"/>
      <c r="J1278" s="29">
        <f>J1277-80</f>
        <v>765</v>
      </c>
      <c r="K1278" s="31">
        <f t="shared" si="231"/>
        <v>12.440000000000055</v>
      </c>
      <c r="L1278" s="14">
        <f t="shared" si="232"/>
        <v>3.1100000000000138E-3</v>
      </c>
      <c r="M1278" s="4"/>
    </row>
    <row r="1279" spans="2:13">
      <c r="B1279" s="43"/>
      <c r="C1279" s="7">
        <v>1.5625000000001801</v>
      </c>
      <c r="D1279" s="7">
        <v>1.5729166666668399</v>
      </c>
      <c r="E1279" s="30">
        <v>900</v>
      </c>
      <c r="F1279" s="60">
        <v>578.76</v>
      </c>
      <c r="G1279" s="4">
        <f t="shared" si="233"/>
        <v>321.24</v>
      </c>
      <c r="H1279" s="9">
        <f t="shared" si="234"/>
        <v>8.0310000000000006E-2</v>
      </c>
      <c r="I1279" s="4"/>
      <c r="J1279" s="64">
        <f t="shared" ref="J1279:J1280" si="237">J1278-80</f>
        <v>685</v>
      </c>
      <c r="K1279" s="31">
        <f t="shared" si="231"/>
        <v>-106.24000000000001</v>
      </c>
      <c r="L1279" s="14">
        <f t="shared" si="232"/>
        <v>0</v>
      </c>
      <c r="M1279" s="4"/>
    </row>
    <row r="1280" spans="2:13">
      <c r="B1280" s="43"/>
      <c r="C1280" s="7">
        <v>1.5729166666668499</v>
      </c>
      <c r="D1280" s="7">
        <v>1.58333333333351</v>
      </c>
      <c r="E1280" s="30">
        <v>900</v>
      </c>
      <c r="F1280" s="60">
        <v>537.95000000000005</v>
      </c>
      <c r="G1280" s="4">
        <f t="shared" si="233"/>
        <v>362.04999999999995</v>
      </c>
      <c r="H1280" s="9">
        <f t="shared" si="234"/>
        <v>9.0512499999999982E-2</v>
      </c>
      <c r="I1280" s="4"/>
      <c r="J1280" s="64">
        <f t="shared" si="237"/>
        <v>605</v>
      </c>
      <c r="K1280" s="31">
        <f t="shared" si="231"/>
        <v>-67.049999999999955</v>
      </c>
      <c r="L1280" s="14">
        <f t="shared" si="232"/>
        <v>0</v>
      </c>
      <c r="M1280" s="4"/>
    </row>
    <row r="1281" spans="2:13">
      <c r="B1281" s="43"/>
      <c r="C1281" s="7">
        <v>1.58333333333352</v>
      </c>
      <c r="D1281" s="7">
        <v>1.5937500000001801</v>
      </c>
      <c r="E1281" s="30">
        <v>900</v>
      </c>
      <c r="F1281" s="60">
        <v>547.13</v>
      </c>
      <c r="G1281" s="4">
        <f t="shared" si="233"/>
        <v>352.87</v>
      </c>
      <c r="H1281" s="9">
        <f t="shared" si="234"/>
        <v>8.8217500000000004E-2</v>
      </c>
      <c r="I1281" s="4"/>
      <c r="J1281" s="64">
        <v>540</v>
      </c>
      <c r="K1281" s="31">
        <f t="shared" si="231"/>
        <v>7.1299999999999955</v>
      </c>
      <c r="L1281" s="14">
        <f t="shared" si="232"/>
        <v>1.7824999999999989E-3</v>
      </c>
      <c r="M1281" s="4"/>
    </row>
    <row r="1282" spans="2:13">
      <c r="B1282" s="43"/>
      <c r="C1282" s="7">
        <v>1.5937500000001901</v>
      </c>
      <c r="D1282" s="7">
        <v>1.6041666666668499</v>
      </c>
      <c r="E1282" s="30">
        <v>900</v>
      </c>
      <c r="F1282" s="60">
        <v>538.15</v>
      </c>
      <c r="G1282" s="4">
        <f t="shared" si="233"/>
        <v>361.85</v>
      </c>
      <c r="H1282" s="9">
        <f t="shared" si="234"/>
        <v>9.0462500000000001E-2</v>
      </c>
      <c r="I1282" s="4"/>
      <c r="J1282" s="64">
        <v>540</v>
      </c>
      <c r="K1282" s="31">
        <f t="shared" si="231"/>
        <v>-1.8500000000000227</v>
      </c>
      <c r="L1282" s="14">
        <f t="shared" si="232"/>
        <v>0</v>
      </c>
      <c r="M1282" s="4"/>
    </row>
    <row r="1283" spans="2:13">
      <c r="B1283" s="43"/>
      <c r="C1283" s="7">
        <v>1.6041666666668599</v>
      </c>
      <c r="D1283" s="7">
        <v>1.61458333333352</v>
      </c>
      <c r="E1283" s="30">
        <v>900</v>
      </c>
      <c r="F1283" s="60">
        <v>545.72</v>
      </c>
      <c r="G1283" s="4">
        <f t="shared" si="233"/>
        <v>354.28</v>
      </c>
      <c r="H1283" s="9">
        <f t="shared" si="234"/>
        <v>8.8569999999999996E-2</v>
      </c>
      <c r="I1283" s="4"/>
      <c r="J1283" s="64">
        <v>540</v>
      </c>
      <c r="K1283" s="31">
        <f t="shared" si="231"/>
        <v>5.7200000000000273</v>
      </c>
      <c r="L1283" s="14">
        <f t="shared" si="232"/>
        <v>1.4300000000000068E-3</v>
      </c>
      <c r="M1283" s="4"/>
    </row>
    <row r="1284" spans="2:13">
      <c r="B1284" s="43"/>
      <c r="C1284" s="7">
        <v>1.61458333333353</v>
      </c>
      <c r="D1284" s="7">
        <v>1.6250000000001901</v>
      </c>
      <c r="E1284" s="30">
        <v>900</v>
      </c>
      <c r="F1284" s="60">
        <v>543.44000000000005</v>
      </c>
      <c r="G1284" s="4">
        <f t="shared" si="233"/>
        <v>356.55999999999995</v>
      </c>
      <c r="H1284" s="9">
        <f t="shared" si="234"/>
        <v>8.9139999999999983E-2</v>
      </c>
      <c r="I1284" s="4"/>
      <c r="J1284" s="64">
        <v>540</v>
      </c>
      <c r="K1284" s="31">
        <f t="shared" si="231"/>
        <v>3.4400000000000546</v>
      </c>
      <c r="L1284" s="14">
        <f t="shared" si="232"/>
        <v>8.6000000000001364E-4</v>
      </c>
      <c r="M1284" s="4"/>
    </row>
    <row r="1285" spans="2:13">
      <c r="B1285" s="43"/>
      <c r="C1285" s="7">
        <v>1.6250000000002001</v>
      </c>
      <c r="D1285" s="7">
        <v>1.6354166666668599</v>
      </c>
      <c r="E1285" s="30">
        <v>900</v>
      </c>
      <c r="F1285" s="60">
        <v>535.30999999999995</v>
      </c>
      <c r="G1285" s="4">
        <f t="shared" si="233"/>
        <v>364.69000000000005</v>
      </c>
      <c r="H1285" s="9">
        <f t="shared" si="234"/>
        <v>9.1172500000000017E-2</v>
      </c>
      <c r="I1285" s="4"/>
      <c r="J1285" s="64">
        <v>540</v>
      </c>
      <c r="K1285" s="31">
        <f t="shared" si="231"/>
        <v>-4.6900000000000546</v>
      </c>
      <c r="L1285" s="14">
        <f t="shared" si="232"/>
        <v>0</v>
      </c>
      <c r="M1285" s="4"/>
    </row>
    <row r="1286" spans="2:13">
      <c r="B1286" s="43"/>
      <c r="C1286" s="7">
        <v>1.6354166666668699</v>
      </c>
      <c r="D1286" s="7">
        <v>1.64583333333353</v>
      </c>
      <c r="E1286" s="30">
        <v>900</v>
      </c>
      <c r="F1286" s="60">
        <v>540.70000000000005</v>
      </c>
      <c r="G1286" s="4">
        <f t="shared" si="233"/>
        <v>359.29999999999995</v>
      </c>
      <c r="H1286" s="9">
        <f t="shared" si="234"/>
        <v>8.9824999999999988E-2</v>
      </c>
      <c r="I1286" s="4"/>
      <c r="J1286" s="64">
        <v>540</v>
      </c>
      <c r="K1286" s="31">
        <f t="shared" si="231"/>
        <v>0.70000000000004547</v>
      </c>
      <c r="L1286" s="14">
        <f t="shared" si="232"/>
        <v>1.7500000000001136E-4</v>
      </c>
      <c r="M1286" s="4"/>
    </row>
    <row r="1287" spans="2:13">
      <c r="B1287" s="43"/>
      <c r="C1287" s="7">
        <v>1.64583333333354</v>
      </c>
      <c r="D1287" s="7">
        <v>1.6562500000002001</v>
      </c>
      <c r="E1287" s="30">
        <v>900</v>
      </c>
      <c r="F1287" s="60">
        <v>544.48</v>
      </c>
      <c r="G1287" s="4">
        <f t="shared" si="233"/>
        <v>355.52</v>
      </c>
      <c r="H1287" s="9">
        <f t="shared" si="234"/>
        <v>8.8880000000000001E-2</v>
      </c>
      <c r="I1287" s="4"/>
      <c r="J1287" s="64">
        <v>540</v>
      </c>
      <c r="K1287" s="31">
        <f t="shared" si="231"/>
        <v>4.4800000000000182</v>
      </c>
      <c r="L1287" s="14">
        <f t="shared" si="232"/>
        <v>1.1200000000000045E-3</v>
      </c>
      <c r="M1287" s="4"/>
    </row>
    <row r="1288" spans="2:13">
      <c r="B1288" s="43"/>
      <c r="C1288" s="7">
        <v>1.6562500000002101</v>
      </c>
      <c r="D1288" s="7">
        <v>1.6666666666668699</v>
      </c>
      <c r="E1288" s="30">
        <v>900</v>
      </c>
      <c r="F1288" s="60">
        <v>545.29</v>
      </c>
      <c r="G1288" s="4">
        <f t="shared" si="233"/>
        <v>354.71000000000004</v>
      </c>
      <c r="H1288" s="9">
        <f t="shared" si="234"/>
        <v>8.8677500000000006E-2</v>
      </c>
      <c r="I1288" s="4"/>
      <c r="J1288" s="64">
        <v>540</v>
      </c>
      <c r="K1288" s="31">
        <f t="shared" si="231"/>
        <v>5.2899999999999636</v>
      </c>
      <c r="L1288" s="14">
        <f t="shared" si="232"/>
        <v>1.322499999999991E-3</v>
      </c>
      <c r="M1288" s="4"/>
    </row>
    <row r="1289" spans="2:13">
      <c r="B1289" s="43"/>
      <c r="C1289" s="7">
        <v>1.6666666666668899</v>
      </c>
      <c r="D1289" s="7">
        <v>1.67708333333354</v>
      </c>
      <c r="E1289" s="30">
        <v>900</v>
      </c>
      <c r="F1289" s="60">
        <v>544.89</v>
      </c>
      <c r="G1289" s="4">
        <f t="shared" si="233"/>
        <v>355.11</v>
      </c>
      <c r="H1289" s="9">
        <f t="shared" si="234"/>
        <v>8.8777500000000009E-2</v>
      </c>
      <c r="I1289" s="4"/>
      <c r="J1289" s="64">
        <v>540</v>
      </c>
      <c r="K1289" s="31">
        <f t="shared" si="231"/>
        <v>4.8899999999999864</v>
      </c>
      <c r="L1289" s="14">
        <f t="shared" si="232"/>
        <v>1.2224999999999966E-3</v>
      </c>
      <c r="M1289" s="4"/>
    </row>
    <row r="1290" spans="2:13">
      <c r="B1290" s="43"/>
      <c r="C1290" s="7">
        <v>1.67708333333356</v>
      </c>
      <c r="D1290" s="7">
        <v>1.6875000000002101</v>
      </c>
      <c r="E1290" s="30">
        <v>900</v>
      </c>
      <c r="F1290" s="60">
        <v>544.19000000000005</v>
      </c>
      <c r="G1290" s="4">
        <f t="shared" si="233"/>
        <v>355.80999999999995</v>
      </c>
      <c r="H1290" s="9">
        <f t="shared" si="234"/>
        <v>8.895249999999999E-2</v>
      </c>
      <c r="I1290" s="4"/>
      <c r="J1290" s="64">
        <v>540</v>
      </c>
      <c r="K1290" s="31">
        <f t="shared" ref="K1290:K1353" si="238">F1290-J1290</f>
        <v>4.1900000000000546</v>
      </c>
      <c r="L1290" s="14">
        <f t="shared" si="232"/>
        <v>1.0475000000000137E-3</v>
      </c>
      <c r="M1290" s="4"/>
    </row>
    <row r="1291" spans="2:13">
      <c r="B1291" s="43"/>
      <c r="C1291" s="7">
        <v>1.68750000000023</v>
      </c>
      <c r="D1291" s="7">
        <v>1.6979166666668799</v>
      </c>
      <c r="E1291" s="30">
        <v>900</v>
      </c>
      <c r="F1291" s="60">
        <v>542.88</v>
      </c>
      <c r="G1291" s="4">
        <f t="shared" si="233"/>
        <v>357.12</v>
      </c>
      <c r="H1291" s="9">
        <f t="shared" si="234"/>
        <v>8.9279999999999998E-2</v>
      </c>
      <c r="I1291" s="4"/>
      <c r="J1291" s="64">
        <v>540</v>
      </c>
      <c r="K1291" s="31">
        <f t="shared" si="238"/>
        <v>2.8799999999999955</v>
      </c>
      <c r="L1291" s="14">
        <f t="shared" si="232"/>
        <v>7.1999999999999885E-4</v>
      </c>
      <c r="M1291" s="4"/>
    </row>
    <row r="1292" spans="2:13">
      <c r="B1292" s="43"/>
      <c r="C1292" s="7">
        <v>1.6979166666669001</v>
      </c>
      <c r="D1292" s="7">
        <v>1.70833333333355</v>
      </c>
      <c r="E1292" s="30">
        <v>900</v>
      </c>
      <c r="F1292" s="60">
        <v>542.29999999999995</v>
      </c>
      <c r="G1292" s="4">
        <f t="shared" si="233"/>
        <v>357.70000000000005</v>
      </c>
      <c r="H1292" s="9">
        <f t="shared" si="234"/>
        <v>8.9425000000000004E-2</v>
      </c>
      <c r="I1292" s="4"/>
      <c r="J1292" s="64">
        <v>540</v>
      </c>
      <c r="K1292" s="31">
        <f t="shared" si="238"/>
        <v>2.2999999999999545</v>
      </c>
      <c r="L1292" s="14">
        <f t="shared" si="232"/>
        <v>5.7499999999998861E-4</v>
      </c>
      <c r="M1292" s="4"/>
    </row>
    <row r="1293" spans="2:13">
      <c r="B1293" s="43"/>
      <c r="C1293" s="7">
        <v>1.70833333333356</v>
      </c>
      <c r="D1293" s="7">
        <v>1.71875000000022</v>
      </c>
      <c r="E1293" s="30">
        <v>900</v>
      </c>
      <c r="F1293" s="60">
        <v>544.14</v>
      </c>
      <c r="G1293" s="4">
        <f t="shared" si="233"/>
        <v>355.86</v>
      </c>
      <c r="H1293" s="9">
        <f t="shared" si="234"/>
        <v>8.8965000000000002E-2</v>
      </c>
      <c r="I1293" s="4"/>
      <c r="J1293" s="64">
        <v>540</v>
      </c>
      <c r="K1293" s="31">
        <f t="shared" si="238"/>
        <v>4.1399999999999864</v>
      </c>
      <c r="L1293" s="14">
        <f t="shared" si="232"/>
        <v>1.0349999999999966E-3</v>
      </c>
      <c r="M1293" s="4"/>
    </row>
    <row r="1294" spans="2:13">
      <c r="B1294" s="43"/>
      <c r="C1294" s="7">
        <v>1.71875000000023</v>
      </c>
      <c r="D1294" s="7">
        <v>1.7291666666668899</v>
      </c>
      <c r="E1294" s="30">
        <v>900</v>
      </c>
      <c r="F1294" s="60">
        <v>544.04999999999995</v>
      </c>
      <c r="G1294" s="4">
        <f t="shared" si="233"/>
        <v>355.95000000000005</v>
      </c>
      <c r="H1294" s="9">
        <f t="shared" si="234"/>
        <v>8.8987500000000011E-2</v>
      </c>
      <c r="I1294" s="4"/>
      <c r="J1294" s="64">
        <v>540</v>
      </c>
      <c r="K1294" s="31">
        <f t="shared" si="238"/>
        <v>4.0499999999999545</v>
      </c>
      <c r="L1294" s="14">
        <f t="shared" si="232"/>
        <v>1.0124999999999887E-3</v>
      </c>
      <c r="M1294" s="4"/>
    </row>
    <row r="1295" spans="2:13">
      <c r="B1295" s="43"/>
      <c r="C1295" s="7">
        <v>1.7291666666669001</v>
      </c>
      <c r="D1295" s="7">
        <v>1.73958333333356</v>
      </c>
      <c r="E1295" s="30">
        <v>900</v>
      </c>
      <c r="F1295" s="60">
        <v>546.94000000000005</v>
      </c>
      <c r="G1295" s="4">
        <f t="shared" si="233"/>
        <v>353.05999999999995</v>
      </c>
      <c r="H1295" s="9">
        <f t="shared" si="234"/>
        <v>8.8264999999999982E-2</v>
      </c>
      <c r="I1295" s="4"/>
      <c r="J1295" s="64">
        <v>540</v>
      </c>
      <c r="K1295" s="31">
        <f t="shared" si="238"/>
        <v>6.9400000000000546</v>
      </c>
      <c r="L1295" s="14">
        <f t="shared" si="232"/>
        <v>1.7350000000000137E-3</v>
      </c>
      <c r="M1295" s="4"/>
    </row>
    <row r="1296" spans="2:13">
      <c r="B1296" s="43"/>
      <c r="C1296" s="7">
        <v>1.73958333333358</v>
      </c>
      <c r="D1296" s="7">
        <v>1.75000000000023</v>
      </c>
      <c r="E1296" s="30">
        <v>900</v>
      </c>
      <c r="F1296" s="60">
        <v>545.66</v>
      </c>
      <c r="G1296" s="4">
        <f t="shared" si="233"/>
        <v>354.34000000000003</v>
      </c>
      <c r="H1296" s="9">
        <f t="shared" si="234"/>
        <v>8.8585000000000011E-2</v>
      </c>
      <c r="I1296" s="4"/>
      <c r="J1296" s="64">
        <v>540</v>
      </c>
      <c r="K1296" s="31">
        <f t="shared" si="238"/>
        <v>5.6599999999999682</v>
      </c>
      <c r="L1296" s="14">
        <f t="shared" si="232"/>
        <v>1.414999999999992E-3</v>
      </c>
      <c r="M1296" s="4"/>
    </row>
    <row r="1297" spans="2:13">
      <c r="B1297" s="43"/>
      <c r="C1297" s="7">
        <v>1.75000000000025</v>
      </c>
      <c r="D1297" s="7">
        <v>1.7604166666669001</v>
      </c>
      <c r="E1297" s="30">
        <v>900</v>
      </c>
      <c r="F1297" s="60">
        <v>543.84</v>
      </c>
      <c r="G1297" s="4">
        <f t="shared" si="233"/>
        <v>356.15999999999997</v>
      </c>
      <c r="H1297" s="9">
        <f t="shared" si="234"/>
        <v>8.9039999999999994E-2</v>
      </c>
      <c r="I1297" s="4"/>
      <c r="J1297" s="64">
        <v>540</v>
      </c>
      <c r="K1297" s="31">
        <f t="shared" si="238"/>
        <v>3.8400000000000318</v>
      </c>
      <c r="L1297" s="14">
        <f t="shared" si="232"/>
        <v>9.6000000000000794E-4</v>
      </c>
      <c r="M1297" s="4"/>
    </row>
    <row r="1298" spans="2:13">
      <c r="B1298" s="43"/>
      <c r="C1298" s="7">
        <v>1.7604166666669101</v>
      </c>
      <c r="D1298" s="7">
        <v>1.77083333333357</v>
      </c>
      <c r="E1298" s="30">
        <v>900</v>
      </c>
      <c r="F1298" s="60">
        <v>544.74</v>
      </c>
      <c r="G1298" s="4">
        <f t="shared" si="233"/>
        <v>355.26</v>
      </c>
      <c r="H1298" s="9">
        <f t="shared" si="234"/>
        <v>8.8814999999999991E-2</v>
      </c>
      <c r="I1298" s="4"/>
      <c r="J1298" s="64">
        <v>540</v>
      </c>
      <c r="K1298" s="31">
        <f t="shared" si="238"/>
        <v>4.7400000000000091</v>
      </c>
      <c r="L1298" s="14">
        <f t="shared" si="232"/>
        <v>1.1850000000000022E-3</v>
      </c>
      <c r="M1298" s="4"/>
    </row>
    <row r="1299" spans="2:13">
      <c r="B1299" s="43"/>
      <c r="C1299" s="7">
        <v>1.77083333333358</v>
      </c>
      <c r="D1299" s="7">
        <v>1.78125000000024</v>
      </c>
      <c r="E1299" s="30">
        <v>900</v>
      </c>
      <c r="F1299" s="60">
        <v>544.23</v>
      </c>
      <c r="G1299" s="4">
        <f t="shared" si="233"/>
        <v>355.77</v>
      </c>
      <c r="H1299" s="9">
        <f t="shared" si="234"/>
        <v>8.8942499999999994E-2</v>
      </c>
      <c r="I1299" s="4"/>
      <c r="J1299" s="64">
        <v>540</v>
      </c>
      <c r="K1299" s="31">
        <f t="shared" si="238"/>
        <v>4.2300000000000182</v>
      </c>
      <c r="L1299" s="14">
        <f t="shared" si="232"/>
        <v>1.0575000000000046E-3</v>
      </c>
      <c r="M1299" s="4"/>
    </row>
    <row r="1300" spans="2:13">
      <c r="B1300" s="43"/>
      <c r="C1300" s="7">
        <v>1.78125000000025</v>
      </c>
      <c r="D1300" s="7">
        <v>1.7916666666669101</v>
      </c>
      <c r="E1300" s="30">
        <v>900</v>
      </c>
      <c r="F1300" s="60">
        <v>545.27</v>
      </c>
      <c r="G1300" s="4">
        <f t="shared" si="233"/>
        <v>354.73</v>
      </c>
      <c r="H1300" s="9">
        <f t="shared" si="234"/>
        <v>8.8682500000000011E-2</v>
      </c>
      <c r="I1300" s="4"/>
      <c r="J1300" s="64">
        <v>540</v>
      </c>
      <c r="K1300" s="31">
        <f t="shared" si="238"/>
        <v>5.2699999999999818</v>
      </c>
      <c r="L1300" s="14">
        <f t="shared" si="232"/>
        <v>1.3174999999999955E-3</v>
      </c>
      <c r="M1300" s="4"/>
    </row>
    <row r="1301" spans="2:13">
      <c r="B1301" s="43"/>
      <c r="C1301" s="7">
        <v>1.7916666666669201</v>
      </c>
      <c r="D1301" s="7">
        <v>1.80208333333358</v>
      </c>
      <c r="E1301" s="30">
        <v>900</v>
      </c>
      <c r="F1301" s="60">
        <v>544.91</v>
      </c>
      <c r="G1301" s="4">
        <f t="shared" si="233"/>
        <v>355.09000000000003</v>
      </c>
      <c r="H1301" s="9">
        <f t="shared" si="234"/>
        <v>8.8772500000000004E-2</v>
      </c>
      <c r="I1301" s="4"/>
      <c r="J1301" s="64">
        <v>540</v>
      </c>
      <c r="K1301" s="31">
        <f t="shared" si="238"/>
        <v>4.9099999999999682</v>
      </c>
      <c r="L1301" s="14">
        <f t="shared" si="232"/>
        <v>1.2274999999999921E-3</v>
      </c>
      <c r="M1301" s="4"/>
    </row>
    <row r="1302" spans="2:13">
      <c r="B1302" s="43"/>
      <c r="C1302" s="7">
        <v>1.8020833333335999</v>
      </c>
      <c r="D1302" s="7">
        <v>1.81250000000025</v>
      </c>
      <c r="E1302" s="30">
        <v>900</v>
      </c>
      <c r="F1302" s="60">
        <v>543.15</v>
      </c>
      <c r="G1302" s="4">
        <f t="shared" si="233"/>
        <v>356.85</v>
      </c>
      <c r="H1302" s="9">
        <f t="shared" si="234"/>
        <v>8.92125E-2</v>
      </c>
      <c r="I1302" s="4"/>
      <c r="J1302" s="64">
        <v>540</v>
      </c>
      <c r="K1302" s="31">
        <f t="shared" si="238"/>
        <v>3.1499999999999773</v>
      </c>
      <c r="L1302" s="14">
        <f t="shared" si="232"/>
        <v>7.8749999999999437E-4</v>
      </c>
      <c r="M1302" s="4"/>
    </row>
    <row r="1303" spans="2:13">
      <c r="B1303" s="43"/>
      <c r="C1303" s="7">
        <v>1.81250000000027</v>
      </c>
      <c r="D1303" s="7">
        <v>1.8229166666669201</v>
      </c>
      <c r="E1303" s="30">
        <v>900</v>
      </c>
      <c r="F1303" s="60">
        <v>543.01</v>
      </c>
      <c r="G1303" s="4">
        <f t="shared" si="233"/>
        <v>356.99</v>
      </c>
      <c r="H1303" s="9">
        <f t="shared" si="234"/>
        <v>8.9247500000000007E-2</v>
      </c>
      <c r="I1303" s="4"/>
      <c r="J1303" s="64">
        <v>540</v>
      </c>
      <c r="K1303" s="31">
        <f t="shared" si="238"/>
        <v>3.0099999999999909</v>
      </c>
      <c r="L1303" s="14">
        <f t="shared" si="232"/>
        <v>7.5249999999999775E-4</v>
      </c>
      <c r="M1303" s="4"/>
    </row>
    <row r="1304" spans="2:13">
      <c r="B1304" s="43"/>
      <c r="C1304" s="7">
        <v>1.8229166666669401</v>
      </c>
      <c r="D1304" s="7">
        <v>1.8333333333335899</v>
      </c>
      <c r="E1304" s="30">
        <v>900</v>
      </c>
      <c r="F1304" s="60">
        <v>544.1</v>
      </c>
      <c r="G1304" s="4">
        <f t="shared" si="233"/>
        <v>355.9</v>
      </c>
      <c r="H1304" s="9">
        <f t="shared" si="234"/>
        <v>8.8974999999999999E-2</v>
      </c>
      <c r="I1304" s="4"/>
      <c r="J1304" s="64">
        <v>540</v>
      </c>
      <c r="K1304" s="31">
        <f t="shared" si="238"/>
        <v>4.1000000000000227</v>
      </c>
      <c r="L1304" s="14">
        <f t="shared" ref="L1304:L1367" si="239">IF(K1304/4000&gt;0,K1304/4000,0)</f>
        <v>1.0250000000000057E-3</v>
      </c>
      <c r="M1304" s="4"/>
    </row>
    <row r="1305" spans="2:13">
      <c r="B1305" s="43"/>
      <c r="C1305" s="7">
        <v>1.8333333333336099</v>
      </c>
      <c r="D1305" s="7">
        <v>1.84375000000026</v>
      </c>
      <c r="E1305" s="30">
        <v>900</v>
      </c>
      <c r="F1305" s="60">
        <v>544.35</v>
      </c>
      <c r="G1305" s="4">
        <f t="shared" si="233"/>
        <v>355.65</v>
      </c>
      <c r="H1305" s="9">
        <f t="shared" si="234"/>
        <v>8.8912499999999992E-2</v>
      </c>
      <c r="I1305" s="4"/>
      <c r="J1305" s="64">
        <v>540</v>
      </c>
      <c r="K1305" s="31">
        <f t="shared" si="238"/>
        <v>4.3500000000000227</v>
      </c>
      <c r="L1305" s="14">
        <f t="shared" si="239"/>
        <v>1.0875000000000058E-3</v>
      </c>
      <c r="M1305" s="4"/>
    </row>
    <row r="1306" spans="2:13">
      <c r="B1306" s="43"/>
      <c r="C1306" s="7">
        <v>1.84375000000028</v>
      </c>
      <c r="D1306" s="7">
        <v>1.8541666666669301</v>
      </c>
      <c r="E1306" s="30">
        <v>900</v>
      </c>
      <c r="F1306" s="60">
        <v>544.66999999999996</v>
      </c>
      <c r="G1306" s="4">
        <f t="shared" si="233"/>
        <v>355.33000000000004</v>
      </c>
      <c r="H1306" s="9">
        <f t="shared" si="234"/>
        <v>8.8832500000000009E-2</v>
      </c>
      <c r="I1306" s="4"/>
      <c r="J1306" s="64">
        <v>540</v>
      </c>
      <c r="K1306" s="31">
        <f t="shared" si="238"/>
        <v>4.6699999999999591</v>
      </c>
      <c r="L1306" s="14">
        <f t="shared" si="239"/>
        <v>1.1674999999999897E-3</v>
      </c>
      <c r="M1306" s="4"/>
    </row>
    <row r="1307" spans="2:13">
      <c r="B1307" s="43"/>
      <c r="C1307" s="7">
        <v>1.8541666666669501</v>
      </c>
      <c r="D1307" s="7">
        <v>1.8645833333335999</v>
      </c>
      <c r="E1307" s="30">
        <v>900</v>
      </c>
      <c r="F1307" s="60">
        <v>544.15</v>
      </c>
      <c r="G1307" s="4">
        <f t="shared" si="233"/>
        <v>355.85</v>
      </c>
      <c r="H1307" s="9">
        <f t="shared" si="234"/>
        <v>8.89625E-2</v>
      </c>
      <c r="I1307" s="4"/>
      <c r="J1307" s="64">
        <v>540</v>
      </c>
      <c r="K1307" s="31">
        <f t="shared" si="238"/>
        <v>4.1499999999999773</v>
      </c>
      <c r="L1307" s="14">
        <f t="shared" si="239"/>
        <v>1.0374999999999944E-3</v>
      </c>
      <c r="M1307" s="4"/>
    </row>
    <row r="1308" spans="2:13">
      <c r="B1308" s="43"/>
      <c r="C1308" s="7">
        <v>1.8645833333336199</v>
      </c>
      <c r="D1308" s="7">
        <v>1.87500000000027</v>
      </c>
      <c r="E1308" s="30">
        <v>900</v>
      </c>
      <c r="F1308" s="60">
        <v>542.4</v>
      </c>
      <c r="G1308" s="4">
        <f t="shared" si="233"/>
        <v>357.6</v>
      </c>
      <c r="H1308" s="9">
        <f t="shared" si="234"/>
        <v>8.9400000000000007E-2</v>
      </c>
      <c r="I1308" s="4"/>
      <c r="J1308" s="64">
        <v>540</v>
      </c>
      <c r="K1308" s="31">
        <f t="shared" si="238"/>
        <v>2.3999999999999773</v>
      </c>
      <c r="L1308" s="14">
        <f t="shared" si="239"/>
        <v>5.9999999999999431E-4</v>
      </c>
      <c r="M1308" s="4"/>
    </row>
    <row r="1309" spans="2:13">
      <c r="B1309" s="43"/>
      <c r="C1309" s="7">
        <v>1.87500000000029</v>
      </c>
      <c r="D1309" s="7">
        <v>1.8854166666669401</v>
      </c>
      <c r="E1309" s="30">
        <v>900</v>
      </c>
      <c r="F1309" s="60">
        <v>540.77</v>
      </c>
      <c r="G1309" s="4">
        <f t="shared" si="233"/>
        <v>359.23</v>
      </c>
      <c r="H1309" s="9">
        <f t="shared" si="234"/>
        <v>8.9807499999999998E-2</v>
      </c>
      <c r="I1309" s="4"/>
      <c r="J1309" s="64">
        <v>540</v>
      </c>
      <c r="K1309" s="31">
        <f t="shared" si="238"/>
        <v>0.76999999999998181</v>
      </c>
      <c r="L1309" s="14">
        <f t="shared" si="239"/>
        <v>1.9249999999999546E-4</v>
      </c>
      <c r="M1309" s="4"/>
    </row>
    <row r="1310" spans="2:13">
      <c r="B1310" s="43"/>
      <c r="C1310" s="7">
        <v>1.8854166666669601</v>
      </c>
      <c r="D1310" s="7">
        <v>1.8958333333336099</v>
      </c>
      <c r="E1310" s="30">
        <v>900</v>
      </c>
      <c r="F1310" s="60">
        <v>542.14</v>
      </c>
      <c r="G1310" s="4">
        <f t="shared" si="233"/>
        <v>357.86</v>
      </c>
      <c r="H1310" s="9">
        <f t="shared" si="234"/>
        <v>8.9465000000000003E-2</v>
      </c>
      <c r="I1310" s="4"/>
      <c r="J1310" s="64">
        <v>540</v>
      </c>
      <c r="K1310" s="31">
        <f t="shared" si="238"/>
        <v>2.1399999999999864</v>
      </c>
      <c r="L1310" s="14">
        <f t="shared" si="239"/>
        <v>5.3499999999999663E-4</v>
      </c>
      <c r="M1310" s="4"/>
    </row>
    <row r="1311" spans="2:13">
      <c r="B1311" s="43"/>
      <c r="C1311" s="7">
        <v>1.8958333333336299</v>
      </c>
      <c r="D1311" s="7">
        <v>1.90625000000028</v>
      </c>
      <c r="E1311" s="30">
        <v>900</v>
      </c>
      <c r="F1311" s="60">
        <v>540.88</v>
      </c>
      <c r="G1311" s="4">
        <f t="shared" si="233"/>
        <v>359.12</v>
      </c>
      <c r="H1311" s="9">
        <f t="shared" si="234"/>
        <v>8.9779999999999999E-2</v>
      </c>
      <c r="I1311" s="4"/>
      <c r="J1311" s="64">
        <v>540</v>
      </c>
      <c r="K1311" s="31">
        <f t="shared" si="238"/>
        <v>0.87999999999999545</v>
      </c>
      <c r="L1311" s="14">
        <f t="shared" si="239"/>
        <v>2.1999999999999887E-4</v>
      </c>
      <c r="M1311" s="4"/>
    </row>
    <row r="1312" spans="2:13">
      <c r="B1312" s="43"/>
      <c r="C1312" s="7">
        <v>1.9062500000003</v>
      </c>
      <c r="D1312" s="7">
        <v>1.9166666666669501</v>
      </c>
      <c r="E1312" s="30">
        <v>900</v>
      </c>
      <c r="F1312" s="60">
        <v>541.05999999999995</v>
      </c>
      <c r="G1312" s="4">
        <f t="shared" si="233"/>
        <v>358.94000000000005</v>
      </c>
      <c r="H1312" s="9">
        <f t="shared" si="234"/>
        <v>8.9735000000000009E-2</v>
      </c>
      <c r="I1312" s="4"/>
      <c r="J1312" s="64">
        <v>540</v>
      </c>
      <c r="K1312" s="31">
        <f t="shared" si="238"/>
        <v>1.0599999999999454</v>
      </c>
      <c r="L1312" s="14">
        <f t="shared" si="239"/>
        <v>2.6499999999998638E-4</v>
      </c>
      <c r="M1312" s="4"/>
    </row>
    <row r="1313" spans="2:13">
      <c r="B1313" s="43"/>
      <c r="C1313" s="7">
        <v>1.9166666666669701</v>
      </c>
      <c r="D1313" s="7">
        <v>1.9270833333336199</v>
      </c>
      <c r="E1313" s="30">
        <v>900</v>
      </c>
      <c r="F1313" s="60">
        <v>540.54999999999995</v>
      </c>
      <c r="G1313" s="4">
        <f t="shared" si="233"/>
        <v>359.45000000000005</v>
      </c>
      <c r="H1313" s="9">
        <f t="shared" si="234"/>
        <v>8.9862500000000012E-2</v>
      </c>
      <c r="I1313" s="4"/>
      <c r="J1313" s="64">
        <v>540</v>
      </c>
      <c r="K1313" s="31">
        <f t="shared" si="238"/>
        <v>0.54999999999995453</v>
      </c>
      <c r="L1313" s="14">
        <f t="shared" si="239"/>
        <v>1.3749999999998862E-4</v>
      </c>
      <c r="M1313" s="4"/>
    </row>
    <row r="1314" spans="2:13">
      <c r="B1314" s="43"/>
      <c r="C1314" s="7">
        <v>1.9270833333336399</v>
      </c>
      <c r="D1314" s="7">
        <v>1.93750000000029</v>
      </c>
      <c r="E1314" s="30">
        <v>900</v>
      </c>
      <c r="F1314" s="60">
        <v>541.27</v>
      </c>
      <c r="G1314" s="4">
        <f t="shared" si="233"/>
        <v>358.73</v>
      </c>
      <c r="H1314" s="9">
        <f t="shared" si="234"/>
        <v>8.9682499999999998E-2</v>
      </c>
      <c r="I1314" s="4"/>
      <c r="J1314" s="64">
        <v>540</v>
      </c>
      <c r="K1314" s="31">
        <f t="shared" si="238"/>
        <v>1.2699999999999818</v>
      </c>
      <c r="L1314" s="14">
        <f t="shared" si="239"/>
        <v>3.1749999999999547E-4</v>
      </c>
      <c r="M1314" s="4"/>
    </row>
    <row r="1315" spans="2:13">
      <c r="B1315" s="43"/>
      <c r="C1315" s="7">
        <v>1.93750000000031</v>
      </c>
      <c r="D1315" s="7">
        <v>1.9479166666669601</v>
      </c>
      <c r="E1315" s="30">
        <v>900</v>
      </c>
      <c r="F1315" s="60">
        <v>544.27</v>
      </c>
      <c r="G1315" s="4">
        <f t="shared" si="233"/>
        <v>355.73</v>
      </c>
      <c r="H1315" s="9">
        <f t="shared" si="234"/>
        <v>8.8932499999999998E-2</v>
      </c>
      <c r="I1315" s="4"/>
      <c r="J1315" s="64">
        <v>540</v>
      </c>
      <c r="K1315" s="31">
        <f t="shared" si="238"/>
        <v>4.2699999999999818</v>
      </c>
      <c r="L1315" s="14">
        <f t="shared" si="239"/>
        <v>1.0674999999999955E-3</v>
      </c>
      <c r="M1315" s="4"/>
    </row>
    <row r="1316" spans="2:13">
      <c r="B1316" s="43"/>
      <c r="C1316" s="7">
        <v>1.94791666666698</v>
      </c>
      <c r="D1316" s="7">
        <v>1.9583333333336299</v>
      </c>
      <c r="E1316" s="30">
        <v>900</v>
      </c>
      <c r="F1316" s="60">
        <v>540.41999999999996</v>
      </c>
      <c r="G1316" s="4">
        <f t="shared" si="233"/>
        <v>359.58000000000004</v>
      </c>
      <c r="H1316" s="9">
        <f t="shared" si="234"/>
        <v>8.9895000000000017E-2</v>
      </c>
      <c r="I1316" s="4"/>
      <c r="J1316" s="64">
        <v>540</v>
      </c>
      <c r="K1316" s="31">
        <f t="shared" si="238"/>
        <v>0.41999999999995907</v>
      </c>
      <c r="L1316" s="14">
        <f t="shared" si="239"/>
        <v>1.0499999999998977E-4</v>
      </c>
      <c r="M1316" s="4"/>
    </row>
    <row r="1317" spans="2:13">
      <c r="B1317" s="43"/>
      <c r="C1317" s="7">
        <v>1.9583333333336499</v>
      </c>
      <c r="D1317" s="7">
        <v>1.9687500000003</v>
      </c>
      <c r="E1317" s="30">
        <v>900</v>
      </c>
      <c r="F1317" s="60">
        <v>542.36</v>
      </c>
      <c r="G1317" s="4">
        <f t="shared" ref="G1317:G1380" si="240">E1317-F1317</f>
        <v>357.64</v>
      </c>
      <c r="H1317" s="9">
        <f t="shared" ref="H1317:H1380" si="241">G1317/4000</f>
        <v>8.9410000000000003E-2</v>
      </c>
      <c r="I1317" s="4"/>
      <c r="J1317" s="64">
        <v>540</v>
      </c>
      <c r="K1317" s="31">
        <f t="shared" si="238"/>
        <v>2.3600000000000136</v>
      </c>
      <c r="L1317" s="14">
        <f t="shared" si="239"/>
        <v>5.9000000000000339E-4</v>
      </c>
      <c r="M1317" s="4"/>
    </row>
    <row r="1318" spans="2:13">
      <c r="B1318" s="43"/>
      <c r="C1318" s="7">
        <v>1.96875000000032</v>
      </c>
      <c r="D1318" s="7">
        <v>1.9791666666669701</v>
      </c>
      <c r="E1318" s="30">
        <v>900</v>
      </c>
      <c r="F1318" s="60">
        <v>542.36</v>
      </c>
      <c r="G1318" s="4">
        <f t="shared" si="240"/>
        <v>357.64</v>
      </c>
      <c r="H1318" s="9">
        <f t="shared" si="241"/>
        <v>8.9410000000000003E-2</v>
      </c>
      <c r="I1318" s="4"/>
      <c r="J1318" s="64">
        <v>540</v>
      </c>
      <c r="K1318" s="31">
        <f t="shared" si="238"/>
        <v>2.3600000000000136</v>
      </c>
      <c r="L1318" s="14">
        <f t="shared" si="239"/>
        <v>5.9000000000000339E-4</v>
      </c>
      <c r="M1318" s="4"/>
    </row>
    <row r="1319" spans="2:13">
      <c r="B1319" s="43"/>
      <c r="C1319" s="7">
        <v>1.97916666666699</v>
      </c>
      <c r="D1319" s="7">
        <v>1.9895833333336399</v>
      </c>
      <c r="E1319" s="30">
        <v>900</v>
      </c>
      <c r="F1319" s="60">
        <v>543.78</v>
      </c>
      <c r="G1319" s="4">
        <f t="shared" si="240"/>
        <v>356.22</v>
      </c>
      <c r="H1319" s="9">
        <f t="shared" si="241"/>
        <v>8.9055000000000009E-2</v>
      </c>
      <c r="I1319" s="4"/>
      <c r="J1319" s="64">
        <v>540</v>
      </c>
      <c r="K1319" s="31">
        <f t="shared" si="238"/>
        <v>3.7799999999999727</v>
      </c>
      <c r="L1319" s="14">
        <f t="shared" si="239"/>
        <v>9.4499999999999315E-4</v>
      </c>
      <c r="M1319" s="4"/>
    </row>
    <row r="1320" spans="2:13">
      <c r="B1320" s="43"/>
      <c r="C1320" s="7">
        <v>1.9895833333336601</v>
      </c>
      <c r="D1320" s="35">
        <v>2.00000000000031</v>
      </c>
      <c r="E1320" s="30">
        <v>900</v>
      </c>
      <c r="F1320" s="61">
        <v>539.19000000000005</v>
      </c>
      <c r="G1320" s="4">
        <f t="shared" si="240"/>
        <v>360.80999999999995</v>
      </c>
      <c r="H1320" s="9">
        <f t="shared" si="241"/>
        <v>9.0202499999999991E-2</v>
      </c>
      <c r="I1320" s="4"/>
      <c r="J1320" s="64">
        <v>540</v>
      </c>
      <c r="K1320" s="31">
        <f t="shared" si="238"/>
        <v>-0.80999999999994543</v>
      </c>
      <c r="L1320" s="14">
        <f t="shared" si="239"/>
        <v>0</v>
      </c>
      <c r="M1320" s="4"/>
    </row>
    <row r="1321" spans="2:13">
      <c r="B1321" s="43"/>
      <c r="C1321" s="43"/>
      <c r="D1321" s="43"/>
      <c r="E1321" s="4"/>
      <c r="F1321" s="4"/>
      <c r="G1321" s="4"/>
      <c r="H1321" s="9"/>
      <c r="I1321" s="9">
        <f>SUM(H1277:H1320)</f>
        <v>3.7734650000000007</v>
      </c>
      <c r="J1321" s="29"/>
      <c r="K1321" s="31"/>
      <c r="L1321" s="14"/>
      <c r="M1321" s="4">
        <f>SUM(L1277:L1320)</f>
        <v>3.5732499999999945E-2</v>
      </c>
    </row>
    <row r="1322" spans="2:13">
      <c r="B1322" s="34">
        <v>46049</v>
      </c>
      <c r="C1322" s="7">
        <v>1</v>
      </c>
      <c r="D1322" s="7">
        <v>1.0104166666666701</v>
      </c>
      <c r="E1322" s="30">
        <v>900</v>
      </c>
      <c r="F1322" s="15">
        <v>538.20000000000005</v>
      </c>
      <c r="G1322" s="4">
        <f t="shared" si="240"/>
        <v>361.79999999999995</v>
      </c>
      <c r="H1322" s="9">
        <f t="shared" si="241"/>
        <v>9.0449999999999989E-2</v>
      </c>
      <c r="I1322" s="4"/>
      <c r="J1322" s="65">
        <v>540</v>
      </c>
      <c r="K1322" s="31">
        <f t="shared" si="238"/>
        <v>-1.7999999999999545</v>
      </c>
      <c r="L1322" s="14"/>
      <c r="M1322" s="4"/>
    </row>
    <row r="1323" spans="2:13">
      <c r="B1323" s="43"/>
      <c r="C1323" s="7">
        <v>1.0104166666666701</v>
      </c>
      <c r="D1323" s="7">
        <v>1.0208333333333399</v>
      </c>
      <c r="E1323" s="30">
        <v>900</v>
      </c>
      <c r="F1323" s="15">
        <v>538.75</v>
      </c>
      <c r="G1323" s="4">
        <f t="shared" si="240"/>
        <v>361.25</v>
      </c>
      <c r="H1323" s="9">
        <f t="shared" si="241"/>
        <v>9.0312500000000004E-2</v>
      </c>
      <c r="I1323" s="4"/>
      <c r="J1323" s="65">
        <v>540</v>
      </c>
      <c r="K1323" s="31">
        <f t="shared" si="238"/>
        <v>-1.25</v>
      </c>
      <c r="L1323" s="14">
        <f t="shared" si="239"/>
        <v>0</v>
      </c>
      <c r="M1323" s="4"/>
    </row>
    <row r="1324" spans="2:13">
      <c r="B1324" s="43"/>
      <c r="C1324" s="7">
        <v>1.0208333333333399</v>
      </c>
      <c r="D1324" s="7">
        <v>1.03125000000001</v>
      </c>
      <c r="E1324" s="30">
        <v>900</v>
      </c>
      <c r="F1324" s="15">
        <v>539.4</v>
      </c>
      <c r="G1324" s="4">
        <f t="shared" si="240"/>
        <v>360.6</v>
      </c>
      <c r="H1324" s="9">
        <f t="shared" si="241"/>
        <v>9.0150000000000008E-2</v>
      </c>
      <c r="I1324" s="4"/>
      <c r="J1324" s="65">
        <v>540</v>
      </c>
      <c r="K1324" s="31">
        <f t="shared" si="238"/>
        <v>-0.60000000000002274</v>
      </c>
      <c r="L1324" s="14">
        <f t="shared" si="239"/>
        <v>0</v>
      </c>
      <c r="M1324" s="4"/>
    </row>
    <row r="1325" spans="2:13">
      <c r="B1325" s="43"/>
      <c r="C1325" s="7">
        <v>1.03125000000001</v>
      </c>
      <c r="D1325" s="7">
        <v>1.0416666666666801</v>
      </c>
      <c r="E1325" s="30">
        <v>900</v>
      </c>
      <c r="F1325" s="15">
        <v>544.14</v>
      </c>
      <c r="G1325" s="4">
        <f t="shared" si="240"/>
        <v>355.86</v>
      </c>
      <c r="H1325" s="9">
        <f t="shared" si="241"/>
        <v>8.8965000000000002E-2</v>
      </c>
      <c r="I1325" s="4"/>
      <c r="J1325" s="65">
        <v>540</v>
      </c>
      <c r="K1325" s="31">
        <f t="shared" si="238"/>
        <v>4.1399999999999864</v>
      </c>
      <c r="L1325" s="14">
        <f t="shared" si="239"/>
        <v>1.0349999999999966E-3</v>
      </c>
      <c r="M1325" s="4"/>
    </row>
    <row r="1326" spans="2:13">
      <c r="B1326" s="43"/>
      <c r="C1326" s="7">
        <v>1.0416666666666801</v>
      </c>
      <c r="D1326" s="7">
        <v>1.0520833333333499</v>
      </c>
      <c r="E1326" s="30">
        <v>900</v>
      </c>
      <c r="F1326" s="15">
        <v>544.02</v>
      </c>
      <c r="G1326" s="4">
        <f t="shared" si="240"/>
        <v>355.98</v>
      </c>
      <c r="H1326" s="9">
        <f t="shared" si="241"/>
        <v>8.8995000000000005E-2</v>
      </c>
      <c r="I1326" s="4"/>
      <c r="J1326" s="64">
        <v>540</v>
      </c>
      <c r="K1326" s="31">
        <f t="shared" si="238"/>
        <v>4.0199999999999818</v>
      </c>
      <c r="L1326" s="14">
        <f t="shared" si="239"/>
        <v>1.0049999999999955E-3</v>
      </c>
      <c r="M1326" s="4"/>
    </row>
    <row r="1327" spans="2:13">
      <c r="B1327" s="43"/>
      <c r="C1327" s="7">
        <v>1.0520833333333499</v>
      </c>
      <c r="D1327" s="7">
        <v>1.06250000000002</v>
      </c>
      <c r="E1327" s="30">
        <v>900</v>
      </c>
      <c r="F1327" s="15">
        <v>542.46</v>
      </c>
      <c r="G1327" s="4">
        <f t="shared" si="240"/>
        <v>357.53999999999996</v>
      </c>
      <c r="H1327" s="9">
        <f t="shared" si="241"/>
        <v>8.9384999999999992E-2</v>
      </c>
      <c r="I1327" s="4"/>
      <c r="J1327" s="64">
        <v>540</v>
      </c>
      <c r="K1327" s="31">
        <f t="shared" si="238"/>
        <v>2.4600000000000364</v>
      </c>
      <c r="L1327" s="14">
        <f t="shared" si="239"/>
        <v>6.1500000000000909E-4</v>
      </c>
      <c r="M1327" s="4"/>
    </row>
    <row r="1328" spans="2:13">
      <c r="B1328" s="43"/>
      <c r="C1328" s="7">
        <v>1.06250000000002</v>
      </c>
      <c r="D1328" s="7">
        <v>1.0729166666666901</v>
      </c>
      <c r="E1328" s="30">
        <v>900</v>
      </c>
      <c r="F1328" s="15">
        <v>541.91999999999996</v>
      </c>
      <c r="G1328" s="4">
        <f t="shared" si="240"/>
        <v>358.08000000000004</v>
      </c>
      <c r="H1328" s="9">
        <f t="shared" si="241"/>
        <v>8.9520000000000016E-2</v>
      </c>
      <c r="I1328" s="4"/>
      <c r="J1328" s="64">
        <v>540</v>
      </c>
      <c r="K1328" s="31">
        <f t="shared" si="238"/>
        <v>1.9199999999999591</v>
      </c>
      <c r="L1328" s="14">
        <f t="shared" si="239"/>
        <v>4.7999999999998977E-4</v>
      </c>
      <c r="M1328" s="4"/>
    </row>
    <row r="1329" spans="2:13">
      <c r="B1329" s="43"/>
      <c r="C1329" s="7">
        <v>1.0729166666666901</v>
      </c>
      <c r="D1329" s="7">
        <v>1.0833333333333599</v>
      </c>
      <c r="E1329" s="30">
        <v>900</v>
      </c>
      <c r="F1329" s="15">
        <v>542.26</v>
      </c>
      <c r="G1329" s="4">
        <f t="shared" si="240"/>
        <v>357.74</v>
      </c>
      <c r="H1329" s="9">
        <f t="shared" si="241"/>
        <v>8.9435000000000001E-2</v>
      </c>
      <c r="I1329" s="4"/>
      <c r="J1329" s="64">
        <v>540</v>
      </c>
      <c r="K1329" s="31">
        <f t="shared" si="238"/>
        <v>2.2599999999999909</v>
      </c>
      <c r="L1329" s="14">
        <f t="shared" si="239"/>
        <v>5.6499999999999769E-4</v>
      </c>
      <c r="M1329" s="4"/>
    </row>
    <row r="1330" spans="2:13">
      <c r="B1330" s="43"/>
      <c r="C1330" s="7">
        <v>1.0833333333333599</v>
      </c>
      <c r="D1330" s="7">
        <v>1.09375000000003</v>
      </c>
      <c r="E1330" s="30">
        <v>900</v>
      </c>
      <c r="F1330" s="15">
        <v>543.89</v>
      </c>
      <c r="G1330" s="4">
        <f t="shared" si="240"/>
        <v>356.11</v>
      </c>
      <c r="H1330" s="9">
        <f t="shared" si="241"/>
        <v>8.9027500000000009E-2</v>
      </c>
      <c r="I1330" s="4"/>
      <c r="J1330" s="64">
        <v>540</v>
      </c>
      <c r="K1330" s="31">
        <f t="shared" si="238"/>
        <v>3.8899999999999864</v>
      </c>
      <c r="L1330" s="14">
        <f t="shared" si="239"/>
        <v>9.7249999999999659E-4</v>
      </c>
      <c r="M1330" s="4"/>
    </row>
    <row r="1331" spans="2:13">
      <c r="B1331" s="43"/>
      <c r="C1331" s="7">
        <v>1.09375000000003</v>
      </c>
      <c r="D1331" s="7">
        <v>1.1041666666667</v>
      </c>
      <c r="E1331" s="30">
        <v>900</v>
      </c>
      <c r="F1331" s="15">
        <v>542.69000000000005</v>
      </c>
      <c r="G1331" s="4">
        <f t="shared" si="240"/>
        <v>357.30999999999995</v>
      </c>
      <c r="H1331" s="9">
        <f t="shared" si="241"/>
        <v>8.932749999999999E-2</v>
      </c>
      <c r="I1331" s="4"/>
      <c r="J1331" s="64">
        <v>540</v>
      </c>
      <c r="K1331" s="31">
        <f t="shared" si="238"/>
        <v>2.6900000000000546</v>
      </c>
      <c r="L1331" s="14">
        <f t="shared" si="239"/>
        <v>6.7250000000001369E-4</v>
      </c>
      <c r="M1331" s="4"/>
    </row>
    <row r="1332" spans="2:13">
      <c r="B1332" s="43"/>
      <c r="C1332" s="7">
        <v>1.1041666666667</v>
      </c>
      <c r="D1332" s="7">
        <v>1.1145833333333699</v>
      </c>
      <c r="E1332" s="30">
        <v>900</v>
      </c>
      <c r="F1332" s="15">
        <v>542.88</v>
      </c>
      <c r="G1332" s="4">
        <f t="shared" si="240"/>
        <v>357.12</v>
      </c>
      <c r="H1332" s="9">
        <f t="shared" si="241"/>
        <v>8.9279999999999998E-2</v>
      </c>
      <c r="I1332" s="4"/>
      <c r="J1332" s="64">
        <v>540</v>
      </c>
      <c r="K1332" s="31">
        <f t="shared" si="238"/>
        <v>2.8799999999999955</v>
      </c>
      <c r="L1332" s="14">
        <f t="shared" si="239"/>
        <v>7.1999999999999885E-4</v>
      </c>
      <c r="M1332" s="4"/>
    </row>
    <row r="1333" spans="2:13">
      <c r="B1333" s="43"/>
      <c r="C1333" s="7">
        <v>1.1145833333333699</v>
      </c>
      <c r="D1333" s="7">
        <v>1.12500000000004</v>
      </c>
      <c r="E1333" s="30">
        <v>900</v>
      </c>
      <c r="F1333" s="15">
        <v>544.42999999999995</v>
      </c>
      <c r="G1333" s="4">
        <f t="shared" si="240"/>
        <v>355.57000000000005</v>
      </c>
      <c r="H1333" s="9">
        <f t="shared" si="241"/>
        <v>8.8892500000000013E-2</v>
      </c>
      <c r="I1333" s="4"/>
      <c r="J1333" s="64">
        <v>540</v>
      </c>
      <c r="K1333" s="31">
        <f t="shared" si="238"/>
        <v>4.42999999999995</v>
      </c>
      <c r="L1333" s="14">
        <f t="shared" si="239"/>
        <v>1.1074999999999874E-3</v>
      </c>
      <c r="M1333" s="4"/>
    </row>
    <row r="1334" spans="2:13">
      <c r="B1334" s="43"/>
      <c r="C1334" s="7">
        <v>1.12500000000004</v>
      </c>
      <c r="D1334" s="7">
        <v>1.13541666666671</v>
      </c>
      <c r="E1334" s="30">
        <v>900</v>
      </c>
      <c r="F1334" s="15">
        <v>543.38</v>
      </c>
      <c r="G1334" s="4">
        <f t="shared" si="240"/>
        <v>356.62</v>
      </c>
      <c r="H1334" s="9">
        <f t="shared" si="241"/>
        <v>8.9154999999999998E-2</v>
      </c>
      <c r="I1334" s="4"/>
      <c r="J1334" s="64">
        <v>540</v>
      </c>
      <c r="K1334" s="31">
        <f t="shared" si="238"/>
        <v>3.3799999999999955</v>
      </c>
      <c r="L1334" s="14">
        <f t="shared" si="239"/>
        <v>8.4499999999999886E-4</v>
      </c>
      <c r="M1334" s="4"/>
    </row>
    <row r="1335" spans="2:13">
      <c r="B1335" s="43"/>
      <c r="C1335" s="7">
        <v>1.13541666666671</v>
      </c>
      <c r="D1335" s="7">
        <v>1.1458333333333801</v>
      </c>
      <c r="E1335" s="30">
        <v>900</v>
      </c>
      <c r="F1335" s="15">
        <v>540.48</v>
      </c>
      <c r="G1335" s="4">
        <f t="shared" si="240"/>
        <v>359.52</v>
      </c>
      <c r="H1335" s="9">
        <f t="shared" si="241"/>
        <v>8.9880000000000002E-2</v>
      </c>
      <c r="I1335" s="4"/>
      <c r="J1335" s="64">
        <v>540</v>
      </c>
      <c r="K1335" s="31">
        <f t="shared" si="238"/>
        <v>0.48000000000001819</v>
      </c>
      <c r="L1335" s="14">
        <f t="shared" si="239"/>
        <v>1.2000000000000454E-4</v>
      </c>
      <c r="M1335" s="4"/>
    </row>
    <row r="1336" spans="2:13">
      <c r="B1336" s="43"/>
      <c r="C1336" s="7">
        <v>1.1458333333333801</v>
      </c>
      <c r="D1336" s="7">
        <v>1.15625000000005</v>
      </c>
      <c r="E1336" s="30">
        <v>900</v>
      </c>
      <c r="F1336" s="15">
        <v>544.48</v>
      </c>
      <c r="G1336" s="4">
        <f t="shared" si="240"/>
        <v>355.52</v>
      </c>
      <c r="H1336" s="9">
        <f t="shared" si="241"/>
        <v>8.8880000000000001E-2</v>
      </c>
      <c r="I1336" s="4"/>
      <c r="J1336" s="64">
        <v>540</v>
      </c>
      <c r="K1336" s="31">
        <f t="shared" si="238"/>
        <v>4.4800000000000182</v>
      </c>
      <c r="L1336" s="14">
        <f t="shared" si="239"/>
        <v>1.1200000000000045E-3</v>
      </c>
      <c r="M1336" s="4"/>
    </row>
    <row r="1337" spans="2:13">
      <c r="B1337" s="43"/>
      <c r="C1337" s="7">
        <v>1.15625000000005</v>
      </c>
      <c r="D1337" s="7">
        <v>1.16666666666672</v>
      </c>
      <c r="E1337" s="30">
        <v>900</v>
      </c>
      <c r="F1337" s="15">
        <v>550.91</v>
      </c>
      <c r="G1337" s="4">
        <f t="shared" si="240"/>
        <v>349.09000000000003</v>
      </c>
      <c r="H1337" s="9">
        <f t="shared" si="241"/>
        <v>8.7272500000000003E-2</v>
      </c>
      <c r="I1337" s="4"/>
      <c r="J1337" s="64">
        <v>540</v>
      </c>
      <c r="K1337" s="31">
        <f t="shared" si="238"/>
        <v>10.909999999999968</v>
      </c>
      <c r="L1337" s="14">
        <f t="shared" si="239"/>
        <v>2.7274999999999921E-3</v>
      </c>
      <c r="M1337" s="4"/>
    </row>
    <row r="1338" spans="2:13">
      <c r="B1338" s="43"/>
      <c r="C1338" s="7">
        <v>1.16666666666672</v>
      </c>
      <c r="D1338" s="7">
        <v>1.1770833333333901</v>
      </c>
      <c r="E1338" s="30">
        <v>900</v>
      </c>
      <c r="F1338" s="15">
        <v>551.15</v>
      </c>
      <c r="G1338" s="4">
        <f t="shared" si="240"/>
        <v>348.85</v>
      </c>
      <c r="H1338" s="9">
        <f t="shared" si="241"/>
        <v>8.7212500000000012E-2</v>
      </c>
      <c r="I1338" s="4"/>
      <c r="J1338" s="64">
        <v>540</v>
      </c>
      <c r="K1338" s="31">
        <f t="shared" si="238"/>
        <v>11.149999999999977</v>
      </c>
      <c r="L1338" s="14">
        <f t="shared" si="239"/>
        <v>2.7874999999999944E-3</v>
      </c>
      <c r="M1338" s="4"/>
    </row>
    <row r="1339" spans="2:13">
      <c r="B1339" s="43"/>
      <c r="C1339" s="7">
        <v>1.1770833333333901</v>
      </c>
      <c r="D1339" s="7">
        <v>1.18750000000006</v>
      </c>
      <c r="E1339" s="30">
        <v>900</v>
      </c>
      <c r="F1339" s="15">
        <v>545.91999999999996</v>
      </c>
      <c r="G1339" s="4">
        <f t="shared" si="240"/>
        <v>354.08000000000004</v>
      </c>
      <c r="H1339" s="9">
        <f t="shared" si="241"/>
        <v>8.8520000000000015E-2</v>
      </c>
      <c r="I1339" s="4"/>
      <c r="J1339" s="64">
        <v>540</v>
      </c>
      <c r="K1339" s="31">
        <f t="shared" si="238"/>
        <v>5.9199999999999591</v>
      </c>
      <c r="L1339" s="14">
        <f t="shared" si="239"/>
        <v>1.4799999999999898E-3</v>
      </c>
      <c r="M1339" s="4"/>
    </row>
    <row r="1340" spans="2:13">
      <c r="B1340" s="43"/>
      <c r="C1340" s="7">
        <v>1.18750000000006</v>
      </c>
      <c r="D1340" s="7">
        <v>1.19791666666673</v>
      </c>
      <c r="E1340" s="30">
        <v>900</v>
      </c>
      <c r="F1340" s="15">
        <v>546.87</v>
      </c>
      <c r="G1340" s="4">
        <f t="shared" si="240"/>
        <v>353.13</v>
      </c>
      <c r="H1340" s="9">
        <f t="shared" si="241"/>
        <v>8.82825E-2</v>
      </c>
      <c r="I1340" s="4"/>
      <c r="J1340" s="64">
        <v>540</v>
      </c>
      <c r="K1340" s="31">
        <f t="shared" si="238"/>
        <v>6.8700000000000045</v>
      </c>
      <c r="L1340" s="14">
        <f t="shared" si="239"/>
        <v>1.7175000000000011E-3</v>
      </c>
      <c r="M1340" s="4"/>
    </row>
    <row r="1341" spans="2:13">
      <c r="B1341" s="43"/>
      <c r="C1341" s="7">
        <v>1.19791666666673</v>
      </c>
      <c r="D1341" s="7">
        <v>1.2083333333334001</v>
      </c>
      <c r="E1341" s="30">
        <v>900</v>
      </c>
      <c r="F1341" s="15">
        <v>540.73</v>
      </c>
      <c r="G1341" s="4">
        <f t="shared" si="240"/>
        <v>359.27</v>
      </c>
      <c r="H1341" s="9">
        <f t="shared" si="241"/>
        <v>8.9817499999999995E-2</v>
      </c>
      <c r="I1341" s="4"/>
      <c r="J1341" s="64">
        <v>540</v>
      </c>
      <c r="K1341" s="31">
        <f t="shared" si="238"/>
        <v>0.73000000000001819</v>
      </c>
      <c r="L1341" s="14">
        <f t="shared" si="239"/>
        <v>1.8250000000000454E-4</v>
      </c>
      <c r="M1341" s="4"/>
    </row>
    <row r="1342" spans="2:13">
      <c r="B1342" s="43"/>
      <c r="C1342" s="7">
        <v>1.2083333333334001</v>
      </c>
      <c r="D1342" s="7">
        <v>1.2187500000000699</v>
      </c>
      <c r="E1342" s="30">
        <v>900</v>
      </c>
      <c r="F1342" s="15">
        <v>542.48</v>
      </c>
      <c r="G1342" s="4">
        <f t="shared" si="240"/>
        <v>357.52</v>
      </c>
      <c r="H1342" s="9">
        <f t="shared" si="241"/>
        <v>8.9380000000000001E-2</v>
      </c>
      <c r="I1342" s="4"/>
      <c r="J1342" s="64">
        <v>540</v>
      </c>
      <c r="K1342" s="31">
        <f t="shared" si="238"/>
        <v>2.4800000000000182</v>
      </c>
      <c r="L1342" s="14">
        <f t="shared" si="239"/>
        <v>6.2000000000000455E-4</v>
      </c>
      <c r="M1342" s="4"/>
    </row>
    <row r="1343" spans="2:13">
      <c r="B1343" s="43"/>
      <c r="C1343" s="7">
        <v>1.2187500000000699</v>
      </c>
      <c r="D1343" s="7">
        <v>1.22916666666674</v>
      </c>
      <c r="E1343" s="30">
        <v>900</v>
      </c>
      <c r="F1343" s="15">
        <v>545.92999999999995</v>
      </c>
      <c r="G1343" s="4">
        <f t="shared" si="240"/>
        <v>354.07000000000005</v>
      </c>
      <c r="H1343" s="9">
        <f t="shared" si="241"/>
        <v>8.8517500000000013E-2</v>
      </c>
      <c r="I1343" s="4"/>
      <c r="J1343" s="64">
        <v>540</v>
      </c>
      <c r="K1343" s="31">
        <f t="shared" si="238"/>
        <v>5.92999999999995</v>
      </c>
      <c r="L1343" s="14">
        <f t="shared" si="239"/>
        <v>1.4824999999999875E-3</v>
      </c>
      <c r="M1343" s="4"/>
    </row>
    <row r="1344" spans="2:13">
      <c r="B1344" s="43"/>
      <c r="C1344" s="7">
        <v>1.22916666666674</v>
      </c>
      <c r="D1344" s="7">
        <v>1.2395833333334101</v>
      </c>
      <c r="E1344" s="30">
        <v>900</v>
      </c>
      <c r="F1344" s="15">
        <v>547.37</v>
      </c>
      <c r="G1344" s="4">
        <f t="shared" si="240"/>
        <v>352.63</v>
      </c>
      <c r="H1344" s="9">
        <f t="shared" si="241"/>
        <v>8.81575E-2</v>
      </c>
      <c r="I1344" s="4"/>
      <c r="J1344" s="64">
        <v>540</v>
      </c>
      <c r="K1344" s="31">
        <f t="shared" si="238"/>
        <v>7.3700000000000045</v>
      </c>
      <c r="L1344" s="14">
        <f t="shared" si="239"/>
        <v>1.842500000000001E-3</v>
      </c>
      <c r="M1344" s="4"/>
    </row>
    <row r="1345" spans="2:13">
      <c r="B1345" s="43"/>
      <c r="C1345" s="7">
        <v>1.2395833333334101</v>
      </c>
      <c r="D1345" s="7">
        <v>1.2500000000000799</v>
      </c>
      <c r="E1345" s="30">
        <v>900</v>
      </c>
      <c r="F1345" s="15">
        <v>545.89</v>
      </c>
      <c r="G1345" s="4">
        <f t="shared" si="240"/>
        <v>354.11</v>
      </c>
      <c r="H1345" s="9">
        <f t="shared" si="241"/>
        <v>8.8527500000000009E-2</v>
      </c>
      <c r="I1345" s="4"/>
      <c r="J1345" s="64">
        <v>540</v>
      </c>
      <c r="K1345" s="31">
        <f t="shared" si="238"/>
        <v>5.8899999999999864</v>
      </c>
      <c r="L1345" s="14">
        <f t="shared" si="239"/>
        <v>1.4724999999999966E-3</v>
      </c>
      <c r="M1345" s="4"/>
    </row>
    <row r="1346" spans="2:13">
      <c r="B1346" s="43"/>
      <c r="C1346" s="7">
        <v>1.2500000000000799</v>
      </c>
      <c r="D1346" s="35">
        <v>1.26041666666675</v>
      </c>
      <c r="E1346" s="30">
        <v>900</v>
      </c>
      <c r="F1346" s="15">
        <v>548.28</v>
      </c>
      <c r="G1346" s="4">
        <f t="shared" si="240"/>
        <v>351.72</v>
      </c>
      <c r="H1346" s="9">
        <f t="shared" si="241"/>
        <v>8.7930000000000008E-2</v>
      </c>
      <c r="I1346" s="4"/>
      <c r="J1346" s="64">
        <v>540</v>
      </c>
      <c r="K1346" s="31">
        <f t="shared" si="238"/>
        <v>8.2799999999999727</v>
      </c>
      <c r="L1346" s="14">
        <f t="shared" si="239"/>
        <v>2.0699999999999933E-3</v>
      </c>
      <c r="M1346" s="4"/>
    </row>
    <row r="1347" spans="2:13">
      <c r="B1347" s="43"/>
      <c r="C1347" s="7">
        <v>1.26041666666675</v>
      </c>
      <c r="D1347" s="7">
        <v>1.2708333333334201</v>
      </c>
      <c r="E1347" s="30">
        <v>900</v>
      </c>
      <c r="F1347" s="15">
        <v>626.35</v>
      </c>
      <c r="G1347" s="4">
        <f t="shared" si="240"/>
        <v>273.64999999999998</v>
      </c>
      <c r="H1347" s="9">
        <f t="shared" si="241"/>
        <v>6.8412500000000001E-2</v>
      </c>
      <c r="I1347" s="4"/>
      <c r="J1347" s="29">
        <f>J1346+80</f>
        <v>620</v>
      </c>
      <c r="K1347" s="31">
        <f>J1347-F1347</f>
        <v>-6.3500000000000227</v>
      </c>
      <c r="L1347" s="14">
        <f t="shared" si="239"/>
        <v>0</v>
      </c>
      <c r="M1347" s="4"/>
    </row>
    <row r="1348" spans="2:13">
      <c r="B1348" s="43"/>
      <c r="C1348" s="7">
        <v>1.2708333333334201</v>
      </c>
      <c r="D1348" s="7">
        <v>1.2812500000000899</v>
      </c>
      <c r="E1348" s="30">
        <v>900</v>
      </c>
      <c r="F1348" s="15">
        <v>779.77</v>
      </c>
      <c r="G1348" s="4">
        <f t="shared" si="240"/>
        <v>120.23000000000002</v>
      </c>
      <c r="H1348" s="9">
        <f t="shared" si="241"/>
        <v>3.0057500000000004E-2</v>
      </c>
      <c r="I1348" s="4"/>
      <c r="J1348" s="64">
        <f t="shared" ref="J1348:J1350" si="242">J1347+80</f>
        <v>700</v>
      </c>
      <c r="K1348" s="31">
        <f t="shared" ref="K1348:K1351" si="243">J1348-F1348</f>
        <v>-79.769999999999982</v>
      </c>
      <c r="L1348" s="14">
        <f t="shared" si="239"/>
        <v>0</v>
      </c>
      <c r="M1348" s="4"/>
    </row>
    <row r="1349" spans="2:13">
      <c r="B1349" s="43"/>
      <c r="C1349" s="7">
        <v>1.2812500000000899</v>
      </c>
      <c r="D1349" s="7">
        <v>1.29166666666676</v>
      </c>
      <c r="E1349" s="30">
        <v>900</v>
      </c>
      <c r="F1349" s="15">
        <v>872.03</v>
      </c>
      <c r="G1349" s="4">
        <f t="shared" si="240"/>
        <v>27.970000000000027</v>
      </c>
      <c r="H1349" s="9">
        <f t="shared" si="241"/>
        <v>6.9925000000000065E-3</v>
      </c>
      <c r="I1349" s="4"/>
      <c r="J1349" s="64">
        <f t="shared" si="242"/>
        <v>780</v>
      </c>
      <c r="K1349" s="31">
        <f t="shared" si="243"/>
        <v>-92.029999999999973</v>
      </c>
      <c r="L1349" s="14">
        <f t="shared" si="239"/>
        <v>0</v>
      </c>
      <c r="M1349" s="4"/>
    </row>
    <row r="1350" spans="2:13">
      <c r="B1350" s="43"/>
      <c r="C1350" s="7">
        <v>1.29166666666676</v>
      </c>
      <c r="D1350" s="7">
        <v>1.3020833333334301</v>
      </c>
      <c r="E1350" s="30">
        <v>900</v>
      </c>
      <c r="F1350" s="15">
        <v>916.63</v>
      </c>
      <c r="G1350" s="4">
        <f t="shared" si="240"/>
        <v>-16.629999999999995</v>
      </c>
      <c r="H1350" s="51">
        <v>0</v>
      </c>
      <c r="I1350" s="4"/>
      <c r="J1350" s="64">
        <f t="shared" si="242"/>
        <v>860</v>
      </c>
      <c r="K1350" s="31">
        <f t="shared" si="243"/>
        <v>-56.629999999999995</v>
      </c>
      <c r="L1350" s="14">
        <f t="shared" si="239"/>
        <v>0</v>
      </c>
      <c r="M1350" s="4"/>
    </row>
    <row r="1351" spans="2:13">
      <c r="B1351" s="43"/>
      <c r="C1351" s="7">
        <v>1.3020833333334301</v>
      </c>
      <c r="D1351" s="7">
        <v>1.3125000000000999</v>
      </c>
      <c r="E1351" s="30">
        <v>900</v>
      </c>
      <c r="F1351" s="15">
        <v>921.05</v>
      </c>
      <c r="G1351" s="4">
        <f t="shared" si="240"/>
        <v>-21.049999999999955</v>
      </c>
      <c r="H1351" s="51">
        <v>0</v>
      </c>
      <c r="I1351" s="4"/>
      <c r="J1351" s="64">
        <v>900</v>
      </c>
      <c r="K1351" s="31">
        <f t="shared" si="243"/>
        <v>-21.049999999999955</v>
      </c>
      <c r="L1351" s="14">
        <f t="shared" si="239"/>
        <v>0</v>
      </c>
      <c r="M1351" s="4"/>
    </row>
    <row r="1352" spans="2:13">
      <c r="B1352" s="43"/>
      <c r="C1352" s="43"/>
      <c r="D1352" s="43"/>
      <c r="E1352" s="4"/>
      <c r="F1352" s="4"/>
      <c r="G1352" s="4"/>
      <c r="H1352" s="9"/>
      <c r="I1352" s="9">
        <f>SUM(H1322:H1351)</f>
        <v>2.3307350000000002</v>
      </c>
      <c r="J1352" s="29"/>
      <c r="K1352" s="31"/>
      <c r="L1352" s="14"/>
      <c r="M1352" s="4">
        <f>SUM(L1322:L1351)</f>
        <v>2.5639999999999958E-2</v>
      </c>
    </row>
    <row r="1353" spans="2:13">
      <c r="B1353" s="34">
        <v>46049</v>
      </c>
      <c r="C1353" s="7">
        <v>1.44791666666681</v>
      </c>
      <c r="D1353" s="7">
        <v>1.45833333333347</v>
      </c>
      <c r="E1353" s="30">
        <v>900</v>
      </c>
      <c r="F1353" s="15">
        <v>847.58</v>
      </c>
      <c r="G1353" s="4">
        <f t="shared" si="240"/>
        <v>52.419999999999959</v>
      </c>
      <c r="H1353" s="9">
        <f t="shared" si="241"/>
        <v>1.310499999999999E-2</v>
      </c>
      <c r="I1353" s="4"/>
      <c r="J1353" s="29">
        <f>E1353-80</f>
        <v>820</v>
      </c>
      <c r="K1353" s="31">
        <f t="shared" si="238"/>
        <v>27.580000000000041</v>
      </c>
      <c r="L1353" s="14"/>
      <c r="M1353" s="4"/>
    </row>
    <row r="1354" spans="2:13">
      <c r="B1354" s="43"/>
      <c r="C1354" s="7">
        <v>1.45833333333348</v>
      </c>
      <c r="D1354" s="7">
        <v>1.4687500000001401</v>
      </c>
      <c r="E1354" s="30">
        <v>900</v>
      </c>
      <c r="F1354" s="15">
        <v>714.51</v>
      </c>
      <c r="G1354" s="4">
        <f t="shared" si="240"/>
        <v>185.49</v>
      </c>
      <c r="H1354" s="9">
        <f t="shared" si="241"/>
        <v>4.6372500000000004E-2</v>
      </c>
      <c r="I1354" s="4"/>
      <c r="J1354" s="29">
        <f>J1353-80</f>
        <v>740</v>
      </c>
      <c r="K1354" s="31">
        <f t="shared" ref="K1354:K1417" si="244">F1354-J1354</f>
        <v>-25.490000000000009</v>
      </c>
      <c r="L1354" s="14">
        <f t="shared" si="239"/>
        <v>0</v>
      </c>
      <c r="M1354" s="4"/>
    </row>
    <row r="1355" spans="2:13">
      <c r="B1355" s="43"/>
      <c r="C1355" s="7">
        <v>1.4687500000001501</v>
      </c>
      <c r="D1355" s="7">
        <v>1.47916666666681</v>
      </c>
      <c r="E1355" s="30">
        <v>900</v>
      </c>
      <c r="F1355" s="15">
        <v>592.25</v>
      </c>
      <c r="G1355" s="4">
        <f t="shared" si="240"/>
        <v>307.75</v>
      </c>
      <c r="H1355" s="9">
        <f t="shared" si="241"/>
        <v>7.6937500000000006E-2</v>
      </c>
      <c r="I1355" s="4"/>
      <c r="J1355" s="64">
        <f t="shared" ref="J1355:J1356" si="245">J1354-80</f>
        <v>660</v>
      </c>
      <c r="K1355" s="31">
        <f t="shared" si="244"/>
        <v>-67.75</v>
      </c>
      <c r="L1355" s="14">
        <f t="shared" si="239"/>
        <v>0</v>
      </c>
      <c r="M1355" s="4"/>
    </row>
    <row r="1356" spans="2:13">
      <c r="B1356" s="43"/>
      <c r="C1356" s="7">
        <v>1.47916666666682</v>
      </c>
      <c r="D1356" s="7">
        <v>1.48958333333348</v>
      </c>
      <c r="E1356" s="30">
        <v>900</v>
      </c>
      <c r="F1356" s="15">
        <v>544.42999999999995</v>
      </c>
      <c r="G1356" s="4">
        <f t="shared" si="240"/>
        <v>355.57000000000005</v>
      </c>
      <c r="H1356" s="9">
        <f t="shared" si="241"/>
        <v>8.8892500000000013E-2</v>
      </c>
      <c r="I1356" s="4"/>
      <c r="J1356" s="64">
        <f t="shared" si="245"/>
        <v>580</v>
      </c>
      <c r="K1356" s="31">
        <f t="shared" si="244"/>
        <v>-35.57000000000005</v>
      </c>
      <c r="L1356" s="14">
        <f t="shared" si="239"/>
        <v>0</v>
      </c>
      <c r="M1356" s="4"/>
    </row>
    <row r="1357" spans="2:13">
      <c r="B1357" s="43"/>
      <c r="C1357" s="7">
        <v>1.48958333333349</v>
      </c>
      <c r="D1357" s="7">
        <v>1.5000000000001501</v>
      </c>
      <c r="E1357" s="30">
        <v>900</v>
      </c>
      <c r="F1357" s="15">
        <v>553.41999999999996</v>
      </c>
      <c r="G1357" s="4">
        <f t="shared" si="240"/>
        <v>346.58000000000004</v>
      </c>
      <c r="H1357" s="9">
        <f t="shared" si="241"/>
        <v>8.6645000000000014E-2</v>
      </c>
      <c r="I1357" s="4"/>
      <c r="J1357" s="29">
        <v>540</v>
      </c>
      <c r="K1357" s="31">
        <f t="shared" si="244"/>
        <v>13.419999999999959</v>
      </c>
      <c r="L1357" s="14">
        <f t="shared" si="239"/>
        <v>3.3549999999999899E-3</v>
      </c>
      <c r="M1357" s="4"/>
    </row>
    <row r="1358" spans="2:13">
      <c r="B1358" s="43"/>
      <c r="C1358" s="7">
        <v>1.5000000000001601</v>
      </c>
      <c r="D1358" s="7">
        <v>1.51041666666682</v>
      </c>
      <c r="E1358" s="30">
        <v>900</v>
      </c>
      <c r="F1358" s="15">
        <v>548.6</v>
      </c>
      <c r="G1358" s="4">
        <f t="shared" si="240"/>
        <v>351.4</v>
      </c>
      <c r="H1358" s="9">
        <f t="shared" si="241"/>
        <v>8.7849999999999998E-2</v>
      </c>
      <c r="I1358" s="4"/>
      <c r="J1358" s="64">
        <v>540</v>
      </c>
      <c r="K1358" s="31">
        <f t="shared" si="244"/>
        <v>8.6000000000000227</v>
      </c>
      <c r="L1358" s="14">
        <f t="shared" si="239"/>
        <v>2.1500000000000056E-3</v>
      </c>
      <c r="M1358" s="4"/>
    </row>
    <row r="1359" spans="2:13">
      <c r="B1359" s="43"/>
      <c r="C1359" s="7">
        <v>1.5104166666668299</v>
      </c>
      <c r="D1359" s="7">
        <v>1.52083333333349</v>
      </c>
      <c r="E1359" s="30">
        <v>900</v>
      </c>
      <c r="F1359" s="15">
        <v>548.6</v>
      </c>
      <c r="G1359" s="4">
        <f t="shared" si="240"/>
        <v>351.4</v>
      </c>
      <c r="H1359" s="9">
        <f t="shared" si="241"/>
        <v>8.7849999999999998E-2</v>
      </c>
      <c r="I1359" s="4"/>
      <c r="J1359" s="64">
        <v>540</v>
      </c>
      <c r="K1359" s="31">
        <f t="shared" si="244"/>
        <v>8.6000000000000227</v>
      </c>
      <c r="L1359" s="14">
        <f t="shared" si="239"/>
        <v>2.1500000000000056E-3</v>
      </c>
      <c r="M1359" s="4"/>
    </row>
    <row r="1360" spans="2:13">
      <c r="B1360" s="43"/>
      <c r="C1360" s="7">
        <v>1.5208333333335</v>
      </c>
      <c r="D1360" s="7">
        <v>1.5312500000001601</v>
      </c>
      <c r="E1360" s="30">
        <v>900</v>
      </c>
      <c r="F1360" s="15">
        <v>543.87</v>
      </c>
      <c r="G1360" s="4">
        <f t="shared" si="240"/>
        <v>356.13</v>
      </c>
      <c r="H1360" s="9">
        <f t="shared" si="241"/>
        <v>8.9032500000000001E-2</v>
      </c>
      <c r="I1360" s="4"/>
      <c r="J1360" s="64">
        <v>540</v>
      </c>
      <c r="K1360" s="31">
        <f t="shared" si="244"/>
        <v>3.8700000000000045</v>
      </c>
      <c r="L1360" s="14">
        <f t="shared" si="239"/>
        <v>9.6750000000000113E-4</v>
      </c>
      <c r="M1360" s="4"/>
    </row>
    <row r="1361" spans="2:13">
      <c r="B1361" s="43"/>
      <c r="C1361" s="7">
        <v>1.5312500000001701</v>
      </c>
      <c r="D1361" s="7">
        <v>1.5416666666668299</v>
      </c>
      <c r="E1361" s="30">
        <v>900</v>
      </c>
      <c r="F1361" s="15">
        <v>542.97</v>
      </c>
      <c r="G1361" s="4">
        <f t="shared" si="240"/>
        <v>357.03</v>
      </c>
      <c r="H1361" s="9">
        <f t="shared" si="241"/>
        <v>8.925749999999999E-2</v>
      </c>
      <c r="I1361" s="4"/>
      <c r="J1361" s="64">
        <v>540</v>
      </c>
      <c r="K1361" s="31">
        <f t="shared" si="244"/>
        <v>2.9700000000000273</v>
      </c>
      <c r="L1361" s="14">
        <f t="shared" si="239"/>
        <v>7.4250000000000683E-4</v>
      </c>
      <c r="M1361" s="4"/>
    </row>
    <row r="1362" spans="2:13">
      <c r="B1362" s="43"/>
      <c r="C1362" s="7">
        <v>1.5416666666668399</v>
      </c>
      <c r="D1362" s="7">
        <v>1.5520833333335</v>
      </c>
      <c r="E1362" s="30">
        <v>900</v>
      </c>
      <c r="F1362" s="15">
        <v>547.38</v>
      </c>
      <c r="G1362" s="4">
        <f t="shared" si="240"/>
        <v>352.62</v>
      </c>
      <c r="H1362" s="9">
        <f t="shared" si="241"/>
        <v>8.8154999999999997E-2</v>
      </c>
      <c r="I1362" s="4"/>
      <c r="J1362" s="64">
        <v>540</v>
      </c>
      <c r="K1362" s="31">
        <f t="shared" si="244"/>
        <v>7.3799999999999955</v>
      </c>
      <c r="L1362" s="14">
        <f t="shared" si="239"/>
        <v>1.8449999999999988E-3</v>
      </c>
      <c r="M1362" s="4"/>
    </row>
    <row r="1363" spans="2:13">
      <c r="B1363" s="43"/>
      <c r="C1363" s="7">
        <v>1.55208333333351</v>
      </c>
      <c r="D1363" s="7">
        <v>1.5625000000001701</v>
      </c>
      <c r="E1363" s="30">
        <v>900</v>
      </c>
      <c r="F1363" s="15">
        <v>546.83000000000004</v>
      </c>
      <c r="G1363" s="4">
        <f t="shared" si="240"/>
        <v>353.16999999999996</v>
      </c>
      <c r="H1363" s="9">
        <f t="shared" si="241"/>
        <v>8.8292499999999996E-2</v>
      </c>
      <c r="I1363" s="4"/>
      <c r="J1363" s="64">
        <v>540</v>
      </c>
      <c r="K1363" s="31">
        <f t="shared" si="244"/>
        <v>6.8300000000000409</v>
      </c>
      <c r="L1363" s="14">
        <f t="shared" si="239"/>
        <v>1.7075000000000102E-3</v>
      </c>
      <c r="M1363" s="4"/>
    </row>
    <row r="1364" spans="2:13">
      <c r="B1364" s="43"/>
      <c r="C1364" s="7">
        <v>1.5625000000001801</v>
      </c>
      <c r="D1364" s="7">
        <v>1.5729166666668399</v>
      </c>
      <c r="E1364" s="30">
        <v>900</v>
      </c>
      <c r="F1364" s="15">
        <v>543.95000000000005</v>
      </c>
      <c r="G1364" s="4">
        <f t="shared" si="240"/>
        <v>356.04999999999995</v>
      </c>
      <c r="H1364" s="9">
        <f t="shared" si="241"/>
        <v>8.9012499999999994E-2</v>
      </c>
      <c r="I1364" s="4"/>
      <c r="J1364" s="64">
        <v>540</v>
      </c>
      <c r="K1364" s="31">
        <f t="shared" si="244"/>
        <v>3.9500000000000455</v>
      </c>
      <c r="L1364" s="14">
        <f t="shared" si="239"/>
        <v>9.8750000000001137E-4</v>
      </c>
      <c r="M1364" s="4"/>
    </row>
    <row r="1365" spans="2:13">
      <c r="B1365" s="43"/>
      <c r="C1365" s="7">
        <v>1.5729166666668499</v>
      </c>
      <c r="D1365" s="7">
        <v>1.58333333333351</v>
      </c>
      <c r="E1365" s="30">
        <v>900</v>
      </c>
      <c r="F1365" s="15">
        <v>546.16</v>
      </c>
      <c r="G1365" s="4">
        <f t="shared" si="240"/>
        <v>353.84000000000003</v>
      </c>
      <c r="H1365" s="9">
        <f t="shared" si="241"/>
        <v>8.8460000000000011E-2</v>
      </c>
      <c r="I1365" s="4"/>
      <c r="J1365" s="64">
        <v>540</v>
      </c>
      <c r="K1365" s="31">
        <f t="shared" si="244"/>
        <v>6.1599999999999682</v>
      </c>
      <c r="L1365" s="14">
        <f t="shared" si="239"/>
        <v>1.5399999999999921E-3</v>
      </c>
      <c r="M1365" s="4"/>
    </row>
    <row r="1366" spans="2:13">
      <c r="B1366" s="43"/>
      <c r="C1366" s="7">
        <v>1.58333333333352</v>
      </c>
      <c r="D1366" s="7">
        <v>1.5937500000001801</v>
      </c>
      <c r="E1366" s="30">
        <v>900</v>
      </c>
      <c r="F1366" s="15">
        <v>543.91999999999996</v>
      </c>
      <c r="G1366" s="4">
        <f t="shared" si="240"/>
        <v>356.08000000000004</v>
      </c>
      <c r="H1366" s="9">
        <f t="shared" si="241"/>
        <v>8.9020000000000016E-2</v>
      </c>
      <c r="I1366" s="4"/>
      <c r="J1366" s="64">
        <v>540</v>
      </c>
      <c r="K1366" s="31">
        <f t="shared" si="244"/>
        <v>3.9199999999999591</v>
      </c>
      <c r="L1366" s="14">
        <f t="shared" si="239"/>
        <v>9.7999999999998978E-4</v>
      </c>
      <c r="M1366" s="4"/>
    </row>
    <row r="1367" spans="2:13">
      <c r="B1367" s="43"/>
      <c r="C1367" s="7">
        <v>1.5937500000001901</v>
      </c>
      <c r="D1367" s="7">
        <v>1.6041666666668499</v>
      </c>
      <c r="E1367" s="30">
        <v>900</v>
      </c>
      <c r="F1367" s="15">
        <v>542.37</v>
      </c>
      <c r="G1367" s="4">
        <f t="shared" si="240"/>
        <v>357.63</v>
      </c>
      <c r="H1367" s="9">
        <f t="shared" si="241"/>
        <v>8.9407500000000001E-2</v>
      </c>
      <c r="I1367" s="4"/>
      <c r="J1367" s="64">
        <v>540</v>
      </c>
      <c r="K1367" s="31">
        <f t="shared" si="244"/>
        <v>2.3700000000000045</v>
      </c>
      <c r="L1367" s="14">
        <f t="shared" si="239"/>
        <v>5.9250000000000112E-4</v>
      </c>
      <c r="M1367" s="4"/>
    </row>
    <row r="1368" spans="2:13">
      <c r="B1368" s="43"/>
      <c r="C1368" s="7">
        <v>1.6041666666668599</v>
      </c>
      <c r="D1368" s="7">
        <v>1.61458333333352</v>
      </c>
      <c r="E1368" s="30">
        <v>900</v>
      </c>
      <c r="F1368" s="15">
        <v>544</v>
      </c>
      <c r="G1368" s="4">
        <f t="shared" si="240"/>
        <v>356</v>
      </c>
      <c r="H1368" s="9">
        <f t="shared" si="241"/>
        <v>8.8999999999999996E-2</v>
      </c>
      <c r="I1368" s="4"/>
      <c r="J1368" s="64">
        <v>540</v>
      </c>
      <c r="K1368" s="31">
        <f t="shared" si="244"/>
        <v>4</v>
      </c>
      <c r="L1368" s="14">
        <f t="shared" ref="L1368:L1431" si="246">IF(K1368/4000&gt;0,K1368/4000,0)</f>
        <v>1E-3</v>
      </c>
      <c r="M1368" s="4"/>
    </row>
    <row r="1369" spans="2:13">
      <c r="B1369" s="43"/>
      <c r="C1369" s="7">
        <v>1.61458333333353</v>
      </c>
      <c r="D1369" s="35">
        <v>1.6250000000001901</v>
      </c>
      <c r="E1369" s="30">
        <v>900</v>
      </c>
      <c r="F1369" s="15">
        <v>546.78</v>
      </c>
      <c r="G1369" s="4">
        <f t="shared" si="240"/>
        <v>353.22</v>
      </c>
      <c r="H1369" s="9">
        <f t="shared" si="241"/>
        <v>8.8305000000000008E-2</v>
      </c>
      <c r="I1369" s="4"/>
      <c r="J1369" s="64">
        <v>540</v>
      </c>
      <c r="K1369" s="31">
        <f t="shared" si="244"/>
        <v>6.7799999999999727</v>
      </c>
      <c r="L1369" s="14">
        <f t="shared" si="246"/>
        <v>1.6949999999999932E-3</v>
      </c>
      <c r="M1369" s="4"/>
    </row>
    <row r="1370" spans="2:13">
      <c r="B1370" s="43"/>
      <c r="C1370" s="7">
        <v>1.6250000000002001</v>
      </c>
      <c r="D1370" s="7">
        <v>1.6354166666668599</v>
      </c>
      <c r="E1370" s="30">
        <v>900</v>
      </c>
      <c r="F1370" s="15">
        <v>597.48</v>
      </c>
      <c r="G1370" s="4">
        <f t="shared" si="240"/>
        <v>302.52</v>
      </c>
      <c r="H1370" s="9">
        <f t="shared" si="241"/>
        <v>7.5629999999999989E-2</v>
      </c>
      <c r="I1370" s="4"/>
      <c r="J1370" s="29">
        <f>J1369+80</f>
        <v>620</v>
      </c>
      <c r="K1370" s="31">
        <f>J1370-F1370</f>
        <v>22.519999999999982</v>
      </c>
      <c r="L1370" s="14">
        <f t="shared" si="246"/>
        <v>5.6299999999999953E-3</v>
      </c>
      <c r="M1370" s="4"/>
    </row>
    <row r="1371" spans="2:13">
      <c r="B1371" s="43"/>
      <c r="C1371" s="7">
        <v>1.6354166666668699</v>
      </c>
      <c r="D1371" s="7">
        <v>1.64583333333353</v>
      </c>
      <c r="E1371" s="30">
        <v>900</v>
      </c>
      <c r="F1371" s="15">
        <v>684.45</v>
      </c>
      <c r="G1371" s="4">
        <f t="shared" si="240"/>
        <v>215.54999999999995</v>
      </c>
      <c r="H1371" s="9">
        <f t="shared" si="241"/>
        <v>5.3887499999999991E-2</v>
      </c>
      <c r="I1371" s="4"/>
      <c r="J1371" s="64">
        <f t="shared" ref="J1371:J1373" si="247">J1370+80</f>
        <v>700</v>
      </c>
      <c r="K1371" s="31">
        <f t="shared" ref="K1371:K1374" si="248">J1371-F1371</f>
        <v>15.549999999999955</v>
      </c>
      <c r="L1371" s="14">
        <f t="shared" si="246"/>
        <v>3.8874999999999886E-3</v>
      </c>
      <c r="M1371" s="4"/>
    </row>
    <row r="1372" spans="2:13">
      <c r="B1372" s="43"/>
      <c r="C1372" s="7">
        <v>1.64583333333354</v>
      </c>
      <c r="D1372" s="7">
        <v>1.6562500000002001</v>
      </c>
      <c r="E1372" s="30">
        <v>900</v>
      </c>
      <c r="F1372" s="15">
        <v>840.87</v>
      </c>
      <c r="G1372" s="4">
        <f t="shared" si="240"/>
        <v>59.129999999999995</v>
      </c>
      <c r="H1372" s="9">
        <f t="shared" si="241"/>
        <v>1.4782499999999999E-2</v>
      </c>
      <c r="I1372" s="4"/>
      <c r="J1372" s="64">
        <f t="shared" si="247"/>
        <v>780</v>
      </c>
      <c r="K1372" s="31">
        <f t="shared" si="248"/>
        <v>-60.870000000000005</v>
      </c>
      <c r="L1372" s="14">
        <f t="shared" si="246"/>
        <v>0</v>
      </c>
      <c r="M1372" s="4"/>
    </row>
    <row r="1373" spans="2:13">
      <c r="B1373" s="43"/>
      <c r="C1373" s="7">
        <v>1.6562500000002101</v>
      </c>
      <c r="D1373" s="7">
        <v>1.6666666666668699</v>
      </c>
      <c r="E1373" s="30">
        <v>900</v>
      </c>
      <c r="F1373" s="15">
        <v>910.46</v>
      </c>
      <c r="G1373" s="4">
        <f t="shared" si="240"/>
        <v>-10.460000000000036</v>
      </c>
      <c r="H1373" s="76">
        <v>0</v>
      </c>
      <c r="I1373" s="4"/>
      <c r="J1373" s="64">
        <f t="shared" si="247"/>
        <v>860</v>
      </c>
      <c r="K1373" s="31">
        <f t="shared" si="248"/>
        <v>-50.460000000000036</v>
      </c>
      <c r="L1373" s="14">
        <f t="shared" si="246"/>
        <v>0</v>
      </c>
      <c r="M1373" s="4"/>
    </row>
    <row r="1374" spans="2:13">
      <c r="B1374" s="43"/>
      <c r="C1374" s="7">
        <v>1.6666666666668899</v>
      </c>
      <c r="D1374" s="7">
        <v>1.67708333333354</v>
      </c>
      <c r="E1374" s="30">
        <v>900</v>
      </c>
      <c r="F1374" s="15">
        <v>905.03</v>
      </c>
      <c r="G1374" s="4">
        <f t="shared" si="240"/>
        <v>-5.0299999999999727</v>
      </c>
      <c r="H1374" s="76">
        <v>0</v>
      </c>
      <c r="I1374" s="4"/>
      <c r="J1374" s="64">
        <v>900</v>
      </c>
      <c r="K1374" s="31">
        <f t="shared" si="248"/>
        <v>-5.0299999999999727</v>
      </c>
      <c r="L1374" s="14">
        <f t="shared" si="246"/>
        <v>0</v>
      </c>
      <c r="M1374" s="4"/>
    </row>
    <row r="1375" spans="2:13">
      <c r="B1375" s="43"/>
      <c r="C1375" s="43"/>
      <c r="D1375" s="43"/>
      <c r="E1375" s="4"/>
      <c r="F1375" s="4"/>
      <c r="G1375" s="4"/>
      <c r="H1375" s="9"/>
      <c r="I1375" s="9">
        <f>SUM(H1353:H1374)</f>
        <v>1.5198950000000002</v>
      </c>
      <c r="J1375" s="29"/>
      <c r="K1375" s="31"/>
      <c r="L1375" s="14"/>
      <c r="M1375" s="4">
        <f>SUM(L1353:L1374)</f>
        <v>2.9229999999999992E-2</v>
      </c>
    </row>
    <row r="1376" spans="2:13">
      <c r="B1376" s="34">
        <v>46049</v>
      </c>
      <c r="C1376" s="7">
        <v>1.8229166666669401</v>
      </c>
      <c r="D1376" s="7">
        <v>1.8333333333335899</v>
      </c>
      <c r="E1376" s="30">
        <v>900</v>
      </c>
      <c r="F1376" s="15">
        <v>888.37</v>
      </c>
      <c r="G1376" s="4">
        <f t="shared" si="240"/>
        <v>11.629999999999995</v>
      </c>
      <c r="H1376" s="9">
        <f t="shared" si="241"/>
        <v>2.9074999999999991E-3</v>
      </c>
      <c r="I1376" s="4"/>
      <c r="J1376" s="29">
        <f>E1376-55</f>
        <v>845</v>
      </c>
      <c r="K1376" s="31">
        <f t="shared" si="244"/>
        <v>43.370000000000005</v>
      </c>
      <c r="L1376" s="14"/>
      <c r="M1376" s="4"/>
    </row>
    <row r="1377" spans="2:13">
      <c r="B1377" s="43"/>
      <c r="C1377" s="7">
        <v>1.8333333333336099</v>
      </c>
      <c r="D1377" s="7">
        <v>1.84375000000026</v>
      </c>
      <c r="E1377" s="30">
        <v>900</v>
      </c>
      <c r="F1377" s="15">
        <v>753.17</v>
      </c>
      <c r="G1377" s="4">
        <f t="shared" si="240"/>
        <v>146.83000000000004</v>
      </c>
      <c r="H1377" s="9">
        <f t="shared" si="241"/>
        <v>3.6707500000000011E-2</v>
      </c>
      <c r="I1377" s="4"/>
      <c r="J1377" s="29">
        <f>J1376-80</f>
        <v>765</v>
      </c>
      <c r="K1377" s="31">
        <f t="shared" si="244"/>
        <v>-11.830000000000041</v>
      </c>
      <c r="L1377" s="14">
        <f t="shared" si="246"/>
        <v>0</v>
      </c>
      <c r="M1377" s="4"/>
    </row>
    <row r="1378" spans="2:13">
      <c r="B1378" s="43"/>
      <c r="C1378" s="7">
        <v>1.84375000000028</v>
      </c>
      <c r="D1378" s="7">
        <v>1.8541666666669301</v>
      </c>
      <c r="E1378" s="30">
        <v>900</v>
      </c>
      <c r="F1378" s="15">
        <v>587.26</v>
      </c>
      <c r="G1378" s="4">
        <f t="shared" si="240"/>
        <v>312.74</v>
      </c>
      <c r="H1378" s="9">
        <f t="shared" si="241"/>
        <v>7.8185000000000004E-2</v>
      </c>
      <c r="I1378" s="4"/>
      <c r="J1378" s="64">
        <f t="shared" ref="J1378:J1379" si="249">J1377-80</f>
        <v>685</v>
      </c>
      <c r="K1378" s="31">
        <f t="shared" si="244"/>
        <v>-97.740000000000009</v>
      </c>
      <c r="L1378" s="14">
        <f t="shared" si="246"/>
        <v>0</v>
      </c>
      <c r="M1378" s="4"/>
    </row>
    <row r="1379" spans="2:13">
      <c r="B1379" s="43"/>
      <c r="C1379" s="7">
        <v>1.8541666666669501</v>
      </c>
      <c r="D1379" s="7">
        <v>1.8645833333335999</v>
      </c>
      <c r="E1379" s="30">
        <v>900</v>
      </c>
      <c r="F1379" s="15">
        <v>543.61</v>
      </c>
      <c r="G1379" s="4">
        <f t="shared" si="240"/>
        <v>356.39</v>
      </c>
      <c r="H1379" s="9">
        <f t="shared" si="241"/>
        <v>8.9097499999999996E-2</v>
      </c>
      <c r="I1379" s="4"/>
      <c r="J1379" s="64">
        <f t="shared" si="249"/>
        <v>605</v>
      </c>
      <c r="K1379" s="31">
        <f t="shared" si="244"/>
        <v>-61.389999999999986</v>
      </c>
      <c r="L1379" s="14">
        <f t="shared" si="246"/>
        <v>0</v>
      </c>
      <c r="M1379" s="4"/>
    </row>
    <row r="1380" spans="2:13">
      <c r="B1380" s="43"/>
      <c r="C1380" s="7">
        <v>1.8645833333336199</v>
      </c>
      <c r="D1380" s="7">
        <v>1.87500000000027</v>
      </c>
      <c r="E1380" s="30">
        <v>900</v>
      </c>
      <c r="F1380" s="15">
        <v>541.33000000000004</v>
      </c>
      <c r="G1380" s="4">
        <f t="shared" si="240"/>
        <v>358.66999999999996</v>
      </c>
      <c r="H1380" s="9">
        <f t="shared" si="241"/>
        <v>8.9667499999999983E-2</v>
      </c>
      <c r="I1380" s="4"/>
      <c r="J1380" s="64">
        <v>540</v>
      </c>
      <c r="K1380" s="31">
        <f t="shared" si="244"/>
        <v>1.3300000000000409</v>
      </c>
      <c r="L1380" s="14">
        <f t="shared" si="246"/>
        <v>3.3250000000001025E-4</v>
      </c>
      <c r="M1380" s="4"/>
    </row>
    <row r="1381" spans="2:13">
      <c r="B1381" s="43"/>
      <c r="C1381" s="7">
        <v>1.87500000000029</v>
      </c>
      <c r="D1381" s="7">
        <v>1.8854166666669401</v>
      </c>
      <c r="E1381" s="30">
        <v>900</v>
      </c>
      <c r="F1381" s="15">
        <v>545.70000000000005</v>
      </c>
      <c r="G1381" s="4">
        <f t="shared" ref="G1381:G1441" si="250">E1381-F1381</f>
        <v>354.29999999999995</v>
      </c>
      <c r="H1381" s="9">
        <f t="shared" ref="H1381:H1441" si="251">G1381/4000</f>
        <v>8.8574999999999987E-2</v>
      </c>
      <c r="I1381" s="4"/>
      <c r="J1381" s="64">
        <v>540</v>
      </c>
      <c r="K1381" s="31">
        <f t="shared" si="244"/>
        <v>5.7000000000000455</v>
      </c>
      <c r="L1381" s="14">
        <f t="shared" si="246"/>
        <v>1.4250000000000113E-3</v>
      </c>
      <c r="M1381" s="4"/>
    </row>
    <row r="1382" spans="2:13">
      <c r="B1382" s="43"/>
      <c r="C1382" s="7">
        <v>1.8854166666669601</v>
      </c>
      <c r="D1382" s="7">
        <v>1.8958333333336099</v>
      </c>
      <c r="E1382" s="30">
        <v>900</v>
      </c>
      <c r="F1382" s="15">
        <v>544.09</v>
      </c>
      <c r="G1382" s="4">
        <f t="shared" si="250"/>
        <v>355.90999999999997</v>
      </c>
      <c r="H1382" s="9">
        <f t="shared" si="251"/>
        <v>8.8977499999999987E-2</v>
      </c>
      <c r="I1382" s="4"/>
      <c r="J1382" s="64">
        <v>540</v>
      </c>
      <c r="K1382" s="31">
        <f t="shared" si="244"/>
        <v>4.0900000000000318</v>
      </c>
      <c r="L1382" s="14">
        <f t="shared" si="246"/>
        <v>1.022500000000008E-3</v>
      </c>
      <c r="M1382" s="4"/>
    </row>
    <row r="1383" spans="2:13">
      <c r="B1383" s="43"/>
      <c r="C1383" s="7">
        <v>1.8958333333336299</v>
      </c>
      <c r="D1383" s="7">
        <v>1.90625000000028</v>
      </c>
      <c r="E1383" s="30">
        <v>900</v>
      </c>
      <c r="F1383" s="15">
        <v>541.76</v>
      </c>
      <c r="G1383" s="4">
        <f t="shared" si="250"/>
        <v>358.24</v>
      </c>
      <c r="H1383" s="9">
        <f t="shared" si="251"/>
        <v>8.9560000000000001E-2</v>
      </c>
      <c r="I1383" s="4"/>
      <c r="J1383" s="64">
        <v>540</v>
      </c>
      <c r="K1383" s="31">
        <f t="shared" si="244"/>
        <v>1.7599999999999909</v>
      </c>
      <c r="L1383" s="14">
        <f t="shared" si="246"/>
        <v>4.3999999999999774E-4</v>
      </c>
      <c r="M1383" s="4"/>
    </row>
    <row r="1384" spans="2:13">
      <c r="B1384" s="43"/>
      <c r="C1384" s="7">
        <v>1.9062500000003</v>
      </c>
      <c r="D1384" s="7">
        <v>1.9166666666669501</v>
      </c>
      <c r="E1384" s="30">
        <v>900</v>
      </c>
      <c r="F1384" s="15">
        <v>541.39</v>
      </c>
      <c r="G1384" s="4">
        <f t="shared" si="250"/>
        <v>358.61</v>
      </c>
      <c r="H1384" s="9">
        <f t="shared" si="251"/>
        <v>8.965250000000001E-2</v>
      </c>
      <c r="I1384" s="4"/>
      <c r="J1384" s="64">
        <v>540</v>
      </c>
      <c r="K1384" s="31">
        <f t="shared" si="244"/>
        <v>1.3899999999999864</v>
      </c>
      <c r="L1384" s="14">
        <f t="shared" si="246"/>
        <v>3.4749999999999657E-4</v>
      </c>
      <c r="M1384" s="4"/>
    </row>
    <row r="1385" spans="2:13">
      <c r="B1385" s="43"/>
      <c r="C1385" s="7">
        <v>1.9166666666669701</v>
      </c>
      <c r="D1385" s="7">
        <v>1.9270833333336199</v>
      </c>
      <c r="E1385" s="30">
        <v>900</v>
      </c>
      <c r="F1385" s="15">
        <v>546.98</v>
      </c>
      <c r="G1385" s="4">
        <f t="shared" si="250"/>
        <v>353.02</v>
      </c>
      <c r="H1385" s="9">
        <f t="shared" si="251"/>
        <v>8.8255E-2</v>
      </c>
      <c r="I1385" s="4"/>
      <c r="J1385" s="64">
        <v>540</v>
      </c>
      <c r="K1385" s="31">
        <f t="shared" si="244"/>
        <v>6.9800000000000182</v>
      </c>
      <c r="L1385" s="14">
        <f t="shared" si="246"/>
        <v>1.7450000000000046E-3</v>
      </c>
      <c r="M1385" s="4"/>
    </row>
    <row r="1386" spans="2:13">
      <c r="B1386" s="43"/>
      <c r="C1386" s="7">
        <v>1.9270833333336399</v>
      </c>
      <c r="D1386" s="7">
        <v>1.93750000000029</v>
      </c>
      <c r="E1386" s="30">
        <v>900</v>
      </c>
      <c r="F1386" s="15">
        <v>541.01</v>
      </c>
      <c r="G1386" s="4">
        <f t="shared" si="250"/>
        <v>358.99</v>
      </c>
      <c r="H1386" s="9">
        <f t="shared" si="251"/>
        <v>8.9747500000000008E-2</v>
      </c>
      <c r="I1386" s="4"/>
      <c r="J1386" s="64">
        <v>540</v>
      </c>
      <c r="K1386" s="31">
        <f t="shared" si="244"/>
        <v>1.0099999999999909</v>
      </c>
      <c r="L1386" s="14">
        <f t="shared" si="246"/>
        <v>2.5249999999999773E-4</v>
      </c>
      <c r="M1386" s="4"/>
    </row>
    <row r="1387" spans="2:13">
      <c r="B1387" s="43"/>
      <c r="C1387" s="7">
        <v>1.93750000000031</v>
      </c>
      <c r="D1387" s="7">
        <v>1.9479166666669601</v>
      </c>
      <c r="E1387" s="30">
        <v>900</v>
      </c>
      <c r="F1387" s="15">
        <v>538.87</v>
      </c>
      <c r="G1387" s="4">
        <f t="shared" si="250"/>
        <v>361.13</v>
      </c>
      <c r="H1387" s="9">
        <f t="shared" si="251"/>
        <v>9.0282500000000002E-2</v>
      </c>
      <c r="I1387" s="4"/>
      <c r="J1387" s="64">
        <v>540</v>
      </c>
      <c r="K1387" s="31">
        <f t="shared" si="244"/>
        <v>-1.1299999999999955</v>
      </c>
      <c r="L1387" s="14">
        <f t="shared" si="246"/>
        <v>0</v>
      </c>
      <c r="M1387" s="4"/>
    </row>
    <row r="1388" spans="2:13">
      <c r="B1388" s="43"/>
      <c r="C1388" s="7">
        <v>1.94791666666698</v>
      </c>
      <c r="D1388" s="7">
        <v>1.9583333333336299</v>
      </c>
      <c r="E1388" s="30">
        <v>900</v>
      </c>
      <c r="F1388" s="15">
        <v>542.34</v>
      </c>
      <c r="G1388" s="4">
        <f t="shared" si="250"/>
        <v>357.65999999999997</v>
      </c>
      <c r="H1388" s="9">
        <f t="shared" si="251"/>
        <v>8.9414999999999994E-2</v>
      </c>
      <c r="I1388" s="4"/>
      <c r="J1388" s="64">
        <v>540</v>
      </c>
      <c r="K1388" s="31">
        <f t="shared" si="244"/>
        <v>2.3400000000000318</v>
      </c>
      <c r="L1388" s="14">
        <f t="shared" si="246"/>
        <v>5.8500000000000793E-4</v>
      </c>
      <c r="M1388" s="4"/>
    </row>
    <row r="1389" spans="2:13">
      <c r="B1389" s="43"/>
      <c r="C1389" s="7">
        <v>1.9583333333336499</v>
      </c>
      <c r="D1389" s="7">
        <v>1.9687500000003</v>
      </c>
      <c r="E1389" s="30">
        <v>900</v>
      </c>
      <c r="F1389" s="15">
        <v>542.01</v>
      </c>
      <c r="G1389" s="4">
        <f t="shared" si="250"/>
        <v>357.99</v>
      </c>
      <c r="H1389" s="9">
        <f t="shared" si="251"/>
        <v>8.9497500000000008E-2</v>
      </c>
      <c r="I1389" s="4"/>
      <c r="J1389" s="64">
        <v>540</v>
      </c>
      <c r="K1389" s="31">
        <f t="shared" si="244"/>
        <v>2.0099999999999909</v>
      </c>
      <c r="L1389" s="14">
        <f t="shared" si="246"/>
        <v>5.0249999999999774E-4</v>
      </c>
      <c r="M1389" s="4"/>
    </row>
    <row r="1390" spans="2:13">
      <c r="B1390" s="43"/>
      <c r="C1390" s="7">
        <v>1.96875000000032</v>
      </c>
      <c r="D1390" s="7">
        <v>1.9791666666669701</v>
      </c>
      <c r="E1390" s="30">
        <v>900</v>
      </c>
      <c r="F1390" s="15">
        <v>539.9</v>
      </c>
      <c r="G1390" s="4">
        <f t="shared" si="250"/>
        <v>360.1</v>
      </c>
      <c r="H1390" s="9">
        <f t="shared" si="251"/>
        <v>9.0025000000000008E-2</v>
      </c>
      <c r="I1390" s="4"/>
      <c r="J1390" s="64">
        <v>540</v>
      </c>
      <c r="K1390" s="31">
        <f t="shared" si="244"/>
        <v>-0.10000000000002274</v>
      </c>
      <c r="L1390" s="14">
        <f t="shared" si="246"/>
        <v>0</v>
      </c>
      <c r="M1390" s="4"/>
    </row>
    <row r="1391" spans="2:13">
      <c r="B1391" s="43"/>
      <c r="C1391" s="7">
        <v>1.97916666666699</v>
      </c>
      <c r="D1391" s="7">
        <v>1.9895833333336399</v>
      </c>
      <c r="E1391" s="30">
        <v>900</v>
      </c>
      <c r="F1391" s="15">
        <v>540.39</v>
      </c>
      <c r="G1391" s="4">
        <f t="shared" si="250"/>
        <v>359.61</v>
      </c>
      <c r="H1391" s="9">
        <f t="shared" si="251"/>
        <v>8.990250000000001E-2</v>
      </c>
      <c r="I1391" s="4"/>
      <c r="J1391" s="64">
        <v>540</v>
      </c>
      <c r="K1391" s="31">
        <f t="shared" si="244"/>
        <v>0.38999999999998636</v>
      </c>
      <c r="L1391" s="14">
        <f t="shared" si="246"/>
        <v>9.7499999999996583E-5</v>
      </c>
      <c r="M1391" s="4"/>
    </row>
    <row r="1392" spans="2:13">
      <c r="B1392" s="43"/>
      <c r="C1392" s="7">
        <v>1.9895833333336601</v>
      </c>
      <c r="D1392" s="35">
        <v>2.00000000000031</v>
      </c>
      <c r="E1392" s="30">
        <v>900</v>
      </c>
      <c r="F1392" s="48">
        <v>541.23</v>
      </c>
      <c r="G1392" s="4">
        <f t="shared" si="250"/>
        <v>358.77</v>
      </c>
      <c r="H1392" s="9">
        <f t="shared" si="251"/>
        <v>8.9692499999999994E-2</v>
      </c>
      <c r="I1392" s="4"/>
      <c r="J1392" s="64">
        <v>540</v>
      </c>
      <c r="K1392" s="31">
        <f t="shared" si="244"/>
        <v>1.2300000000000182</v>
      </c>
      <c r="L1392" s="14">
        <f t="shared" si="246"/>
        <v>3.0750000000000455E-4</v>
      </c>
      <c r="M1392" s="4"/>
    </row>
    <row r="1393" spans="2:13">
      <c r="B1393" s="43"/>
      <c r="C1393" s="43"/>
      <c r="D1393" s="43"/>
      <c r="E1393" s="4"/>
      <c r="F1393" s="4"/>
      <c r="G1393" s="4"/>
      <c r="H1393" s="9"/>
      <c r="I1393" s="9">
        <f>SUM(H1376:H1392)</f>
        <v>1.3701474999999999</v>
      </c>
      <c r="J1393" s="29"/>
      <c r="K1393" s="31"/>
      <c r="L1393" s="14"/>
      <c r="M1393" s="4">
        <f>SUM(L1376:L1392)</f>
        <v>7.0575000000000342E-3</v>
      </c>
    </row>
    <row r="1394" spans="2:13">
      <c r="B1394" s="34">
        <v>46050</v>
      </c>
      <c r="C1394" s="7">
        <v>1</v>
      </c>
      <c r="D1394" s="7">
        <v>1.0104166666666701</v>
      </c>
      <c r="E1394" s="30">
        <v>900</v>
      </c>
      <c r="F1394" s="15">
        <v>540.07000000000005</v>
      </c>
      <c r="G1394" s="4">
        <f t="shared" si="250"/>
        <v>359.92999999999995</v>
      </c>
      <c r="H1394" s="9">
        <f t="shared" si="251"/>
        <v>8.9982499999999993E-2</v>
      </c>
      <c r="I1394" s="4"/>
      <c r="J1394" s="65">
        <v>540</v>
      </c>
      <c r="K1394" s="31">
        <f t="shared" si="244"/>
        <v>7.0000000000050022E-2</v>
      </c>
      <c r="L1394" s="14"/>
      <c r="M1394" s="4"/>
    </row>
    <row r="1395" spans="2:13">
      <c r="B1395" s="43"/>
      <c r="C1395" s="7">
        <v>1.0104166666666701</v>
      </c>
      <c r="D1395" s="7">
        <v>1.0208333333333399</v>
      </c>
      <c r="E1395" s="30">
        <v>900</v>
      </c>
      <c r="F1395" s="15">
        <v>542.13</v>
      </c>
      <c r="G1395" s="4">
        <f t="shared" si="250"/>
        <v>357.87</v>
      </c>
      <c r="H1395" s="9">
        <f t="shared" si="251"/>
        <v>8.9467500000000005E-2</v>
      </c>
      <c r="I1395" s="4"/>
      <c r="J1395" s="65">
        <v>540</v>
      </c>
      <c r="K1395" s="31">
        <f t="shared" si="244"/>
        <v>2.1299999999999955</v>
      </c>
      <c r="L1395" s="14">
        <f t="shared" si="246"/>
        <v>5.324999999999989E-4</v>
      </c>
      <c r="M1395" s="4"/>
    </row>
    <row r="1396" spans="2:13">
      <c r="B1396" s="43"/>
      <c r="C1396" s="7">
        <v>1.0208333333333399</v>
      </c>
      <c r="D1396" s="7">
        <v>1.03125000000001</v>
      </c>
      <c r="E1396" s="30">
        <v>900</v>
      </c>
      <c r="F1396" s="15">
        <v>542.35</v>
      </c>
      <c r="G1396" s="4">
        <f t="shared" si="250"/>
        <v>357.65</v>
      </c>
      <c r="H1396" s="9">
        <f t="shared" si="251"/>
        <v>8.9412499999999992E-2</v>
      </c>
      <c r="I1396" s="4"/>
      <c r="J1396" s="65">
        <v>540</v>
      </c>
      <c r="K1396" s="31">
        <f t="shared" si="244"/>
        <v>2.3500000000000227</v>
      </c>
      <c r="L1396" s="14">
        <f t="shared" si="246"/>
        <v>5.8750000000000566E-4</v>
      </c>
      <c r="M1396" s="4"/>
    </row>
    <row r="1397" spans="2:13">
      <c r="B1397" s="43"/>
      <c r="C1397" s="7">
        <v>1.03125000000001</v>
      </c>
      <c r="D1397" s="7">
        <v>1.0416666666666801</v>
      </c>
      <c r="E1397" s="30">
        <v>900</v>
      </c>
      <c r="F1397" s="15">
        <v>545.21</v>
      </c>
      <c r="G1397" s="4">
        <f t="shared" si="250"/>
        <v>354.78999999999996</v>
      </c>
      <c r="H1397" s="9">
        <f t="shared" si="251"/>
        <v>8.8697499999999985E-2</v>
      </c>
      <c r="I1397" s="4"/>
      <c r="J1397" s="65">
        <v>540</v>
      </c>
      <c r="K1397" s="31">
        <f t="shared" si="244"/>
        <v>5.2100000000000364</v>
      </c>
      <c r="L1397" s="14">
        <f t="shared" si="246"/>
        <v>1.3025000000000092E-3</v>
      </c>
      <c r="M1397" s="4"/>
    </row>
    <row r="1398" spans="2:13">
      <c r="B1398" s="43"/>
      <c r="C1398" s="7">
        <v>1.0416666666666801</v>
      </c>
      <c r="D1398" s="7">
        <v>1.0520833333333499</v>
      </c>
      <c r="E1398" s="30">
        <v>900</v>
      </c>
      <c r="F1398" s="15">
        <v>546.49</v>
      </c>
      <c r="G1398" s="4">
        <f t="shared" si="250"/>
        <v>353.51</v>
      </c>
      <c r="H1398" s="9">
        <f t="shared" si="251"/>
        <v>8.8377499999999998E-2</v>
      </c>
      <c r="I1398" s="4"/>
      <c r="J1398" s="64">
        <v>540</v>
      </c>
      <c r="K1398" s="31">
        <f t="shared" si="244"/>
        <v>6.4900000000000091</v>
      </c>
      <c r="L1398" s="14">
        <f t="shared" si="246"/>
        <v>1.6225000000000022E-3</v>
      </c>
      <c r="M1398" s="4"/>
    </row>
    <row r="1399" spans="2:13">
      <c r="B1399" s="43"/>
      <c r="C1399" s="7">
        <v>1.0520833333333499</v>
      </c>
      <c r="D1399" s="7">
        <v>1.06250000000002</v>
      </c>
      <c r="E1399" s="30">
        <v>900</v>
      </c>
      <c r="F1399" s="15">
        <v>544.39</v>
      </c>
      <c r="G1399" s="4">
        <f t="shared" si="250"/>
        <v>355.61</v>
      </c>
      <c r="H1399" s="9">
        <f t="shared" si="251"/>
        <v>8.8902500000000009E-2</v>
      </c>
      <c r="I1399" s="4"/>
      <c r="J1399" s="64">
        <v>540</v>
      </c>
      <c r="K1399" s="31">
        <f t="shared" si="244"/>
        <v>4.3899999999999864</v>
      </c>
      <c r="L1399" s="14">
        <f t="shared" si="246"/>
        <v>1.0974999999999965E-3</v>
      </c>
      <c r="M1399" s="4"/>
    </row>
    <row r="1400" spans="2:13">
      <c r="B1400" s="43"/>
      <c r="C1400" s="7">
        <v>1.06250000000002</v>
      </c>
      <c r="D1400" s="7">
        <v>1.0729166666666901</v>
      </c>
      <c r="E1400" s="30">
        <v>900</v>
      </c>
      <c r="F1400" s="15">
        <v>544.85</v>
      </c>
      <c r="G1400" s="4">
        <f t="shared" si="250"/>
        <v>355.15</v>
      </c>
      <c r="H1400" s="9">
        <f t="shared" si="251"/>
        <v>8.8787499999999991E-2</v>
      </c>
      <c r="I1400" s="4"/>
      <c r="J1400" s="64">
        <v>540</v>
      </c>
      <c r="K1400" s="31">
        <f t="shared" si="244"/>
        <v>4.8500000000000227</v>
      </c>
      <c r="L1400" s="14">
        <f t="shared" si="246"/>
        <v>1.2125000000000057E-3</v>
      </c>
      <c r="M1400" s="4"/>
    </row>
    <row r="1401" spans="2:13">
      <c r="B1401" s="43"/>
      <c r="C1401" s="7">
        <v>1.0729166666666901</v>
      </c>
      <c r="D1401" s="7">
        <v>1.0833333333333599</v>
      </c>
      <c r="E1401" s="30">
        <v>900</v>
      </c>
      <c r="F1401" s="15">
        <v>544.08000000000004</v>
      </c>
      <c r="G1401" s="4">
        <f t="shared" si="250"/>
        <v>355.91999999999996</v>
      </c>
      <c r="H1401" s="9">
        <f t="shared" si="251"/>
        <v>8.897999999999999E-2</v>
      </c>
      <c r="I1401" s="4"/>
      <c r="J1401" s="64">
        <v>540</v>
      </c>
      <c r="K1401" s="31">
        <f t="shared" si="244"/>
        <v>4.0800000000000409</v>
      </c>
      <c r="L1401" s="14">
        <f t="shared" si="246"/>
        <v>1.0200000000000103E-3</v>
      </c>
      <c r="M1401" s="4"/>
    </row>
    <row r="1402" spans="2:13">
      <c r="B1402" s="43"/>
      <c r="C1402" s="7">
        <v>1.0833333333333599</v>
      </c>
      <c r="D1402" s="7">
        <v>1.09375000000003</v>
      </c>
      <c r="E1402" s="30">
        <v>900</v>
      </c>
      <c r="F1402" s="15">
        <v>545.15</v>
      </c>
      <c r="G1402" s="4">
        <f t="shared" si="250"/>
        <v>354.85</v>
      </c>
      <c r="H1402" s="9">
        <f t="shared" si="251"/>
        <v>8.87125E-2</v>
      </c>
      <c r="I1402" s="4"/>
      <c r="J1402" s="64">
        <v>540</v>
      </c>
      <c r="K1402" s="31">
        <f t="shared" si="244"/>
        <v>5.1499999999999773</v>
      </c>
      <c r="L1402" s="14">
        <f t="shared" si="246"/>
        <v>1.2874999999999944E-3</v>
      </c>
      <c r="M1402" s="4"/>
    </row>
    <row r="1403" spans="2:13">
      <c r="B1403" s="43"/>
      <c r="C1403" s="7">
        <v>1.09375000000003</v>
      </c>
      <c r="D1403" s="7">
        <v>1.1041666666667</v>
      </c>
      <c r="E1403" s="30">
        <v>900</v>
      </c>
      <c r="F1403" s="15">
        <v>543.9</v>
      </c>
      <c r="G1403" s="4">
        <f t="shared" si="250"/>
        <v>356.1</v>
      </c>
      <c r="H1403" s="9">
        <f t="shared" si="251"/>
        <v>8.9025000000000007E-2</v>
      </c>
      <c r="I1403" s="4"/>
      <c r="J1403" s="64">
        <v>540</v>
      </c>
      <c r="K1403" s="31">
        <f t="shared" si="244"/>
        <v>3.8999999999999773</v>
      </c>
      <c r="L1403" s="14">
        <f t="shared" si="246"/>
        <v>9.7499999999999432E-4</v>
      </c>
      <c r="M1403" s="4"/>
    </row>
    <row r="1404" spans="2:13">
      <c r="B1404" s="43"/>
      <c r="C1404" s="7">
        <v>1.1041666666667</v>
      </c>
      <c r="D1404" s="7">
        <v>1.1145833333333699</v>
      </c>
      <c r="E1404" s="30">
        <v>900</v>
      </c>
      <c r="F1404" s="15">
        <v>542.16999999999996</v>
      </c>
      <c r="G1404" s="4">
        <f t="shared" si="250"/>
        <v>357.83000000000004</v>
      </c>
      <c r="H1404" s="9">
        <f t="shared" si="251"/>
        <v>8.9457500000000009E-2</v>
      </c>
      <c r="I1404" s="4"/>
      <c r="J1404" s="64">
        <v>540</v>
      </c>
      <c r="K1404" s="31">
        <f t="shared" si="244"/>
        <v>2.1699999999999591</v>
      </c>
      <c r="L1404" s="14">
        <f t="shared" si="246"/>
        <v>5.4249999999998982E-4</v>
      </c>
      <c r="M1404" s="4"/>
    </row>
    <row r="1405" spans="2:13">
      <c r="B1405" s="43"/>
      <c r="C1405" s="7">
        <v>1.1145833333333699</v>
      </c>
      <c r="D1405" s="7">
        <v>1.12500000000004</v>
      </c>
      <c r="E1405" s="30">
        <v>900</v>
      </c>
      <c r="F1405" s="15">
        <v>544.15</v>
      </c>
      <c r="G1405" s="4">
        <f t="shared" si="250"/>
        <v>355.85</v>
      </c>
      <c r="H1405" s="9">
        <f t="shared" si="251"/>
        <v>8.89625E-2</v>
      </c>
      <c r="I1405" s="4"/>
      <c r="J1405" s="64">
        <v>540</v>
      </c>
      <c r="K1405" s="31">
        <f t="shared" si="244"/>
        <v>4.1499999999999773</v>
      </c>
      <c r="L1405" s="14">
        <f t="shared" si="246"/>
        <v>1.0374999999999944E-3</v>
      </c>
      <c r="M1405" s="4"/>
    </row>
    <row r="1406" spans="2:13">
      <c r="B1406" s="43"/>
      <c r="C1406" s="7">
        <v>1.12500000000004</v>
      </c>
      <c r="D1406" s="7">
        <v>1.13541666666671</v>
      </c>
      <c r="E1406" s="30">
        <v>900</v>
      </c>
      <c r="F1406" s="15">
        <v>544.44000000000005</v>
      </c>
      <c r="G1406" s="4">
        <f t="shared" si="250"/>
        <v>355.55999999999995</v>
      </c>
      <c r="H1406" s="9">
        <f t="shared" si="251"/>
        <v>8.8889999999999983E-2</v>
      </c>
      <c r="I1406" s="4"/>
      <c r="J1406" s="64">
        <v>540</v>
      </c>
      <c r="K1406" s="31">
        <f t="shared" si="244"/>
        <v>4.4400000000000546</v>
      </c>
      <c r="L1406" s="14">
        <f t="shared" si="246"/>
        <v>1.1100000000000135E-3</v>
      </c>
      <c r="M1406" s="4"/>
    </row>
    <row r="1407" spans="2:13">
      <c r="B1407" s="43"/>
      <c r="C1407" s="7">
        <v>1.13541666666671</v>
      </c>
      <c r="D1407" s="7">
        <v>1.1458333333333801</v>
      </c>
      <c r="E1407" s="30">
        <v>900</v>
      </c>
      <c r="F1407" s="15">
        <v>544.29</v>
      </c>
      <c r="G1407" s="4">
        <f t="shared" si="250"/>
        <v>355.71000000000004</v>
      </c>
      <c r="H1407" s="9">
        <f t="shared" si="251"/>
        <v>8.8927500000000007E-2</v>
      </c>
      <c r="I1407" s="4"/>
      <c r="J1407" s="64">
        <v>540</v>
      </c>
      <c r="K1407" s="31">
        <f t="shared" si="244"/>
        <v>4.2899999999999636</v>
      </c>
      <c r="L1407" s="14">
        <f t="shared" si="246"/>
        <v>1.072499999999991E-3</v>
      </c>
      <c r="M1407" s="4"/>
    </row>
    <row r="1408" spans="2:13">
      <c r="B1408" s="43"/>
      <c r="C1408" s="7">
        <v>1.1458333333333801</v>
      </c>
      <c r="D1408" s="7">
        <v>1.15625000000005</v>
      </c>
      <c r="E1408" s="30">
        <v>900</v>
      </c>
      <c r="F1408" s="15">
        <v>544.15</v>
      </c>
      <c r="G1408" s="4">
        <f t="shared" si="250"/>
        <v>355.85</v>
      </c>
      <c r="H1408" s="9">
        <f t="shared" si="251"/>
        <v>8.89625E-2</v>
      </c>
      <c r="I1408" s="4"/>
      <c r="J1408" s="64">
        <v>540</v>
      </c>
      <c r="K1408" s="31">
        <f t="shared" si="244"/>
        <v>4.1499999999999773</v>
      </c>
      <c r="L1408" s="14">
        <f t="shared" si="246"/>
        <v>1.0374999999999944E-3</v>
      </c>
      <c r="M1408" s="4"/>
    </row>
    <row r="1409" spans="2:13">
      <c r="B1409" s="43"/>
      <c r="C1409" s="7">
        <v>1.15625000000005</v>
      </c>
      <c r="D1409" s="7">
        <v>1.16666666666672</v>
      </c>
      <c r="E1409" s="30">
        <v>900</v>
      </c>
      <c r="F1409" s="15">
        <v>544.21</v>
      </c>
      <c r="G1409" s="4">
        <f t="shared" si="250"/>
        <v>355.78999999999996</v>
      </c>
      <c r="H1409" s="9">
        <f t="shared" si="251"/>
        <v>8.8947499999999985E-2</v>
      </c>
      <c r="I1409" s="4"/>
      <c r="J1409" s="64">
        <v>540</v>
      </c>
      <c r="K1409" s="31">
        <f t="shared" si="244"/>
        <v>4.2100000000000364</v>
      </c>
      <c r="L1409" s="14">
        <f t="shared" si="246"/>
        <v>1.0525000000000092E-3</v>
      </c>
      <c r="M1409" s="4"/>
    </row>
    <row r="1410" spans="2:13">
      <c r="B1410" s="43"/>
      <c r="C1410" s="7">
        <v>1.16666666666672</v>
      </c>
      <c r="D1410" s="7">
        <v>1.1770833333333901</v>
      </c>
      <c r="E1410" s="30">
        <v>900</v>
      </c>
      <c r="F1410" s="15">
        <v>543.95000000000005</v>
      </c>
      <c r="G1410" s="4">
        <f t="shared" si="250"/>
        <v>356.04999999999995</v>
      </c>
      <c r="H1410" s="9">
        <f t="shared" si="251"/>
        <v>8.9012499999999994E-2</v>
      </c>
      <c r="I1410" s="4"/>
      <c r="J1410" s="64">
        <v>540</v>
      </c>
      <c r="K1410" s="31">
        <f t="shared" si="244"/>
        <v>3.9500000000000455</v>
      </c>
      <c r="L1410" s="14">
        <f t="shared" si="246"/>
        <v>9.8750000000001137E-4</v>
      </c>
      <c r="M1410" s="4"/>
    </row>
    <row r="1411" spans="2:13">
      <c r="B1411" s="43"/>
      <c r="C1411" s="7">
        <v>1.1770833333333901</v>
      </c>
      <c r="D1411" s="7">
        <v>1.18750000000006</v>
      </c>
      <c r="E1411" s="30">
        <v>900</v>
      </c>
      <c r="F1411" s="15">
        <v>544.96</v>
      </c>
      <c r="G1411" s="4">
        <f t="shared" si="250"/>
        <v>355.03999999999996</v>
      </c>
      <c r="H1411" s="9">
        <f t="shared" si="251"/>
        <v>8.8759999999999992E-2</v>
      </c>
      <c r="I1411" s="4"/>
      <c r="J1411" s="64">
        <v>540</v>
      </c>
      <c r="K1411" s="31">
        <f t="shared" si="244"/>
        <v>4.9600000000000364</v>
      </c>
      <c r="L1411" s="14">
        <f t="shared" si="246"/>
        <v>1.2400000000000091E-3</v>
      </c>
      <c r="M1411" s="4"/>
    </row>
    <row r="1412" spans="2:13">
      <c r="B1412" s="43"/>
      <c r="C1412" s="7">
        <v>1.18750000000006</v>
      </c>
      <c r="D1412" s="7">
        <v>1.19791666666673</v>
      </c>
      <c r="E1412" s="30">
        <v>900</v>
      </c>
      <c r="F1412" s="15">
        <v>544.89</v>
      </c>
      <c r="G1412" s="4">
        <f t="shared" si="250"/>
        <v>355.11</v>
      </c>
      <c r="H1412" s="9">
        <f t="shared" si="251"/>
        <v>8.8777500000000009E-2</v>
      </c>
      <c r="I1412" s="4"/>
      <c r="J1412" s="64">
        <v>540</v>
      </c>
      <c r="K1412" s="31">
        <f t="shared" si="244"/>
        <v>4.8899999999999864</v>
      </c>
      <c r="L1412" s="14">
        <f t="shared" si="246"/>
        <v>1.2224999999999966E-3</v>
      </c>
      <c r="M1412" s="4"/>
    </row>
    <row r="1413" spans="2:13">
      <c r="B1413" s="43"/>
      <c r="C1413" s="7">
        <v>1.19791666666673</v>
      </c>
      <c r="D1413" s="7">
        <v>1.2083333333334001</v>
      </c>
      <c r="E1413" s="30">
        <v>900</v>
      </c>
      <c r="F1413" s="15">
        <v>543.05999999999995</v>
      </c>
      <c r="G1413" s="4">
        <f t="shared" si="250"/>
        <v>356.94000000000005</v>
      </c>
      <c r="H1413" s="9">
        <f t="shared" si="251"/>
        <v>8.9235000000000009E-2</v>
      </c>
      <c r="I1413" s="4"/>
      <c r="J1413" s="64">
        <v>540</v>
      </c>
      <c r="K1413" s="31">
        <f t="shared" si="244"/>
        <v>3.0599999999999454</v>
      </c>
      <c r="L1413" s="14">
        <f t="shared" si="246"/>
        <v>7.6499999999998639E-4</v>
      </c>
      <c r="M1413" s="4"/>
    </row>
    <row r="1414" spans="2:13">
      <c r="B1414" s="43"/>
      <c r="C1414" s="7">
        <v>1.2083333333334001</v>
      </c>
      <c r="D1414" s="7">
        <v>1.2187500000000699</v>
      </c>
      <c r="E1414" s="30">
        <v>900</v>
      </c>
      <c r="F1414" s="15">
        <v>546.1</v>
      </c>
      <c r="G1414" s="4">
        <f t="shared" si="250"/>
        <v>353.9</v>
      </c>
      <c r="H1414" s="9">
        <f t="shared" si="251"/>
        <v>8.8474999999999998E-2</v>
      </c>
      <c r="I1414" s="4"/>
      <c r="J1414" s="64">
        <v>540</v>
      </c>
      <c r="K1414" s="31">
        <f t="shared" si="244"/>
        <v>6.1000000000000227</v>
      </c>
      <c r="L1414" s="14">
        <f t="shared" si="246"/>
        <v>1.5250000000000057E-3</v>
      </c>
      <c r="M1414" s="4"/>
    </row>
    <row r="1415" spans="2:13">
      <c r="B1415" s="43"/>
      <c r="C1415" s="7">
        <v>1.2187500000000699</v>
      </c>
      <c r="D1415" s="7">
        <v>1.22916666666674</v>
      </c>
      <c r="E1415" s="30">
        <v>900</v>
      </c>
      <c r="F1415" s="15">
        <v>538.9</v>
      </c>
      <c r="G1415" s="4">
        <f t="shared" si="250"/>
        <v>361.1</v>
      </c>
      <c r="H1415" s="9">
        <f t="shared" si="251"/>
        <v>9.0275000000000008E-2</v>
      </c>
      <c r="I1415" s="4"/>
      <c r="J1415" s="64">
        <v>540</v>
      </c>
      <c r="K1415" s="31">
        <f t="shared" si="244"/>
        <v>-1.1000000000000227</v>
      </c>
      <c r="L1415" s="14">
        <f t="shared" si="246"/>
        <v>0</v>
      </c>
      <c r="M1415" s="4"/>
    </row>
    <row r="1416" spans="2:13">
      <c r="B1416" s="43"/>
      <c r="C1416" s="7">
        <v>1.22916666666674</v>
      </c>
      <c r="D1416" s="7">
        <v>1.2395833333334101</v>
      </c>
      <c r="E1416" s="30">
        <v>900</v>
      </c>
      <c r="F1416" s="15">
        <v>545.66</v>
      </c>
      <c r="G1416" s="4">
        <f t="shared" si="250"/>
        <v>354.34000000000003</v>
      </c>
      <c r="H1416" s="9">
        <f t="shared" si="251"/>
        <v>8.8585000000000011E-2</v>
      </c>
      <c r="I1416" s="4"/>
      <c r="J1416" s="64">
        <v>540</v>
      </c>
      <c r="K1416" s="31">
        <f t="shared" si="244"/>
        <v>5.6599999999999682</v>
      </c>
      <c r="L1416" s="14">
        <f t="shared" si="246"/>
        <v>1.414999999999992E-3</v>
      </c>
      <c r="M1416" s="4"/>
    </row>
    <row r="1417" spans="2:13">
      <c r="B1417" s="43"/>
      <c r="C1417" s="7">
        <v>1.2395833333334101</v>
      </c>
      <c r="D1417" s="35">
        <v>1.2500000000000799</v>
      </c>
      <c r="E1417" s="30">
        <v>900</v>
      </c>
      <c r="F1417" s="15">
        <v>548.65</v>
      </c>
      <c r="G1417" s="4">
        <f t="shared" si="250"/>
        <v>351.35</v>
      </c>
      <c r="H1417" s="9">
        <f t="shared" si="251"/>
        <v>8.7837499999999999E-2</v>
      </c>
      <c r="I1417" s="4"/>
      <c r="J1417" s="64">
        <v>540</v>
      </c>
      <c r="K1417" s="31">
        <f t="shared" si="244"/>
        <v>8.6499999999999773</v>
      </c>
      <c r="L1417" s="14">
        <f t="shared" si="246"/>
        <v>2.1624999999999943E-3</v>
      </c>
      <c r="M1417" s="4"/>
    </row>
    <row r="1418" spans="2:13">
      <c r="B1418" s="43"/>
      <c r="C1418" s="7">
        <v>1.2500000000000799</v>
      </c>
      <c r="D1418" s="7">
        <v>1.26041666666675</v>
      </c>
      <c r="E1418" s="30">
        <v>900</v>
      </c>
      <c r="F1418" s="15">
        <v>636.77</v>
      </c>
      <c r="G1418" s="4">
        <f t="shared" si="250"/>
        <v>263.23</v>
      </c>
      <c r="H1418" s="9">
        <f t="shared" si="251"/>
        <v>6.5807500000000005E-2</v>
      </c>
      <c r="I1418" s="4"/>
      <c r="J1418" s="29">
        <f>J1417+80</f>
        <v>620</v>
      </c>
      <c r="K1418" s="31">
        <f>J1418-F1418</f>
        <v>-16.769999999999982</v>
      </c>
      <c r="L1418" s="14">
        <f t="shared" si="246"/>
        <v>0</v>
      </c>
      <c r="M1418" s="4"/>
    </row>
    <row r="1419" spans="2:13">
      <c r="B1419" s="43"/>
      <c r="C1419" s="7">
        <v>1.26041666666675</v>
      </c>
      <c r="D1419" s="7">
        <v>1.2708333333334201</v>
      </c>
      <c r="E1419" s="30">
        <v>900</v>
      </c>
      <c r="F1419" s="15">
        <v>720.07</v>
      </c>
      <c r="G1419" s="4">
        <f t="shared" si="250"/>
        <v>179.92999999999995</v>
      </c>
      <c r="H1419" s="9">
        <f t="shared" si="251"/>
        <v>4.4982499999999988E-2</v>
      </c>
      <c r="I1419" s="4"/>
      <c r="J1419" s="64">
        <f t="shared" ref="J1419:J1421" si="252">J1418+80</f>
        <v>700</v>
      </c>
      <c r="K1419" s="31">
        <f t="shared" ref="K1419:K1422" si="253">J1419-F1419</f>
        <v>-20.07000000000005</v>
      </c>
      <c r="L1419" s="14">
        <f t="shared" si="246"/>
        <v>0</v>
      </c>
      <c r="M1419" s="4"/>
    </row>
    <row r="1420" spans="2:13">
      <c r="B1420" s="43"/>
      <c r="C1420" s="7">
        <v>1.2708333333334201</v>
      </c>
      <c r="D1420" s="7">
        <v>1.2812500000000899</v>
      </c>
      <c r="E1420" s="30">
        <v>900</v>
      </c>
      <c r="F1420" s="15">
        <v>821.27</v>
      </c>
      <c r="G1420" s="4">
        <f t="shared" si="250"/>
        <v>78.730000000000018</v>
      </c>
      <c r="H1420" s="9">
        <f t="shared" si="251"/>
        <v>1.9682500000000006E-2</v>
      </c>
      <c r="I1420" s="4"/>
      <c r="J1420" s="64">
        <f t="shared" si="252"/>
        <v>780</v>
      </c>
      <c r="K1420" s="31">
        <f t="shared" si="253"/>
        <v>-41.269999999999982</v>
      </c>
      <c r="L1420" s="14">
        <f t="shared" si="246"/>
        <v>0</v>
      </c>
      <c r="M1420" s="4"/>
    </row>
    <row r="1421" spans="2:13">
      <c r="B1421" s="43"/>
      <c r="C1421" s="7">
        <v>1.2812500000000899</v>
      </c>
      <c r="D1421" s="7">
        <v>1.29166666666676</v>
      </c>
      <c r="E1421" s="30">
        <v>900</v>
      </c>
      <c r="F1421" s="15">
        <v>875.18</v>
      </c>
      <c r="G1421" s="4">
        <f t="shared" si="250"/>
        <v>24.82000000000005</v>
      </c>
      <c r="H1421" s="9">
        <f t="shared" si="251"/>
        <v>6.2050000000000126E-3</v>
      </c>
      <c r="I1421" s="4"/>
      <c r="J1421" s="64">
        <f t="shared" si="252"/>
        <v>860</v>
      </c>
      <c r="K1421" s="31">
        <f t="shared" si="253"/>
        <v>-15.17999999999995</v>
      </c>
      <c r="L1421" s="14">
        <f t="shared" si="246"/>
        <v>0</v>
      </c>
      <c r="M1421" s="4"/>
    </row>
    <row r="1422" spans="2:13">
      <c r="B1422" s="43"/>
      <c r="C1422" s="7">
        <v>1.29166666666676</v>
      </c>
      <c r="D1422" s="7">
        <v>1.3020833333334301</v>
      </c>
      <c r="E1422" s="30">
        <v>900</v>
      </c>
      <c r="F1422" s="15">
        <v>902.1</v>
      </c>
      <c r="G1422" s="4">
        <f t="shared" si="250"/>
        <v>-2.1000000000000227</v>
      </c>
      <c r="H1422" s="76">
        <v>0</v>
      </c>
      <c r="I1422" s="4"/>
      <c r="J1422" s="64">
        <v>900</v>
      </c>
      <c r="K1422" s="31">
        <f t="shared" si="253"/>
        <v>-2.1000000000000227</v>
      </c>
      <c r="L1422" s="14">
        <f t="shared" si="246"/>
        <v>0</v>
      </c>
      <c r="M1422" s="4"/>
    </row>
    <row r="1423" spans="2:13">
      <c r="B1423" s="43"/>
      <c r="C1423" s="43"/>
      <c r="D1423" s="43"/>
      <c r="E1423" s="4"/>
      <c r="F1423" s="4"/>
      <c r="G1423" s="4"/>
      <c r="H1423" s="9"/>
      <c r="I1423" s="9">
        <f>SUM(H1394:H1422)</f>
        <v>2.2721275000000003</v>
      </c>
      <c r="J1423" s="29"/>
      <c r="K1423" s="31"/>
      <c r="L1423" s="14"/>
      <c r="M1423" s="4">
        <f>SUM(L1394:L1422)</f>
        <v>2.4807500000000014E-2</v>
      </c>
    </row>
    <row r="1424" spans="2:13">
      <c r="B1424" s="34">
        <v>46050</v>
      </c>
      <c r="C1424" s="7">
        <v>1.4375000000001401</v>
      </c>
      <c r="D1424" s="7">
        <v>1.4479166666668</v>
      </c>
      <c r="E1424" s="30">
        <v>900</v>
      </c>
      <c r="F1424" s="15">
        <v>902.24</v>
      </c>
      <c r="G1424" s="4">
        <f t="shared" si="250"/>
        <v>-2.2400000000000091</v>
      </c>
      <c r="H1424" s="76">
        <v>0</v>
      </c>
      <c r="I1424" s="4"/>
      <c r="J1424" s="29">
        <f>E1424-30</f>
        <v>870</v>
      </c>
      <c r="K1424" s="31">
        <f t="shared" ref="K1424:K1475" si="254">F1424-J1424</f>
        <v>32.240000000000009</v>
      </c>
      <c r="L1424" s="14"/>
      <c r="M1424" s="4"/>
    </row>
    <row r="1425" spans="2:13">
      <c r="B1425" s="43"/>
      <c r="C1425" s="7">
        <v>1.44791666666681</v>
      </c>
      <c r="D1425" s="7">
        <v>1.45833333333347</v>
      </c>
      <c r="E1425" s="30">
        <v>900</v>
      </c>
      <c r="F1425" s="15">
        <v>822.83</v>
      </c>
      <c r="G1425" s="4">
        <f t="shared" si="250"/>
        <v>77.169999999999959</v>
      </c>
      <c r="H1425" s="9">
        <f t="shared" si="251"/>
        <v>1.929249999999999E-2</v>
      </c>
      <c r="I1425" s="4"/>
      <c r="J1425" s="29">
        <f>J1424-80</f>
        <v>790</v>
      </c>
      <c r="K1425" s="31">
        <f t="shared" si="254"/>
        <v>32.830000000000041</v>
      </c>
      <c r="L1425" s="14">
        <f t="shared" si="246"/>
        <v>8.2075000000000099E-3</v>
      </c>
      <c r="M1425" s="4"/>
    </row>
    <row r="1426" spans="2:13">
      <c r="B1426" s="43"/>
      <c r="C1426" s="7">
        <v>1.45833333333348</v>
      </c>
      <c r="D1426" s="7">
        <v>1.4687500000001401</v>
      </c>
      <c r="E1426" s="30">
        <v>900</v>
      </c>
      <c r="F1426" s="15">
        <v>660.58</v>
      </c>
      <c r="G1426" s="4">
        <f t="shared" si="250"/>
        <v>239.41999999999996</v>
      </c>
      <c r="H1426" s="9">
        <f t="shared" si="251"/>
        <v>5.9854999999999992E-2</v>
      </c>
      <c r="I1426" s="4"/>
      <c r="J1426" s="64">
        <f t="shared" ref="J1426:J1428" si="255">J1425-80</f>
        <v>710</v>
      </c>
      <c r="K1426" s="31">
        <f t="shared" si="254"/>
        <v>-49.419999999999959</v>
      </c>
      <c r="L1426" s="14">
        <f t="shared" si="246"/>
        <v>0</v>
      </c>
      <c r="M1426" s="4"/>
    </row>
    <row r="1427" spans="2:13">
      <c r="B1427" s="43"/>
      <c r="C1427" s="7">
        <v>1.4687500000001501</v>
      </c>
      <c r="D1427" s="7">
        <v>1.47916666666681</v>
      </c>
      <c r="E1427" s="30">
        <v>900</v>
      </c>
      <c r="F1427" s="15">
        <v>567.58000000000004</v>
      </c>
      <c r="G1427" s="4">
        <f t="shared" si="250"/>
        <v>332.41999999999996</v>
      </c>
      <c r="H1427" s="9">
        <f t="shared" si="251"/>
        <v>8.3104999999999984E-2</v>
      </c>
      <c r="I1427" s="4"/>
      <c r="J1427" s="64">
        <f t="shared" si="255"/>
        <v>630</v>
      </c>
      <c r="K1427" s="31">
        <f t="shared" si="254"/>
        <v>-62.419999999999959</v>
      </c>
      <c r="L1427" s="14">
        <f t="shared" si="246"/>
        <v>0</v>
      </c>
      <c r="M1427" s="4"/>
    </row>
    <row r="1428" spans="2:13">
      <c r="B1428" s="43"/>
      <c r="C1428" s="7">
        <v>1.47916666666682</v>
      </c>
      <c r="D1428" s="7">
        <v>1.48958333333348</v>
      </c>
      <c r="E1428" s="30">
        <v>900</v>
      </c>
      <c r="F1428" s="15">
        <v>547.52</v>
      </c>
      <c r="G1428" s="4">
        <f t="shared" si="250"/>
        <v>352.48</v>
      </c>
      <c r="H1428" s="9">
        <f t="shared" si="251"/>
        <v>8.8120000000000004E-2</v>
      </c>
      <c r="I1428" s="4"/>
      <c r="J1428" s="64">
        <f t="shared" si="255"/>
        <v>550</v>
      </c>
      <c r="K1428" s="31">
        <f t="shared" si="254"/>
        <v>-2.4800000000000182</v>
      </c>
      <c r="L1428" s="14">
        <f t="shared" si="246"/>
        <v>0</v>
      </c>
      <c r="M1428" s="4"/>
    </row>
    <row r="1429" spans="2:13">
      <c r="B1429" s="43"/>
      <c r="C1429" s="7">
        <v>1.48958333333349</v>
      </c>
      <c r="D1429" s="7">
        <v>1.5000000000001501</v>
      </c>
      <c r="E1429" s="30">
        <v>900</v>
      </c>
      <c r="F1429" s="15">
        <v>543.54</v>
      </c>
      <c r="G1429" s="4">
        <f t="shared" si="250"/>
        <v>356.46000000000004</v>
      </c>
      <c r="H1429" s="9">
        <f t="shared" si="251"/>
        <v>8.9115000000000014E-2</v>
      </c>
      <c r="I1429" s="4"/>
      <c r="J1429" s="64">
        <v>540</v>
      </c>
      <c r="K1429" s="31">
        <f t="shared" si="254"/>
        <v>3.5399999999999636</v>
      </c>
      <c r="L1429" s="14">
        <f t="shared" si="246"/>
        <v>8.8499999999999094E-4</v>
      </c>
      <c r="M1429" s="4"/>
    </row>
    <row r="1430" spans="2:13">
      <c r="B1430" s="43"/>
      <c r="C1430" s="7">
        <v>1.5000000000001601</v>
      </c>
      <c r="D1430" s="7">
        <v>1.51041666666682</v>
      </c>
      <c r="E1430" s="30">
        <v>900</v>
      </c>
      <c r="F1430" s="15">
        <v>536.79999999999995</v>
      </c>
      <c r="G1430" s="4">
        <f t="shared" si="250"/>
        <v>363.20000000000005</v>
      </c>
      <c r="H1430" s="9">
        <f t="shared" si="251"/>
        <v>9.0800000000000006E-2</v>
      </c>
      <c r="I1430" s="4"/>
      <c r="J1430" s="64">
        <v>540</v>
      </c>
      <c r="K1430" s="31">
        <f t="shared" si="254"/>
        <v>-3.2000000000000455</v>
      </c>
      <c r="L1430" s="14">
        <f t="shared" si="246"/>
        <v>0</v>
      </c>
      <c r="M1430" s="4"/>
    </row>
    <row r="1431" spans="2:13">
      <c r="B1431" s="43"/>
      <c r="C1431" s="7">
        <v>1.5104166666668299</v>
      </c>
      <c r="D1431" s="7">
        <v>1.52083333333349</v>
      </c>
      <c r="E1431" s="30">
        <v>900</v>
      </c>
      <c r="F1431" s="15">
        <v>540.9</v>
      </c>
      <c r="G1431" s="4">
        <f t="shared" si="250"/>
        <v>359.1</v>
      </c>
      <c r="H1431" s="9">
        <f t="shared" si="251"/>
        <v>8.9775000000000008E-2</v>
      </c>
      <c r="I1431" s="4"/>
      <c r="J1431" s="64">
        <v>540</v>
      </c>
      <c r="K1431" s="31">
        <f t="shared" si="254"/>
        <v>0.89999999999997726</v>
      </c>
      <c r="L1431" s="14">
        <f t="shared" si="246"/>
        <v>2.2499999999999433E-4</v>
      </c>
      <c r="M1431" s="4"/>
    </row>
    <row r="1432" spans="2:13">
      <c r="B1432" s="43"/>
      <c r="C1432" s="7">
        <v>1.5208333333335</v>
      </c>
      <c r="D1432" s="7">
        <v>1.5312500000001601</v>
      </c>
      <c r="E1432" s="30">
        <v>900</v>
      </c>
      <c r="F1432" s="15">
        <v>542</v>
      </c>
      <c r="G1432" s="4">
        <f t="shared" si="250"/>
        <v>358</v>
      </c>
      <c r="H1432" s="9">
        <f t="shared" si="251"/>
        <v>8.9499999999999996E-2</v>
      </c>
      <c r="I1432" s="4"/>
      <c r="J1432" s="64">
        <v>540</v>
      </c>
      <c r="K1432" s="31">
        <f t="shared" si="254"/>
        <v>2</v>
      </c>
      <c r="L1432" s="14">
        <f t="shared" ref="L1432:L1489" si="256">IF(K1432/4000&gt;0,K1432/4000,0)</f>
        <v>5.0000000000000001E-4</v>
      </c>
      <c r="M1432" s="4"/>
    </row>
    <row r="1433" spans="2:13">
      <c r="B1433" s="43"/>
      <c r="C1433" s="7">
        <v>1.5312500000001701</v>
      </c>
      <c r="D1433" s="7">
        <v>1.5416666666668299</v>
      </c>
      <c r="E1433" s="30">
        <v>900</v>
      </c>
      <c r="F1433" s="15">
        <v>539.87</v>
      </c>
      <c r="G1433" s="4">
        <f t="shared" si="250"/>
        <v>360.13</v>
      </c>
      <c r="H1433" s="9">
        <f t="shared" si="251"/>
        <v>9.0032500000000001E-2</v>
      </c>
      <c r="I1433" s="4"/>
      <c r="J1433" s="64">
        <v>540</v>
      </c>
      <c r="K1433" s="31">
        <f t="shared" si="254"/>
        <v>-0.12999999999999545</v>
      </c>
      <c r="L1433" s="14">
        <f t="shared" si="256"/>
        <v>0</v>
      </c>
      <c r="M1433" s="4"/>
    </row>
    <row r="1434" spans="2:13">
      <c r="B1434" s="43"/>
      <c r="C1434" s="7">
        <v>1.5416666666668399</v>
      </c>
      <c r="D1434" s="7">
        <v>1.5520833333335</v>
      </c>
      <c r="E1434" s="30">
        <v>900</v>
      </c>
      <c r="F1434" s="15">
        <v>542.21</v>
      </c>
      <c r="G1434" s="4">
        <f t="shared" si="250"/>
        <v>357.78999999999996</v>
      </c>
      <c r="H1434" s="9">
        <f t="shared" si="251"/>
        <v>8.9447499999999985E-2</v>
      </c>
      <c r="I1434" s="4"/>
      <c r="J1434" s="64">
        <v>540</v>
      </c>
      <c r="K1434" s="31">
        <f t="shared" si="254"/>
        <v>2.2100000000000364</v>
      </c>
      <c r="L1434" s="14">
        <f t="shared" si="256"/>
        <v>5.5250000000000915E-4</v>
      </c>
      <c r="M1434" s="4"/>
    </row>
    <row r="1435" spans="2:13">
      <c r="B1435" s="43"/>
      <c r="C1435" s="7">
        <v>1.55208333333351</v>
      </c>
      <c r="D1435" s="7">
        <v>1.5625000000001701</v>
      </c>
      <c r="E1435" s="30">
        <v>900</v>
      </c>
      <c r="F1435" s="15">
        <v>539.95000000000005</v>
      </c>
      <c r="G1435" s="4">
        <f t="shared" si="250"/>
        <v>360.04999999999995</v>
      </c>
      <c r="H1435" s="9">
        <f t="shared" si="251"/>
        <v>9.0012499999999995E-2</v>
      </c>
      <c r="I1435" s="4"/>
      <c r="J1435" s="64">
        <v>540</v>
      </c>
      <c r="K1435" s="31">
        <f t="shared" si="254"/>
        <v>-4.9999999999954525E-2</v>
      </c>
      <c r="L1435" s="14">
        <f t="shared" si="256"/>
        <v>0</v>
      </c>
      <c r="M1435" s="4"/>
    </row>
    <row r="1436" spans="2:13">
      <c r="B1436" s="43"/>
      <c r="C1436" s="7">
        <v>1.5625000000001801</v>
      </c>
      <c r="D1436" s="7">
        <v>1.5729166666668399</v>
      </c>
      <c r="E1436" s="30">
        <v>900</v>
      </c>
      <c r="F1436" s="15">
        <v>537.79</v>
      </c>
      <c r="G1436" s="4">
        <f t="shared" si="250"/>
        <v>362.21000000000004</v>
      </c>
      <c r="H1436" s="9">
        <f t="shared" si="251"/>
        <v>9.0552500000000008E-2</v>
      </c>
      <c r="I1436" s="4"/>
      <c r="J1436" s="64">
        <v>540</v>
      </c>
      <c r="K1436" s="31">
        <f t="shared" si="254"/>
        <v>-2.2100000000000364</v>
      </c>
      <c r="L1436" s="14">
        <f t="shared" si="256"/>
        <v>0</v>
      </c>
      <c r="M1436" s="4"/>
    </row>
    <row r="1437" spans="2:13">
      <c r="B1437" s="43"/>
      <c r="C1437" s="7">
        <v>1.5729166666668499</v>
      </c>
      <c r="D1437" s="7">
        <v>1.58333333333351</v>
      </c>
      <c r="E1437" s="30">
        <v>900</v>
      </c>
      <c r="F1437" s="15">
        <v>540.23</v>
      </c>
      <c r="G1437" s="4">
        <f t="shared" si="250"/>
        <v>359.77</v>
      </c>
      <c r="H1437" s="9">
        <f t="shared" si="251"/>
        <v>8.9942499999999995E-2</v>
      </c>
      <c r="I1437" s="4"/>
      <c r="J1437" s="64">
        <v>540</v>
      </c>
      <c r="K1437" s="31">
        <f t="shared" si="254"/>
        <v>0.23000000000001819</v>
      </c>
      <c r="L1437" s="14">
        <f t="shared" si="256"/>
        <v>5.7500000000004549E-5</v>
      </c>
      <c r="M1437" s="4"/>
    </row>
    <row r="1438" spans="2:13">
      <c r="B1438" s="43"/>
      <c r="C1438" s="7">
        <v>1.58333333333352</v>
      </c>
      <c r="D1438" s="7">
        <v>1.5937500000001801</v>
      </c>
      <c r="E1438" s="30">
        <v>900</v>
      </c>
      <c r="F1438" s="15">
        <v>543.35</v>
      </c>
      <c r="G1438" s="4">
        <f t="shared" si="250"/>
        <v>356.65</v>
      </c>
      <c r="H1438" s="9">
        <f t="shared" si="251"/>
        <v>8.9162499999999992E-2</v>
      </c>
      <c r="I1438" s="4"/>
      <c r="J1438" s="64">
        <v>540</v>
      </c>
      <c r="K1438" s="31">
        <f t="shared" si="254"/>
        <v>3.3500000000000227</v>
      </c>
      <c r="L1438" s="14">
        <f t="shared" si="256"/>
        <v>8.3750000000000567E-4</v>
      </c>
      <c r="M1438" s="4"/>
    </row>
    <row r="1439" spans="2:13">
      <c r="B1439" s="43"/>
      <c r="C1439" s="7">
        <v>1.5937500000001901</v>
      </c>
      <c r="D1439" s="7">
        <v>1.6041666666668499</v>
      </c>
      <c r="E1439" s="30">
        <v>900</v>
      </c>
      <c r="F1439" s="15">
        <v>540.74</v>
      </c>
      <c r="G1439" s="4">
        <f t="shared" si="250"/>
        <v>359.26</v>
      </c>
      <c r="H1439" s="9">
        <f t="shared" si="251"/>
        <v>8.9814999999999992E-2</v>
      </c>
      <c r="I1439" s="4"/>
      <c r="J1439" s="64">
        <v>540</v>
      </c>
      <c r="K1439" s="31">
        <f t="shared" si="254"/>
        <v>0.74000000000000909</v>
      </c>
      <c r="L1439" s="14">
        <f t="shared" si="256"/>
        <v>1.8500000000000227E-4</v>
      </c>
      <c r="M1439" s="4"/>
    </row>
    <row r="1440" spans="2:13">
      <c r="B1440" s="43"/>
      <c r="C1440" s="7">
        <v>1.6041666666668599</v>
      </c>
      <c r="D1440" s="7">
        <v>1.61458333333352</v>
      </c>
      <c r="E1440" s="30">
        <v>900</v>
      </c>
      <c r="F1440" s="15">
        <v>539.84</v>
      </c>
      <c r="G1440" s="4">
        <f t="shared" si="250"/>
        <v>360.15999999999997</v>
      </c>
      <c r="H1440" s="9">
        <f t="shared" si="251"/>
        <v>9.0039999999999995E-2</v>
      </c>
      <c r="I1440" s="4"/>
      <c r="J1440" s="64">
        <v>540</v>
      </c>
      <c r="K1440" s="31">
        <f t="shared" si="254"/>
        <v>-0.15999999999996817</v>
      </c>
      <c r="L1440" s="14">
        <f t="shared" si="256"/>
        <v>0</v>
      </c>
      <c r="M1440" s="4"/>
    </row>
    <row r="1441" spans="2:13">
      <c r="B1441" s="43"/>
      <c r="C1441" s="7">
        <v>1.61458333333353</v>
      </c>
      <c r="D1441" s="35">
        <v>1.6250000000001901</v>
      </c>
      <c r="E1441" s="30">
        <v>900</v>
      </c>
      <c r="F1441" s="15">
        <v>542.91999999999996</v>
      </c>
      <c r="G1441" s="4">
        <f t="shared" si="250"/>
        <v>357.08000000000004</v>
      </c>
      <c r="H1441" s="9">
        <f t="shared" si="251"/>
        <v>8.9270000000000016E-2</v>
      </c>
      <c r="I1441" s="9">
        <f>SUM(H1424:H1441)</f>
        <v>1.4178374999999999</v>
      </c>
      <c r="J1441" s="64">
        <v>540</v>
      </c>
      <c r="K1441" s="31">
        <f t="shared" si="254"/>
        <v>2.9199999999999591</v>
      </c>
      <c r="L1441" s="14">
        <f t="shared" si="256"/>
        <v>7.2999999999998977E-4</v>
      </c>
      <c r="M1441" s="4">
        <f>SUM(L1424:L1441)</f>
        <v>1.2180000000000007E-2</v>
      </c>
    </row>
    <row r="1442" spans="2:13">
      <c r="B1442" s="34">
        <v>46050</v>
      </c>
      <c r="C1442" s="7">
        <v>1.6250000000002001</v>
      </c>
      <c r="D1442" s="7">
        <v>1.6354166666668599</v>
      </c>
      <c r="E1442" s="30">
        <v>970</v>
      </c>
      <c r="F1442" s="15">
        <v>540.86</v>
      </c>
      <c r="G1442" s="4">
        <f t="shared" ref="G1442:G1503" si="257">E1442-F1442</f>
        <v>429.14</v>
      </c>
      <c r="H1442" s="9">
        <f t="shared" ref="H1442:H1503" si="258">G1442/4000</f>
        <v>0.10728499999999999</v>
      </c>
      <c r="I1442" s="4"/>
      <c r="J1442" s="64">
        <v>540</v>
      </c>
      <c r="K1442" s="31">
        <f t="shared" si="254"/>
        <v>0.86000000000001364</v>
      </c>
      <c r="L1442" s="14"/>
      <c r="M1442" s="4"/>
    </row>
    <row r="1443" spans="2:13">
      <c r="B1443" s="43"/>
      <c r="C1443" s="7">
        <v>1.6354166666668699</v>
      </c>
      <c r="D1443" s="7">
        <v>1.64583333333353</v>
      </c>
      <c r="E1443" s="30">
        <v>985.4</v>
      </c>
      <c r="F1443" s="15">
        <v>544.64</v>
      </c>
      <c r="G1443" s="4">
        <f t="shared" si="257"/>
        <v>440.76</v>
      </c>
      <c r="H1443" s="9">
        <f t="shared" si="258"/>
        <v>0.11019</v>
      </c>
      <c r="I1443" s="4"/>
      <c r="J1443" s="64">
        <v>540</v>
      </c>
      <c r="K1443" s="31">
        <f t="shared" si="254"/>
        <v>4.6399999999999864</v>
      </c>
      <c r="L1443" s="14">
        <f t="shared" si="256"/>
        <v>1.1599999999999965E-3</v>
      </c>
      <c r="M1443" s="4"/>
    </row>
    <row r="1444" spans="2:13">
      <c r="B1444" s="43"/>
      <c r="C1444" s="7">
        <v>1.64583333333354</v>
      </c>
      <c r="D1444" s="7">
        <v>1.6562500000002001</v>
      </c>
      <c r="E1444" s="30">
        <v>985.4</v>
      </c>
      <c r="F1444" s="15">
        <v>543.41</v>
      </c>
      <c r="G1444" s="4">
        <f t="shared" si="257"/>
        <v>441.99</v>
      </c>
      <c r="H1444" s="9">
        <f t="shared" si="258"/>
        <v>0.1104975</v>
      </c>
      <c r="I1444" s="4"/>
      <c r="J1444" s="64">
        <v>540</v>
      </c>
      <c r="K1444" s="31">
        <f t="shared" si="254"/>
        <v>3.4099999999999682</v>
      </c>
      <c r="L1444" s="14">
        <f t="shared" si="256"/>
        <v>8.5249999999999204E-4</v>
      </c>
      <c r="M1444" s="4"/>
    </row>
    <row r="1445" spans="2:13">
      <c r="B1445" s="43"/>
      <c r="C1445" s="7">
        <v>1.6562500000002101</v>
      </c>
      <c r="D1445" s="35">
        <v>1.6666666666668699</v>
      </c>
      <c r="E1445" s="30">
        <v>985.4</v>
      </c>
      <c r="F1445" s="15">
        <v>542.91</v>
      </c>
      <c r="G1445" s="4">
        <f t="shared" si="257"/>
        <v>442.49</v>
      </c>
      <c r="H1445" s="9">
        <f t="shared" si="258"/>
        <v>0.1106225</v>
      </c>
      <c r="I1445" s="4"/>
      <c r="J1445" s="64">
        <v>540</v>
      </c>
      <c r="K1445" s="31">
        <f t="shared" si="254"/>
        <v>2.9099999999999682</v>
      </c>
      <c r="L1445" s="14">
        <f t="shared" si="256"/>
        <v>7.2749999999999204E-4</v>
      </c>
      <c r="M1445" s="4"/>
    </row>
    <row r="1446" spans="2:13">
      <c r="B1446" s="43"/>
      <c r="C1446" s="7">
        <v>1.6666666666668899</v>
      </c>
      <c r="D1446" s="7">
        <v>1.67708333333354</v>
      </c>
      <c r="E1446" s="30">
        <v>985.4</v>
      </c>
      <c r="F1446" s="15">
        <v>587.62</v>
      </c>
      <c r="G1446" s="4">
        <f t="shared" si="257"/>
        <v>397.78</v>
      </c>
      <c r="H1446" s="9">
        <f t="shared" si="258"/>
        <v>9.9444999999999992E-2</v>
      </c>
      <c r="I1446" s="4"/>
      <c r="J1446" s="29">
        <f>J1445+80</f>
        <v>620</v>
      </c>
      <c r="K1446" s="31">
        <f>J1446-F1446</f>
        <v>32.379999999999995</v>
      </c>
      <c r="L1446" s="14">
        <f t="shared" si="256"/>
        <v>8.094999999999998E-3</v>
      </c>
      <c r="M1446" s="4"/>
    </row>
    <row r="1447" spans="2:13">
      <c r="B1447" s="43"/>
      <c r="C1447" s="7">
        <v>1.67708333333356</v>
      </c>
      <c r="D1447" s="7">
        <v>1.6875000000002101</v>
      </c>
      <c r="E1447" s="30">
        <v>985.4</v>
      </c>
      <c r="F1447" s="15">
        <v>741.3</v>
      </c>
      <c r="G1447" s="4">
        <f t="shared" si="257"/>
        <v>244.10000000000002</v>
      </c>
      <c r="H1447" s="9">
        <f t="shared" si="258"/>
        <v>6.1025000000000003E-2</v>
      </c>
      <c r="I1447" s="4"/>
      <c r="J1447" s="64">
        <f t="shared" ref="J1447:J1450" si="259">J1446+80</f>
        <v>700</v>
      </c>
      <c r="K1447" s="31">
        <f t="shared" ref="K1447:K1450" si="260">J1447-F1447</f>
        <v>-41.299999999999955</v>
      </c>
      <c r="L1447" s="14">
        <f t="shared" si="256"/>
        <v>0</v>
      </c>
      <c r="M1447" s="4"/>
    </row>
    <row r="1448" spans="2:13">
      <c r="B1448" s="43"/>
      <c r="C1448" s="7">
        <v>1.68750000000023</v>
      </c>
      <c r="D1448" s="7">
        <v>1.6979166666668799</v>
      </c>
      <c r="E1448" s="30">
        <v>985.4</v>
      </c>
      <c r="F1448" s="15">
        <v>921.53</v>
      </c>
      <c r="G1448" s="4">
        <f t="shared" si="257"/>
        <v>63.870000000000005</v>
      </c>
      <c r="H1448" s="9">
        <f t="shared" si="258"/>
        <v>1.5967500000000003E-2</v>
      </c>
      <c r="I1448" s="4"/>
      <c r="J1448" s="64">
        <f t="shared" si="259"/>
        <v>780</v>
      </c>
      <c r="K1448" s="31">
        <f t="shared" si="260"/>
        <v>-141.52999999999997</v>
      </c>
      <c r="L1448" s="14">
        <f t="shared" si="256"/>
        <v>0</v>
      </c>
      <c r="M1448" s="4"/>
    </row>
    <row r="1449" spans="2:13">
      <c r="B1449" s="43"/>
      <c r="C1449" s="7">
        <v>1.6979166666669001</v>
      </c>
      <c r="D1449" s="7">
        <v>1.70833333333355</v>
      </c>
      <c r="E1449" s="30">
        <v>985.4</v>
      </c>
      <c r="F1449" s="15">
        <v>996.92</v>
      </c>
      <c r="G1449" s="4">
        <f t="shared" si="257"/>
        <v>-11.519999999999982</v>
      </c>
      <c r="H1449" s="76">
        <v>0</v>
      </c>
      <c r="I1449" s="4"/>
      <c r="J1449" s="64">
        <f t="shared" si="259"/>
        <v>860</v>
      </c>
      <c r="K1449" s="31">
        <f t="shared" si="260"/>
        <v>-136.91999999999996</v>
      </c>
      <c r="L1449" s="14">
        <f t="shared" si="256"/>
        <v>0</v>
      </c>
      <c r="M1449" s="4"/>
    </row>
    <row r="1450" spans="2:13">
      <c r="B1450" s="43"/>
      <c r="C1450" s="7">
        <v>1.70833333333356</v>
      </c>
      <c r="D1450" s="7">
        <v>1.71875000000022</v>
      </c>
      <c r="E1450" s="30">
        <v>985.4</v>
      </c>
      <c r="F1450" s="15">
        <v>1003.48</v>
      </c>
      <c r="G1450" s="4">
        <f t="shared" si="257"/>
        <v>-18.080000000000041</v>
      </c>
      <c r="H1450" s="76">
        <v>0</v>
      </c>
      <c r="I1450" s="4"/>
      <c r="J1450" s="64">
        <f t="shared" si="259"/>
        <v>940</v>
      </c>
      <c r="K1450" s="31">
        <f t="shared" si="260"/>
        <v>-63.480000000000018</v>
      </c>
      <c r="L1450" s="14">
        <f t="shared" si="256"/>
        <v>0</v>
      </c>
      <c r="M1450" s="4"/>
    </row>
    <row r="1451" spans="2:13">
      <c r="B1451" s="43"/>
      <c r="C1451" s="43"/>
      <c r="D1451" s="43"/>
      <c r="E1451" s="4"/>
      <c r="F1451" s="4"/>
      <c r="G1451" s="4"/>
      <c r="H1451" s="9"/>
      <c r="I1451" s="9">
        <f>SUM(H1442:H1450)</f>
        <v>0.61503249999999998</v>
      </c>
      <c r="J1451" s="29"/>
      <c r="K1451" s="31"/>
      <c r="L1451" s="14"/>
      <c r="M1451" s="4">
        <f>SUM(L1442:L1450)</f>
        <v>1.0834999999999978E-2</v>
      </c>
    </row>
    <row r="1452" spans="2:13">
      <c r="B1452" s="34">
        <v>46050</v>
      </c>
      <c r="C1452" s="7">
        <v>1.84375000000028</v>
      </c>
      <c r="D1452" s="7">
        <v>1.8541666666669301</v>
      </c>
      <c r="E1452" s="30">
        <v>985.4</v>
      </c>
      <c r="F1452" s="15">
        <v>938.26</v>
      </c>
      <c r="G1452" s="4">
        <f t="shared" si="257"/>
        <v>47.139999999999986</v>
      </c>
      <c r="H1452" s="9">
        <f t="shared" si="258"/>
        <v>1.1784999999999997E-2</v>
      </c>
      <c r="I1452" s="4"/>
      <c r="J1452" s="29">
        <f>E1452-30</f>
        <v>955.4</v>
      </c>
      <c r="K1452" s="31">
        <f t="shared" si="254"/>
        <v>-17.139999999999986</v>
      </c>
      <c r="L1452" s="14"/>
      <c r="M1452" s="4"/>
    </row>
    <row r="1453" spans="2:13">
      <c r="B1453" s="43"/>
      <c r="C1453" s="7">
        <v>1.8541666666669501</v>
      </c>
      <c r="D1453" s="7">
        <v>1.8645833333335999</v>
      </c>
      <c r="E1453" s="30">
        <v>985.4</v>
      </c>
      <c r="F1453" s="15">
        <v>878.91</v>
      </c>
      <c r="G1453" s="4">
        <f t="shared" si="257"/>
        <v>106.49000000000001</v>
      </c>
      <c r="H1453" s="9">
        <f t="shared" si="258"/>
        <v>2.6622500000000004E-2</v>
      </c>
      <c r="I1453" s="4"/>
      <c r="J1453" s="29">
        <f>J1452-80</f>
        <v>875.4</v>
      </c>
      <c r="K1453" s="31">
        <f t="shared" si="254"/>
        <v>3.5099999999999909</v>
      </c>
      <c r="L1453" s="14">
        <f t="shared" si="256"/>
        <v>8.7749999999999775E-4</v>
      </c>
      <c r="M1453" s="4"/>
    </row>
    <row r="1454" spans="2:13">
      <c r="B1454" s="43"/>
      <c r="C1454" s="7">
        <v>1.8645833333336199</v>
      </c>
      <c r="D1454" s="7">
        <v>1.87500000000027</v>
      </c>
      <c r="E1454" s="30">
        <v>985.4</v>
      </c>
      <c r="F1454" s="15">
        <v>730.49</v>
      </c>
      <c r="G1454" s="4">
        <f t="shared" si="257"/>
        <v>254.90999999999997</v>
      </c>
      <c r="H1454" s="9">
        <f t="shared" si="258"/>
        <v>6.3727499999999992E-2</v>
      </c>
      <c r="I1454" s="4"/>
      <c r="J1454" s="64">
        <f t="shared" ref="J1454:J1457" si="261">J1453-80</f>
        <v>795.4</v>
      </c>
      <c r="K1454" s="31">
        <f t="shared" si="254"/>
        <v>-64.909999999999968</v>
      </c>
      <c r="L1454" s="14">
        <f t="shared" si="256"/>
        <v>0</v>
      </c>
      <c r="M1454" s="4"/>
    </row>
    <row r="1455" spans="2:13">
      <c r="B1455" s="43"/>
      <c r="C1455" s="7">
        <v>1.87500000000029</v>
      </c>
      <c r="D1455" s="7">
        <v>1.8854166666669401</v>
      </c>
      <c r="E1455" s="30">
        <v>985.4</v>
      </c>
      <c r="F1455" s="15">
        <v>577.44000000000005</v>
      </c>
      <c r="G1455" s="4">
        <f t="shared" si="257"/>
        <v>407.95999999999992</v>
      </c>
      <c r="H1455" s="9">
        <f t="shared" si="258"/>
        <v>0.10198999999999998</v>
      </c>
      <c r="I1455" s="4"/>
      <c r="J1455" s="64">
        <f t="shared" si="261"/>
        <v>715.4</v>
      </c>
      <c r="K1455" s="31">
        <f t="shared" si="254"/>
        <v>-137.95999999999992</v>
      </c>
      <c r="L1455" s="14">
        <f t="shared" si="256"/>
        <v>0</v>
      </c>
      <c r="M1455" s="4"/>
    </row>
    <row r="1456" spans="2:13">
      <c r="B1456" s="43"/>
      <c r="C1456" s="7">
        <v>1.8854166666669601</v>
      </c>
      <c r="D1456" s="7">
        <v>1.8958333333336099</v>
      </c>
      <c r="E1456" s="30">
        <v>985.4</v>
      </c>
      <c r="F1456" s="15">
        <v>548.17999999999995</v>
      </c>
      <c r="G1456" s="4">
        <f t="shared" si="257"/>
        <v>437.22</v>
      </c>
      <c r="H1456" s="9">
        <f t="shared" si="258"/>
        <v>0.10930500000000001</v>
      </c>
      <c r="I1456" s="4"/>
      <c r="J1456" s="64">
        <f t="shared" si="261"/>
        <v>635.4</v>
      </c>
      <c r="K1456" s="31">
        <f t="shared" si="254"/>
        <v>-87.220000000000027</v>
      </c>
      <c r="L1456" s="14">
        <f t="shared" si="256"/>
        <v>0</v>
      </c>
      <c r="M1456" s="4"/>
    </row>
    <row r="1457" spans="2:13">
      <c r="B1457" s="43"/>
      <c r="C1457" s="7">
        <v>1.8958333333336299</v>
      </c>
      <c r="D1457" s="7">
        <v>1.90625000000028</v>
      </c>
      <c r="E1457" s="30">
        <v>985.4</v>
      </c>
      <c r="F1457" s="15">
        <v>542.12</v>
      </c>
      <c r="G1457" s="4">
        <f t="shared" si="257"/>
        <v>443.28</v>
      </c>
      <c r="H1457" s="9">
        <f t="shared" si="258"/>
        <v>0.11081999999999999</v>
      </c>
      <c r="I1457" s="4"/>
      <c r="J1457" s="64">
        <f t="shared" si="261"/>
        <v>555.4</v>
      </c>
      <c r="K1457" s="31">
        <f t="shared" si="254"/>
        <v>-13.279999999999973</v>
      </c>
      <c r="L1457" s="14">
        <f t="shared" si="256"/>
        <v>0</v>
      </c>
      <c r="M1457" s="4"/>
    </row>
    <row r="1458" spans="2:13">
      <c r="B1458" s="43"/>
      <c r="C1458" s="7">
        <v>1.9062500000003</v>
      </c>
      <c r="D1458" s="7">
        <v>1.9166666666669501</v>
      </c>
      <c r="E1458" s="30">
        <v>985.4</v>
      </c>
      <c r="F1458" s="15">
        <v>543.73</v>
      </c>
      <c r="G1458" s="4">
        <f t="shared" si="257"/>
        <v>441.66999999999996</v>
      </c>
      <c r="H1458" s="9">
        <f t="shared" si="258"/>
        <v>0.11041749999999999</v>
      </c>
      <c r="I1458" s="4"/>
      <c r="J1458" s="64">
        <v>540</v>
      </c>
      <c r="K1458" s="31">
        <f t="shared" si="254"/>
        <v>3.7300000000000182</v>
      </c>
      <c r="L1458" s="14">
        <f t="shared" si="256"/>
        <v>9.3250000000000451E-4</v>
      </c>
      <c r="M1458" s="4"/>
    </row>
    <row r="1459" spans="2:13">
      <c r="B1459" s="43"/>
      <c r="C1459" s="7">
        <v>1.9166666666669701</v>
      </c>
      <c r="D1459" s="7">
        <v>1.9270833333336199</v>
      </c>
      <c r="E1459" s="30">
        <v>985.4</v>
      </c>
      <c r="F1459" s="15">
        <v>544.17999999999995</v>
      </c>
      <c r="G1459" s="4">
        <f t="shared" si="257"/>
        <v>441.22</v>
      </c>
      <c r="H1459" s="9">
        <f t="shared" si="258"/>
        <v>0.110305</v>
      </c>
      <c r="I1459" s="4"/>
      <c r="J1459" s="64">
        <v>540</v>
      </c>
      <c r="K1459" s="31">
        <f t="shared" si="254"/>
        <v>4.17999999999995</v>
      </c>
      <c r="L1459" s="14">
        <f t="shared" si="256"/>
        <v>1.0449999999999876E-3</v>
      </c>
      <c r="M1459" s="4"/>
    </row>
    <row r="1460" spans="2:13">
      <c r="B1460" s="43"/>
      <c r="C1460" s="7">
        <v>1.9270833333336399</v>
      </c>
      <c r="D1460" s="7">
        <v>1.93750000000029</v>
      </c>
      <c r="E1460" s="30">
        <v>985.4</v>
      </c>
      <c r="F1460" s="15">
        <v>540.97</v>
      </c>
      <c r="G1460" s="4">
        <f t="shared" si="257"/>
        <v>444.42999999999995</v>
      </c>
      <c r="H1460" s="9">
        <f t="shared" si="258"/>
        <v>0.11110749999999998</v>
      </c>
      <c r="I1460" s="4"/>
      <c r="J1460" s="64">
        <v>540</v>
      </c>
      <c r="K1460" s="31">
        <f t="shared" si="254"/>
        <v>0.97000000000002728</v>
      </c>
      <c r="L1460" s="14">
        <f t="shared" si="256"/>
        <v>2.4250000000000682E-4</v>
      </c>
      <c r="M1460" s="4"/>
    </row>
    <row r="1461" spans="2:13">
      <c r="B1461" s="43"/>
      <c r="C1461" s="7">
        <v>1.93750000000031</v>
      </c>
      <c r="D1461" s="7">
        <v>1.9479166666669601</v>
      </c>
      <c r="E1461" s="30">
        <v>985.4</v>
      </c>
      <c r="F1461" s="15">
        <v>543.48</v>
      </c>
      <c r="G1461" s="4">
        <f t="shared" si="257"/>
        <v>441.91999999999996</v>
      </c>
      <c r="H1461" s="9">
        <f t="shared" si="258"/>
        <v>0.11047999999999999</v>
      </c>
      <c r="I1461" s="4"/>
      <c r="J1461" s="64">
        <v>540</v>
      </c>
      <c r="K1461" s="31">
        <f t="shared" si="254"/>
        <v>3.4800000000000182</v>
      </c>
      <c r="L1461" s="14">
        <f t="shared" si="256"/>
        <v>8.7000000000000456E-4</v>
      </c>
      <c r="M1461" s="4"/>
    </row>
    <row r="1462" spans="2:13">
      <c r="B1462" s="43"/>
      <c r="C1462" s="7">
        <v>1.94791666666698</v>
      </c>
      <c r="D1462" s="7">
        <v>1.9583333333336299</v>
      </c>
      <c r="E1462" s="30">
        <v>985.4</v>
      </c>
      <c r="F1462" s="15">
        <v>541.44000000000005</v>
      </c>
      <c r="G1462" s="4">
        <f t="shared" si="257"/>
        <v>443.95999999999992</v>
      </c>
      <c r="H1462" s="9">
        <f t="shared" si="258"/>
        <v>0.11098999999999998</v>
      </c>
      <c r="I1462" s="4"/>
      <c r="J1462" s="64">
        <v>540</v>
      </c>
      <c r="K1462" s="31">
        <f t="shared" si="254"/>
        <v>1.4400000000000546</v>
      </c>
      <c r="L1462" s="14">
        <f t="shared" si="256"/>
        <v>3.6000000000001363E-4</v>
      </c>
      <c r="M1462" s="4"/>
    </row>
    <row r="1463" spans="2:13">
      <c r="B1463" s="43"/>
      <c r="C1463" s="7">
        <v>1.9583333333336499</v>
      </c>
      <c r="D1463" s="7">
        <v>1.9687500000003</v>
      </c>
      <c r="E1463" s="30">
        <v>985.4</v>
      </c>
      <c r="F1463" s="15">
        <v>540.87</v>
      </c>
      <c r="G1463" s="4">
        <f t="shared" si="257"/>
        <v>444.53</v>
      </c>
      <c r="H1463" s="9">
        <f t="shared" si="258"/>
        <v>0.1111325</v>
      </c>
      <c r="I1463" s="4"/>
      <c r="J1463" s="64">
        <v>540</v>
      </c>
      <c r="K1463" s="31">
        <f t="shared" si="254"/>
        <v>0.87000000000000455</v>
      </c>
      <c r="L1463" s="14">
        <f t="shared" si="256"/>
        <v>2.1750000000000114E-4</v>
      </c>
      <c r="M1463" s="4"/>
    </row>
    <row r="1464" spans="2:13">
      <c r="B1464" s="43"/>
      <c r="C1464" s="7">
        <v>1.96875000000032</v>
      </c>
      <c r="D1464" s="7">
        <v>1.9791666666669701</v>
      </c>
      <c r="E1464" s="30">
        <v>985.4</v>
      </c>
      <c r="F1464" s="15">
        <v>543.49</v>
      </c>
      <c r="G1464" s="4">
        <f t="shared" si="257"/>
        <v>441.90999999999997</v>
      </c>
      <c r="H1464" s="9">
        <f t="shared" si="258"/>
        <v>0.11047749999999999</v>
      </c>
      <c r="I1464" s="4"/>
      <c r="J1464" s="64">
        <v>540</v>
      </c>
      <c r="K1464" s="31">
        <f t="shared" si="254"/>
        <v>3.4900000000000091</v>
      </c>
      <c r="L1464" s="14">
        <f t="shared" si="256"/>
        <v>8.7250000000000229E-4</v>
      </c>
      <c r="M1464" s="4"/>
    </row>
    <row r="1465" spans="2:13">
      <c r="B1465" s="43"/>
      <c r="C1465" s="7">
        <v>1.97916666666699</v>
      </c>
      <c r="D1465" s="7">
        <v>1.9895833333336399</v>
      </c>
      <c r="E1465" s="30">
        <v>985.4</v>
      </c>
      <c r="F1465" s="15">
        <v>546.44000000000005</v>
      </c>
      <c r="G1465" s="4">
        <f t="shared" si="257"/>
        <v>438.95999999999992</v>
      </c>
      <c r="H1465" s="9">
        <f t="shared" si="258"/>
        <v>0.10973999999999998</v>
      </c>
      <c r="I1465" s="4"/>
      <c r="J1465" s="64">
        <v>540</v>
      </c>
      <c r="K1465" s="31">
        <f t="shared" si="254"/>
        <v>6.4400000000000546</v>
      </c>
      <c r="L1465" s="14">
        <f t="shared" si="256"/>
        <v>1.6100000000000135E-3</v>
      </c>
      <c r="M1465" s="4"/>
    </row>
    <row r="1466" spans="2:13">
      <c r="B1466" s="43"/>
      <c r="C1466" s="7">
        <v>1.9895833333336601</v>
      </c>
      <c r="D1466" s="35">
        <v>2.00000000000031</v>
      </c>
      <c r="E1466" s="30">
        <v>985.4</v>
      </c>
      <c r="F1466" s="48">
        <v>544.67999999999995</v>
      </c>
      <c r="G1466" s="4">
        <f t="shared" si="257"/>
        <v>440.72</v>
      </c>
      <c r="H1466" s="9">
        <f t="shared" si="258"/>
        <v>0.11018</v>
      </c>
      <c r="I1466" s="4"/>
      <c r="J1466" s="64">
        <v>540</v>
      </c>
      <c r="K1466" s="31">
        <f t="shared" si="254"/>
        <v>4.67999999999995</v>
      </c>
      <c r="L1466" s="14">
        <f t="shared" si="256"/>
        <v>1.1699999999999875E-3</v>
      </c>
      <c r="M1466" s="4"/>
    </row>
    <row r="1467" spans="2:13">
      <c r="B1467" s="43"/>
      <c r="C1467" s="43"/>
      <c r="D1467" s="43"/>
      <c r="E1467" s="4"/>
      <c r="F1467" s="4"/>
      <c r="G1467" s="4"/>
      <c r="H1467" s="9"/>
      <c r="I1467" s="9">
        <f>SUM(H1452:H1466)</f>
        <v>1.4190799999999999</v>
      </c>
      <c r="J1467" s="29"/>
      <c r="K1467" s="31"/>
      <c r="L1467" s="14"/>
      <c r="M1467" s="4">
        <f>SUM(L1452:L1466)</f>
        <v>8.197500000000019E-3</v>
      </c>
    </row>
    <row r="1468" spans="2:13">
      <c r="B1468" s="34">
        <v>46051</v>
      </c>
      <c r="C1468" s="7">
        <v>1</v>
      </c>
      <c r="D1468" s="7">
        <v>1.0104166666666701</v>
      </c>
      <c r="E1468" s="30">
        <v>985.4</v>
      </c>
      <c r="F1468" s="60">
        <v>544.25</v>
      </c>
      <c r="G1468" s="4">
        <f t="shared" si="257"/>
        <v>441.15</v>
      </c>
      <c r="H1468" s="9">
        <f t="shared" si="258"/>
        <v>0.1102875</v>
      </c>
      <c r="I1468" s="4"/>
      <c r="J1468" s="65">
        <v>540</v>
      </c>
      <c r="K1468" s="31">
        <f t="shared" si="254"/>
        <v>4.25</v>
      </c>
      <c r="L1468" s="14"/>
      <c r="M1468" s="4"/>
    </row>
    <row r="1469" spans="2:13">
      <c r="B1469" s="43"/>
      <c r="C1469" s="7">
        <v>1.0104166666666701</v>
      </c>
      <c r="D1469" s="7">
        <v>1.0208333333333399</v>
      </c>
      <c r="E1469" s="30">
        <v>985.4</v>
      </c>
      <c r="F1469" s="60">
        <v>544.95000000000005</v>
      </c>
      <c r="G1469" s="4">
        <f t="shared" si="257"/>
        <v>440.44999999999993</v>
      </c>
      <c r="H1469" s="9">
        <f t="shared" si="258"/>
        <v>0.11011249999999999</v>
      </c>
      <c r="I1469" s="4"/>
      <c r="J1469" s="65">
        <v>540</v>
      </c>
      <c r="K1469" s="31">
        <f t="shared" si="254"/>
        <v>4.9500000000000455</v>
      </c>
      <c r="L1469" s="14">
        <f t="shared" si="256"/>
        <v>1.2375000000000114E-3</v>
      </c>
      <c r="M1469" s="4"/>
    </row>
    <row r="1470" spans="2:13">
      <c r="B1470" s="43"/>
      <c r="C1470" s="7">
        <v>1.0208333333333399</v>
      </c>
      <c r="D1470" s="7">
        <v>1.03125000000001</v>
      </c>
      <c r="E1470" s="30">
        <v>985.4</v>
      </c>
      <c r="F1470" s="60">
        <v>544.97</v>
      </c>
      <c r="G1470" s="4">
        <f t="shared" si="257"/>
        <v>440.42999999999995</v>
      </c>
      <c r="H1470" s="9">
        <f t="shared" si="258"/>
        <v>0.11010749999999998</v>
      </c>
      <c r="I1470" s="4"/>
      <c r="J1470" s="65">
        <v>540</v>
      </c>
      <c r="K1470" s="31">
        <f t="shared" si="254"/>
        <v>4.9700000000000273</v>
      </c>
      <c r="L1470" s="14">
        <f t="shared" si="256"/>
        <v>1.2425000000000068E-3</v>
      </c>
      <c r="M1470" s="4"/>
    </row>
    <row r="1471" spans="2:13">
      <c r="B1471" s="43"/>
      <c r="C1471" s="7">
        <v>1.03125000000001</v>
      </c>
      <c r="D1471" s="7">
        <v>1.0416666666666801</v>
      </c>
      <c r="E1471" s="30">
        <v>985.4</v>
      </c>
      <c r="F1471" s="60">
        <v>545.80999999999995</v>
      </c>
      <c r="G1471" s="4">
        <f t="shared" si="257"/>
        <v>439.59000000000003</v>
      </c>
      <c r="H1471" s="9">
        <f t="shared" si="258"/>
        <v>0.10989750000000001</v>
      </c>
      <c r="I1471" s="4"/>
      <c r="J1471" s="65">
        <v>540</v>
      </c>
      <c r="K1471" s="31">
        <f t="shared" si="254"/>
        <v>5.8099999999999454</v>
      </c>
      <c r="L1471" s="14">
        <f t="shared" si="256"/>
        <v>1.4524999999999864E-3</v>
      </c>
      <c r="M1471" s="4"/>
    </row>
    <row r="1472" spans="2:13">
      <c r="B1472" s="43"/>
      <c r="C1472" s="7">
        <v>1.0416666666666801</v>
      </c>
      <c r="D1472" s="7">
        <v>1.0520833333333499</v>
      </c>
      <c r="E1472" s="30">
        <v>985.4</v>
      </c>
      <c r="F1472" s="60">
        <v>546.08000000000004</v>
      </c>
      <c r="G1472" s="4">
        <f t="shared" si="257"/>
        <v>439.31999999999994</v>
      </c>
      <c r="H1472" s="9">
        <f t="shared" si="258"/>
        <v>0.10982999999999998</v>
      </c>
      <c r="I1472" s="4"/>
      <c r="J1472" s="65">
        <v>540</v>
      </c>
      <c r="K1472" s="31">
        <f t="shared" si="254"/>
        <v>6.0800000000000409</v>
      </c>
      <c r="L1472" s="14">
        <f t="shared" si="256"/>
        <v>1.5200000000000103E-3</v>
      </c>
      <c r="M1472" s="4"/>
    </row>
    <row r="1473" spans="2:13">
      <c r="B1473" s="43"/>
      <c r="C1473" s="7">
        <v>1.0520833333333499</v>
      </c>
      <c r="D1473" s="7">
        <v>1.06250000000002</v>
      </c>
      <c r="E1473" s="30">
        <v>985.4</v>
      </c>
      <c r="F1473" s="60">
        <v>544.91999999999996</v>
      </c>
      <c r="G1473" s="4">
        <f t="shared" si="257"/>
        <v>440.48</v>
      </c>
      <c r="H1473" s="9">
        <f t="shared" si="258"/>
        <v>0.11012000000000001</v>
      </c>
      <c r="I1473" s="4"/>
      <c r="J1473" s="64">
        <v>540</v>
      </c>
      <c r="K1473" s="31">
        <f t="shared" si="254"/>
        <v>4.9199999999999591</v>
      </c>
      <c r="L1473" s="14">
        <f t="shared" si="256"/>
        <v>1.2299999999999898E-3</v>
      </c>
      <c r="M1473" s="4"/>
    </row>
    <row r="1474" spans="2:13">
      <c r="B1474" s="43"/>
      <c r="C1474" s="7">
        <v>1.06250000000002</v>
      </c>
      <c r="D1474" s="7">
        <v>1.0729166666666901</v>
      </c>
      <c r="E1474" s="30">
        <v>985.4</v>
      </c>
      <c r="F1474" s="60">
        <v>545.34</v>
      </c>
      <c r="G1474" s="4">
        <f t="shared" si="257"/>
        <v>440.05999999999995</v>
      </c>
      <c r="H1474" s="9">
        <f t="shared" si="258"/>
        <v>0.11001499999999999</v>
      </c>
      <c r="I1474" s="4"/>
      <c r="J1474" s="64">
        <v>540</v>
      </c>
      <c r="K1474" s="31">
        <f t="shared" si="254"/>
        <v>5.3400000000000318</v>
      </c>
      <c r="L1474" s="14">
        <f t="shared" si="256"/>
        <v>1.3350000000000081E-3</v>
      </c>
      <c r="M1474" s="4"/>
    </row>
    <row r="1475" spans="2:13">
      <c r="B1475" s="43"/>
      <c r="C1475" s="7">
        <v>1.0729166666666901</v>
      </c>
      <c r="D1475" s="7">
        <v>1.0833333333333599</v>
      </c>
      <c r="E1475" s="30">
        <v>985.4</v>
      </c>
      <c r="F1475" s="60">
        <v>545.04999999999995</v>
      </c>
      <c r="G1475" s="4">
        <f t="shared" si="257"/>
        <v>440.35</v>
      </c>
      <c r="H1475" s="9">
        <f t="shared" si="258"/>
        <v>0.1100875</v>
      </c>
      <c r="I1475" s="4"/>
      <c r="J1475" s="64">
        <v>540</v>
      </c>
      <c r="K1475" s="31">
        <f t="shared" si="254"/>
        <v>5.0499999999999545</v>
      </c>
      <c r="L1475" s="14">
        <f t="shared" si="256"/>
        <v>1.2624999999999887E-3</v>
      </c>
      <c r="M1475" s="4"/>
    </row>
    <row r="1476" spans="2:13">
      <c r="B1476" s="43"/>
      <c r="C1476" s="7">
        <v>1.0833333333333599</v>
      </c>
      <c r="D1476" s="7">
        <v>1.09375000000003</v>
      </c>
      <c r="E1476" s="30">
        <v>985.4</v>
      </c>
      <c r="F1476" s="60">
        <v>545.04</v>
      </c>
      <c r="G1476" s="4">
        <f t="shared" si="257"/>
        <v>440.36</v>
      </c>
      <c r="H1476" s="9">
        <f t="shared" si="258"/>
        <v>0.11009000000000001</v>
      </c>
      <c r="I1476" s="4"/>
      <c r="J1476" s="64">
        <v>540</v>
      </c>
      <c r="K1476" s="31">
        <f t="shared" ref="K1476:K1542" si="262">F1476-J1476</f>
        <v>5.0399999999999636</v>
      </c>
      <c r="L1476" s="14">
        <f t="shared" si="256"/>
        <v>1.2599999999999909E-3</v>
      </c>
      <c r="M1476" s="4"/>
    </row>
    <row r="1477" spans="2:13">
      <c r="B1477" s="43"/>
      <c r="C1477" s="7">
        <v>1.09375000000003</v>
      </c>
      <c r="D1477" s="7">
        <v>1.1041666666667</v>
      </c>
      <c r="E1477" s="30">
        <v>985.4</v>
      </c>
      <c r="F1477" s="60">
        <v>543.15</v>
      </c>
      <c r="G1477" s="4">
        <f t="shared" si="257"/>
        <v>442.25</v>
      </c>
      <c r="H1477" s="9">
        <f t="shared" si="258"/>
        <v>0.11056249999999999</v>
      </c>
      <c r="I1477" s="4"/>
      <c r="J1477" s="64">
        <v>540</v>
      </c>
      <c r="K1477" s="31">
        <f t="shared" si="262"/>
        <v>3.1499999999999773</v>
      </c>
      <c r="L1477" s="14">
        <f t="shared" si="256"/>
        <v>7.8749999999999437E-4</v>
      </c>
      <c r="M1477" s="4"/>
    </row>
    <row r="1478" spans="2:13">
      <c r="B1478" s="43"/>
      <c r="C1478" s="7">
        <v>1.1041666666667</v>
      </c>
      <c r="D1478" s="7">
        <v>1.1145833333333699</v>
      </c>
      <c r="E1478" s="30">
        <v>985.4</v>
      </c>
      <c r="F1478" s="60">
        <v>544.92999999999995</v>
      </c>
      <c r="G1478" s="4">
        <f t="shared" si="257"/>
        <v>440.47</v>
      </c>
      <c r="H1478" s="9">
        <f t="shared" si="258"/>
        <v>0.11011750000000001</v>
      </c>
      <c r="I1478" s="4"/>
      <c r="J1478" s="64">
        <v>540</v>
      </c>
      <c r="K1478" s="31">
        <f t="shared" si="262"/>
        <v>4.92999999999995</v>
      </c>
      <c r="L1478" s="14">
        <f t="shared" si="256"/>
        <v>1.2324999999999875E-3</v>
      </c>
      <c r="M1478" s="4"/>
    </row>
    <row r="1479" spans="2:13">
      <c r="B1479" s="43"/>
      <c r="C1479" s="7">
        <v>1.1145833333333699</v>
      </c>
      <c r="D1479" s="7">
        <v>1.12500000000004</v>
      </c>
      <c r="E1479" s="30">
        <v>985.4</v>
      </c>
      <c r="F1479" s="60">
        <v>544.22</v>
      </c>
      <c r="G1479" s="4">
        <f t="shared" si="257"/>
        <v>441.17999999999995</v>
      </c>
      <c r="H1479" s="9">
        <f t="shared" si="258"/>
        <v>0.11029499999999999</v>
      </c>
      <c r="I1479" s="4"/>
      <c r="J1479" s="64">
        <v>540</v>
      </c>
      <c r="K1479" s="31">
        <f t="shared" si="262"/>
        <v>4.2200000000000273</v>
      </c>
      <c r="L1479" s="14">
        <f t="shared" si="256"/>
        <v>1.0550000000000069E-3</v>
      </c>
      <c r="M1479" s="4"/>
    </row>
    <row r="1480" spans="2:13">
      <c r="B1480" s="43"/>
      <c r="C1480" s="7">
        <v>1.12500000000004</v>
      </c>
      <c r="D1480" s="7">
        <v>1.13541666666671</v>
      </c>
      <c r="E1480" s="30">
        <v>985.4</v>
      </c>
      <c r="F1480" s="60">
        <v>544.73</v>
      </c>
      <c r="G1480" s="4">
        <f t="shared" si="257"/>
        <v>440.66999999999996</v>
      </c>
      <c r="H1480" s="9">
        <f t="shared" si="258"/>
        <v>0.11016749999999999</v>
      </c>
      <c r="I1480" s="4"/>
      <c r="J1480" s="64">
        <v>540</v>
      </c>
      <c r="K1480" s="31">
        <f t="shared" si="262"/>
        <v>4.7300000000000182</v>
      </c>
      <c r="L1480" s="14">
        <f t="shared" si="256"/>
        <v>1.1825000000000045E-3</v>
      </c>
      <c r="M1480" s="4"/>
    </row>
    <row r="1481" spans="2:13">
      <c r="B1481" s="43"/>
      <c r="C1481" s="7">
        <v>1.13541666666671</v>
      </c>
      <c r="D1481" s="7">
        <v>1.1458333333333801</v>
      </c>
      <c r="E1481" s="30">
        <v>985.4</v>
      </c>
      <c r="F1481" s="60">
        <v>544.80999999999995</v>
      </c>
      <c r="G1481" s="4">
        <f t="shared" si="257"/>
        <v>440.59000000000003</v>
      </c>
      <c r="H1481" s="9">
        <f t="shared" si="258"/>
        <v>0.11014750000000001</v>
      </c>
      <c r="I1481" s="4"/>
      <c r="J1481" s="64">
        <v>540</v>
      </c>
      <c r="K1481" s="31">
        <f t="shared" si="262"/>
        <v>4.8099999999999454</v>
      </c>
      <c r="L1481" s="14">
        <f t="shared" si="256"/>
        <v>1.2024999999999863E-3</v>
      </c>
      <c r="M1481" s="4"/>
    </row>
    <row r="1482" spans="2:13">
      <c r="B1482" s="43"/>
      <c r="C1482" s="7">
        <v>1.1458333333333801</v>
      </c>
      <c r="D1482" s="7">
        <v>1.15625000000005</v>
      </c>
      <c r="E1482" s="30">
        <v>985.4</v>
      </c>
      <c r="F1482" s="60">
        <v>545.25</v>
      </c>
      <c r="G1482" s="4">
        <f t="shared" si="257"/>
        <v>440.15</v>
      </c>
      <c r="H1482" s="9">
        <f t="shared" si="258"/>
        <v>0.1100375</v>
      </c>
      <c r="I1482" s="4"/>
      <c r="J1482" s="64">
        <v>540</v>
      </c>
      <c r="K1482" s="31">
        <f t="shared" si="262"/>
        <v>5.25</v>
      </c>
      <c r="L1482" s="14">
        <f t="shared" si="256"/>
        <v>1.3125000000000001E-3</v>
      </c>
      <c r="M1482" s="4"/>
    </row>
    <row r="1483" spans="2:13">
      <c r="B1483" s="43"/>
      <c r="C1483" s="7">
        <v>1.15625000000005</v>
      </c>
      <c r="D1483" s="7">
        <v>1.16666666666672</v>
      </c>
      <c r="E1483" s="30">
        <v>985.4</v>
      </c>
      <c r="F1483" s="60">
        <v>542.98</v>
      </c>
      <c r="G1483" s="4">
        <f t="shared" si="257"/>
        <v>442.41999999999996</v>
      </c>
      <c r="H1483" s="9">
        <f t="shared" si="258"/>
        <v>0.11060499999999999</v>
      </c>
      <c r="I1483" s="4"/>
      <c r="J1483" s="64">
        <v>540</v>
      </c>
      <c r="K1483" s="31">
        <f t="shared" si="262"/>
        <v>2.9800000000000182</v>
      </c>
      <c r="L1483" s="14">
        <f t="shared" si="256"/>
        <v>7.4500000000000456E-4</v>
      </c>
      <c r="M1483" s="4"/>
    </row>
    <row r="1484" spans="2:13">
      <c r="B1484" s="43"/>
      <c r="C1484" s="7">
        <v>1.16666666666672</v>
      </c>
      <c r="D1484" s="7">
        <v>1.1770833333333901</v>
      </c>
      <c r="E1484" s="30">
        <v>985.4</v>
      </c>
      <c r="F1484" s="60">
        <v>542.41999999999996</v>
      </c>
      <c r="G1484" s="4">
        <f t="shared" si="257"/>
        <v>442.98</v>
      </c>
      <c r="H1484" s="9">
        <f t="shared" si="258"/>
        <v>0.11074500000000001</v>
      </c>
      <c r="I1484" s="4"/>
      <c r="J1484" s="64">
        <v>540</v>
      </c>
      <c r="K1484" s="31">
        <f t="shared" si="262"/>
        <v>2.4199999999999591</v>
      </c>
      <c r="L1484" s="14">
        <f t="shared" si="256"/>
        <v>6.0499999999998977E-4</v>
      </c>
      <c r="M1484" s="4"/>
    </row>
    <row r="1485" spans="2:13">
      <c r="B1485" s="43"/>
      <c r="C1485" s="7">
        <v>1.1770833333333901</v>
      </c>
      <c r="D1485" s="7">
        <v>1.18750000000006</v>
      </c>
      <c r="E1485" s="30">
        <v>985.4</v>
      </c>
      <c r="F1485" s="60">
        <v>544.4</v>
      </c>
      <c r="G1485" s="4">
        <f t="shared" si="257"/>
        <v>441</v>
      </c>
      <c r="H1485" s="9">
        <f t="shared" si="258"/>
        <v>0.11025</v>
      </c>
      <c r="I1485" s="4"/>
      <c r="J1485" s="64">
        <v>540</v>
      </c>
      <c r="K1485" s="31">
        <f t="shared" si="262"/>
        <v>4.3999999999999773</v>
      </c>
      <c r="L1485" s="14">
        <f t="shared" si="256"/>
        <v>1.0999999999999942E-3</v>
      </c>
      <c r="M1485" s="4"/>
    </row>
    <row r="1486" spans="2:13">
      <c r="B1486" s="43"/>
      <c r="C1486" s="7">
        <v>1.18750000000006</v>
      </c>
      <c r="D1486" s="7">
        <v>1.19791666666673</v>
      </c>
      <c r="E1486" s="30">
        <v>985.4</v>
      </c>
      <c r="F1486" s="60">
        <v>545.54</v>
      </c>
      <c r="G1486" s="4">
        <f t="shared" si="257"/>
        <v>439.86</v>
      </c>
      <c r="H1486" s="9">
        <f t="shared" si="258"/>
        <v>0.10996500000000001</v>
      </c>
      <c r="I1486" s="4"/>
      <c r="J1486" s="64">
        <v>540</v>
      </c>
      <c r="K1486" s="31">
        <f t="shared" si="262"/>
        <v>5.5399999999999636</v>
      </c>
      <c r="L1486" s="14">
        <f t="shared" si="256"/>
        <v>1.3849999999999908E-3</v>
      </c>
      <c r="M1486" s="4"/>
    </row>
    <row r="1487" spans="2:13">
      <c r="B1487" s="43"/>
      <c r="C1487" s="7">
        <v>1.19791666666673</v>
      </c>
      <c r="D1487" s="7">
        <v>1.2083333333334001</v>
      </c>
      <c r="E1487" s="30">
        <v>985.4</v>
      </c>
      <c r="F1487" s="60">
        <v>545.09</v>
      </c>
      <c r="G1487" s="4">
        <f t="shared" si="257"/>
        <v>440.30999999999995</v>
      </c>
      <c r="H1487" s="9">
        <f t="shared" si="258"/>
        <v>0.11007749999999998</v>
      </c>
      <c r="I1487" s="4"/>
      <c r="J1487" s="64">
        <v>540</v>
      </c>
      <c r="K1487" s="31">
        <f t="shared" si="262"/>
        <v>5.0900000000000318</v>
      </c>
      <c r="L1487" s="14">
        <f t="shared" si="256"/>
        <v>1.272500000000008E-3</v>
      </c>
      <c r="M1487" s="4"/>
    </row>
    <row r="1488" spans="2:13">
      <c r="B1488" s="43"/>
      <c r="C1488" s="7">
        <v>1.2083333333334001</v>
      </c>
      <c r="D1488" s="35">
        <v>1.2187500000000699</v>
      </c>
      <c r="E1488" s="30">
        <v>985.4</v>
      </c>
      <c r="F1488" s="60">
        <v>549.41</v>
      </c>
      <c r="G1488" s="4">
        <f t="shared" si="257"/>
        <v>435.99</v>
      </c>
      <c r="H1488" s="9">
        <f t="shared" si="258"/>
        <v>0.1089975</v>
      </c>
      <c r="I1488" s="4"/>
      <c r="J1488" s="64">
        <f>J1487+30</f>
        <v>570</v>
      </c>
      <c r="K1488" s="31">
        <f>J1488-F1488</f>
        <v>20.590000000000032</v>
      </c>
      <c r="L1488" s="14">
        <f t="shared" si="256"/>
        <v>5.147500000000008E-3</v>
      </c>
      <c r="M1488" s="4"/>
    </row>
    <row r="1489" spans="2:13">
      <c r="B1489" s="43"/>
      <c r="C1489" s="7">
        <v>1.2187500000000699</v>
      </c>
      <c r="D1489" s="7">
        <v>1.22916666666674</v>
      </c>
      <c r="E1489" s="30">
        <v>985.4</v>
      </c>
      <c r="F1489" s="60">
        <v>683.06</v>
      </c>
      <c r="G1489" s="4">
        <f t="shared" si="257"/>
        <v>302.34000000000003</v>
      </c>
      <c r="H1489" s="9">
        <f t="shared" si="258"/>
        <v>7.5585000000000013E-2</v>
      </c>
      <c r="I1489" s="4"/>
      <c r="J1489" s="29">
        <f>J1488+80</f>
        <v>650</v>
      </c>
      <c r="K1489" s="31">
        <f t="shared" ref="K1489:K1494" si="263">J1489-F1489</f>
        <v>-33.059999999999945</v>
      </c>
      <c r="L1489" s="14">
        <f t="shared" si="256"/>
        <v>0</v>
      </c>
      <c r="M1489" s="4"/>
    </row>
    <row r="1490" spans="2:13">
      <c r="B1490" s="43"/>
      <c r="C1490" s="7">
        <v>1.22916666666674</v>
      </c>
      <c r="D1490" s="7">
        <v>1.2395833333334101</v>
      </c>
      <c r="E1490" s="30">
        <v>985.4</v>
      </c>
      <c r="F1490" s="60">
        <v>829.07</v>
      </c>
      <c r="G1490" s="4">
        <f t="shared" si="257"/>
        <v>156.32999999999993</v>
      </c>
      <c r="H1490" s="9">
        <f t="shared" si="258"/>
        <v>3.9082499999999978E-2</v>
      </c>
      <c r="I1490" s="4"/>
      <c r="J1490" s="64">
        <f t="shared" ref="J1490:J1493" si="264">J1489+80</f>
        <v>730</v>
      </c>
      <c r="K1490" s="31">
        <f t="shared" si="263"/>
        <v>-99.07000000000005</v>
      </c>
      <c r="L1490" s="14">
        <f t="shared" ref="L1490:L1556" si="265">IF(K1490/4000&gt;0,K1490/4000,0)</f>
        <v>0</v>
      </c>
      <c r="M1490" s="4"/>
    </row>
    <row r="1491" spans="2:13">
      <c r="B1491" s="43"/>
      <c r="C1491" s="7">
        <v>1.2395833333334101</v>
      </c>
      <c r="D1491" s="7">
        <v>1.2500000000000799</v>
      </c>
      <c r="E1491" s="30">
        <v>985.4</v>
      </c>
      <c r="F1491" s="60">
        <v>905.12</v>
      </c>
      <c r="G1491" s="4">
        <f t="shared" si="257"/>
        <v>80.279999999999973</v>
      </c>
      <c r="H1491" s="9">
        <f t="shared" si="258"/>
        <v>2.0069999999999994E-2</v>
      </c>
      <c r="I1491" s="4"/>
      <c r="J1491" s="64">
        <f t="shared" si="264"/>
        <v>810</v>
      </c>
      <c r="K1491" s="31">
        <f t="shared" si="263"/>
        <v>-95.12</v>
      </c>
      <c r="L1491" s="14">
        <f t="shared" si="265"/>
        <v>0</v>
      </c>
      <c r="M1491" s="4"/>
    </row>
    <row r="1492" spans="2:13">
      <c r="B1492" s="43"/>
      <c r="C1492" s="7">
        <v>1.2500000000000799</v>
      </c>
      <c r="D1492" s="7">
        <v>1.26041666666675</v>
      </c>
      <c r="E1492" s="30">
        <v>985.4</v>
      </c>
      <c r="F1492" s="60">
        <v>915.46</v>
      </c>
      <c r="G1492" s="4">
        <f t="shared" si="257"/>
        <v>69.939999999999941</v>
      </c>
      <c r="H1492" s="9">
        <f t="shared" si="258"/>
        <v>1.7484999999999987E-2</v>
      </c>
      <c r="I1492" s="4"/>
      <c r="J1492" s="64">
        <f t="shared" si="264"/>
        <v>890</v>
      </c>
      <c r="K1492" s="31">
        <f t="shared" si="263"/>
        <v>-25.460000000000036</v>
      </c>
      <c r="L1492" s="14">
        <f t="shared" si="265"/>
        <v>0</v>
      </c>
      <c r="M1492" s="4"/>
    </row>
    <row r="1493" spans="2:13">
      <c r="B1493" s="43"/>
      <c r="C1493" s="7">
        <v>1.26041666666675</v>
      </c>
      <c r="D1493" s="7">
        <v>1.2708333333334201</v>
      </c>
      <c r="E1493" s="30">
        <v>985.4</v>
      </c>
      <c r="F1493" s="60">
        <v>961.69</v>
      </c>
      <c r="G1493" s="4">
        <f t="shared" si="257"/>
        <v>23.709999999999923</v>
      </c>
      <c r="H1493" s="9">
        <f t="shared" si="258"/>
        <v>5.9274999999999805E-3</v>
      </c>
      <c r="I1493" s="4"/>
      <c r="J1493" s="64">
        <f t="shared" si="264"/>
        <v>970</v>
      </c>
      <c r="K1493" s="31">
        <f t="shared" si="263"/>
        <v>8.3099999999999454</v>
      </c>
      <c r="L1493" s="14">
        <f t="shared" si="265"/>
        <v>2.0774999999999865E-3</v>
      </c>
      <c r="M1493" s="4"/>
    </row>
    <row r="1494" spans="2:13">
      <c r="B1494" s="43"/>
      <c r="C1494" s="7">
        <v>1.2708333333334201</v>
      </c>
      <c r="D1494" s="7">
        <v>1.2812500000000899</v>
      </c>
      <c r="E1494" s="30">
        <v>985.4</v>
      </c>
      <c r="F1494" s="60">
        <v>993.02</v>
      </c>
      <c r="G1494" s="4">
        <f t="shared" ref="G1494" si="266">E1494-F1494</f>
        <v>-7.6200000000000045</v>
      </c>
      <c r="H1494" s="76">
        <v>0</v>
      </c>
      <c r="I1494" s="4"/>
      <c r="J1494" s="30">
        <v>985.4</v>
      </c>
      <c r="K1494" s="31">
        <f t="shared" si="263"/>
        <v>-7.6200000000000045</v>
      </c>
      <c r="L1494" s="14">
        <f t="shared" ref="L1494" si="267">IF(K1494/4000&gt;0,K1494/4000,0)</f>
        <v>0</v>
      </c>
      <c r="M1494" s="4"/>
    </row>
    <row r="1495" spans="2:13">
      <c r="B1495" s="43"/>
      <c r="C1495" s="43"/>
      <c r="D1495" s="43"/>
      <c r="E1495" s="4"/>
      <c r="F1495" s="4"/>
      <c r="G1495" s="4"/>
      <c r="H1495" s="9"/>
      <c r="I1495" s="9">
        <f>SUM(H1468:H1494)</f>
        <v>2.4706650000000008</v>
      </c>
      <c r="J1495" s="29"/>
      <c r="K1495" s="31"/>
      <c r="L1495" s="14"/>
      <c r="M1495" s="4">
        <f>SUM(L1468:L1494)</f>
        <v>2.9644999999999953E-2</v>
      </c>
    </row>
    <row r="1496" spans="2:13">
      <c r="B1496" s="34">
        <v>46051</v>
      </c>
      <c r="C1496" s="7">
        <v>1.4375000000001401</v>
      </c>
      <c r="D1496" s="7">
        <v>1.4479166666668</v>
      </c>
      <c r="E1496" s="30">
        <v>985.4</v>
      </c>
      <c r="F1496" s="60">
        <v>913.63</v>
      </c>
      <c r="G1496" s="4">
        <f t="shared" si="257"/>
        <v>71.769999999999982</v>
      </c>
      <c r="H1496" s="9">
        <f t="shared" si="258"/>
        <v>1.7942499999999997E-2</v>
      </c>
      <c r="I1496" s="4"/>
      <c r="J1496" s="29">
        <f>E1496-80</f>
        <v>905.4</v>
      </c>
      <c r="K1496" s="31">
        <f t="shared" si="262"/>
        <v>8.2300000000000182</v>
      </c>
      <c r="L1496" s="14"/>
      <c r="M1496" s="4"/>
    </row>
    <row r="1497" spans="2:13">
      <c r="B1497" s="43"/>
      <c r="C1497" s="7">
        <v>1.44791666666681</v>
      </c>
      <c r="D1497" s="7">
        <v>1.45833333333347</v>
      </c>
      <c r="E1497" s="30">
        <v>985.4</v>
      </c>
      <c r="F1497" s="60">
        <v>808.41</v>
      </c>
      <c r="G1497" s="4">
        <f t="shared" si="257"/>
        <v>176.99</v>
      </c>
      <c r="H1497" s="9">
        <f t="shared" si="258"/>
        <v>4.4247500000000002E-2</v>
      </c>
      <c r="I1497" s="4"/>
      <c r="J1497" s="29">
        <f>J1496-80</f>
        <v>825.4</v>
      </c>
      <c r="K1497" s="31">
        <f t="shared" si="262"/>
        <v>-16.990000000000009</v>
      </c>
      <c r="L1497" s="14">
        <f t="shared" si="265"/>
        <v>0</v>
      </c>
      <c r="M1497" s="4"/>
    </row>
    <row r="1498" spans="2:13">
      <c r="B1498" s="43"/>
      <c r="C1498" s="7">
        <v>1.45833333333348</v>
      </c>
      <c r="D1498" s="7">
        <v>1.4687500000001401</v>
      </c>
      <c r="E1498" s="30">
        <v>985.4</v>
      </c>
      <c r="F1498" s="60">
        <v>689.64</v>
      </c>
      <c r="G1498" s="4">
        <f t="shared" si="257"/>
        <v>295.76</v>
      </c>
      <c r="H1498" s="9">
        <f t="shared" si="258"/>
        <v>7.3939999999999992E-2</v>
      </c>
      <c r="I1498" s="4"/>
      <c r="J1498" s="64">
        <f t="shared" ref="J1498:J1500" si="268">J1497-80</f>
        <v>745.4</v>
      </c>
      <c r="K1498" s="31">
        <f t="shared" si="262"/>
        <v>-55.759999999999991</v>
      </c>
      <c r="L1498" s="14">
        <f t="shared" si="265"/>
        <v>0</v>
      </c>
      <c r="M1498" s="4"/>
    </row>
    <row r="1499" spans="2:13">
      <c r="B1499" s="43"/>
      <c r="C1499" s="7">
        <v>1.4687500000001501</v>
      </c>
      <c r="D1499" s="7">
        <v>1.47916666666681</v>
      </c>
      <c r="E1499" s="30">
        <v>985.4</v>
      </c>
      <c r="F1499" s="60">
        <v>580.78</v>
      </c>
      <c r="G1499" s="4">
        <f t="shared" si="257"/>
        <v>404.62</v>
      </c>
      <c r="H1499" s="9">
        <f t="shared" si="258"/>
        <v>0.10115499999999999</v>
      </c>
      <c r="I1499" s="4"/>
      <c r="J1499" s="64">
        <f t="shared" si="268"/>
        <v>665.4</v>
      </c>
      <c r="K1499" s="31">
        <f t="shared" si="262"/>
        <v>-84.62</v>
      </c>
      <c r="L1499" s="14">
        <f t="shared" si="265"/>
        <v>0</v>
      </c>
      <c r="M1499" s="4"/>
    </row>
    <row r="1500" spans="2:13">
      <c r="B1500" s="43"/>
      <c r="C1500" s="7">
        <v>1.47916666666682</v>
      </c>
      <c r="D1500" s="7">
        <v>1.48958333333348</v>
      </c>
      <c r="E1500" s="30">
        <v>985.4</v>
      </c>
      <c r="F1500" s="60">
        <v>542.08000000000004</v>
      </c>
      <c r="G1500" s="4">
        <f t="shared" si="257"/>
        <v>443.31999999999994</v>
      </c>
      <c r="H1500" s="9">
        <f t="shared" si="258"/>
        <v>0.11082999999999998</v>
      </c>
      <c r="I1500" s="4"/>
      <c r="J1500" s="64">
        <f t="shared" si="268"/>
        <v>585.4</v>
      </c>
      <c r="K1500" s="31">
        <f t="shared" si="262"/>
        <v>-43.319999999999936</v>
      </c>
      <c r="L1500" s="14">
        <f t="shared" si="265"/>
        <v>0</v>
      </c>
      <c r="M1500" s="4"/>
    </row>
    <row r="1501" spans="2:13">
      <c r="B1501" s="43"/>
      <c r="C1501" s="7">
        <v>1.48958333333349</v>
      </c>
      <c r="D1501" s="7">
        <v>1.5000000000001501</v>
      </c>
      <c r="E1501" s="30">
        <v>985.4</v>
      </c>
      <c r="F1501" s="60">
        <v>541.52</v>
      </c>
      <c r="G1501" s="4">
        <f t="shared" si="257"/>
        <v>443.88</v>
      </c>
      <c r="H1501" s="9">
        <f t="shared" si="258"/>
        <v>0.11097</v>
      </c>
      <c r="I1501" s="4"/>
      <c r="J1501" s="64">
        <v>540</v>
      </c>
      <c r="K1501" s="31">
        <f t="shared" si="262"/>
        <v>1.5199999999999818</v>
      </c>
      <c r="L1501" s="14">
        <f t="shared" si="265"/>
        <v>3.7999999999999547E-4</v>
      </c>
      <c r="M1501" s="4"/>
    </row>
    <row r="1502" spans="2:13">
      <c r="B1502" s="43"/>
      <c r="C1502" s="7">
        <v>1.5000000000001601</v>
      </c>
      <c r="D1502" s="7">
        <v>1.51041666666682</v>
      </c>
      <c r="E1502" s="30">
        <v>985.4</v>
      </c>
      <c r="F1502" s="60">
        <v>539.58000000000004</v>
      </c>
      <c r="G1502" s="4">
        <f t="shared" si="257"/>
        <v>445.81999999999994</v>
      </c>
      <c r="H1502" s="9">
        <f t="shared" si="258"/>
        <v>0.11145499999999998</v>
      </c>
      <c r="I1502" s="4"/>
      <c r="J1502" s="64">
        <v>540</v>
      </c>
      <c r="K1502" s="31">
        <f t="shared" si="262"/>
        <v>-0.41999999999995907</v>
      </c>
      <c r="L1502" s="14">
        <f t="shared" si="265"/>
        <v>0</v>
      </c>
      <c r="M1502" s="4"/>
    </row>
    <row r="1503" spans="2:13">
      <c r="B1503" s="43"/>
      <c r="C1503" s="7">
        <v>1.5104166666668299</v>
      </c>
      <c r="D1503" s="7">
        <v>1.52083333333349</v>
      </c>
      <c r="E1503" s="30">
        <v>985.4</v>
      </c>
      <c r="F1503" s="60">
        <v>540.58000000000004</v>
      </c>
      <c r="G1503" s="4">
        <f t="shared" si="257"/>
        <v>444.81999999999994</v>
      </c>
      <c r="H1503" s="9">
        <f t="shared" si="258"/>
        <v>0.11120499999999998</v>
      </c>
      <c r="I1503" s="4"/>
      <c r="J1503" s="64">
        <v>540</v>
      </c>
      <c r="K1503" s="31">
        <f t="shared" si="262"/>
        <v>0.58000000000004093</v>
      </c>
      <c r="L1503" s="14">
        <f t="shared" si="265"/>
        <v>1.4500000000001022E-4</v>
      </c>
      <c r="M1503" s="4"/>
    </row>
    <row r="1504" spans="2:13">
      <c r="B1504" s="43"/>
      <c r="C1504" s="7">
        <v>1.5208333333335</v>
      </c>
      <c r="D1504" s="7">
        <v>1.5312500000001601</v>
      </c>
      <c r="E1504" s="30">
        <v>985.4</v>
      </c>
      <c r="F1504" s="60">
        <v>545.14</v>
      </c>
      <c r="G1504" s="4">
        <f t="shared" ref="G1504:G1569" si="269">E1504-F1504</f>
        <v>440.26</v>
      </c>
      <c r="H1504" s="9">
        <f t="shared" ref="H1504:H1567" si="270">G1504/4000</f>
        <v>0.110065</v>
      </c>
      <c r="I1504" s="4"/>
      <c r="J1504" s="64">
        <v>540</v>
      </c>
      <c r="K1504" s="31">
        <f t="shared" si="262"/>
        <v>5.1399999999999864</v>
      </c>
      <c r="L1504" s="14">
        <f t="shared" si="265"/>
        <v>1.2849999999999966E-3</v>
      </c>
      <c r="M1504" s="4"/>
    </row>
    <row r="1505" spans="2:13">
      <c r="B1505" s="43"/>
      <c r="C1505" s="7">
        <v>1.5312500000001701</v>
      </c>
      <c r="D1505" s="7">
        <v>1.5416666666668299</v>
      </c>
      <c r="E1505" s="30">
        <v>985.4</v>
      </c>
      <c r="F1505" s="60">
        <v>540.13</v>
      </c>
      <c r="G1505" s="4">
        <f t="shared" si="269"/>
        <v>445.27</v>
      </c>
      <c r="H1505" s="9">
        <f t="shared" si="270"/>
        <v>0.1113175</v>
      </c>
      <c r="I1505" s="4"/>
      <c r="J1505" s="64">
        <v>540</v>
      </c>
      <c r="K1505" s="31">
        <f t="shared" si="262"/>
        <v>0.12999999999999545</v>
      </c>
      <c r="L1505" s="14">
        <f t="shared" si="265"/>
        <v>3.2499999999998866E-5</v>
      </c>
      <c r="M1505" s="4"/>
    </row>
    <row r="1506" spans="2:13">
      <c r="B1506" s="43"/>
      <c r="C1506" s="7">
        <v>1.5416666666668399</v>
      </c>
      <c r="D1506" s="7">
        <v>1.5520833333335</v>
      </c>
      <c r="E1506" s="30">
        <v>985.4</v>
      </c>
      <c r="F1506" s="60">
        <v>540.84</v>
      </c>
      <c r="G1506" s="4">
        <f t="shared" si="269"/>
        <v>444.55999999999995</v>
      </c>
      <c r="H1506" s="9">
        <f t="shared" si="270"/>
        <v>0.11113999999999999</v>
      </c>
      <c r="I1506" s="4"/>
      <c r="J1506" s="64">
        <v>540</v>
      </c>
      <c r="K1506" s="31">
        <f t="shared" si="262"/>
        <v>0.84000000000003183</v>
      </c>
      <c r="L1506" s="14">
        <f t="shared" si="265"/>
        <v>2.1000000000000795E-4</v>
      </c>
      <c r="M1506" s="4"/>
    </row>
    <row r="1507" spans="2:13">
      <c r="B1507" s="43"/>
      <c r="C1507" s="7">
        <v>1.55208333333351</v>
      </c>
      <c r="D1507" s="7">
        <v>1.5625000000001701</v>
      </c>
      <c r="E1507" s="30">
        <v>985.4</v>
      </c>
      <c r="F1507" s="60">
        <v>543.80999999999995</v>
      </c>
      <c r="G1507" s="4">
        <f t="shared" si="269"/>
        <v>441.59000000000003</v>
      </c>
      <c r="H1507" s="9">
        <f t="shared" si="270"/>
        <v>0.11039750000000001</v>
      </c>
      <c r="I1507" s="4"/>
      <c r="J1507" s="64">
        <v>540</v>
      </c>
      <c r="K1507" s="31">
        <f t="shared" si="262"/>
        <v>3.8099999999999454</v>
      </c>
      <c r="L1507" s="14">
        <f t="shared" si="265"/>
        <v>9.5249999999998634E-4</v>
      </c>
      <c r="M1507" s="4"/>
    </row>
    <row r="1508" spans="2:13">
      <c r="B1508" s="43"/>
      <c r="C1508" s="7">
        <v>1.5625000000001801</v>
      </c>
      <c r="D1508" s="7">
        <v>1.5729166666668399</v>
      </c>
      <c r="E1508" s="30">
        <v>985.4</v>
      </c>
      <c r="F1508" s="60">
        <v>537.77</v>
      </c>
      <c r="G1508" s="4">
        <f t="shared" si="269"/>
        <v>447.63</v>
      </c>
      <c r="H1508" s="9">
        <f t="shared" si="270"/>
        <v>0.11190749999999999</v>
      </c>
      <c r="I1508" s="4"/>
      <c r="J1508" s="64">
        <v>540</v>
      </c>
      <c r="K1508" s="31">
        <f t="shared" si="262"/>
        <v>-2.2300000000000182</v>
      </c>
      <c r="L1508" s="14">
        <f t="shared" si="265"/>
        <v>0</v>
      </c>
      <c r="M1508" s="4"/>
    </row>
    <row r="1509" spans="2:13">
      <c r="B1509" s="43"/>
      <c r="C1509" s="7">
        <v>1.5729166666668499</v>
      </c>
      <c r="D1509" s="7">
        <v>1.58333333333351</v>
      </c>
      <c r="E1509" s="30">
        <v>985.4</v>
      </c>
      <c r="F1509" s="60">
        <v>538.45000000000005</v>
      </c>
      <c r="G1509" s="4">
        <f t="shared" si="269"/>
        <v>446.94999999999993</v>
      </c>
      <c r="H1509" s="9">
        <f t="shared" si="270"/>
        <v>0.11173749999999999</v>
      </c>
      <c r="I1509" s="4"/>
      <c r="J1509" s="64">
        <v>540</v>
      </c>
      <c r="K1509" s="31">
        <f t="shared" si="262"/>
        <v>-1.5499999999999545</v>
      </c>
      <c r="L1509" s="14">
        <f t="shared" si="265"/>
        <v>0</v>
      </c>
      <c r="M1509" s="4"/>
    </row>
    <row r="1510" spans="2:13">
      <c r="B1510" s="43"/>
      <c r="C1510" s="7">
        <v>1.58333333333352</v>
      </c>
      <c r="D1510" s="7">
        <v>1.5937500000001801</v>
      </c>
      <c r="E1510" s="30">
        <v>985.4</v>
      </c>
      <c r="F1510" s="60">
        <v>541.15</v>
      </c>
      <c r="G1510" s="4">
        <f t="shared" si="269"/>
        <v>444.25</v>
      </c>
      <c r="H1510" s="9">
        <f t="shared" si="270"/>
        <v>0.11106249999999999</v>
      </c>
      <c r="I1510" s="4"/>
      <c r="J1510" s="64">
        <v>540</v>
      </c>
      <c r="K1510" s="31">
        <f t="shared" si="262"/>
        <v>1.1499999999999773</v>
      </c>
      <c r="L1510" s="14">
        <f t="shared" si="265"/>
        <v>2.874999999999943E-4</v>
      </c>
      <c r="M1510" s="4"/>
    </row>
    <row r="1511" spans="2:13">
      <c r="B1511" s="43"/>
      <c r="C1511" s="7">
        <v>1.5937500000001901</v>
      </c>
      <c r="D1511" s="7">
        <v>1.6041666666668499</v>
      </c>
      <c r="E1511" s="30">
        <v>985.4</v>
      </c>
      <c r="F1511" s="60">
        <v>542.17999999999995</v>
      </c>
      <c r="G1511" s="4">
        <f t="shared" si="269"/>
        <v>443.22</v>
      </c>
      <c r="H1511" s="9">
        <f t="shared" si="270"/>
        <v>0.110805</v>
      </c>
      <c r="I1511" s="4"/>
      <c r="J1511" s="64">
        <v>540</v>
      </c>
      <c r="K1511" s="31">
        <f t="shared" si="262"/>
        <v>2.17999999999995</v>
      </c>
      <c r="L1511" s="14">
        <f t="shared" si="265"/>
        <v>5.4499999999998744E-4</v>
      </c>
      <c r="M1511" s="4"/>
    </row>
    <row r="1512" spans="2:13">
      <c r="B1512" s="43"/>
      <c r="C1512" s="7">
        <v>1.6041666666668599</v>
      </c>
      <c r="D1512" s="7">
        <v>1.61458333333352</v>
      </c>
      <c r="E1512" s="30">
        <v>985.4</v>
      </c>
      <c r="F1512" s="60">
        <v>541.38</v>
      </c>
      <c r="G1512" s="4">
        <f t="shared" si="269"/>
        <v>444.02</v>
      </c>
      <c r="H1512" s="9">
        <f t="shared" si="270"/>
        <v>0.11100499999999999</v>
      </c>
      <c r="I1512" s="4"/>
      <c r="J1512" s="64">
        <v>540</v>
      </c>
      <c r="K1512" s="31">
        <f t="shared" si="262"/>
        <v>1.3799999999999955</v>
      </c>
      <c r="L1512" s="14">
        <f t="shared" si="265"/>
        <v>3.4499999999999884E-4</v>
      </c>
      <c r="M1512" s="4"/>
    </row>
    <row r="1513" spans="2:13">
      <c r="B1513" s="43"/>
      <c r="C1513" s="7">
        <v>1.61458333333353</v>
      </c>
      <c r="D1513" s="7">
        <v>1.6250000000001901</v>
      </c>
      <c r="E1513" s="30">
        <v>985.4</v>
      </c>
      <c r="F1513" s="60">
        <v>543.03</v>
      </c>
      <c r="G1513" s="4">
        <f t="shared" si="269"/>
        <v>442.37</v>
      </c>
      <c r="H1513" s="9">
        <f t="shared" si="270"/>
        <v>0.1105925</v>
      </c>
      <c r="I1513" s="4"/>
      <c r="J1513" s="64">
        <v>540</v>
      </c>
      <c r="K1513" s="31">
        <f t="shared" si="262"/>
        <v>3.0299999999999727</v>
      </c>
      <c r="L1513" s="14">
        <f t="shared" si="265"/>
        <v>7.574999999999932E-4</v>
      </c>
      <c r="M1513" s="4"/>
    </row>
    <row r="1514" spans="2:13">
      <c r="B1514" s="43"/>
      <c r="C1514" s="7">
        <v>1.6250000000002001</v>
      </c>
      <c r="D1514" s="7">
        <v>1.6354166666668599</v>
      </c>
      <c r="E1514" s="30">
        <v>985.4</v>
      </c>
      <c r="F1514" s="60">
        <v>543.17999999999995</v>
      </c>
      <c r="G1514" s="4">
        <f t="shared" si="269"/>
        <v>442.22</v>
      </c>
      <c r="H1514" s="9">
        <f t="shared" si="270"/>
        <v>0.110555</v>
      </c>
      <c r="I1514" s="4"/>
      <c r="J1514" s="64">
        <v>540</v>
      </c>
      <c r="K1514" s="31">
        <f t="shared" si="262"/>
        <v>3.17999999999995</v>
      </c>
      <c r="L1514" s="14">
        <f t="shared" si="265"/>
        <v>7.9499999999998745E-4</v>
      </c>
      <c r="M1514" s="4"/>
    </row>
    <row r="1515" spans="2:13">
      <c r="B1515" s="43"/>
      <c r="C1515" s="7">
        <v>1.6354166666668699</v>
      </c>
      <c r="D1515" s="7">
        <v>1.64583333333353</v>
      </c>
      <c r="E1515" s="30">
        <v>985.4</v>
      </c>
      <c r="F1515" s="60">
        <v>545.47</v>
      </c>
      <c r="G1515" s="4">
        <f t="shared" si="269"/>
        <v>439.92999999999995</v>
      </c>
      <c r="H1515" s="9">
        <f t="shared" si="270"/>
        <v>0.10998249999999998</v>
      </c>
      <c r="I1515" s="4"/>
      <c r="J1515" s="64">
        <v>540</v>
      </c>
      <c r="K1515" s="31">
        <f t="shared" si="262"/>
        <v>5.4700000000000273</v>
      </c>
      <c r="L1515" s="14">
        <f t="shared" si="265"/>
        <v>1.3675000000000067E-3</v>
      </c>
      <c r="M1515" s="4"/>
    </row>
    <row r="1516" spans="2:13">
      <c r="B1516" s="43"/>
      <c r="C1516" s="7">
        <v>1.64583333333354</v>
      </c>
      <c r="D1516" s="35">
        <v>1.6562500000002001</v>
      </c>
      <c r="E1516" s="30">
        <v>985.4</v>
      </c>
      <c r="F1516" s="60">
        <v>539.70000000000005</v>
      </c>
      <c r="G1516" s="4">
        <f t="shared" si="269"/>
        <v>445.69999999999993</v>
      </c>
      <c r="H1516" s="9">
        <f t="shared" si="270"/>
        <v>0.11142499999999998</v>
      </c>
      <c r="I1516" s="4"/>
      <c r="J1516" s="64">
        <v>540</v>
      </c>
      <c r="K1516" s="31">
        <f t="shared" si="262"/>
        <v>-0.29999999999995453</v>
      </c>
      <c r="L1516" s="14">
        <f t="shared" si="265"/>
        <v>0</v>
      </c>
      <c r="M1516" s="4"/>
    </row>
    <row r="1517" spans="2:13">
      <c r="B1517" s="43"/>
      <c r="C1517" s="7">
        <v>1.6562500000002101</v>
      </c>
      <c r="D1517" s="7">
        <v>1.6666666666668699</v>
      </c>
      <c r="E1517" s="30">
        <v>985.4</v>
      </c>
      <c r="F1517" s="60">
        <v>577.45000000000005</v>
      </c>
      <c r="G1517" s="4">
        <f t="shared" si="269"/>
        <v>407.94999999999993</v>
      </c>
      <c r="H1517" s="9">
        <f t="shared" si="270"/>
        <v>0.10198749999999998</v>
      </c>
      <c r="I1517" s="4"/>
      <c r="J1517" s="29">
        <f>J1516+80</f>
        <v>620</v>
      </c>
      <c r="K1517" s="31">
        <f>J1517-F1517</f>
        <v>42.549999999999955</v>
      </c>
      <c r="L1517" s="14">
        <f t="shared" si="265"/>
        <v>1.0637499999999989E-2</v>
      </c>
      <c r="M1517" s="4"/>
    </row>
    <row r="1518" spans="2:13">
      <c r="B1518" s="43"/>
      <c r="C1518" s="7">
        <v>1.6666666666668899</v>
      </c>
      <c r="D1518" s="7">
        <v>1.67708333333354</v>
      </c>
      <c r="E1518" s="30">
        <v>985.4</v>
      </c>
      <c r="F1518" s="60">
        <v>685.88</v>
      </c>
      <c r="G1518" s="4">
        <f t="shared" si="269"/>
        <v>299.52</v>
      </c>
      <c r="H1518" s="9">
        <f t="shared" si="270"/>
        <v>7.4880000000000002E-2</v>
      </c>
      <c r="I1518" s="4"/>
      <c r="J1518" s="64">
        <f t="shared" ref="J1518:J1521" si="271">J1517+80</f>
        <v>700</v>
      </c>
      <c r="K1518" s="31">
        <f t="shared" ref="K1518:K1522" si="272">J1518-F1518</f>
        <v>14.120000000000005</v>
      </c>
      <c r="L1518" s="14">
        <f t="shared" si="265"/>
        <v>3.530000000000001E-3</v>
      </c>
      <c r="M1518" s="4"/>
    </row>
    <row r="1519" spans="2:13">
      <c r="B1519" s="43"/>
      <c r="C1519" s="7">
        <v>1.67708333333356</v>
      </c>
      <c r="D1519" s="7">
        <v>1.6875000000002101</v>
      </c>
      <c r="E1519" s="30">
        <v>985.4</v>
      </c>
      <c r="F1519" s="60">
        <v>840.78</v>
      </c>
      <c r="G1519" s="4">
        <f t="shared" si="269"/>
        <v>144.62</v>
      </c>
      <c r="H1519" s="9">
        <f t="shared" si="270"/>
        <v>3.6155E-2</v>
      </c>
      <c r="I1519" s="4"/>
      <c r="J1519" s="64">
        <f t="shared" si="271"/>
        <v>780</v>
      </c>
      <c r="K1519" s="31">
        <f t="shared" si="272"/>
        <v>-60.779999999999973</v>
      </c>
      <c r="L1519" s="14">
        <f t="shared" si="265"/>
        <v>0</v>
      </c>
      <c r="M1519" s="4"/>
    </row>
    <row r="1520" spans="2:13">
      <c r="B1520" s="43"/>
      <c r="C1520" s="7">
        <v>1.68750000000023</v>
      </c>
      <c r="D1520" s="7">
        <v>1.6979166666668799</v>
      </c>
      <c r="E1520" s="30">
        <v>985.4</v>
      </c>
      <c r="F1520" s="60">
        <v>951.72</v>
      </c>
      <c r="G1520" s="4">
        <f t="shared" si="269"/>
        <v>33.67999999999995</v>
      </c>
      <c r="H1520" s="9">
        <f t="shared" si="270"/>
        <v>8.4199999999999883E-3</v>
      </c>
      <c r="I1520" s="4"/>
      <c r="J1520" s="64">
        <f t="shared" si="271"/>
        <v>860</v>
      </c>
      <c r="K1520" s="31">
        <f t="shared" si="272"/>
        <v>-91.720000000000027</v>
      </c>
      <c r="L1520" s="14">
        <f t="shared" si="265"/>
        <v>0</v>
      </c>
      <c r="M1520" s="4"/>
    </row>
    <row r="1521" spans="2:13">
      <c r="B1521" s="43"/>
      <c r="C1521" s="7">
        <v>1.6979166666669001</v>
      </c>
      <c r="D1521" s="7">
        <v>1.70833333333355</v>
      </c>
      <c r="E1521" s="30">
        <v>985.4</v>
      </c>
      <c r="F1521" s="60">
        <v>834.16</v>
      </c>
      <c r="G1521" s="4">
        <f t="shared" si="269"/>
        <v>151.24</v>
      </c>
      <c r="H1521" s="9">
        <f t="shared" si="270"/>
        <v>3.7810000000000003E-2</v>
      </c>
      <c r="I1521" s="4"/>
      <c r="J1521" s="64">
        <f t="shared" si="271"/>
        <v>940</v>
      </c>
      <c r="K1521" s="31">
        <f t="shared" si="272"/>
        <v>105.84000000000003</v>
      </c>
      <c r="L1521" s="14">
        <f t="shared" si="265"/>
        <v>2.6460000000000008E-2</v>
      </c>
      <c r="M1521" s="4"/>
    </row>
    <row r="1522" spans="2:13">
      <c r="B1522" s="43"/>
      <c r="C1522" s="7">
        <v>1.70833333333357</v>
      </c>
      <c r="D1522" s="7">
        <v>1.71875000000022</v>
      </c>
      <c r="E1522" s="55">
        <v>460</v>
      </c>
      <c r="F1522" s="73">
        <v>471.15</v>
      </c>
      <c r="G1522" s="4">
        <f t="shared" ref="G1522" si="273">E1522-F1522</f>
        <v>-11.149999999999977</v>
      </c>
      <c r="H1522" s="76">
        <v>0</v>
      </c>
      <c r="I1522" s="4"/>
      <c r="J1522" s="55">
        <v>460</v>
      </c>
      <c r="K1522" s="31">
        <f t="shared" si="272"/>
        <v>-11.149999999999977</v>
      </c>
      <c r="L1522" s="14">
        <f t="shared" si="265"/>
        <v>0</v>
      </c>
      <c r="M1522" s="4"/>
    </row>
    <row r="1523" spans="2:13">
      <c r="B1523" s="43"/>
      <c r="C1523" s="43"/>
      <c r="D1523" s="43"/>
      <c r="E1523" s="4"/>
      <c r="F1523" s="4"/>
      <c r="G1523" s="4"/>
      <c r="H1523" s="9"/>
      <c r="I1523" s="9">
        <f>SUM(H1496:H1522)</f>
        <v>2.3829899999999999</v>
      </c>
      <c r="J1523" s="29"/>
      <c r="K1523" s="31"/>
      <c r="L1523" s="14"/>
      <c r="M1523" s="4">
        <f>SUM(L1496:L1522)</f>
        <v>4.7729999999999967E-2</v>
      </c>
    </row>
    <row r="1524" spans="2:13">
      <c r="B1524" s="34">
        <v>46051</v>
      </c>
      <c r="C1524" s="7">
        <v>1.8333333333336099</v>
      </c>
      <c r="D1524" s="7">
        <v>1.84375000000026</v>
      </c>
      <c r="E1524" s="30">
        <v>760</v>
      </c>
      <c r="F1524" s="60">
        <v>754.75</v>
      </c>
      <c r="G1524" s="4">
        <f t="shared" si="269"/>
        <v>5.25</v>
      </c>
      <c r="H1524" s="9">
        <f t="shared" si="270"/>
        <v>1.3125000000000001E-3</v>
      </c>
      <c r="I1524" s="4"/>
      <c r="J1524" s="29">
        <f>E1524-80</f>
        <v>680</v>
      </c>
      <c r="K1524" s="31">
        <f t="shared" si="262"/>
        <v>74.75</v>
      </c>
      <c r="L1524" s="14"/>
      <c r="M1524" s="4"/>
    </row>
    <row r="1525" spans="2:13">
      <c r="B1525" s="43"/>
      <c r="C1525" s="7">
        <v>1.84375000000028</v>
      </c>
      <c r="D1525" s="7">
        <v>1.8541666666669301</v>
      </c>
      <c r="E1525" s="30">
        <v>875</v>
      </c>
      <c r="F1525" s="60">
        <v>680.64</v>
      </c>
      <c r="G1525" s="4">
        <f t="shared" si="269"/>
        <v>194.36</v>
      </c>
      <c r="H1525" s="9">
        <f t="shared" si="270"/>
        <v>4.8590000000000001E-2</v>
      </c>
      <c r="I1525" s="4"/>
      <c r="J1525" s="29">
        <f>J1524-80</f>
        <v>600</v>
      </c>
      <c r="K1525" s="31">
        <f t="shared" si="262"/>
        <v>80.639999999999986</v>
      </c>
      <c r="L1525" s="14">
        <f t="shared" si="265"/>
        <v>2.0159999999999997E-2</v>
      </c>
      <c r="M1525" s="4"/>
    </row>
    <row r="1526" spans="2:13">
      <c r="B1526" s="43"/>
      <c r="C1526" s="7">
        <v>1.8541666666669501</v>
      </c>
      <c r="D1526" s="7">
        <v>1.8645833333335999</v>
      </c>
      <c r="E1526" s="30">
        <v>985.4</v>
      </c>
      <c r="F1526" s="60">
        <v>646.04</v>
      </c>
      <c r="G1526" s="4">
        <f t="shared" si="269"/>
        <v>339.36</v>
      </c>
      <c r="H1526" s="9">
        <f t="shared" si="270"/>
        <v>8.4839999999999999E-2</v>
      </c>
      <c r="I1526" s="4"/>
      <c r="J1526" s="64">
        <v>540</v>
      </c>
      <c r="K1526" s="31">
        <f t="shared" si="262"/>
        <v>106.03999999999996</v>
      </c>
      <c r="L1526" s="14">
        <f t="shared" si="265"/>
        <v>2.6509999999999992E-2</v>
      </c>
      <c r="M1526" s="4"/>
    </row>
    <row r="1527" spans="2:13">
      <c r="B1527" s="43"/>
      <c r="C1527" s="7">
        <v>1.8645833333336199</v>
      </c>
      <c r="D1527" s="7">
        <v>1.87500000000027</v>
      </c>
      <c r="E1527" s="30">
        <v>985.4</v>
      </c>
      <c r="F1527" s="60">
        <v>571.04999999999995</v>
      </c>
      <c r="G1527" s="4">
        <f t="shared" si="269"/>
        <v>414.35</v>
      </c>
      <c r="H1527" s="9">
        <f t="shared" si="270"/>
        <v>0.1035875</v>
      </c>
      <c r="I1527" s="4"/>
      <c r="J1527" s="64">
        <v>540</v>
      </c>
      <c r="K1527" s="31">
        <f t="shared" si="262"/>
        <v>31.049999999999955</v>
      </c>
      <c r="L1527" s="14">
        <f t="shared" si="265"/>
        <v>7.762499999999989E-3</v>
      </c>
      <c r="M1527" s="4"/>
    </row>
    <row r="1528" spans="2:13">
      <c r="B1528" s="43"/>
      <c r="C1528" s="7">
        <v>1.87500000000029</v>
      </c>
      <c r="D1528" s="7">
        <v>1.8854166666669401</v>
      </c>
      <c r="E1528" s="30">
        <v>985.4</v>
      </c>
      <c r="F1528" s="60">
        <v>550.07000000000005</v>
      </c>
      <c r="G1528" s="4">
        <f t="shared" si="269"/>
        <v>435.32999999999993</v>
      </c>
      <c r="H1528" s="9">
        <f t="shared" si="270"/>
        <v>0.10883249999999998</v>
      </c>
      <c r="I1528" s="4"/>
      <c r="J1528" s="64">
        <v>540</v>
      </c>
      <c r="K1528" s="31">
        <f t="shared" si="262"/>
        <v>10.07000000000005</v>
      </c>
      <c r="L1528" s="14">
        <f t="shared" si="265"/>
        <v>2.5175000000000123E-3</v>
      </c>
      <c r="M1528" s="4"/>
    </row>
    <row r="1529" spans="2:13">
      <c r="B1529" s="43"/>
      <c r="C1529" s="7">
        <v>1.8854166666669601</v>
      </c>
      <c r="D1529" s="7">
        <v>1.8958333333336099</v>
      </c>
      <c r="E1529" s="30">
        <v>985.4</v>
      </c>
      <c r="F1529" s="60">
        <v>553.1</v>
      </c>
      <c r="G1529" s="4">
        <f t="shared" si="269"/>
        <v>432.29999999999995</v>
      </c>
      <c r="H1529" s="9">
        <f t="shared" si="270"/>
        <v>0.10807499999999999</v>
      </c>
      <c r="I1529" s="4"/>
      <c r="J1529" s="64">
        <v>540</v>
      </c>
      <c r="K1529" s="31">
        <f t="shared" si="262"/>
        <v>13.100000000000023</v>
      </c>
      <c r="L1529" s="14">
        <f t="shared" si="265"/>
        <v>3.2750000000000058E-3</v>
      </c>
      <c r="M1529" s="4"/>
    </row>
    <row r="1530" spans="2:13">
      <c r="B1530" s="43"/>
      <c r="C1530" s="7">
        <v>1.8958333333336299</v>
      </c>
      <c r="D1530" s="7">
        <v>1.90625000000028</v>
      </c>
      <c r="E1530" s="30">
        <v>985.4</v>
      </c>
      <c r="F1530" s="60">
        <v>545.30999999999995</v>
      </c>
      <c r="G1530" s="4">
        <f t="shared" si="269"/>
        <v>440.09000000000003</v>
      </c>
      <c r="H1530" s="9">
        <f t="shared" si="270"/>
        <v>0.11002250000000001</v>
      </c>
      <c r="I1530" s="4"/>
      <c r="J1530" s="64">
        <v>540</v>
      </c>
      <c r="K1530" s="31">
        <f t="shared" si="262"/>
        <v>5.3099999999999454</v>
      </c>
      <c r="L1530" s="14">
        <f t="shared" si="265"/>
        <v>1.3274999999999865E-3</v>
      </c>
      <c r="M1530" s="4"/>
    </row>
    <row r="1531" spans="2:13">
      <c r="B1531" s="43"/>
      <c r="C1531" s="7">
        <v>1.9062500000003</v>
      </c>
      <c r="D1531" s="7">
        <v>1.9166666666669501</v>
      </c>
      <c r="E1531" s="30">
        <v>985.4</v>
      </c>
      <c r="F1531" s="60">
        <v>551.54</v>
      </c>
      <c r="G1531" s="4">
        <f t="shared" si="269"/>
        <v>433.86</v>
      </c>
      <c r="H1531" s="9">
        <f t="shared" si="270"/>
        <v>0.10846500000000001</v>
      </c>
      <c r="I1531" s="4"/>
      <c r="J1531" s="64">
        <v>540</v>
      </c>
      <c r="K1531" s="31">
        <f t="shared" si="262"/>
        <v>11.539999999999964</v>
      </c>
      <c r="L1531" s="14">
        <f t="shared" si="265"/>
        <v>2.8849999999999909E-3</v>
      </c>
      <c r="M1531" s="4"/>
    </row>
    <row r="1532" spans="2:13">
      <c r="B1532" s="43"/>
      <c r="C1532" s="7">
        <v>1.9166666666669701</v>
      </c>
      <c r="D1532" s="7">
        <v>1.9270833333336199</v>
      </c>
      <c r="E1532" s="30">
        <v>985.4</v>
      </c>
      <c r="F1532" s="60">
        <v>551.11</v>
      </c>
      <c r="G1532" s="4">
        <f t="shared" si="269"/>
        <v>434.28999999999996</v>
      </c>
      <c r="H1532" s="9">
        <f t="shared" si="270"/>
        <v>0.10857249999999999</v>
      </c>
      <c r="I1532" s="4"/>
      <c r="J1532" s="64">
        <v>540</v>
      </c>
      <c r="K1532" s="31">
        <f t="shared" si="262"/>
        <v>11.110000000000014</v>
      </c>
      <c r="L1532" s="14">
        <f t="shared" si="265"/>
        <v>2.7775000000000035E-3</v>
      </c>
      <c r="M1532" s="4"/>
    </row>
    <row r="1533" spans="2:13">
      <c r="B1533" s="43"/>
      <c r="C1533" s="7">
        <v>1.9270833333336399</v>
      </c>
      <c r="D1533" s="7">
        <v>1.93750000000029</v>
      </c>
      <c r="E1533" s="30">
        <v>985.4</v>
      </c>
      <c r="F1533" s="60">
        <v>546.37</v>
      </c>
      <c r="G1533" s="4">
        <f t="shared" si="269"/>
        <v>439.03</v>
      </c>
      <c r="H1533" s="9">
        <f t="shared" si="270"/>
        <v>0.10975749999999999</v>
      </c>
      <c r="I1533" s="4"/>
      <c r="J1533" s="64">
        <v>540</v>
      </c>
      <c r="K1533" s="31">
        <f t="shared" si="262"/>
        <v>6.3700000000000045</v>
      </c>
      <c r="L1533" s="14">
        <f t="shared" si="265"/>
        <v>1.592500000000001E-3</v>
      </c>
      <c r="M1533" s="4"/>
    </row>
    <row r="1534" spans="2:13">
      <c r="B1534" s="43"/>
      <c r="C1534" s="7">
        <v>1.93750000000031</v>
      </c>
      <c r="D1534" s="7">
        <v>1.9479166666669601</v>
      </c>
      <c r="E1534" s="30">
        <v>985.4</v>
      </c>
      <c r="F1534" s="60">
        <v>545.22</v>
      </c>
      <c r="G1534" s="4">
        <f t="shared" si="269"/>
        <v>440.17999999999995</v>
      </c>
      <c r="H1534" s="9">
        <f t="shared" si="270"/>
        <v>0.11004499999999999</v>
      </c>
      <c r="I1534" s="4"/>
      <c r="J1534" s="64">
        <v>540</v>
      </c>
      <c r="K1534" s="31">
        <f t="shared" si="262"/>
        <v>5.2200000000000273</v>
      </c>
      <c r="L1534" s="14">
        <f t="shared" si="265"/>
        <v>1.3050000000000069E-3</v>
      </c>
      <c r="M1534" s="4"/>
    </row>
    <row r="1535" spans="2:13">
      <c r="B1535" s="43"/>
      <c r="C1535" s="7">
        <v>1.94791666666698</v>
      </c>
      <c r="D1535" s="7">
        <v>1.9583333333336299</v>
      </c>
      <c r="E1535" s="30">
        <v>985.4</v>
      </c>
      <c r="F1535" s="60">
        <v>543.23</v>
      </c>
      <c r="G1535" s="4">
        <f t="shared" si="269"/>
        <v>442.16999999999996</v>
      </c>
      <c r="H1535" s="9">
        <f t="shared" si="270"/>
        <v>0.11054249999999999</v>
      </c>
      <c r="I1535" s="4"/>
      <c r="J1535" s="64">
        <v>540</v>
      </c>
      <c r="K1535" s="31">
        <f t="shared" si="262"/>
        <v>3.2300000000000182</v>
      </c>
      <c r="L1535" s="14">
        <f t="shared" si="265"/>
        <v>8.075000000000045E-4</v>
      </c>
      <c r="M1535" s="4"/>
    </row>
    <row r="1536" spans="2:13">
      <c r="B1536" s="43"/>
      <c r="C1536" s="7">
        <v>1.9583333333336499</v>
      </c>
      <c r="D1536" s="7">
        <v>1.9687500000003</v>
      </c>
      <c r="E1536" s="30">
        <v>985.4</v>
      </c>
      <c r="F1536" s="60">
        <v>542.84</v>
      </c>
      <c r="G1536" s="4">
        <f t="shared" si="269"/>
        <v>442.55999999999995</v>
      </c>
      <c r="H1536" s="9">
        <f t="shared" si="270"/>
        <v>0.11063999999999999</v>
      </c>
      <c r="I1536" s="4"/>
      <c r="J1536" s="64">
        <v>540</v>
      </c>
      <c r="K1536" s="31">
        <f t="shared" si="262"/>
        <v>2.8400000000000318</v>
      </c>
      <c r="L1536" s="14">
        <f t="shared" si="265"/>
        <v>7.1000000000000793E-4</v>
      </c>
      <c r="M1536" s="4"/>
    </row>
    <row r="1537" spans="2:13">
      <c r="B1537" s="43"/>
      <c r="C1537" s="7">
        <v>1.96875000000032</v>
      </c>
      <c r="D1537" s="7">
        <v>1.9791666666669701</v>
      </c>
      <c r="E1537" s="30">
        <v>985.4</v>
      </c>
      <c r="F1537" s="60">
        <v>544.54999999999995</v>
      </c>
      <c r="G1537" s="4">
        <f t="shared" si="269"/>
        <v>440.85</v>
      </c>
      <c r="H1537" s="9">
        <f t="shared" si="270"/>
        <v>0.1102125</v>
      </c>
      <c r="I1537" s="4"/>
      <c r="J1537" s="64">
        <v>540</v>
      </c>
      <c r="K1537" s="31">
        <f t="shared" si="262"/>
        <v>4.5499999999999545</v>
      </c>
      <c r="L1537" s="14">
        <f t="shared" si="265"/>
        <v>1.1374999999999886E-3</v>
      </c>
      <c r="M1537" s="4"/>
    </row>
    <row r="1538" spans="2:13">
      <c r="B1538" s="43"/>
      <c r="C1538" s="7">
        <v>1.97916666666699</v>
      </c>
      <c r="D1538" s="7">
        <v>1.9895833333336399</v>
      </c>
      <c r="E1538" s="30">
        <v>985.4</v>
      </c>
      <c r="F1538" s="60">
        <v>543.91</v>
      </c>
      <c r="G1538" s="4">
        <f t="shared" si="269"/>
        <v>441.49</v>
      </c>
      <c r="H1538" s="9">
        <f t="shared" si="270"/>
        <v>0.1103725</v>
      </c>
      <c r="I1538" s="4"/>
      <c r="J1538" s="64">
        <v>540</v>
      </c>
      <c r="K1538" s="31">
        <f t="shared" si="262"/>
        <v>3.9099999999999682</v>
      </c>
      <c r="L1538" s="14">
        <f t="shared" si="265"/>
        <v>9.7749999999999205E-4</v>
      </c>
      <c r="M1538" s="4"/>
    </row>
    <row r="1539" spans="2:13">
      <c r="B1539" s="43"/>
      <c r="C1539" s="7">
        <v>1.9895833333336601</v>
      </c>
      <c r="D1539" s="7">
        <v>2.00000000000031</v>
      </c>
      <c r="E1539" s="30">
        <v>985.4</v>
      </c>
      <c r="F1539" s="61">
        <v>542.44000000000005</v>
      </c>
      <c r="G1539" s="4">
        <f t="shared" si="269"/>
        <v>442.95999999999992</v>
      </c>
      <c r="H1539" s="9">
        <f t="shared" si="270"/>
        <v>0.11073999999999998</v>
      </c>
      <c r="I1539" s="4"/>
      <c r="J1539" s="64">
        <v>540</v>
      </c>
      <c r="K1539" s="31">
        <f t="shared" si="262"/>
        <v>2.4400000000000546</v>
      </c>
      <c r="L1539" s="14">
        <f t="shared" si="265"/>
        <v>6.1000000000001363E-4</v>
      </c>
      <c r="M1539" s="4"/>
    </row>
    <row r="1540" spans="2:13">
      <c r="B1540" s="43"/>
      <c r="C1540" s="7"/>
      <c r="D1540" s="7"/>
      <c r="E1540" s="30"/>
      <c r="F1540" s="61"/>
      <c r="G1540" s="4"/>
      <c r="H1540" s="9"/>
      <c r="I1540" s="9">
        <f>SUM(H1524:H1539)</f>
        <v>1.5546075000000001</v>
      </c>
      <c r="J1540" s="64"/>
      <c r="K1540" s="31"/>
      <c r="L1540" s="14"/>
      <c r="M1540" s="4">
        <f>SUM(L1524:L1539)</f>
        <v>7.4354999999999977E-2</v>
      </c>
    </row>
    <row r="1541" spans="2:13">
      <c r="B1541" s="43"/>
      <c r="C1541" s="43"/>
      <c r="D1541" s="43"/>
      <c r="E1541" s="4"/>
      <c r="F1541" s="4"/>
      <c r="G1541" s="4"/>
      <c r="H1541" s="9"/>
      <c r="I1541" s="4"/>
      <c r="J1541" s="29"/>
      <c r="K1541" s="31"/>
      <c r="L1541" s="14"/>
      <c r="M1541" s="4"/>
    </row>
    <row r="1542" spans="2:13">
      <c r="B1542" s="34">
        <v>46052</v>
      </c>
      <c r="C1542" s="7">
        <v>1</v>
      </c>
      <c r="D1542" s="7">
        <v>1.0104166666666701</v>
      </c>
      <c r="E1542" s="30">
        <v>985.4</v>
      </c>
      <c r="F1542" s="60">
        <v>545.16</v>
      </c>
      <c r="G1542" s="4">
        <f t="shared" si="269"/>
        <v>440.24</v>
      </c>
      <c r="H1542" s="9">
        <f t="shared" si="270"/>
        <v>0.11006000000000001</v>
      </c>
      <c r="I1542" s="4"/>
      <c r="J1542" s="65">
        <v>540</v>
      </c>
      <c r="K1542" s="31">
        <f t="shared" si="262"/>
        <v>5.1599999999999682</v>
      </c>
      <c r="L1542" s="14"/>
      <c r="M1542" s="4"/>
    </row>
    <row r="1543" spans="2:13">
      <c r="B1543" s="43"/>
      <c r="C1543" s="7">
        <v>1.0104166666666701</v>
      </c>
      <c r="D1543" s="7">
        <v>1.0208333333333399</v>
      </c>
      <c r="E1543" s="30">
        <v>985.4</v>
      </c>
      <c r="F1543" s="60">
        <v>544.58000000000004</v>
      </c>
      <c r="G1543" s="4">
        <f t="shared" si="269"/>
        <v>440.81999999999994</v>
      </c>
      <c r="H1543" s="9">
        <f t="shared" si="270"/>
        <v>0.11020499999999998</v>
      </c>
      <c r="I1543" s="4"/>
      <c r="J1543" s="65">
        <v>540</v>
      </c>
      <c r="K1543" s="31">
        <f t="shared" ref="K1543:K1591" si="274">F1543-J1543</f>
        <v>4.5800000000000409</v>
      </c>
      <c r="L1543" s="14">
        <f t="shared" si="265"/>
        <v>1.1450000000000102E-3</v>
      </c>
      <c r="M1543" s="4"/>
    </row>
    <row r="1544" spans="2:13">
      <c r="B1544" s="43"/>
      <c r="C1544" s="7">
        <v>1.0208333333333399</v>
      </c>
      <c r="D1544" s="7">
        <v>1.03125000000001</v>
      </c>
      <c r="E1544" s="30">
        <v>985.4</v>
      </c>
      <c r="F1544" s="60">
        <v>541.78</v>
      </c>
      <c r="G1544" s="4">
        <f t="shared" si="269"/>
        <v>443.62</v>
      </c>
      <c r="H1544" s="9">
        <f t="shared" si="270"/>
        <v>0.110905</v>
      </c>
      <c r="I1544" s="4"/>
      <c r="J1544" s="65">
        <v>540</v>
      </c>
      <c r="K1544" s="31">
        <f t="shared" si="274"/>
        <v>1.7799999999999727</v>
      </c>
      <c r="L1544" s="14">
        <f t="shared" si="265"/>
        <v>4.449999999999932E-4</v>
      </c>
      <c r="M1544" s="4"/>
    </row>
    <row r="1545" spans="2:13">
      <c r="B1545" s="43"/>
      <c r="C1545" s="7">
        <v>1.03125000000001</v>
      </c>
      <c r="D1545" s="7">
        <v>1.0416666666666801</v>
      </c>
      <c r="E1545" s="30">
        <v>985.4</v>
      </c>
      <c r="F1545" s="60">
        <v>546.02</v>
      </c>
      <c r="G1545" s="4">
        <f t="shared" si="269"/>
        <v>439.38</v>
      </c>
      <c r="H1545" s="9">
        <f t="shared" si="270"/>
        <v>0.109845</v>
      </c>
      <c r="I1545" s="4"/>
      <c r="J1545" s="65">
        <v>540</v>
      </c>
      <c r="K1545" s="31">
        <f t="shared" si="274"/>
        <v>6.0199999999999818</v>
      </c>
      <c r="L1545" s="14">
        <f t="shared" si="265"/>
        <v>1.5049999999999955E-3</v>
      </c>
      <c r="M1545" s="4"/>
    </row>
    <row r="1546" spans="2:13">
      <c r="B1546" s="43"/>
      <c r="C1546" s="7">
        <v>1.0416666666666801</v>
      </c>
      <c r="D1546" s="7">
        <v>1.0520833333333499</v>
      </c>
      <c r="E1546" s="30">
        <v>985.4</v>
      </c>
      <c r="F1546" s="60">
        <v>544.04</v>
      </c>
      <c r="G1546" s="4">
        <f t="shared" si="269"/>
        <v>441.36</v>
      </c>
      <c r="H1546" s="9">
        <f t="shared" si="270"/>
        <v>0.11034000000000001</v>
      </c>
      <c r="I1546" s="4"/>
      <c r="J1546" s="65">
        <v>540</v>
      </c>
      <c r="K1546" s="31">
        <f t="shared" si="274"/>
        <v>4.0399999999999636</v>
      </c>
      <c r="L1546" s="14">
        <f t="shared" si="265"/>
        <v>1.0099999999999909E-3</v>
      </c>
      <c r="M1546" s="4"/>
    </row>
    <row r="1547" spans="2:13">
      <c r="B1547" s="43"/>
      <c r="C1547" s="7">
        <v>1.0520833333333499</v>
      </c>
      <c r="D1547" s="7">
        <v>1.06250000000002</v>
      </c>
      <c r="E1547" s="30">
        <v>985.4</v>
      </c>
      <c r="F1547" s="60">
        <v>541.96</v>
      </c>
      <c r="G1547" s="4">
        <f t="shared" si="269"/>
        <v>443.43999999999994</v>
      </c>
      <c r="H1547" s="9">
        <f t="shared" si="270"/>
        <v>0.11085999999999999</v>
      </c>
      <c r="I1547" s="4"/>
      <c r="J1547" s="64">
        <v>540</v>
      </c>
      <c r="K1547" s="31">
        <f t="shared" si="274"/>
        <v>1.9600000000000364</v>
      </c>
      <c r="L1547" s="14">
        <f t="shared" si="265"/>
        <v>4.9000000000000909E-4</v>
      </c>
      <c r="M1547" s="4"/>
    </row>
    <row r="1548" spans="2:13">
      <c r="B1548" s="43"/>
      <c r="C1548" s="7">
        <v>1.06250000000002</v>
      </c>
      <c r="D1548" s="7">
        <v>1.0729166666666901</v>
      </c>
      <c r="E1548" s="30">
        <v>985.4</v>
      </c>
      <c r="F1548" s="60">
        <v>543.38</v>
      </c>
      <c r="G1548" s="4">
        <f t="shared" si="269"/>
        <v>442.02</v>
      </c>
      <c r="H1548" s="9">
        <f t="shared" si="270"/>
        <v>0.11050499999999999</v>
      </c>
      <c r="I1548" s="4"/>
      <c r="J1548" s="64">
        <v>540</v>
      </c>
      <c r="K1548" s="31">
        <f t="shared" si="274"/>
        <v>3.3799999999999955</v>
      </c>
      <c r="L1548" s="14">
        <f t="shared" si="265"/>
        <v>8.4499999999999886E-4</v>
      </c>
      <c r="M1548" s="4"/>
    </row>
    <row r="1549" spans="2:13">
      <c r="B1549" s="43"/>
      <c r="C1549" s="7">
        <v>1.0729166666666901</v>
      </c>
      <c r="D1549" s="7">
        <v>1.0833333333333599</v>
      </c>
      <c r="E1549" s="30">
        <v>985.4</v>
      </c>
      <c r="F1549" s="60">
        <v>543.49</v>
      </c>
      <c r="G1549" s="4">
        <f t="shared" si="269"/>
        <v>441.90999999999997</v>
      </c>
      <c r="H1549" s="9">
        <f t="shared" si="270"/>
        <v>0.11047749999999999</v>
      </c>
      <c r="I1549" s="4"/>
      <c r="J1549" s="64">
        <v>540</v>
      </c>
      <c r="K1549" s="31">
        <f t="shared" si="274"/>
        <v>3.4900000000000091</v>
      </c>
      <c r="L1549" s="14">
        <f t="shared" si="265"/>
        <v>8.7250000000000229E-4</v>
      </c>
      <c r="M1549" s="4"/>
    </row>
    <row r="1550" spans="2:13">
      <c r="B1550" s="43"/>
      <c r="C1550" s="7">
        <v>1.0833333333333599</v>
      </c>
      <c r="D1550" s="7">
        <v>1.09375000000003</v>
      </c>
      <c r="E1550" s="30">
        <v>985.4</v>
      </c>
      <c r="F1550" s="60">
        <v>544.29</v>
      </c>
      <c r="G1550" s="4">
        <f t="shared" si="269"/>
        <v>441.11</v>
      </c>
      <c r="H1550" s="9">
        <f t="shared" si="270"/>
        <v>0.1102775</v>
      </c>
      <c r="I1550" s="4"/>
      <c r="J1550" s="64">
        <v>540</v>
      </c>
      <c r="K1550" s="31">
        <f t="shared" si="274"/>
        <v>4.2899999999999636</v>
      </c>
      <c r="L1550" s="14">
        <f t="shared" si="265"/>
        <v>1.072499999999991E-3</v>
      </c>
      <c r="M1550" s="4"/>
    </row>
    <row r="1551" spans="2:13">
      <c r="B1551" s="43"/>
      <c r="C1551" s="7">
        <v>1.09375000000003</v>
      </c>
      <c r="D1551" s="7">
        <v>1.1041666666667</v>
      </c>
      <c r="E1551" s="30">
        <v>985.4</v>
      </c>
      <c r="F1551" s="60">
        <v>543.70000000000005</v>
      </c>
      <c r="G1551" s="4">
        <f t="shared" si="269"/>
        <v>441.69999999999993</v>
      </c>
      <c r="H1551" s="9">
        <f t="shared" si="270"/>
        <v>0.11042499999999998</v>
      </c>
      <c r="I1551" s="4"/>
      <c r="J1551" s="64">
        <v>540</v>
      </c>
      <c r="K1551" s="31">
        <f t="shared" si="274"/>
        <v>3.7000000000000455</v>
      </c>
      <c r="L1551" s="14">
        <f t="shared" si="265"/>
        <v>9.2500000000001132E-4</v>
      </c>
      <c r="M1551" s="4"/>
    </row>
    <row r="1552" spans="2:13">
      <c r="B1552" s="43"/>
      <c r="C1552" s="7">
        <v>1.1041666666667</v>
      </c>
      <c r="D1552" s="7">
        <v>1.1145833333333699</v>
      </c>
      <c r="E1552" s="30">
        <v>985.4</v>
      </c>
      <c r="F1552" s="60">
        <v>542.54</v>
      </c>
      <c r="G1552" s="4">
        <f t="shared" si="269"/>
        <v>442.86</v>
      </c>
      <c r="H1552" s="9">
        <f t="shared" si="270"/>
        <v>0.11071500000000001</v>
      </c>
      <c r="I1552" s="4"/>
      <c r="J1552" s="64">
        <v>540</v>
      </c>
      <c r="K1552" s="31">
        <f t="shared" si="274"/>
        <v>2.5399999999999636</v>
      </c>
      <c r="L1552" s="14">
        <f t="shared" si="265"/>
        <v>6.3499999999999093E-4</v>
      </c>
      <c r="M1552" s="4"/>
    </row>
    <row r="1553" spans="2:13">
      <c r="B1553" s="43"/>
      <c r="C1553" s="7">
        <v>1.1145833333333699</v>
      </c>
      <c r="D1553" s="7">
        <v>1.12500000000004</v>
      </c>
      <c r="E1553" s="30">
        <v>985.4</v>
      </c>
      <c r="F1553" s="60">
        <v>542.17999999999995</v>
      </c>
      <c r="G1553" s="4">
        <f t="shared" si="269"/>
        <v>443.22</v>
      </c>
      <c r="H1553" s="9">
        <f t="shared" si="270"/>
        <v>0.110805</v>
      </c>
      <c r="I1553" s="4"/>
      <c r="J1553" s="64">
        <v>540</v>
      </c>
      <c r="K1553" s="31">
        <f t="shared" si="274"/>
        <v>2.17999999999995</v>
      </c>
      <c r="L1553" s="14">
        <f t="shared" si="265"/>
        <v>5.4499999999998744E-4</v>
      </c>
      <c r="M1553" s="4"/>
    </row>
    <row r="1554" spans="2:13">
      <c r="B1554" s="43"/>
      <c r="C1554" s="7">
        <v>1.12500000000004</v>
      </c>
      <c r="D1554" s="7">
        <v>1.13541666666671</v>
      </c>
      <c r="E1554" s="30">
        <v>985.4</v>
      </c>
      <c r="F1554" s="60">
        <v>543.03</v>
      </c>
      <c r="G1554" s="4">
        <f t="shared" si="269"/>
        <v>442.37</v>
      </c>
      <c r="H1554" s="9">
        <f t="shared" si="270"/>
        <v>0.1105925</v>
      </c>
      <c r="I1554" s="4"/>
      <c r="J1554" s="64">
        <v>540</v>
      </c>
      <c r="K1554" s="31">
        <f t="shared" si="274"/>
        <v>3.0299999999999727</v>
      </c>
      <c r="L1554" s="14">
        <f t="shared" si="265"/>
        <v>7.574999999999932E-4</v>
      </c>
      <c r="M1554" s="4"/>
    </row>
    <row r="1555" spans="2:13">
      <c r="B1555" s="43"/>
      <c r="C1555" s="7">
        <v>1.13541666666671</v>
      </c>
      <c r="D1555" s="7">
        <v>1.1458333333333801</v>
      </c>
      <c r="E1555" s="30">
        <v>985.4</v>
      </c>
      <c r="F1555" s="60">
        <v>542.70000000000005</v>
      </c>
      <c r="G1555" s="4">
        <f t="shared" si="269"/>
        <v>442.69999999999993</v>
      </c>
      <c r="H1555" s="9">
        <f t="shared" si="270"/>
        <v>0.11067499999999998</v>
      </c>
      <c r="I1555" s="4"/>
      <c r="J1555" s="64">
        <v>540</v>
      </c>
      <c r="K1555" s="31">
        <f t="shared" si="274"/>
        <v>2.7000000000000455</v>
      </c>
      <c r="L1555" s="14">
        <f t="shared" si="265"/>
        <v>6.7500000000001142E-4</v>
      </c>
      <c r="M1555" s="4"/>
    </row>
    <row r="1556" spans="2:13">
      <c r="B1556" s="43"/>
      <c r="C1556" s="7">
        <v>1.1458333333333801</v>
      </c>
      <c r="D1556" s="7">
        <v>1.15625000000005</v>
      </c>
      <c r="E1556" s="30">
        <v>985.4</v>
      </c>
      <c r="F1556" s="60">
        <v>542.52</v>
      </c>
      <c r="G1556" s="4">
        <f t="shared" si="269"/>
        <v>442.88</v>
      </c>
      <c r="H1556" s="9">
        <f t="shared" si="270"/>
        <v>0.11072</v>
      </c>
      <c r="I1556" s="4"/>
      <c r="J1556" s="64">
        <v>540</v>
      </c>
      <c r="K1556" s="31">
        <f t="shared" si="274"/>
        <v>2.5199999999999818</v>
      </c>
      <c r="L1556" s="14">
        <f t="shared" si="265"/>
        <v>6.2999999999999547E-4</v>
      </c>
      <c r="M1556" s="4"/>
    </row>
    <row r="1557" spans="2:13">
      <c r="B1557" s="43"/>
      <c r="C1557" s="7">
        <v>1.15625000000005</v>
      </c>
      <c r="D1557" s="7">
        <v>1.16666666666672</v>
      </c>
      <c r="E1557" s="30">
        <v>985.4</v>
      </c>
      <c r="F1557" s="60">
        <v>543.44000000000005</v>
      </c>
      <c r="G1557" s="4">
        <f t="shared" si="269"/>
        <v>441.95999999999992</v>
      </c>
      <c r="H1557" s="9">
        <f t="shared" si="270"/>
        <v>0.11048999999999998</v>
      </c>
      <c r="I1557" s="4"/>
      <c r="J1557" s="64">
        <v>540</v>
      </c>
      <c r="K1557" s="31">
        <f t="shared" si="274"/>
        <v>3.4400000000000546</v>
      </c>
      <c r="L1557" s="14">
        <f t="shared" ref="L1557:L1608" si="275">IF(K1557/4000&gt;0,K1557/4000,0)</f>
        <v>8.6000000000001364E-4</v>
      </c>
      <c r="M1557" s="4"/>
    </row>
    <row r="1558" spans="2:13">
      <c r="B1558" s="43"/>
      <c r="C1558" s="7">
        <v>1.16666666666672</v>
      </c>
      <c r="D1558" s="7">
        <v>1.1770833333333901</v>
      </c>
      <c r="E1558" s="30">
        <v>985.4</v>
      </c>
      <c r="F1558" s="60">
        <v>542.16999999999996</v>
      </c>
      <c r="G1558" s="4">
        <f t="shared" si="269"/>
        <v>443.23</v>
      </c>
      <c r="H1558" s="9">
        <f t="shared" si="270"/>
        <v>0.1108075</v>
      </c>
      <c r="I1558" s="4"/>
      <c r="J1558" s="64">
        <v>540</v>
      </c>
      <c r="K1558" s="31">
        <f t="shared" si="274"/>
        <v>2.1699999999999591</v>
      </c>
      <c r="L1558" s="14">
        <f t="shared" si="275"/>
        <v>5.4249999999998982E-4</v>
      </c>
      <c r="M1558" s="4"/>
    </row>
    <row r="1559" spans="2:13">
      <c r="B1559" s="43"/>
      <c r="C1559" s="7">
        <v>1.1770833333333901</v>
      </c>
      <c r="D1559" s="7">
        <v>1.18750000000006</v>
      </c>
      <c r="E1559" s="30">
        <v>985.4</v>
      </c>
      <c r="F1559" s="60">
        <v>541.26</v>
      </c>
      <c r="G1559" s="4">
        <f t="shared" si="269"/>
        <v>444.14</v>
      </c>
      <c r="H1559" s="9">
        <f t="shared" si="270"/>
        <v>0.11103499999999999</v>
      </c>
      <c r="I1559" s="4"/>
      <c r="J1559" s="64">
        <v>540</v>
      </c>
      <c r="K1559" s="31">
        <f t="shared" si="274"/>
        <v>1.2599999999999909</v>
      </c>
      <c r="L1559" s="14">
        <f t="shared" si="275"/>
        <v>3.1499999999999774E-4</v>
      </c>
      <c r="M1559" s="4"/>
    </row>
    <row r="1560" spans="2:13">
      <c r="B1560" s="43"/>
      <c r="C1560" s="7">
        <v>1.18750000000006</v>
      </c>
      <c r="D1560" s="7">
        <v>1.19791666666673</v>
      </c>
      <c r="E1560" s="30">
        <v>985.4</v>
      </c>
      <c r="F1560" s="60">
        <v>542.95000000000005</v>
      </c>
      <c r="G1560" s="4">
        <f t="shared" si="269"/>
        <v>442.44999999999993</v>
      </c>
      <c r="H1560" s="9">
        <f t="shared" si="270"/>
        <v>0.11061249999999999</v>
      </c>
      <c r="I1560" s="4"/>
      <c r="J1560" s="64">
        <v>540</v>
      </c>
      <c r="K1560" s="31">
        <f t="shared" si="274"/>
        <v>2.9500000000000455</v>
      </c>
      <c r="L1560" s="14">
        <f t="shared" si="275"/>
        <v>7.3750000000001137E-4</v>
      </c>
      <c r="M1560" s="4"/>
    </row>
    <row r="1561" spans="2:13">
      <c r="B1561" s="43"/>
      <c r="C1561" s="7">
        <v>1.19791666666673</v>
      </c>
      <c r="D1561" s="7">
        <v>1.2083333333334001</v>
      </c>
      <c r="E1561" s="30">
        <v>985.4</v>
      </c>
      <c r="F1561" s="60">
        <v>541.25</v>
      </c>
      <c r="G1561" s="4">
        <f t="shared" si="269"/>
        <v>444.15</v>
      </c>
      <c r="H1561" s="9">
        <f t="shared" si="270"/>
        <v>0.1110375</v>
      </c>
      <c r="I1561" s="4"/>
      <c r="J1561" s="64">
        <v>540</v>
      </c>
      <c r="K1561" s="31">
        <f t="shared" si="274"/>
        <v>1.25</v>
      </c>
      <c r="L1561" s="14">
        <f t="shared" si="275"/>
        <v>3.1250000000000001E-4</v>
      </c>
      <c r="M1561" s="4"/>
    </row>
    <row r="1562" spans="2:13">
      <c r="B1562" s="43"/>
      <c r="C1562" s="7">
        <v>1.2083333333334001</v>
      </c>
      <c r="D1562" s="7">
        <v>1.2187500000000699</v>
      </c>
      <c r="E1562" s="30">
        <v>985.4</v>
      </c>
      <c r="F1562" s="60">
        <v>540.23</v>
      </c>
      <c r="G1562" s="4">
        <f t="shared" si="269"/>
        <v>445.16999999999996</v>
      </c>
      <c r="H1562" s="9">
        <f t="shared" si="270"/>
        <v>0.11129249999999999</v>
      </c>
      <c r="I1562" s="4"/>
      <c r="J1562" s="64">
        <v>540</v>
      </c>
      <c r="K1562" s="31">
        <f t="shared" si="274"/>
        <v>0.23000000000001819</v>
      </c>
      <c r="L1562" s="14">
        <f t="shared" si="275"/>
        <v>5.7500000000004549E-5</v>
      </c>
      <c r="M1562" s="4"/>
    </row>
    <row r="1563" spans="2:13">
      <c r="B1563" s="43"/>
      <c r="C1563" s="7">
        <v>1.2187500000000699</v>
      </c>
      <c r="D1563" s="7">
        <v>1.22916666666674</v>
      </c>
      <c r="E1563" s="30">
        <v>985.4</v>
      </c>
      <c r="F1563" s="60">
        <v>541.41999999999996</v>
      </c>
      <c r="G1563" s="4">
        <f t="shared" si="269"/>
        <v>443.98</v>
      </c>
      <c r="H1563" s="9">
        <f t="shared" si="270"/>
        <v>0.11099500000000001</v>
      </c>
      <c r="I1563" s="4"/>
      <c r="J1563" s="64">
        <v>540</v>
      </c>
      <c r="K1563" s="31">
        <f t="shared" si="274"/>
        <v>1.4199999999999591</v>
      </c>
      <c r="L1563" s="14">
        <f t="shared" si="275"/>
        <v>3.5499999999998976E-4</v>
      </c>
      <c r="M1563" s="4"/>
    </row>
    <row r="1564" spans="2:13">
      <c r="B1564" s="43"/>
      <c r="C1564" s="7">
        <v>1.22916666666674</v>
      </c>
      <c r="D1564" s="35">
        <v>1.2395833333334101</v>
      </c>
      <c r="E1564" s="30">
        <v>985.4</v>
      </c>
      <c r="F1564" s="60">
        <v>551.19000000000005</v>
      </c>
      <c r="G1564" s="4">
        <f t="shared" si="269"/>
        <v>434.20999999999992</v>
      </c>
      <c r="H1564" s="9">
        <f t="shared" si="270"/>
        <v>0.10855249999999998</v>
      </c>
      <c r="I1564" s="4"/>
      <c r="J1564" s="64">
        <f>J1563+55</f>
        <v>595</v>
      </c>
      <c r="K1564" s="31">
        <f>J1564-F1564</f>
        <v>43.809999999999945</v>
      </c>
      <c r="L1564" s="14">
        <f t="shared" si="275"/>
        <v>1.0952499999999987E-2</v>
      </c>
      <c r="M1564" s="4"/>
    </row>
    <row r="1565" spans="2:13">
      <c r="B1565" s="43"/>
      <c r="C1565" s="7">
        <v>1.2395833333334101</v>
      </c>
      <c r="D1565" s="7">
        <v>1.2500000000000799</v>
      </c>
      <c r="E1565" s="30">
        <v>985.4</v>
      </c>
      <c r="F1565" s="60">
        <v>670.59</v>
      </c>
      <c r="G1565" s="4">
        <f t="shared" si="269"/>
        <v>314.80999999999995</v>
      </c>
      <c r="H1565" s="9">
        <f t="shared" si="270"/>
        <v>7.8702499999999981E-2</v>
      </c>
      <c r="I1565" s="4"/>
      <c r="J1565" s="29">
        <f>J1564+80</f>
        <v>675</v>
      </c>
      <c r="K1565" s="31">
        <f t="shared" ref="K1565:K1569" si="276">J1565-F1565</f>
        <v>4.4099999999999682</v>
      </c>
      <c r="L1565" s="14">
        <f t="shared" si="275"/>
        <v>1.1024999999999919E-3</v>
      </c>
      <c r="M1565" s="4"/>
    </row>
    <row r="1566" spans="2:13">
      <c r="B1566" s="43"/>
      <c r="C1566" s="7">
        <v>1.2500000000000799</v>
      </c>
      <c r="D1566" s="7">
        <v>1.26041666666675</v>
      </c>
      <c r="E1566" s="30">
        <v>985.4</v>
      </c>
      <c r="F1566" s="60">
        <v>853.62</v>
      </c>
      <c r="G1566" s="4">
        <f t="shared" si="269"/>
        <v>131.77999999999997</v>
      </c>
      <c r="H1566" s="9">
        <f t="shared" si="270"/>
        <v>3.2944999999999995E-2</v>
      </c>
      <c r="I1566" s="4"/>
      <c r="J1566" s="64">
        <f t="shared" ref="J1566:J1568" si="277">J1565+80</f>
        <v>755</v>
      </c>
      <c r="K1566" s="31">
        <f t="shared" si="276"/>
        <v>-98.62</v>
      </c>
      <c r="L1566" s="14">
        <f t="shared" si="275"/>
        <v>0</v>
      </c>
      <c r="M1566" s="4"/>
    </row>
    <row r="1567" spans="2:13">
      <c r="B1567" s="43"/>
      <c r="C1567" s="7">
        <v>1.26041666666675</v>
      </c>
      <c r="D1567" s="7">
        <v>1.2708333333334201</v>
      </c>
      <c r="E1567" s="30">
        <v>985.4</v>
      </c>
      <c r="F1567" s="60">
        <v>978.26</v>
      </c>
      <c r="G1567" s="4">
        <f t="shared" si="269"/>
        <v>7.1399999999999864</v>
      </c>
      <c r="H1567" s="9">
        <f t="shared" si="270"/>
        <v>1.7849999999999967E-3</v>
      </c>
      <c r="I1567" s="4"/>
      <c r="J1567" s="64">
        <f t="shared" si="277"/>
        <v>835</v>
      </c>
      <c r="K1567" s="31">
        <f t="shared" si="276"/>
        <v>-143.26</v>
      </c>
      <c r="L1567" s="14">
        <f t="shared" si="275"/>
        <v>0</v>
      </c>
      <c r="M1567" s="4"/>
    </row>
    <row r="1568" spans="2:13">
      <c r="B1568" s="43"/>
      <c r="C1568" s="7">
        <v>1.2708333333334201</v>
      </c>
      <c r="D1568" s="7">
        <v>1.2812500000000899</v>
      </c>
      <c r="E1568" s="30">
        <v>985.4</v>
      </c>
      <c r="F1568" s="60">
        <v>998.17</v>
      </c>
      <c r="G1568" s="4">
        <f t="shared" si="269"/>
        <v>-12.769999999999982</v>
      </c>
      <c r="H1568" s="76">
        <v>0</v>
      </c>
      <c r="I1568" s="4"/>
      <c r="J1568" s="64">
        <f t="shared" si="277"/>
        <v>915</v>
      </c>
      <c r="K1568" s="31">
        <f t="shared" si="276"/>
        <v>-83.169999999999959</v>
      </c>
      <c r="L1568" s="14">
        <f t="shared" si="275"/>
        <v>0</v>
      </c>
      <c r="M1568" s="4"/>
    </row>
    <row r="1569" spans="2:13">
      <c r="B1569" s="43"/>
      <c r="C1569" s="7">
        <v>1.2812500000000899</v>
      </c>
      <c r="D1569" s="7">
        <v>1.29166666666676</v>
      </c>
      <c r="E1569" s="30">
        <v>985.4</v>
      </c>
      <c r="F1569" s="60">
        <v>995.36</v>
      </c>
      <c r="G1569" s="4">
        <f t="shared" si="269"/>
        <v>-9.9600000000000364</v>
      </c>
      <c r="H1569" s="76">
        <v>0</v>
      </c>
      <c r="I1569" s="4"/>
      <c r="J1569" s="30">
        <v>985.4</v>
      </c>
      <c r="K1569" s="31">
        <f t="shared" si="276"/>
        <v>-9.9600000000000364</v>
      </c>
      <c r="L1569" s="14">
        <f t="shared" si="275"/>
        <v>0</v>
      </c>
      <c r="M1569" s="4"/>
    </row>
    <row r="1570" spans="2:13">
      <c r="B1570" s="43"/>
      <c r="C1570" s="43"/>
      <c r="D1570" s="43"/>
      <c r="E1570" s="4"/>
      <c r="F1570" s="4"/>
      <c r="G1570" s="4"/>
      <c r="H1570" s="9"/>
      <c r="I1570" s="9">
        <f>SUM(H1542:H1569)</f>
        <v>2.6556624999999991</v>
      </c>
      <c r="J1570" s="29"/>
      <c r="K1570" s="31"/>
      <c r="L1570" s="14"/>
      <c r="M1570" s="4">
        <f>SUM(L1542:L1569)</f>
        <v>2.6787499999999964E-2</v>
      </c>
    </row>
    <row r="1571" spans="2:13">
      <c r="B1571" s="34">
        <v>46052</v>
      </c>
      <c r="C1571" s="7">
        <v>1.4166666666668</v>
      </c>
      <c r="D1571" s="7">
        <v>1.42708333333346</v>
      </c>
      <c r="E1571" s="30">
        <v>985.4</v>
      </c>
      <c r="F1571" s="60">
        <v>921.96</v>
      </c>
      <c r="G1571" s="4">
        <f t="shared" ref="G1571:G1621" si="278">E1571-F1571</f>
        <v>63.439999999999941</v>
      </c>
      <c r="H1571" s="9">
        <f t="shared" ref="H1571:H1621" si="279">G1571/4000</f>
        <v>1.5859999999999985E-2</v>
      </c>
      <c r="I1571" s="4"/>
      <c r="J1571" s="29">
        <f>E1571-80</f>
        <v>905.4</v>
      </c>
      <c r="K1571" s="31">
        <f t="shared" si="274"/>
        <v>16.560000000000059</v>
      </c>
      <c r="L1571" s="14"/>
      <c r="M1571" s="4"/>
    </row>
    <row r="1572" spans="2:13">
      <c r="B1572" s="43"/>
      <c r="C1572" s="7">
        <v>1.42708333333347</v>
      </c>
      <c r="D1572" s="7">
        <v>1.4375000000001299</v>
      </c>
      <c r="E1572" s="30">
        <v>985.4</v>
      </c>
      <c r="F1572" s="60">
        <v>822.03</v>
      </c>
      <c r="G1572" s="4">
        <f t="shared" si="278"/>
        <v>163.37</v>
      </c>
      <c r="H1572" s="9">
        <f t="shared" si="279"/>
        <v>4.0842500000000004E-2</v>
      </c>
      <c r="I1572" s="4"/>
      <c r="J1572" s="29">
        <f>J1571-80</f>
        <v>825.4</v>
      </c>
      <c r="K1572" s="31">
        <f t="shared" si="274"/>
        <v>-3.3700000000000045</v>
      </c>
      <c r="L1572" s="14">
        <f t="shared" si="275"/>
        <v>0</v>
      </c>
      <c r="M1572" s="4"/>
    </row>
    <row r="1573" spans="2:13">
      <c r="B1573" s="43"/>
      <c r="C1573" s="7">
        <v>1.4375000000001401</v>
      </c>
      <c r="D1573" s="7">
        <v>1.4479166666668</v>
      </c>
      <c r="E1573" s="30">
        <v>985.4</v>
      </c>
      <c r="F1573" s="60">
        <v>712.36</v>
      </c>
      <c r="G1573" s="4">
        <f t="shared" si="278"/>
        <v>273.03999999999996</v>
      </c>
      <c r="H1573" s="9">
        <f t="shared" si="279"/>
        <v>6.8259999999999987E-2</v>
      </c>
      <c r="I1573" s="4"/>
      <c r="J1573" s="64">
        <f t="shared" ref="J1573:J1575" si="280">J1572-80</f>
        <v>745.4</v>
      </c>
      <c r="K1573" s="31">
        <f t="shared" si="274"/>
        <v>-33.039999999999964</v>
      </c>
      <c r="L1573" s="14">
        <f t="shared" si="275"/>
        <v>0</v>
      </c>
      <c r="M1573" s="4"/>
    </row>
    <row r="1574" spans="2:13">
      <c r="B1574" s="43"/>
      <c r="C1574" s="7">
        <v>1.44791666666681</v>
      </c>
      <c r="D1574" s="7">
        <v>1.45833333333347</v>
      </c>
      <c r="E1574" s="30">
        <v>985.4</v>
      </c>
      <c r="F1574" s="60">
        <v>600.4</v>
      </c>
      <c r="G1574" s="4">
        <f t="shared" si="278"/>
        <v>385</v>
      </c>
      <c r="H1574" s="9">
        <f t="shared" si="279"/>
        <v>9.6250000000000002E-2</v>
      </c>
      <c r="I1574" s="4"/>
      <c r="J1574" s="64">
        <f t="shared" si="280"/>
        <v>665.4</v>
      </c>
      <c r="K1574" s="31">
        <f t="shared" si="274"/>
        <v>-65</v>
      </c>
      <c r="L1574" s="14">
        <f t="shared" si="275"/>
        <v>0</v>
      </c>
      <c r="M1574" s="4"/>
    </row>
    <row r="1575" spans="2:13">
      <c r="B1575" s="43"/>
      <c r="C1575" s="7">
        <v>1.45833333333348</v>
      </c>
      <c r="D1575" s="35">
        <v>1.4687500000001401</v>
      </c>
      <c r="E1575" s="30">
        <v>985.4</v>
      </c>
      <c r="F1575" s="60">
        <v>453.4</v>
      </c>
      <c r="G1575" s="4">
        <f t="shared" si="278"/>
        <v>532</v>
      </c>
      <c r="H1575" s="9">
        <f t="shared" si="279"/>
        <v>0.13300000000000001</v>
      </c>
      <c r="I1575" s="9">
        <f>SUM(H1571:H1575)</f>
        <v>0.35421249999999999</v>
      </c>
      <c r="J1575" s="64">
        <f t="shared" si="280"/>
        <v>585.4</v>
      </c>
      <c r="K1575" s="31">
        <f t="shared" si="274"/>
        <v>-132</v>
      </c>
      <c r="L1575" s="14">
        <f t="shared" si="275"/>
        <v>0</v>
      </c>
      <c r="M1575" s="4">
        <f>SUM(L1571:L1575)</f>
        <v>0</v>
      </c>
    </row>
    <row r="1576" spans="2:13">
      <c r="B1576" s="34">
        <v>46052</v>
      </c>
      <c r="C1576" s="7">
        <v>1.4687500000001501</v>
      </c>
      <c r="D1576" s="7">
        <v>1.47916666666681</v>
      </c>
      <c r="E1576" s="30">
        <v>985.4</v>
      </c>
      <c r="F1576" s="60">
        <v>276.14</v>
      </c>
      <c r="G1576" s="4">
        <f t="shared" si="278"/>
        <v>709.26</v>
      </c>
      <c r="H1576" s="9">
        <f t="shared" si="279"/>
        <v>0.177315</v>
      </c>
      <c r="I1576" s="4"/>
      <c r="J1576" s="64">
        <v>540</v>
      </c>
      <c r="K1576" s="31">
        <f t="shared" si="274"/>
        <v>-263.86</v>
      </c>
      <c r="L1576" s="14"/>
      <c r="M1576" s="4"/>
    </row>
    <row r="1577" spans="2:13">
      <c r="B1577" s="43"/>
      <c r="C1577" s="7">
        <v>1.47916666666682</v>
      </c>
      <c r="D1577" s="7">
        <v>1.48958333333348</v>
      </c>
      <c r="E1577" s="30">
        <v>985.4</v>
      </c>
      <c r="F1577" s="60">
        <v>270.52</v>
      </c>
      <c r="G1577" s="4">
        <f t="shared" si="278"/>
        <v>714.88</v>
      </c>
      <c r="H1577" s="9">
        <f t="shared" si="279"/>
        <v>0.17871999999999999</v>
      </c>
      <c r="I1577" s="4"/>
      <c r="J1577" s="64">
        <v>540</v>
      </c>
      <c r="K1577" s="31">
        <f t="shared" si="274"/>
        <v>-269.48</v>
      </c>
      <c r="L1577" s="14">
        <f t="shared" si="275"/>
        <v>0</v>
      </c>
      <c r="M1577" s="4"/>
    </row>
    <row r="1578" spans="2:13">
      <c r="B1578" s="43"/>
      <c r="C1578" s="7">
        <v>1.48958333333349</v>
      </c>
      <c r="D1578" s="7">
        <v>1.5000000000001501</v>
      </c>
      <c r="E1578" s="30">
        <v>985.4</v>
      </c>
      <c r="F1578" s="60">
        <v>273.38</v>
      </c>
      <c r="G1578" s="4">
        <f t="shared" si="278"/>
        <v>712.02</v>
      </c>
      <c r="H1578" s="9">
        <f t="shared" si="279"/>
        <v>0.178005</v>
      </c>
      <c r="I1578" s="4"/>
      <c r="J1578" s="64">
        <v>540</v>
      </c>
      <c r="K1578" s="31">
        <f t="shared" si="274"/>
        <v>-266.62</v>
      </c>
      <c r="L1578" s="14">
        <f t="shared" si="275"/>
        <v>0</v>
      </c>
      <c r="M1578" s="4"/>
    </row>
    <row r="1579" spans="2:13">
      <c r="B1579" s="43"/>
      <c r="C1579" s="7">
        <v>1.5000000000001601</v>
      </c>
      <c r="D1579" s="7">
        <v>1.51041666666682</v>
      </c>
      <c r="E1579" s="30">
        <v>985.4</v>
      </c>
      <c r="F1579" s="60">
        <v>272.39</v>
      </c>
      <c r="G1579" s="4">
        <f t="shared" si="278"/>
        <v>713.01</v>
      </c>
      <c r="H1579" s="9">
        <f t="shared" si="279"/>
        <v>0.17825250000000001</v>
      </c>
      <c r="I1579" s="4"/>
      <c r="J1579" s="64">
        <v>540</v>
      </c>
      <c r="K1579" s="31">
        <f t="shared" si="274"/>
        <v>-267.61</v>
      </c>
      <c r="L1579" s="14">
        <f t="shared" si="275"/>
        <v>0</v>
      </c>
      <c r="M1579" s="4"/>
    </row>
    <row r="1580" spans="2:13">
      <c r="B1580" s="43"/>
      <c r="C1580" s="7">
        <v>1.5104166666668299</v>
      </c>
      <c r="D1580" s="7">
        <v>1.52083333333349</v>
      </c>
      <c r="E1580" s="30">
        <v>985.4</v>
      </c>
      <c r="F1580" s="60">
        <v>275.26</v>
      </c>
      <c r="G1580" s="4">
        <f t="shared" si="278"/>
        <v>710.14</v>
      </c>
      <c r="H1580" s="9">
        <f t="shared" si="279"/>
        <v>0.177535</v>
      </c>
      <c r="I1580" s="4"/>
      <c r="J1580" s="64">
        <v>540</v>
      </c>
      <c r="K1580" s="31">
        <f t="shared" si="274"/>
        <v>-264.74</v>
      </c>
      <c r="L1580" s="14">
        <f t="shared" si="275"/>
        <v>0</v>
      </c>
      <c r="M1580" s="4"/>
    </row>
    <row r="1581" spans="2:13">
      <c r="B1581" s="43"/>
      <c r="C1581" s="7">
        <v>1.5208333333335</v>
      </c>
      <c r="D1581" s="7">
        <v>1.5312500000001601</v>
      </c>
      <c r="E1581" s="30">
        <v>985.4</v>
      </c>
      <c r="F1581" s="60">
        <v>274.38</v>
      </c>
      <c r="G1581" s="4">
        <f t="shared" si="278"/>
        <v>711.02</v>
      </c>
      <c r="H1581" s="9">
        <f t="shared" si="279"/>
        <v>0.177755</v>
      </c>
      <c r="I1581" s="4"/>
      <c r="J1581" s="64">
        <v>540</v>
      </c>
      <c r="K1581" s="31">
        <f t="shared" si="274"/>
        <v>-265.62</v>
      </c>
      <c r="L1581" s="14">
        <f t="shared" si="275"/>
        <v>0</v>
      </c>
      <c r="M1581" s="4"/>
    </row>
    <row r="1582" spans="2:13">
      <c r="B1582" s="43"/>
      <c r="C1582" s="7">
        <v>1.5312500000001701</v>
      </c>
      <c r="D1582" s="7">
        <v>1.5416666666668299</v>
      </c>
      <c r="E1582" s="30">
        <v>985.4</v>
      </c>
      <c r="F1582" s="60">
        <v>414.7</v>
      </c>
      <c r="G1582" s="4">
        <f t="shared" si="278"/>
        <v>570.70000000000005</v>
      </c>
      <c r="H1582" s="9">
        <f t="shared" si="279"/>
        <v>0.14267500000000002</v>
      </c>
      <c r="I1582" s="4"/>
      <c r="J1582" s="64">
        <v>540</v>
      </c>
      <c r="K1582" s="31">
        <f t="shared" si="274"/>
        <v>-125.30000000000001</v>
      </c>
      <c r="L1582" s="14">
        <f t="shared" si="275"/>
        <v>0</v>
      </c>
      <c r="M1582" s="4"/>
    </row>
    <row r="1583" spans="2:13">
      <c r="B1583" s="43"/>
      <c r="C1583" s="7">
        <v>1.5416666666668399</v>
      </c>
      <c r="D1583" s="7">
        <v>1.5520833333335</v>
      </c>
      <c r="E1583" s="30">
        <v>985.4</v>
      </c>
      <c r="F1583" s="60">
        <v>482.83</v>
      </c>
      <c r="G1583" s="4">
        <f t="shared" si="278"/>
        <v>502.57</v>
      </c>
      <c r="H1583" s="9">
        <f t="shared" si="279"/>
        <v>0.12564249999999999</v>
      </c>
      <c r="I1583" s="9">
        <f>SUM(H1576:H1583)</f>
        <v>1.3359000000000001</v>
      </c>
      <c r="J1583" s="64">
        <v>540</v>
      </c>
      <c r="K1583" s="31">
        <f t="shared" si="274"/>
        <v>-57.170000000000016</v>
      </c>
      <c r="L1583" s="14">
        <f t="shared" si="275"/>
        <v>0</v>
      </c>
      <c r="M1583" s="4">
        <f>SUM(L1576:L1583)</f>
        <v>0</v>
      </c>
    </row>
    <row r="1584" spans="2:13">
      <c r="B1584" s="34">
        <v>46052</v>
      </c>
      <c r="C1584" s="7">
        <v>1.55208333333351</v>
      </c>
      <c r="D1584" s="35">
        <v>1.5625000000001701</v>
      </c>
      <c r="E1584" s="30">
        <v>985.4</v>
      </c>
      <c r="F1584" s="60">
        <v>516.78</v>
      </c>
      <c r="G1584" s="4">
        <f t="shared" si="278"/>
        <v>468.62</v>
      </c>
      <c r="H1584" s="9">
        <f t="shared" si="279"/>
        <v>0.117155</v>
      </c>
      <c r="I1584" s="4"/>
      <c r="J1584" s="64">
        <v>540</v>
      </c>
      <c r="K1584" s="31">
        <f t="shared" si="274"/>
        <v>-23.220000000000027</v>
      </c>
      <c r="L1584" s="14"/>
      <c r="M1584" s="4"/>
    </row>
    <row r="1585" spans="2:13">
      <c r="B1585" s="43"/>
      <c r="C1585" s="7">
        <v>1.5625000000001801</v>
      </c>
      <c r="D1585" s="7">
        <v>1.5729166666668399</v>
      </c>
      <c r="E1585" s="30">
        <v>985.4</v>
      </c>
      <c r="F1585" s="60">
        <v>556.74</v>
      </c>
      <c r="G1585" s="4">
        <f t="shared" si="278"/>
        <v>428.65999999999997</v>
      </c>
      <c r="H1585" s="9">
        <f t="shared" si="279"/>
        <v>0.107165</v>
      </c>
      <c r="I1585" s="4"/>
      <c r="J1585" s="64">
        <v>540</v>
      </c>
      <c r="K1585" s="31">
        <f t="shared" si="274"/>
        <v>16.740000000000009</v>
      </c>
      <c r="L1585" s="14">
        <f t="shared" si="275"/>
        <v>4.1850000000000021E-3</v>
      </c>
      <c r="M1585" s="4"/>
    </row>
    <row r="1586" spans="2:13">
      <c r="B1586" s="43"/>
      <c r="C1586" s="7">
        <v>1.5729166666668499</v>
      </c>
      <c r="D1586" s="7">
        <v>1.58333333333351</v>
      </c>
      <c r="E1586" s="30">
        <v>985.4</v>
      </c>
      <c r="F1586" s="60">
        <v>548.95000000000005</v>
      </c>
      <c r="G1586" s="4">
        <f t="shared" si="278"/>
        <v>436.44999999999993</v>
      </c>
      <c r="H1586" s="9">
        <f t="shared" si="279"/>
        <v>0.10911249999999999</v>
      </c>
      <c r="I1586" s="4"/>
      <c r="J1586" s="64">
        <v>540</v>
      </c>
      <c r="K1586" s="31">
        <f t="shared" si="274"/>
        <v>8.9500000000000455</v>
      </c>
      <c r="L1586" s="14">
        <f t="shared" si="275"/>
        <v>2.2375000000000112E-3</v>
      </c>
      <c r="M1586" s="4"/>
    </row>
    <row r="1587" spans="2:13">
      <c r="B1587" s="43"/>
      <c r="C1587" s="7">
        <v>1.58333333333352</v>
      </c>
      <c r="D1587" s="7">
        <v>1.5937500000001801</v>
      </c>
      <c r="E1587" s="30">
        <v>985.4</v>
      </c>
      <c r="F1587" s="60">
        <v>542.17999999999995</v>
      </c>
      <c r="G1587" s="4">
        <f t="shared" si="278"/>
        <v>443.22</v>
      </c>
      <c r="H1587" s="9">
        <f t="shared" si="279"/>
        <v>0.110805</v>
      </c>
      <c r="I1587" s="4"/>
      <c r="J1587" s="64">
        <v>540</v>
      </c>
      <c r="K1587" s="31">
        <f t="shared" si="274"/>
        <v>2.17999999999995</v>
      </c>
      <c r="L1587" s="14">
        <f t="shared" si="275"/>
        <v>5.4499999999998744E-4</v>
      </c>
      <c r="M1587" s="4"/>
    </row>
    <row r="1588" spans="2:13">
      <c r="B1588" s="43"/>
      <c r="C1588" s="7">
        <v>1.5937500000001901</v>
      </c>
      <c r="D1588" s="7">
        <v>1.6041666666668499</v>
      </c>
      <c r="E1588" s="30">
        <v>985.4</v>
      </c>
      <c r="F1588" s="60">
        <v>550.57000000000005</v>
      </c>
      <c r="G1588" s="4">
        <f t="shared" si="278"/>
        <v>434.82999999999993</v>
      </c>
      <c r="H1588" s="9">
        <f t="shared" si="279"/>
        <v>0.10870749999999998</v>
      </c>
      <c r="I1588" s="4"/>
      <c r="J1588" s="64">
        <v>540</v>
      </c>
      <c r="K1588" s="31">
        <f t="shared" si="274"/>
        <v>10.57000000000005</v>
      </c>
      <c r="L1588" s="14">
        <f t="shared" si="275"/>
        <v>2.6425000000000125E-3</v>
      </c>
      <c r="M1588" s="4"/>
    </row>
    <row r="1589" spans="2:13">
      <c r="B1589" s="43"/>
      <c r="C1589" s="7">
        <v>1.6041666666668599</v>
      </c>
      <c r="D1589" s="7">
        <v>1.61458333333352</v>
      </c>
      <c r="E1589" s="30">
        <v>985.4</v>
      </c>
      <c r="F1589" s="60">
        <v>565.38</v>
      </c>
      <c r="G1589" s="4">
        <f t="shared" si="278"/>
        <v>420.02</v>
      </c>
      <c r="H1589" s="9">
        <f t="shared" si="279"/>
        <v>0.105005</v>
      </c>
      <c r="I1589" s="4"/>
      <c r="J1589" s="64">
        <v>540</v>
      </c>
      <c r="K1589" s="31">
        <f t="shared" si="274"/>
        <v>25.379999999999995</v>
      </c>
      <c r="L1589" s="14">
        <f t="shared" si="275"/>
        <v>6.3449999999999991E-3</v>
      </c>
      <c r="M1589" s="4"/>
    </row>
    <row r="1590" spans="2:13">
      <c r="B1590" s="43"/>
      <c r="C1590" s="7">
        <v>1.61458333333353</v>
      </c>
      <c r="D1590" s="7">
        <v>1.6250000000001901</v>
      </c>
      <c r="E1590" s="30">
        <v>985.4</v>
      </c>
      <c r="F1590" s="60">
        <v>554.55999999999995</v>
      </c>
      <c r="G1590" s="4">
        <f t="shared" si="278"/>
        <v>430.84000000000003</v>
      </c>
      <c r="H1590" s="9">
        <f t="shared" si="279"/>
        <v>0.10771000000000001</v>
      </c>
      <c r="I1590" s="4"/>
      <c r="J1590" s="64">
        <v>540</v>
      </c>
      <c r="K1590" s="31">
        <f t="shared" si="274"/>
        <v>14.559999999999945</v>
      </c>
      <c r="L1590" s="14">
        <f t="shared" si="275"/>
        <v>3.6399999999999866E-3</v>
      </c>
      <c r="M1590" s="4"/>
    </row>
    <row r="1591" spans="2:13">
      <c r="B1591" s="43"/>
      <c r="C1591" s="7">
        <v>1.6250000000002001</v>
      </c>
      <c r="D1591" s="35">
        <v>1.6354166666668599</v>
      </c>
      <c r="E1591" s="30">
        <v>985.4</v>
      </c>
      <c r="F1591" s="60">
        <v>549.21</v>
      </c>
      <c r="G1591" s="4">
        <f t="shared" si="278"/>
        <v>436.18999999999994</v>
      </c>
      <c r="H1591" s="9">
        <f t="shared" si="279"/>
        <v>0.10904749999999999</v>
      </c>
      <c r="I1591" s="4"/>
      <c r="J1591" s="64">
        <v>540</v>
      </c>
      <c r="K1591" s="31">
        <f t="shared" si="274"/>
        <v>9.2100000000000364</v>
      </c>
      <c r="L1591" s="14">
        <f t="shared" si="275"/>
        <v>2.302500000000009E-3</v>
      </c>
      <c r="M1591" s="4"/>
    </row>
    <row r="1592" spans="2:13">
      <c r="B1592" s="43"/>
      <c r="C1592" s="7">
        <v>1.6354166666668699</v>
      </c>
      <c r="D1592" s="7">
        <v>1.64583333333353</v>
      </c>
      <c r="E1592" s="30">
        <v>985.4</v>
      </c>
      <c r="F1592" s="60">
        <v>610.66999999999996</v>
      </c>
      <c r="G1592" s="4">
        <f t="shared" si="278"/>
        <v>374.73</v>
      </c>
      <c r="H1592" s="9">
        <f t="shared" si="279"/>
        <v>9.3682500000000002E-2</v>
      </c>
      <c r="I1592" s="4"/>
      <c r="J1592" s="29">
        <f>J1591+80</f>
        <v>620</v>
      </c>
      <c r="K1592" s="31">
        <f>J1592-F1592</f>
        <v>9.3300000000000409</v>
      </c>
      <c r="L1592" s="14">
        <f t="shared" si="275"/>
        <v>2.3325000000000103E-3</v>
      </c>
      <c r="M1592" s="4"/>
    </row>
    <row r="1593" spans="2:13">
      <c r="B1593" s="43"/>
      <c r="C1593" s="7">
        <v>1.64583333333354</v>
      </c>
      <c r="D1593" s="7">
        <v>1.6562500000002001</v>
      </c>
      <c r="E1593" s="30">
        <v>985.4</v>
      </c>
      <c r="F1593" s="60">
        <v>711.52</v>
      </c>
      <c r="G1593" s="4">
        <f t="shared" si="278"/>
        <v>273.88</v>
      </c>
      <c r="H1593" s="9">
        <f t="shared" si="279"/>
        <v>6.8470000000000003E-2</v>
      </c>
      <c r="I1593" s="4"/>
      <c r="J1593" s="64">
        <f t="shared" ref="J1593:J1596" si="281">J1592+80</f>
        <v>700</v>
      </c>
      <c r="K1593" s="31">
        <f t="shared" ref="K1593:K1597" si="282">J1593-F1593</f>
        <v>-11.519999999999982</v>
      </c>
      <c r="L1593" s="14">
        <f t="shared" si="275"/>
        <v>0</v>
      </c>
      <c r="M1593" s="4"/>
    </row>
    <row r="1594" spans="2:13">
      <c r="B1594" s="43"/>
      <c r="C1594" s="7">
        <v>1.6562500000002101</v>
      </c>
      <c r="D1594" s="7">
        <v>1.6666666666668699</v>
      </c>
      <c r="E1594" s="30">
        <v>985.4</v>
      </c>
      <c r="F1594" s="60">
        <v>842.75</v>
      </c>
      <c r="G1594" s="4">
        <f t="shared" si="278"/>
        <v>142.64999999999998</v>
      </c>
      <c r="H1594" s="9">
        <f t="shared" si="279"/>
        <v>3.5662499999999993E-2</v>
      </c>
      <c r="I1594" s="4"/>
      <c r="J1594" s="64">
        <f t="shared" si="281"/>
        <v>780</v>
      </c>
      <c r="K1594" s="31">
        <f t="shared" si="282"/>
        <v>-62.75</v>
      </c>
      <c r="L1594" s="14">
        <f t="shared" si="275"/>
        <v>0</v>
      </c>
      <c r="M1594" s="4"/>
    </row>
    <row r="1595" spans="2:13">
      <c r="B1595" s="43"/>
      <c r="C1595" s="7">
        <v>1.6666666666668899</v>
      </c>
      <c r="D1595" s="7">
        <v>1.67708333333354</v>
      </c>
      <c r="E1595" s="30">
        <v>985.4</v>
      </c>
      <c r="F1595" s="60">
        <v>952.18</v>
      </c>
      <c r="G1595" s="4">
        <f t="shared" si="278"/>
        <v>33.220000000000027</v>
      </c>
      <c r="H1595" s="9">
        <f t="shared" si="279"/>
        <v>8.3050000000000068E-3</v>
      </c>
      <c r="I1595" s="4"/>
      <c r="J1595" s="64">
        <f t="shared" si="281"/>
        <v>860</v>
      </c>
      <c r="K1595" s="31">
        <f t="shared" si="282"/>
        <v>-92.17999999999995</v>
      </c>
      <c r="L1595" s="14">
        <f t="shared" si="275"/>
        <v>0</v>
      </c>
      <c r="M1595" s="4"/>
    </row>
    <row r="1596" spans="2:13">
      <c r="B1596" s="43"/>
      <c r="C1596" s="7">
        <v>1.67708333333356</v>
      </c>
      <c r="D1596" s="7">
        <v>1.6875000000002101</v>
      </c>
      <c r="E1596" s="30">
        <v>985.4</v>
      </c>
      <c r="F1596" s="60">
        <v>986.12</v>
      </c>
      <c r="G1596" s="4">
        <f t="shared" si="278"/>
        <v>-0.72000000000002728</v>
      </c>
      <c r="H1596" s="76">
        <v>0</v>
      </c>
      <c r="I1596" s="4"/>
      <c r="J1596" s="64">
        <f t="shared" si="281"/>
        <v>940</v>
      </c>
      <c r="K1596" s="31">
        <f t="shared" si="282"/>
        <v>-46.120000000000005</v>
      </c>
      <c r="L1596" s="14">
        <f t="shared" si="275"/>
        <v>0</v>
      </c>
      <c r="M1596" s="4"/>
    </row>
    <row r="1597" spans="2:13">
      <c r="B1597" s="43"/>
      <c r="C1597" s="7">
        <v>1.68750000000023</v>
      </c>
      <c r="D1597" s="7">
        <v>1.6979166666668799</v>
      </c>
      <c r="E1597" s="30">
        <v>985.4</v>
      </c>
      <c r="F1597" s="73">
        <v>993.23</v>
      </c>
      <c r="G1597" s="4">
        <f t="shared" ref="G1597" si="283">E1597-F1597</f>
        <v>-7.8300000000000409</v>
      </c>
      <c r="H1597" s="76">
        <v>0</v>
      </c>
      <c r="I1597" s="4"/>
      <c r="J1597" s="30">
        <v>985.4</v>
      </c>
      <c r="K1597" s="31">
        <f t="shared" si="282"/>
        <v>-7.8300000000000409</v>
      </c>
      <c r="L1597" s="14">
        <f t="shared" ref="L1597" si="284">IF(K1597/4000&gt;0,K1597/4000,0)</f>
        <v>0</v>
      </c>
      <c r="M1597" s="4"/>
    </row>
    <row r="1598" spans="2:13">
      <c r="B1598" s="43"/>
      <c r="C1598" s="43"/>
      <c r="D1598" s="43"/>
      <c r="E1598" s="4"/>
      <c r="F1598" s="4"/>
      <c r="G1598" s="4"/>
      <c r="H1598" s="9"/>
      <c r="I1598" s="9">
        <f>SUM(H1584:H1597)</f>
        <v>1.0808274999999998</v>
      </c>
      <c r="J1598" s="29"/>
      <c r="K1598" s="31"/>
      <c r="L1598" s="14"/>
      <c r="M1598" s="4">
        <f>SUM(L1584:L1597)</f>
        <v>2.4230000000000019E-2</v>
      </c>
    </row>
    <row r="1599" spans="2:13">
      <c r="B1599" s="34">
        <v>46052</v>
      </c>
      <c r="C1599" s="7">
        <v>1.8333333333336099</v>
      </c>
      <c r="D1599" s="7">
        <v>1.84375000000026</v>
      </c>
      <c r="E1599" s="30">
        <v>985.4</v>
      </c>
      <c r="F1599" s="60">
        <v>925.95</v>
      </c>
      <c r="G1599" s="4">
        <f t="shared" si="278"/>
        <v>59.449999999999932</v>
      </c>
      <c r="H1599" s="9">
        <f t="shared" si="279"/>
        <v>1.4862499999999983E-2</v>
      </c>
      <c r="I1599" s="4"/>
      <c r="J1599" s="29">
        <f>E1599-80</f>
        <v>905.4</v>
      </c>
      <c r="K1599" s="31">
        <f t="shared" ref="K1599:K1659" si="285">F1599-J1599</f>
        <v>20.550000000000068</v>
      </c>
      <c r="L1599" s="14"/>
      <c r="M1599" s="4"/>
    </row>
    <row r="1600" spans="2:13">
      <c r="B1600" s="43"/>
      <c r="C1600" s="7">
        <v>1.84375000000028</v>
      </c>
      <c r="D1600" s="7">
        <v>1.8541666666669301</v>
      </c>
      <c r="E1600" s="30">
        <v>985.4</v>
      </c>
      <c r="F1600" s="60">
        <v>841.93</v>
      </c>
      <c r="G1600" s="4">
        <f t="shared" si="278"/>
        <v>143.47000000000003</v>
      </c>
      <c r="H1600" s="9">
        <f t="shared" si="279"/>
        <v>3.5867500000000004E-2</v>
      </c>
      <c r="I1600" s="4"/>
      <c r="J1600" s="29">
        <f>J1599-80</f>
        <v>825.4</v>
      </c>
      <c r="K1600" s="31">
        <f t="shared" si="285"/>
        <v>16.529999999999973</v>
      </c>
      <c r="L1600" s="14">
        <f t="shared" si="275"/>
        <v>4.1324999999999929E-3</v>
      </c>
      <c r="M1600" s="4"/>
    </row>
    <row r="1601" spans="2:13">
      <c r="B1601" s="43"/>
      <c r="C1601" s="7">
        <v>1.8541666666669501</v>
      </c>
      <c r="D1601" s="7">
        <v>1.8645833333335999</v>
      </c>
      <c r="E1601" s="30">
        <v>985.4</v>
      </c>
      <c r="F1601" s="60">
        <v>696.25</v>
      </c>
      <c r="G1601" s="4">
        <f t="shared" si="278"/>
        <v>289.14999999999998</v>
      </c>
      <c r="H1601" s="9">
        <f t="shared" si="279"/>
        <v>7.2287499999999991E-2</v>
      </c>
      <c r="I1601" s="4"/>
      <c r="J1601" s="64">
        <f t="shared" ref="J1601:J1603" si="286">J1600-80</f>
        <v>745.4</v>
      </c>
      <c r="K1601" s="31">
        <f t="shared" si="285"/>
        <v>-49.149999999999977</v>
      </c>
      <c r="L1601" s="14">
        <f t="shared" si="275"/>
        <v>0</v>
      </c>
      <c r="M1601" s="4"/>
    </row>
    <row r="1602" spans="2:13">
      <c r="B1602" s="43"/>
      <c r="C1602" s="7">
        <v>1.8645833333336199</v>
      </c>
      <c r="D1602" s="7">
        <v>1.87500000000027</v>
      </c>
      <c r="E1602" s="30">
        <v>985.4</v>
      </c>
      <c r="F1602" s="60">
        <v>573.32000000000005</v>
      </c>
      <c r="G1602" s="4">
        <f t="shared" si="278"/>
        <v>412.07999999999993</v>
      </c>
      <c r="H1602" s="9">
        <f t="shared" si="279"/>
        <v>0.10301999999999999</v>
      </c>
      <c r="I1602" s="4"/>
      <c r="J1602" s="64">
        <f t="shared" si="286"/>
        <v>665.4</v>
      </c>
      <c r="K1602" s="31">
        <f t="shared" si="285"/>
        <v>-92.079999999999927</v>
      </c>
      <c r="L1602" s="14">
        <f t="shared" si="275"/>
        <v>0</v>
      </c>
      <c r="M1602" s="4"/>
    </row>
    <row r="1603" spans="2:13">
      <c r="B1603" s="43"/>
      <c r="C1603" s="7">
        <v>1.87500000000029</v>
      </c>
      <c r="D1603" s="7">
        <v>1.8854166666669401</v>
      </c>
      <c r="E1603" s="30">
        <v>985.4</v>
      </c>
      <c r="F1603" s="60">
        <v>548.87</v>
      </c>
      <c r="G1603" s="4">
        <f t="shared" si="278"/>
        <v>436.53</v>
      </c>
      <c r="H1603" s="9">
        <f t="shared" si="279"/>
        <v>0.10913249999999999</v>
      </c>
      <c r="I1603" s="4"/>
      <c r="J1603" s="64">
        <f t="shared" si="286"/>
        <v>585.4</v>
      </c>
      <c r="K1603" s="31">
        <f t="shared" si="285"/>
        <v>-36.529999999999973</v>
      </c>
      <c r="L1603" s="14">
        <f t="shared" si="275"/>
        <v>0</v>
      </c>
      <c r="M1603" s="4"/>
    </row>
    <row r="1604" spans="2:13">
      <c r="B1604" s="43"/>
      <c r="C1604" s="7">
        <v>1.8854166666669601</v>
      </c>
      <c r="D1604" s="7">
        <v>1.8958333333336099</v>
      </c>
      <c r="E1604" s="30">
        <v>985.4</v>
      </c>
      <c r="F1604" s="60">
        <v>548.72</v>
      </c>
      <c r="G1604" s="4">
        <f t="shared" si="278"/>
        <v>436.67999999999995</v>
      </c>
      <c r="H1604" s="9">
        <f t="shared" si="279"/>
        <v>0.10916999999999999</v>
      </c>
      <c r="I1604" s="4"/>
      <c r="J1604" s="64">
        <v>540</v>
      </c>
      <c r="K1604" s="31">
        <f t="shared" si="285"/>
        <v>8.7200000000000273</v>
      </c>
      <c r="L1604" s="14">
        <f t="shared" si="275"/>
        <v>2.180000000000007E-3</v>
      </c>
      <c r="M1604" s="4"/>
    </row>
    <row r="1605" spans="2:13">
      <c r="B1605" s="43"/>
      <c r="C1605" s="7">
        <v>1.8958333333336299</v>
      </c>
      <c r="D1605" s="7">
        <v>1.90625000000028</v>
      </c>
      <c r="E1605" s="30">
        <v>985.4</v>
      </c>
      <c r="F1605" s="60">
        <v>548.97</v>
      </c>
      <c r="G1605" s="4">
        <f t="shared" si="278"/>
        <v>436.42999999999995</v>
      </c>
      <c r="H1605" s="9">
        <f t="shared" si="279"/>
        <v>0.10910749999999998</v>
      </c>
      <c r="I1605" s="4"/>
      <c r="J1605" s="64">
        <v>540</v>
      </c>
      <c r="K1605" s="31">
        <f t="shared" si="285"/>
        <v>8.9700000000000273</v>
      </c>
      <c r="L1605" s="14">
        <f t="shared" si="275"/>
        <v>2.2425000000000066E-3</v>
      </c>
      <c r="M1605" s="4"/>
    </row>
    <row r="1606" spans="2:13">
      <c r="B1606" s="43"/>
      <c r="C1606" s="7">
        <v>1.9062500000003</v>
      </c>
      <c r="D1606" s="7">
        <v>1.9166666666669501</v>
      </c>
      <c r="E1606" s="30">
        <v>985.4</v>
      </c>
      <c r="F1606" s="60">
        <v>545.47</v>
      </c>
      <c r="G1606" s="4">
        <f t="shared" si="278"/>
        <v>439.92999999999995</v>
      </c>
      <c r="H1606" s="9">
        <f t="shared" si="279"/>
        <v>0.10998249999999998</v>
      </c>
      <c r="I1606" s="4"/>
      <c r="J1606" s="64">
        <v>540</v>
      </c>
      <c r="K1606" s="31">
        <f t="shared" si="285"/>
        <v>5.4700000000000273</v>
      </c>
      <c r="L1606" s="14">
        <f t="shared" si="275"/>
        <v>1.3675000000000067E-3</v>
      </c>
      <c r="M1606" s="4"/>
    </row>
    <row r="1607" spans="2:13">
      <c r="B1607" s="43"/>
      <c r="C1607" s="7">
        <v>1.9166666666669701</v>
      </c>
      <c r="D1607" s="7">
        <v>1.9270833333336199</v>
      </c>
      <c r="E1607" s="30">
        <v>985.4</v>
      </c>
      <c r="F1607" s="60">
        <v>543.72</v>
      </c>
      <c r="G1607" s="4">
        <f t="shared" si="278"/>
        <v>441.67999999999995</v>
      </c>
      <c r="H1607" s="9">
        <f t="shared" si="279"/>
        <v>0.11041999999999999</v>
      </c>
      <c r="I1607" s="4"/>
      <c r="J1607" s="64">
        <v>540</v>
      </c>
      <c r="K1607" s="31">
        <f t="shared" si="285"/>
        <v>3.7200000000000273</v>
      </c>
      <c r="L1607" s="14">
        <f t="shared" si="275"/>
        <v>9.3000000000000678E-4</v>
      </c>
      <c r="M1607" s="4"/>
    </row>
    <row r="1608" spans="2:13">
      <c r="B1608" s="43"/>
      <c r="C1608" s="7">
        <v>1.9270833333336399</v>
      </c>
      <c r="D1608" s="7">
        <v>1.93750000000029</v>
      </c>
      <c r="E1608" s="30">
        <v>985.4</v>
      </c>
      <c r="F1608" s="60">
        <v>543.21</v>
      </c>
      <c r="G1608" s="4">
        <f t="shared" si="278"/>
        <v>442.18999999999994</v>
      </c>
      <c r="H1608" s="9">
        <f t="shared" si="279"/>
        <v>0.11054749999999998</v>
      </c>
      <c r="I1608" s="4"/>
      <c r="J1608" s="64">
        <v>540</v>
      </c>
      <c r="K1608" s="31">
        <f t="shared" si="285"/>
        <v>3.2100000000000364</v>
      </c>
      <c r="L1608" s="14">
        <f t="shared" si="275"/>
        <v>8.0250000000000904E-4</v>
      </c>
      <c r="M1608" s="4"/>
    </row>
    <row r="1609" spans="2:13">
      <c r="B1609" s="43"/>
      <c r="C1609" s="7">
        <v>1.93750000000031</v>
      </c>
      <c r="D1609" s="7">
        <v>1.9479166666669601</v>
      </c>
      <c r="E1609" s="30">
        <v>985.4</v>
      </c>
      <c r="F1609" s="60">
        <v>543.33000000000004</v>
      </c>
      <c r="G1609" s="4">
        <f t="shared" si="278"/>
        <v>442.06999999999994</v>
      </c>
      <c r="H1609" s="9">
        <f t="shared" si="279"/>
        <v>0.11051749999999999</v>
      </c>
      <c r="I1609" s="4"/>
      <c r="J1609" s="64">
        <v>540</v>
      </c>
      <c r="K1609" s="31">
        <f t="shared" si="285"/>
        <v>3.3300000000000409</v>
      </c>
      <c r="L1609" s="14">
        <f t="shared" ref="L1609:L1673" si="287">IF(K1609/4000&gt;0,K1609/4000,0)</f>
        <v>8.3250000000001021E-4</v>
      </c>
      <c r="M1609" s="4"/>
    </row>
    <row r="1610" spans="2:13">
      <c r="B1610" s="43"/>
      <c r="C1610" s="7">
        <v>1.94791666666698</v>
      </c>
      <c r="D1610" s="7">
        <v>1.9583333333336299</v>
      </c>
      <c r="E1610" s="30">
        <v>985.4</v>
      </c>
      <c r="F1610" s="60">
        <v>542.04999999999995</v>
      </c>
      <c r="G1610" s="4">
        <f t="shared" si="278"/>
        <v>443.35</v>
      </c>
      <c r="H1610" s="9">
        <f t="shared" si="279"/>
        <v>0.11083750000000001</v>
      </c>
      <c r="I1610" s="4"/>
      <c r="J1610" s="64">
        <v>540</v>
      </c>
      <c r="K1610" s="31">
        <f t="shared" si="285"/>
        <v>2.0499999999999545</v>
      </c>
      <c r="L1610" s="14">
        <f t="shared" si="287"/>
        <v>5.1249999999998866E-4</v>
      </c>
      <c r="M1610" s="4"/>
    </row>
    <row r="1611" spans="2:13">
      <c r="B1611" s="43"/>
      <c r="C1611" s="7">
        <v>1.9583333333336499</v>
      </c>
      <c r="D1611" s="7">
        <v>1.9687500000003</v>
      </c>
      <c r="E1611" s="30">
        <v>985.4</v>
      </c>
      <c r="F1611" s="60">
        <v>548.67999999999995</v>
      </c>
      <c r="G1611" s="4">
        <f t="shared" si="278"/>
        <v>436.72</v>
      </c>
      <c r="H1611" s="9">
        <f t="shared" si="279"/>
        <v>0.10918000000000001</v>
      </c>
      <c r="I1611" s="4"/>
      <c r="J1611" s="64">
        <v>540</v>
      </c>
      <c r="K1611" s="31">
        <f t="shared" si="285"/>
        <v>8.67999999999995</v>
      </c>
      <c r="L1611" s="14">
        <f t="shared" si="287"/>
        <v>2.1699999999999875E-3</v>
      </c>
      <c r="M1611" s="4"/>
    </row>
    <row r="1612" spans="2:13">
      <c r="B1612" s="43"/>
      <c r="C1612" s="7">
        <v>1.96875000000032</v>
      </c>
      <c r="D1612" s="7">
        <v>1.9791666666669701</v>
      </c>
      <c r="E1612" s="30">
        <v>985.4</v>
      </c>
      <c r="F1612" s="60">
        <v>545.04999999999995</v>
      </c>
      <c r="G1612" s="4">
        <f t="shared" si="278"/>
        <v>440.35</v>
      </c>
      <c r="H1612" s="9">
        <f t="shared" si="279"/>
        <v>0.1100875</v>
      </c>
      <c r="I1612" s="4"/>
      <c r="J1612" s="64">
        <v>540</v>
      </c>
      <c r="K1612" s="31">
        <f t="shared" si="285"/>
        <v>5.0499999999999545</v>
      </c>
      <c r="L1612" s="14">
        <f t="shared" si="287"/>
        <v>1.2624999999999887E-3</v>
      </c>
      <c r="M1612" s="4"/>
    </row>
    <row r="1613" spans="2:13">
      <c r="B1613" s="43"/>
      <c r="C1613" s="7">
        <v>1.97916666666699</v>
      </c>
      <c r="D1613" s="7">
        <v>1.9895833333336399</v>
      </c>
      <c r="E1613" s="30">
        <v>985.4</v>
      </c>
      <c r="F1613" s="60">
        <v>550.28</v>
      </c>
      <c r="G1613" s="4">
        <f t="shared" si="278"/>
        <v>435.12</v>
      </c>
      <c r="H1613" s="9">
        <f t="shared" si="279"/>
        <v>0.10878</v>
      </c>
      <c r="I1613" s="4"/>
      <c r="J1613" s="64">
        <v>540</v>
      </c>
      <c r="K1613" s="31">
        <f t="shared" si="285"/>
        <v>10.279999999999973</v>
      </c>
      <c r="L1613" s="14">
        <f t="shared" si="287"/>
        <v>2.5699999999999933E-3</v>
      </c>
      <c r="M1613" s="4"/>
    </row>
    <row r="1614" spans="2:13">
      <c r="B1614" s="43"/>
      <c r="C1614" s="7">
        <v>1.9895833333336601</v>
      </c>
      <c r="D1614" s="35">
        <v>2.00000000000031</v>
      </c>
      <c r="E1614" s="30">
        <v>985.4</v>
      </c>
      <c r="F1614" s="61">
        <v>552.75</v>
      </c>
      <c r="G1614" s="4">
        <f t="shared" si="278"/>
        <v>432.65</v>
      </c>
      <c r="H1614" s="9">
        <f t="shared" si="279"/>
        <v>0.10816249999999999</v>
      </c>
      <c r="I1614" s="4"/>
      <c r="J1614" s="64">
        <v>540</v>
      </c>
      <c r="K1614" s="31">
        <f t="shared" si="285"/>
        <v>12.75</v>
      </c>
      <c r="L1614" s="14">
        <f t="shared" si="287"/>
        <v>3.1874999999999998E-3</v>
      </c>
      <c r="M1614" s="4"/>
    </row>
    <row r="1615" spans="2:13">
      <c r="B1615" s="43"/>
      <c r="C1615" s="43"/>
      <c r="D1615" s="43"/>
      <c r="E1615" s="4"/>
      <c r="F1615" s="4"/>
      <c r="G1615" s="4"/>
      <c r="H1615" s="9"/>
      <c r="I1615" s="9">
        <f>SUM(H1599:H1614)</f>
        <v>1.5419624999999999</v>
      </c>
      <c r="J1615" s="29"/>
      <c r="K1615" s="31"/>
      <c r="L1615" s="14"/>
      <c r="M1615" s="4">
        <f>SUM(L1599:L1614)</f>
        <v>2.2189999999999998E-2</v>
      </c>
    </row>
    <row r="1616" spans="2:13">
      <c r="B1616" s="34">
        <v>46053</v>
      </c>
      <c r="C1616" s="7">
        <v>1</v>
      </c>
      <c r="D1616" s="7">
        <v>1.0104166666666701</v>
      </c>
      <c r="E1616" s="30">
        <v>985.4</v>
      </c>
      <c r="F1616" s="15">
        <v>541.42999999999995</v>
      </c>
      <c r="G1616" s="4">
        <f t="shared" si="278"/>
        <v>443.97</v>
      </c>
      <c r="H1616" s="9">
        <f t="shared" si="279"/>
        <v>0.11099250000000001</v>
      </c>
      <c r="I1616" s="4"/>
      <c r="J1616" s="65">
        <v>540</v>
      </c>
      <c r="K1616" s="31">
        <f t="shared" si="285"/>
        <v>1.42999999999995</v>
      </c>
      <c r="L1616" s="14"/>
      <c r="M1616" s="4"/>
    </row>
    <row r="1617" spans="2:13">
      <c r="B1617" s="43"/>
      <c r="C1617" s="7">
        <v>1.0104166666666701</v>
      </c>
      <c r="D1617" s="7">
        <v>1.0208333333333399</v>
      </c>
      <c r="E1617" s="30">
        <v>985.4</v>
      </c>
      <c r="F1617" s="15">
        <v>546.1</v>
      </c>
      <c r="G1617" s="4">
        <f t="shared" si="278"/>
        <v>439.29999999999995</v>
      </c>
      <c r="H1617" s="9">
        <f t="shared" si="279"/>
        <v>0.10982499999999999</v>
      </c>
      <c r="I1617" s="4"/>
      <c r="J1617" s="65">
        <v>540</v>
      </c>
      <c r="K1617" s="31">
        <f t="shared" si="285"/>
        <v>6.1000000000000227</v>
      </c>
      <c r="L1617" s="14">
        <f t="shared" si="287"/>
        <v>1.5250000000000057E-3</v>
      </c>
      <c r="M1617" s="4"/>
    </row>
    <row r="1618" spans="2:13">
      <c r="B1618" s="43"/>
      <c r="C1618" s="7">
        <v>1.0208333333333399</v>
      </c>
      <c r="D1618" s="7">
        <v>1.03125000000001</v>
      </c>
      <c r="E1618" s="30">
        <v>985.4</v>
      </c>
      <c r="F1618" s="15">
        <v>548.16</v>
      </c>
      <c r="G1618" s="4">
        <f t="shared" si="278"/>
        <v>437.24</v>
      </c>
      <c r="H1618" s="9">
        <f t="shared" si="279"/>
        <v>0.10931</v>
      </c>
      <c r="I1618" s="4"/>
      <c r="J1618" s="65">
        <v>540</v>
      </c>
      <c r="K1618" s="31">
        <f t="shared" si="285"/>
        <v>8.1599999999999682</v>
      </c>
      <c r="L1618" s="14">
        <f t="shared" si="287"/>
        <v>2.0399999999999919E-3</v>
      </c>
      <c r="M1618" s="4"/>
    </row>
    <row r="1619" spans="2:13">
      <c r="B1619" s="43"/>
      <c r="C1619" s="7">
        <v>1.03125000000001</v>
      </c>
      <c r="D1619" s="7">
        <v>1.0416666666666801</v>
      </c>
      <c r="E1619" s="30">
        <v>985.4</v>
      </c>
      <c r="F1619" s="15">
        <v>546.44000000000005</v>
      </c>
      <c r="G1619" s="4">
        <f t="shared" si="278"/>
        <v>438.95999999999992</v>
      </c>
      <c r="H1619" s="9">
        <f t="shared" si="279"/>
        <v>0.10973999999999998</v>
      </c>
      <c r="I1619" s="4"/>
      <c r="J1619" s="65">
        <v>540</v>
      </c>
      <c r="K1619" s="31">
        <f t="shared" si="285"/>
        <v>6.4400000000000546</v>
      </c>
      <c r="L1619" s="14">
        <f t="shared" si="287"/>
        <v>1.6100000000000135E-3</v>
      </c>
      <c r="M1619" s="4"/>
    </row>
    <row r="1620" spans="2:13">
      <c r="B1620" s="43"/>
      <c r="C1620" s="7">
        <v>1.0416666666666801</v>
      </c>
      <c r="D1620" s="7">
        <v>1.0520833333333499</v>
      </c>
      <c r="E1620" s="30">
        <v>985.4</v>
      </c>
      <c r="F1620" s="15">
        <v>547.08000000000004</v>
      </c>
      <c r="G1620" s="4">
        <f t="shared" si="278"/>
        <v>438.31999999999994</v>
      </c>
      <c r="H1620" s="9">
        <f t="shared" si="279"/>
        <v>0.10957999999999998</v>
      </c>
      <c r="I1620" s="4"/>
      <c r="J1620" s="65">
        <v>540</v>
      </c>
      <c r="K1620" s="31">
        <f t="shared" si="285"/>
        <v>7.0800000000000409</v>
      </c>
      <c r="L1620" s="14">
        <f t="shared" si="287"/>
        <v>1.7700000000000103E-3</v>
      </c>
      <c r="M1620" s="4"/>
    </row>
    <row r="1621" spans="2:13">
      <c r="B1621" s="43"/>
      <c r="C1621" s="7">
        <v>1.0520833333333499</v>
      </c>
      <c r="D1621" s="7">
        <v>1.06250000000002</v>
      </c>
      <c r="E1621" s="30">
        <v>985.4</v>
      </c>
      <c r="F1621" s="15">
        <v>545.76</v>
      </c>
      <c r="G1621" s="4">
        <f t="shared" si="278"/>
        <v>439.64</v>
      </c>
      <c r="H1621" s="9">
        <f t="shared" si="279"/>
        <v>0.10990999999999999</v>
      </c>
      <c r="I1621" s="4"/>
      <c r="J1621" s="29">
        <v>540</v>
      </c>
      <c r="K1621" s="31">
        <f t="shared" si="285"/>
        <v>5.7599999999999909</v>
      </c>
      <c r="L1621" s="14">
        <f t="shared" si="287"/>
        <v>1.4399999999999977E-3</v>
      </c>
      <c r="M1621" s="4"/>
    </row>
    <row r="1622" spans="2:13">
      <c r="B1622" s="43"/>
      <c r="C1622" s="7">
        <v>1.06250000000002</v>
      </c>
      <c r="D1622" s="7">
        <v>1.0729166666666901</v>
      </c>
      <c r="E1622" s="30">
        <v>985.4</v>
      </c>
      <c r="F1622" s="15">
        <v>547.92999999999995</v>
      </c>
      <c r="G1622" s="4">
        <f t="shared" ref="G1622:G1686" si="288">E1622-F1622</f>
        <v>437.47</v>
      </c>
      <c r="H1622" s="9">
        <f t="shared" ref="H1622:H1686" si="289">G1622/4000</f>
        <v>0.10936750000000001</v>
      </c>
      <c r="I1622" s="4"/>
      <c r="J1622" s="64">
        <v>540</v>
      </c>
      <c r="K1622" s="31">
        <f t="shared" si="285"/>
        <v>7.92999999999995</v>
      </c>
      <c r="L1622" s="14">
        <f t="shared" si="287"/>
        <v>1.9824999999999873E-3</v>
      </c>
      <c r="M1622" s="4"/>
    </row>
    <row r="1623" spans="2:13">
      <c r="B1623" s="43"/>
      <c r="C1623" s="7">
        <v>1.0729166666666901</v>
      </c>
      <c r="D1623" s="7">
        <v>1.0833333333333599</v>
      </c>
      <c r="E1623" s="30">
        <v>985.4</v>
      </c>
      <c r="F1623" s="15">
        <v>545.66</v>
      </c>
      <c r="G1623" s="4">
        <f t="shared" si="288"/>
        <v>439.74</v>
      </c>
      <c r="H1623" s="9">
        <f t="shared" si="289"/>
        <v>0.109935</v>
      </c>
      <c r="I1623" s="4"/>
      <c r="J1623" s="64">
        <v>540</v>
      </c>
      <c r="K1623" s="31">
        <f t="shared" si="285"/>
        <v>5.6599999999999682</v>
      </c>
      <c r="L1623" s="14">
        <f t="shared" si="287"/>
        <v>1.414999999999992E-3</v>
      </c>
      <c r="M1623" s="4"/>
    </row>
    <row r="1624" spans="2:13">
      <c r="B1624" s="43"/>
      <c r="C1624" s="7">
        <v>1.0833333333333599</v>
      </c>
      <c r="D1624" s="7">
        <v>1.09375000000003</v>
      </c>
      <c r="E1624" s="30">
        <v>985.4</v>
      </c>
      <c r="F1624" s="15">
        <v>547.54</v>
      </c>
      <c r="G1624" s="4">
        <f t="shared" si="288"/>
        <v>437.86</v>
      </c>
      <c r="H1624" s="9">
        <f t="shared" si="289"/>
        <v>0.10946500000000001</v>
      </c>
      <c r="I1624" s="4"/>
      <c r="J1624" s="64">
        <v>540</v>
      </c>
      <c r="K1624" s="31">
        <f t="shared" si="285"/>
        <v>7.5399999999999636</v>
      </c>
      <c r="L1624" s="14">
        <f t="shared" si="287"/>
        <v>1.8849999999999908E-3</v>
      </c>
      <c r="M1624" s="4"/>
    </row>
    <row r="1625" spans="2:13">
      <c r="B1625" s="43"/>
      <c r="C1625" s="7">
        <v>1.09375000000003</v>
      </c>
      <c r="D1625" s="7">
        <v>1.1041666666667</v>
      </c>
      <c r="E1625" s="30">
        <v>985.4</v>
      </c>
      <c r="F1625" s="15">
        <v>543.24</v>
      </c>
      <c r="G1625" s="4">
        <f t="shared" si="288"/>
        <v>442.15999999999997</v>
      </c>
      <c r="H1625" s="9">
        <f t="shared" si="289"/>
        <v>0.11053999999999999</v>
      </c>
      <c r="I1625" s="4"/>
      <c r="J1625" s="64">
        <v>540</v>
      </c>
      <c r="K1625" s="31">
        <f t="shared" si="285"/>
        <v>3.2400000000000091</v>
      </c>
      <c r="L1625" s="14">
        <f t="shared" si="287"/>
        <v>8.1000000000000223E-4</v>
      </c>
      <c r="M1625" s="4"/>
    </row>
    <row r="1626" spans="2:13">
      <c r="B1626" s="43"/>
      <c r="C1626" s="7">
        <v>1.1041666666667</v>
      </c>
      <c r="D1626" s="7">
        <v>1.1145833333333699</v>
      </c>
      <c r="E1626" s="30">
        <v>985.4</v>
      </c>
      <c r="F1626" s="15">
        <v>545.6</v>
      </c>
      <c r="G1626" s="4">
        <f t="shared" si="288"/>
        <v>439.79999999999995</v>
      </c>
      <c r="H1626" s="9">
        <f t="shared" si="289"/>
        <v>0.10994999999999999</v>
      </c>
      <c r="I1626" s="4"/>
      <c r="J1626" s="64">
        <v>540</v>
      </c>
      <c r="K1626" s="31">
        <f t="shared" si="285"/>
        <v>5.6000000000000227</v>
      </c>
      <c r="L1626" s="14">
        <f t="shared" si="287"/>
        <v>1.4000000000000056E-3</v>
      </c>
      <c r="M1626" s="4"/>
    </row>
    <row r="1627" spans="2:13">
      <c r="B1627" s="43"/>
      <c r="C1627" s="7">
        <v>1.1145833333333699</v>
      </c>
      <c r="D1627" s="7">
        <v>1.12500000000004</v>
      </c>
      <c r="E1627" s="30">
        <v>985.4</v>
      </c>
      <c r="F1627" s="15">
        <v>548.92999999999995</v>
      </c>
      <c r="G1627" s="4">
        <f t="shared" si="288"/>
        <v>436.47</v>
      </c>
      <c r="H1627" s="9">
        <f t="shared" si="289"/>
        <v>0.10911750000000001</v>
      </c>
      <c r="I1627" s="4"/>
      <c r="J1627" s="64">
        <v>540</v>
      </c>
      <c r="K1627" s="31">
        <f t="shared" si="285"/>
        <v>8.92999999999995</v>
      </c>
      <c r="L1627" s="14">
        <f t="shared" si="287"/>
        <v>2.2324999999999875E-3</v>
      </c>
      <c r="M1627" s="4"/>
    </row>
    <row r="1628" spans="2:13">
      <c r="B1628" s="43"/>
      <c r="C1628" s="7">
        <v>1.12500000000004</v>
      </c>
      <c r="D1628" s="7">
        <v>1.13541666666671</v>
      </c>
      <c r="E1628" s="30">
        <v>985.4</v>
      </c>
      <c r="F1628" s="15">
        <v>548.13</v>
      </c>
      <c r="G1628" s="4">
        <f t="shared" si="288"/>
        <v>437.27</v>
      </c>
      <c r="H1628" s="9">
        <f t="shared" si="289"/>
        <v>0.1093175</v>
      </c>
      <c r="I1628" s="4"/>
      <c r="J1628" s="64">
        <v>540</v>
      </c>
      <c r="K1628" s="31">
        <f t="shared" si="285"/>
        <v>8.1299999999999955</v>
      </c>
      <c r="L1628" s="14">
        <f t="shared" si="287"/>
        <v>2.0324999999999987E-3</v>
      </c>
      <c r="M1628" s="4"/>
    </row>
    <row r="1629" spans="2:13">
      <c r="B1629" s="43"/>
      <c r="C1629" s="7">
        <v>1.13541666666671</v>
      </c>
      <c r="D1629" s="7">
        <v>1.1458333333333801</v>
      </c>
      <c r="E1629" s="30">
        <v>985.4</v>
      </c>
      <c r="F1629" s="15">
        <v>548.21</v>
      </c>
      <c r="G1629" s="4">
        <f t="shared" si="288"/>
        <v>437.18999999999994</v>
      </c>
      <c r="H1629" s="9">
        <f t="shared" si="289"/>
        <v>0.10929749999999999</v>
      </c>
      <c r="I1629" s="4"/>
      <c r="J1629" s="64">
        <v>540</v>
      </c>
      <c r="K1629" s="31">
        <f t="shared" si="285"/>
        <v>8.2100000000000364</v>
      </c>
      <c r="L1629" s="14">
        <f t="shared" si="287"/>
        <v>2.0525000000000092E-3</v>
      </c>
      <c r="M1629" s="4"/>
    </row>
    <row r="1630" spans="2:13">
      <c r="B1630" s="43"/>
      <c r="C1630" s="7">
        <v>1.1458333333333801</v>
      </c>
      <c r="D1630" s="7">
        <v>1.15625000000005</v>
      </c>
      <c r="E1630" s="30">
        <v>985.4</v>
      </c>
      <c r="F1630" s="15">
        <v>548.25</v>
      </c>
      <c r="G1630" s="4">
        <f t="shared" si="288"/>
        <v>437.15</v>
      </c>
      <c r="H1630" s="9">
        <f t="shared" si="289"/>
        <v>0.1092875</v>
      </c>
      <c r="I1630" s="4"/>
      <c r="J1630" s="64">
        <v>540</v>
      </c>
      <c r="K1630" s="31">
        <f t="shared" si="285"/>
        <v>8.25</v>
      </c>
      <c r="L1630" s="14">
        <f t="shared" si="287"/>
        <v>2.0625000000000001E-3</v>
      </c>
      <c r="M1630" s="4"/>
    </row>
    <row r="1631" spans="2:13">
      <c r="B1631" s="43"/>
      <c r="C1631" s="7">
        <v>1.15625000000005</v>
      </c>
      <c r="D1631" s="7">
        <v>1.16666666666672</v>
      </c>
      <c r="E1631" s="30">
        <v>985.4</v>
      </c>
      <c r="F1631" s="15">
        <v>549.47</v>
      </c>
      <c r="G1631" s="4">
        <f t="shared" si="288"/>
        <v>435.92999999999995</v>
      </c>
      <c r="H1631" s="9">
        <f t="shared" si="289"/>
        <v>0.10898249999999998</v>
      </c>
      <c r="I1631" s="4"/>
      <c r="J1631" s="64">
        <v>540</v>
      </c>
      <c r="K1631" s="31">
        <f t="shared" si="285"/>
        <v>9.4700000000000273</v>
      </c>
      <c r="L1631" s="14">
        <f t="shared" si="287"/>
        <v>2.3675000000000068E-3</v>
      </c>
      <c r="M1631" s="4"/>
    </row>
    <row r="1632" spans="2:13">
      <c r="B1632" s="43"/>
      <c r="C1632" s="7">
        <v>1.16666666666672</v>
      </c>
      <c r="D1632" s="7">
        <v>1.1770833333333901</v>
      </c>
      <c r="E1632" s="30">
        <v>985.4</v>
      </c>
      <c r="F1632" s="15">
        <v>550.78</v>
      </c>
      <c r="G1632" s="4">
        <f t="shared" si="288"/>
        <v>434.62</v>
      </c>
      <c r="H1632" s="9">
        <f t="shared" si="289"/>
        <v>0.108655</v>
      </c>
      <c r="I1632" s="4"/>
      <c r="J1632" s="64">
        <v>540</v>
      </c>
      <c r="K1632" s="31">
        <f t="shared" si="285"/>
        <v>10.779999999999973</v>
      </c>
      <c r="L1632" s="14">
        <f t="shared" si="287"/>
        <v>2.694999999999993E-3</v>
      </c>
      <c r="M1632" s="4"/>
    </row>
    <row r="1633" spans="2:13">
      <c r="B1633" s="43"/>
      <c r="C1633" s="7">
        <v>1.1770833333333901</v>
      </c>
      <c r="D1633" s="7">
        <v>1.18750000000006</v>
      </c>
      <c r="E1633" s="30">
        <v>985.4</v>
      </c>
      <c r="F1633" s="15">
        <v>551.16</v>
      </c>
      <c r="G1633" s="4">
        <f t="shared" si="288"/>
        <v>434.24</v>
      </c>
      <c r="H1633" s="9">
        <f t="shared" si="289"/>
        <v>0.10856</v>
      </c>
      <c r="I1633" s="4"/>
      <c r="J1633" s="64">
        <v>540</v>
      </c>
      <c r="K1633" s="31">
        <f t="shared" si="285"/>
        <v>11.159999999999968</v>
      </c>
      <c r="L1633" s="14">
        <f t="shared" si="287"/>
        <v>2.7899999999999921E-3</v>
      </c>
      <c r="M1633" s="4"/>
    </row>
    <row r="1634" spans="2:13">
      <c r="B1634" s="43"/>
      <c r="C1634" s="7">
        <v>1.18750000000006</v>
      </c>
      <c r="D1634" s="7">
        <v>1.19791666666673</v>
      </c>
      <c r="E1634" s="30">
        <v>985.4</v>
      </c>
      <c r="F1634" s="15">
        <v>550.91</v>
      </c>
      <c r="G1634" s="4">
        <f t="shared" si="288"/>
        <v>434.49</v>
      </c>
      <c r="H1634" s="9">
        <f t="shared" si="289"/>
        <v>0.1086225</v>
      </c>
      <c r="I1634" s="4"/>
      <c r="J1634" s="64">
        <v>540</v>
      </c>
      <c r="K1634" s="31">
        <f t="shared" si="285"/>
        <v>10.909999999999968</v>
      </c>
      <c r="L1634" s="14">
        <f t="shared" si="287"/>
        <v>2.7274999999999921E-3</v>
      </c>
      <c r="M1634" s="4"/>
    </row>
    <row r="1635" spans="2:13">
      <c r="B1635" s="43"/>
      <c r="C1635" s="7">
        <v>1.19791666666673</v>
      </c>
      <c r="D1635" s="7">
        <v>1.2083333333334001</v>
      </c>
      <c r="E1635" s="30">
        <v>985.4</v>
      </c>
      <c r="F1635" s="15">
        <v>550.19000000000005</v>
      </c>
      <c r="G1635" s="4">
        <f t="shared" si="288"/>
        <v>435.20999999999992</v>
      </c>
      <c r="H1635" s="9">
        <f t="shared" si="289"/>
        <v>0.10880249999999998</v>
      </c>
      <c r="I1635" s="4"/>
      <c r="J1635" s="64">
        <v>540</v>
      </c>
      <c r="K1635" s="31">
        <f t="shared" si="285"/>
        <v>10.190000000000055</v>
      </c>
      <c r="L1635" s="14">
        <f t="shared" si="287"/>
        <v>2.5475000000000137E-3</v>
      </c>
      <c r="M1635" s="4"/>
    </row>
    <row r="1636" spans="2:13">
      <c r="B1636" s="43"/>
      <c r="C1636" s="7">
        <v>1.2083333333334001</v>
      </c>
      <c r="D1636" s="7">
        <v>1.2187500000000699</v>
      </c>
      <c r="E1636" s="30">
        <v>985.4</v>
      </c>
      <c r="F1636" s="15">
        <v>550.15</v>
      </c>
      <c r="G1636" s="4">
        <f t="shared" si="288"/>
        <v>435.25</v>
      </c>
      <c r="H1636" s="9">
        <f t="shared" si="289"/>
        <v>0.10881250000000001</v>
      </c>
      <c r="I1636" s="4"/>
      <c r="J1636" s="64">
        <v>540</v>
      </c>
      <c r="K1636" s="31">
        <f t="shared" si="285"/>
        <v>10.149999999999977</v>
      </c>
      <c r="L1636" s="14">
        <f t="shared" si="287"/>
        <v>2.5374999999999942E-3</v>
      </c>
      <c r="M1636" s="4"/>
    </row>
    <row r="1637" spans="2:13">
      <c r="B1637" s="43"/>
      <c r="C1637" s="7">
        <v>1.2187500000000699</v>
      </c>
      <c r="D1637" s="35">
        <v>1.22916666666674</v>
      </c>
      <c r="E1637" s="30">
        <v>985.4</v>
      </c>
      <c r="F1637" s="15">
        <v>550.79</v>
      </c>
      <c r="G1637" s="4">
        <f t="shared" si="288"/>
        <v>434.61</v>
      </c>
      <c r="H1637" s="9">
        <f t="shared" si="289"/>
        <v>0.1086525</v>
      </c>
      <c r="I1637" s="4"/>
      <c r="J1637" s="64">
        <v>540</v>
      </c>
      <c r="K1637" s="31">
        <f t="shared" si="285"/>
        <v>10.789999999999964</v>
      </c>
      <c r="L1637" s="14">
        <f t="shared" si="287"/>
        <v>2.6974999999999907E-3</v>
      </c>
      <c r="M1637" s="4"/>
    </row>
    <row r="1638" spans="2:13">
      <c r="B1638" s="43"/>
      <c r="C1638" s="7">
        <v>1.22916666666674</v>
      </c>
      <c r="D1638" s="7">
        <v>1.2395833333334101</v>
      </c>
      <c r="E1638" s="30">
        <v>985.4</v>
      </c>
      <c r="F1638" s="15">
        <v>585</v>
      </c>
      <c r="G1638" s="4">
        <f t="shared" si="288"/>
        <v>400.4</v>
      </c>
      <c r="H1638" s="9">
        <f t="shared" si="289"/>
        <v>0.10009999999999999</v>
      </c>
      <c r="I1638" s="4"/>
      <c r="J1638" s="29">
        <f>J1637+80</f>
        <v>620</v>
      </c>
      <c r="K1638" s="31">
        <f>J1638-F1638</f>
        <v>35</v>
      </c>
      <c r="L1638" s="14">
        <f t="shared" si="287"/>
        <v>8.7500000000000008E-3</v>
      </c>
      <c r="M1638" s="4"/>
    </row>
    <row r="1639" spans="2:13">
      <c r="B1639" s="43"/>
      <c r="C1639" s="7">
        <v>1.2395833333334101</v>
      </c>
      <c r="D1639" s="7">
        <v>1.2500000000000799</v>
      </c>
      <c r="E1639" s="30">
        <v>985.4</v>
      </c>
      <c r="F1639" s="15">
        <v>742.24</v>
      </c>
      <c r="G1639" s="4">
        <f t="shared" si="288"/>
        <v>243.15999999999997</v>
      </c>
      <c r="H1639" s="9">
        <f t="shared" si="289"/>
        <v>6.078999999999999E-2</v>
      </c>
      <c r="I1639" s="4"/>
      <c r="J1639" s="64">
        <f t="shared" ref="J1639:J1642" si="290">J1638+80</f>
        <v>700</v>
      </c>
      <c r="K1639" s="31">
        <f t="shared" ref="K1639:K1643" si="291">J1639-F1639</f>
        <v>-42.240000000000009</v>
      </c>
      <c r="L1639" s="14">
        <f t="shared" si="287"/>
        <v>0</v>
      </c>
      <c r="M1639" s="4"/>
    </row>
    <row r="1640" spans="2:13">
      <c r="B1640" s="43"/>
      <c r="C1640" s="7">
        <v>1.2500000000000799</v>
      </c>
      <c r="D1640" s="7">
        <v>1.26041666666675</v>
      </c>
      <c r="E1640" s="30">
        <v>985.4</v>
      </c>
      <c r="F1640" s="15">
        <v>927.08</v>
      </c>
      <c r="G1640" s="4">
        <f t="shared" si="288"/>
        <v>58.319999999999936</v>
      </c>
      <c r="H1640" s="9">
        <f t="shared" si="289"/>
        <v>1.4579999999999984E-2</v>
      </c>
      <c r="I1640" s="4"/>
      <c r="J1640" s="64">
        <f t="shared" si="290"/>
        <v>780</v>
      </c>
      <c r="K1640" s="31">
        <f t="shared" si="291"/>
        <v>-147.08000000000004</v>
      </c>
      <c r="L1640" s="14">
        <f t="shared" si="287"/>
        <v>0</v>
      </c>
      <c r="M1640" s="4"/>
    </row>
    <row r="1641" spans="2:13">
      <c r="B1641" s="43"/>
      <c r="C1641" s="7">
        <v>1.26041666666675</v>
      </c>
      <c r="D1641" s="7">
        <v>1.2708333333334201</v>
      </c>
      <c r="E1641" s="30">
        <v>985.4</v>
      </c>
      <c r="F1641" s="15">
        <v>990.25</v>
      </c>
      <c r="G1641" s="4">
        <f t="shared" si="288"/>
        <v>-4.8500000000000227</v>
      </c>
      <c r="H1641" s="76">
        <v>0</v>
      </c>
      <c r="I1641" s="4"/>
      <c r="J1641" s="64">
        <f t="shared" si="290"/>
        <v>860</v>
      </c>
      <c r="K1641" s="31">
        <f t="shared" si="291"/>
        <v>-130.25</v>
      </c>
      <c r="L1641" s="14">
        <f t="shared" si="287"/>
        <v>0</v>
      </c>
      <c r="M1641" s="4"/>
    </row>
    <row r="1642" spans="2:13">
      <c r="B1642" s="43"/>
      <c r="C1642" s="7">
        <v>1.2708333333334201</v>
      </c>
      <c r="D1642" s="7">
        <v>1.2812500000000899</v>
      </c>
      <c r="E1642" s="30">
        <v>985.4</v>
      </c>
      <c r="F1642" s="15">
        <v>1003.7</v>
      </c>
      <c r="G1642" s="4">
        <f t="shared" si="288"/>
        <v>-18.300000000000068</v>
      </c>
      <c r="H1642" s="76">
        <v>0</v>
      </c>
      <c r="I1642" s="4"/>
      <c r="J1642" s="64">
        <f t="shared" si="290"/>
        <v>940</v>
      </c>
      <c r="K1642" s="31">
        <f t="shared" si="291"/>
        <v>-63.700000000000045</v>
      </c>
      <c r="L1642" s="14">
        <f t="shared" si="287"/>
        <v>0</v>
      </c>
      <c r="M1642" s="4"/>
    </row>
    <row r="1643" spans="2:13">
      <c r="B1643" s="43"/>
      <c r="C1643" s="7">
        <v>1.2812500000000899</v>
      </c>
      <c r="D1643" s="7">
        <v>1.29166666666676</v>
      </c>
      <c r="E1643" s="30">
        <v>985.4</v>
      </c>
      <c r="F1643" s="73">
        <v>1002.46</v>
      </c>
      <c r="G1643" s="4">
        <f t="shared" ref="G1643" si="292">E1643-F1643</f>
        <v>-17.060000000000059</v>
      </c>
      <c r="H1643" s="76">
        <v>0</v>
      </c>
      <c r="I1643" s="4"/>
      <c r="J1643" s="30">
        <v>985.4</v>
      </c>
      <c r="K1643" s="31">
        <f t="shared" si="291"/>
        <v>-17.060000000000059</v>
      </c>
      <c r="L1643" s="14">
        <f t="shared" ref="L1643" si="293">IF(K1643/4000&gt;0,K1643/4000,0)</f>
        <v>0</v>
      </c>
      <c r="M1643" s="4"/>
    </row>
    <row r="1644" spans="2:13">
      <c r="B1644" s="43"/>
      <c r="C1644" s="43"/>
      <c r="D1644" s="43"/>
      <c r="E1644" s="4"/>
      <c r="F1644" s="4"/>
      <c r="G1644" s="4"/>
      <c r="H1644" s="9"/>
      <c r="I1644" s="9">
        <f>SUM(H1616:H1643)</f>
        <v>2.5821924999999992</v>
      </c>
      <c r="J1644" s="29"/>
      <c r="K1644" s="31"/>
      <c r="L1644" s="14"/>
      <c r="M1644" s="4">
        <f>SUM(L1616:L1643)</f>
        <v>5.1369999999999978E-2</v>
      </c>
    </row>
    <row r="1645" spans="2:13">
      <c r="B1645" s="34">
        <v>46053</v>
      </c>
      <c r="C1645" s="7">
        <v>1.4062500000001299</v>
      </c>
      <c r="D1645" s="7">
        <v>1.41666666666679</v>
      </c>
      <c r="E1645" s="30">
        <v>985.4</v>
      </c>
      <c r="F1645" s="15">
        <v>898.23</v>
      </c>
      <c r="G1645" s="4">
        <f t="shared" si="288"/>
        <v>87.169999999999959</v>
      </c>
      <c r="H1645" s="9">
        <f t="shared" si="289"/>
        <v>2.1792499999999989E-2</v>
      </c>
      <c r="I1645" s="4"/>
      <c r="J1645" s="29">
        <f>E1645-80</f>
        <v>905.4</v>
      </c>
      <c r="K1645" s="31">
        <f t="shared" si="285"/>
        <v>-7.1699999999999591</v>
      </c>
      <c r="L1645" s="14"/>
      <c r="M1645" s="4"/>
    </row>
    <row r="1646" spans="2:13">
      <c r="B1646" s="43"/>
      <c r="C1646" s="7">
        <v>1.4166666666668</v>
      </c>
      <c r="D1646" s="7">
        <v>1.42708333333346</v>
      </c>
      <c r="E1646" s="30">
        <v>985.4</v>
      </c>
      <c r="F1646" s="15">
        <v>829.21</v>
      </c>
      <c r="G1646" s="4">
        <f t="shared" si="288"/>
        <v>156.18999999999994</v>
      </c>
      <c r="H1646" s="9">
        <f t="shared" si="289"/>
        <v>3.9047499999999985E-2</v>
      </c>
      <c r="I1646" s="4"/>
      <c r="J1646" s="29">
        <f>J1645-80</f>
        <v>825.4</v>
      </c>
      <c r="K1646" s="31">
        <f t="shared" si="285"/>
        <v>3.8100000000000591</v>
      </c>
      <c r="L1646" s="14">
        <f t="shared" si="287"/>
        <v>9.5250000000001475E-4</v>
      </c>
      <c r="M1646" s="4"/>
    </row>
    <row r="1647" spans="2:13">
      <c r="B1647" s="43"/>
      <c r="C1647" s="7">
        <v>1.42708333333347</v>
      </c>
      <c r="D1647" s="7">
        <v>1.4375000000001299</v>
      </c>
      <c r="E1647" s="30">
        <v>985.4</v>
      </c>
      <c r="F1647" s="15">
        <v>737.38</v>
      </c>
      <c r="G1647" s="4">
        <f t="shared" si="288"/>
        <v>248.01999999999998</v>
      </c>
      <c r="H1647" s="9">
        <f t="shared" si="289"/>
        <v>6.2004999999999998E-2</v>
      </c>
      <c r="I1647" s="4"/>
      <c r="J1647" s="64">
        <f t="shared" ref="J1647:J1649" si="294">J1646-80</f>
        <v>745.4</v>
      </c>
      <c r="K1647" s="31">
        <f t="shared" si="285"/>
        <v>-8.0199999999999818</v>
      </c>
      <c r="L1647" s="14">
        <f t="shared" si="287"/>
        <v>0</v>
      </c>
      <c r="M1647" s="4"/>
    </row>
    <row r="1648" spans="2:13">
      <c r="B1648" s="43"/>
      <c r="C1648" s="7">
        <v>1.4375000000001401</v>
      </c>
      <c r="D1648" s="7">
        <v>1.4479166666668</v>
      </c>
      <c r="E1648" s="30">
        <v>985.4</v>
      </c>
      <c r="F1648" s="15">
        <v>655.64</v>
      </c>
      <c r="G1648" s="4">
        <f t="shared" si="288"/>
        <v>329.76</v>
      </c>
      <c r="H1648" s="9">
        <f t="shared" si="289"/>
        <v>8.2439999999999999E-2</v>
      </c>
      <c r="I1648" s="4"/>
      <c r="J1648" s="64">
        <f t="shared" si="294"/>
        <v>665.4</v>
      </c>
      <c r="K1648" s="31">
        <f t="shared" si="285"/>
        <v>-9.7599999999999909</v>
      </c>
      <c r="L1648" s="14">
        <f t="shared" si="287"/>
        <v>0</v>
      </c>
      <c r="M1648" s="4"/>
    </row>
    <row r="1649" spans="2:13">
      <c r="B1649" s="43"/>
      <c r="C1649" s="7">
        <v>1.44791666666681</v>
      </c>
      <c r="D1649" s="7">
        <v>1.45833333333347</v>
      </c>
      <c r="E1649" s="30">
        <v>985.4</v>
      </c>
      <c r="F1649" s="15">
        <v>587.54</v>
      </c>
      <c r="G1649" s="4">
        <f t="shared" si="288"/>
        <v>397.86</v>
      </c>
      <c r="H1649" s="9">
        <f t="shared" si="289"/>
        <v>9.9464999999999998E-2</v>
      </c>
      <c r="I1649" s="4"/>
      <c r="J1649" s="64">
        <f t="shared" si="294"/>
        <v>585.4</v>
      </c>
      <c r="K1649" s="31">
        <f t="shared" si="285"/>
        <v>2.1399999999999864</v>
      </c>
      <c r="L1649" s="14">
        <f t="shared" si="287"/>
        <v>5.3499999999999663E-4</v>
      </c>
      <c r="M1649" s="4"/>
    </row>
    <row r="1650" spans="2:13">
      <c r="B1650" s="43"/>
      <c r="C1650" s="7">
        <v>1.45833333333348</v>
      </c>
      <c r="D1650" s="7">
        <v>1.4687500000001401</v>
      </c>
      <c r="E1650" s="30">
        <v>985.4</v>
      </c>
      <c r="F1650" s="15">
        <v>549.11</v>
      </c>
      <c r="G1650" s="4">
        <f t="shared" si="288"/>
        <v>436.28999999999996</v>
      </c>
      <c r="H1650" s="9">
        <f t="shared" si="289"/>
        <v>0.10907249999999999</v>
      </c>
      <c r="I1650" s="4"/>
      <c r="J1650" s="64">
        <v>540</v>
      </c>
      <c r="K1650" s="31">
        <f t="shared" si="285"/>
        <v>9.1100000000000136</v>
      </c>
      <c r="L1650" s="14">
        <f t="shared" si="287"/>
        <v>2.2775000000000035E-3</v>
      </c>
      <c r="M1650" s="4"/>
    </row>
    <row r="1651" spans="2:13">
      <c r="B1651" s="43"/>
      <c r="C1651" s="7">
        <v>1.4687500000001501</v>
      </c>
      <c r="D1651" s="7">
        <v>1.47916666666681</v>
      </c>
      <c r="E1651" s="30">
        <v>985.4</v>
      </c>
      <c r="F1651" s="15">
        <v>543.38</v>
      </c>
      <c r="G1651" s="4">
        <f t="shared" si="288"/>
        <v>442.02</v>
      </c>
      <c r="H1651" s="9">
        <f t="shared" si="289"/>
        <v>0.11050499999999999</v>
      </c>
      <c r="I1651" s="4"/>
      <c r="J1651" s="64">
        <v>540</v>
      </c>
      <c r="K1651" s="31">
        <f t="shared" si="285"/>
        <v>3.3799999999999955</v>
      </c>
      <c r="L1651" s="14">
        <f t="shared" si="287"/>
        <v>8.4499999999999886E-4</v>
      </c>
      <c r="M1651" s="4"/>
    </row>
    <row r="1652" spans="2:13">
      <c r="B1652" s="43"/>
      <c r="C1652" s="7">
        <v>1.47916666666682</v>
      </c>
      <c r="D1652" s="7">
        <v>1.48958333333348</v>
      </c>
      <c r="E1652" s="30">
        <v>985.4</v>
      </c>
      <c r="F1652" s="15">
        <v>544.54999999999995</v>
      </c>
      <c r="G1652" s="4">
        <f t="shared" si="288"/>
        <v>440.85</v>
      </c>
      <c r="H1652" s="9">
        <f t="shared" si="289"/>
        <v>0.1102125</v>
      </c>
      <c r="I1652" s="4"/>
      <c r="J1652" s="64">
        <v>540</v>
      </c>
      <c r="K1652" s="31">
        <f t="shared" si="285"/>
        <v>4.5499999999999545</v>
      </c>
      <c r="L1652" s="14">
        <f t="shared" si="287"/>
        <v>1.1374999999999886E-3</v>
      </c>
      <c r="M1652" s="4"/>
    </row>
    <row r="1653" spans="2:13">
      <c r="B1653" s="43"/>
      <c r="C1653" s="7">
        <v>1.48958333333349</v>
      </c>
      <c r="D1653" s="7">
        <v>1.5000000000001501</v>
      </c>
      <c r="E1653" s="30">
        <v>985.4</v>
      </c>
      <c r="F1653" s="15">
        <v>543.70000000000005</v>
      </c>
      <c r="G1653" s="4">
        <f t="shared" si="288"/>
        <v>441.69999999999993</v>
      </c>
      <c r="H1653" s="9">
        <f t="shared" si="289"/>
        <v>0.11042499999999998</v>
      </c>
      <c r="I1653" s="4"/>
      <c r="J1653" s="64">
        <v>540</v>
      </c>
      <c r="K1653" s="31">
        <f t="shared" si="285"/>
        <v>3.7000000000000455</v>
      </c>
      <c r="L1653" s="14">
        <f t="shared" si="287"/>
        <v>9.2500000000001132E-4</v>
      </c>
      <c r="M1653" s="4"/>
    </row>
    <row r="1654" spans="2:13">
      <c r="B1654" s="43"/>
      <c r="C1654" s="7">
        <v>1.5000000000001601</v>
      </c>
      <c r="D1654" s="7">
        <v>1.51041666666682</v>
      </c>
      <c r="E1654" s="30">
        <v>985.4</v>
      </c>
      <c r="F1654" s="15">
        <v>546.08000000000004</v>
      </c>
      <c r="G1654" s="4">
        <f t="shared" si="288"/>
        <v>439.31999999999994</v>
      </c>
      <c r="H1654" s="9">
        <f t="shared" si="289"/>
        <v>0.10982999999999998</v>
      </c>
      <c r="I1654" s="4"/>
      <c r="J1654" s="64">
        <v>540</v>
      </c>
      <c r="K1654" s="31">
        <f t="shared" si="285"/>
        <v>6.0800000000000409</v>
      </c>
      <c r="L1654" s="14">
        <f t="shared" si="287"/>
        <v>1.5200000000000103E-3</v>
      </c>
      <c r="M1654" s="4"/>
    </row>
    <row r="1655" spans="2:13">
      <c r="B1655" s="43"/>
      <c r="C1655" s="7">
        <v>1.5104166666668299</v>
      </c>
      <c r="D1655" s="7">
        <v>1.52083333333349</v>
      </c>
      <c r="E1655" s="30">
        <v>985.4</v>
      </c>
      <c r="F1655" s="15">
        <v>548.78</v>
      </c>
      <c r="G1655" s="4">
        <f t="shared" si="288"/>
        <v>436.62</v>
      </c>
      <c r="H1655" s="9">
        <f t="shared" si="289"/>
        <v>0.109155</v>
      </c>
      <c r="I1655" s="4"/>
      <c r="J1655" s="64">
        <v>540</v>
      </c>
      <c r="K1655" s="31">
        <f t="shared" si="285"/>
        <v>8.7799999999999727</v>
      </c>
      <c r="L1655" s="14">
        <f t="shared" si="287"/>
        <v>2.194999999999993E-3</v>
      </c>
      <c r="M1655" s="4"/>
    </row>
    <row r="1656" spans="2:13">
      <c r="B1656" s="43"/>
      <c r="C1656" s="7">
        <v>1.5208333333335</v>
      </c>
      <c r="D1656" s="7">
        <v>1.5312500000001601</v>
      </c>
      <c r="E1656" s="30">
        <v>985.4</v>
      </c>
      <c r="F1656" s="15">
        <v>544.02</v>
      </c>
      <c r="G1656" s="4">
        <f t="shared" si="288"/>
        <v>441.38</v>
      </c>
      <c r="H1656" s="9">
        <f t="shared" si="289"/>
        <v>0.110345</v>
      </c>
      <c r="I1656" s="4"/>
      <c r="J1656" s="64">
        <v>540</v>
      </c>
      <c r="K1656" s="31">
        <f t="shared" si="285"/>
        <v>4.0199999999999818</v>
      </c>
      <c r="L1656" s="14">
        <f t="shared" si="287"/>
        <v>1.0049999999999955E-3</v>
      </c>
      <c r="M1656" s="4"/>
    </row>
    <row r="1657" spans="2:13">
      <c r="B1657" s="43"/>
      <c r="C1657" s="7">
        <v>1.5312500000001701</v>
      </c>
      <c r="D1657" s="7">
        <v>1.5416666666668299</v>
      </c>
      <c r="E1657" s="30">
        <v>985.4</v>
      </c>
      <c r="F1657" s="15">
        <v>547.91999999999996</v>
      </c>
      <c r="G1657" s="4">
        <f t="shared" si="288"/>
        <v>437.48</v>
      </c>
      <c r="H1657" s="9">
        <f t="shared" si="289"/>
        <v>0.10937000000000001</v>
      </c>
      <c r="I1657" s="4"/>
      <c r="J1657" s="64">
        <v>540</v>
      </c>
      <c r="K1657" s="31">
        <f t="shared" si="285"/>
        <v>7.9199999999999591</v>
      </c>
      <c r="L1657" s="14">
        <f t="shared" si="287"/>
        <v>1.9799999999999896E-3</v>
      </c>
      <c r="M1657" s="4"/>
    </row>
    <row r="1658" spans="2:13">
      <c r="B1658" s="43"/>
      <c r="C1658" s="7">
        <v>1.5416666666668399</v>
      </c>
      <c r="D1658" s="7">
        <v>1.5520833333335</v>
      </c>
      <c r="E1658" s="30">
        <v>985.4</v>
      </c>
      <c r="F1658" s="15">
        <v>542.76</v>
      </c>
      <c r="G1658" s="4">
        <f t="shared" si="288"/>
        <v>442.64</v>
      </c>
      <c r="H1658" s="9">
        <f t="shared" si="289"/>
        <v>0.11065999999999999</v>
      </c>
      <c r="I1658" s="4"/>
      <c r="J1658" s="64">
        <v>540</v>
      </c>
      <c r="K1658" s="31">
        <f t="shared" si="285"/>
        <v>2.7599999999999909</v>
      </c>
      <c r="L1658" s="14">
        <f t="shared" si="287"/>
        <v>6.8999999999999769E-4</v>
      </c>
      <c r="M1658" s="4"/>
    </row>
    <row r="1659" spans="2:13">
      <c r="B1659" s="43"/>
      <c r="C1659" s="7">
        <v>1.55208333333351</v>
      </c>
      <c r="D1659" s="7">
        <v>1.5625000000001701</v>
      </c>
      <c r="E1659" s="30">
        <v>985.4</v>
      </c>
      <c r="F1659" s="15">
        <v>543.86</v>
      </c>
      <c r="G1659" s="4">
        <f t="shared" si="288"/>
        <v>441.53999999999996</v>
      </c>
      <c r="H1659" s="9">
        <f t="shared" si="289"/>
        <v>0.110385</v>
      </c>
      <c r="I1659" s="4"/>
      <c r="J1659" s="64">
        <v>540</v>
      </c>
      <c r="K1659" s="31">
        <f t="shared" si="285"/>
        <v>3.8600000000000136</v>
      </c>
      <c r="L1659" s="14">
        <f t="shared" si="287"/>
        <v>9.650000000000034E-4</v>
      </c>
      <c r="M1659" s="4"/>
    </row>
    <row r="1660" spans="2:13">
      <c r="B1660" s="43"/>
      <c r="C1660" s="7">
        <v>1.5625000000001801</v>
      </c>
      <c r="D1660" s="7">
        <v>1.5729166666668399</v>
      </c>
      <c r="E1660" s="30">
        <v>985.4</v>
      </c>
      <c r="F1660" s="15">
        <v>545.53</v>
      </c>
      <c r="G1660" s="4">
        <f t="shared" si="288"/>
        <v>439.87</v>
      </c>
      <c r="H1660" s="9">
        <f t="shared" si="289"/>
        <v>0.1099675</v>
      </c>
      <c r="I1660" s="4"/>
      <c r="J1660" s="64">
        <v>540</v>
      </c>
      <c r="K1660" s="31">
        <f t="shared" ref="K1660:K1691" si="295">F1660-J1660</f>
        <v>5.5299999999999727</v>
      </c>
      <c r="L1660" s="14">
        <f t="shared" si="287"/>
        <v>1.3824999999999931E-3</v>
      </c>
      <c r="M1660" s="4"/>
    </row>
    <row r="1661" spans="2:13">
      <c r="B1661" s="43"/>
      <c r="C1661" s="7">
        <v>1.5729166666668499</v>
      </c>
      <c r="D1661" s="7">
        <v>1.58333333333351</v>
      </c>
      <c r="E1661" s="30">
        <v>985.4</v>
      </c>
      <c r="F1661" s="15">
        <v>544.35</v>
      </c>
      <c r="G1661" s="4">
        <f t="shared" si="288"/>
        <v>441.04999999999995</v>
      </c>
      <c r="H1661" s="9">
        <f t="shared" si="289"/>
        <v>0.11026249999999999</v>
      </c>
      <c r="I1661" s="4"/>
      <c r="J1661" s="64">
        <v>540</v>
      </c>
      <c r="K1661" s="31">
        <f t="shared" si="295"/>
        <v>4.3500000000000227</v>
      </c>
      <c r="L1661" s="14">
        <f t="shared" si="287"/>
        <v>1.0875000000000058E-3</v>
      </c>
      <c r="M1661" s="4"/>
    </row>
    <row r="1662" spans="2:13">
      <c r="B1662" s="43"/>
      <c r="C1662" s="7">
        <v>1.58333333333352</v>
      </c>
      <c r="D1662" s="7">
        <v>1.5937500000001801</v>
      </c>
      <c r="E1662" s="30">
        <v>985.4</v>
      </c>
      <c r="F1662" s="15">
        <v>542.5</v>
      </c>
      <c r="G1662" s="4">
        <f t="shared" si="288"/>
        <v>442.9</v>
      </c>
      <c r="H1662" s="9">
        <f t="shared" si="289"/>
        <v>0.11072499999999999</v>
      </c>
      <c r="I1662" s="4"/>
      <c r="J1662" s="64">
        <v>540</v>
      </c>
      <c r="K1662" s="31">
        <f t="shared" si="295"/>
        <v>2.5</v>
      </c>
      <c r="L1662" s="14">
        <f t="shared" si="287"/>
        <v>6.2500000000000001E-4</v>
      </c>
      <c r="M1662" s="4"/>
    </row>
    <row r="1663" spans="2:13">
      <c r="B1663" s="43"/>
      <c r="C1663" s="7">
        <v>1.5937500000001901</v>
      </c>
      <c r="D1663" s="7">
        <v>1.6041666666668499</v>
      </c>
      <c r="E1663" s="30">
        <v>985.4</v>
      </c>
      <c r="F1663" s="15">
        <v>544.49</v>
      </c>
      <c r="G1663" s="4">
        <f t="shared" si="288"/>
        <v>440.90999999999997</v>
      </c>
      <c r="H1663" s="9">
        <f t="shared" si="289"/>
        <v>0.11022749999999999</v>
      </c>
      <c r="I1663" s="4"/>
      <c r="J1663" s="64">
        <v>540</v>
      </c>
      <c r="K1663" s="31">
        <f t="shared" si="295"/>
        <v>4.4900000000000091</v>
      </c>
      <c r="L1663" s="14">
        <f t="shared" si="287"/>
        <v>1.1225000000000022E-3</v>
      </c>
      <c r="M1663" s="4"/>
    </row>
    <row r="1664" spans="2:13">
      <c r="B1664" s="43"/>
      <c r="C1664" s="7">
        <v>1.6041666666668599</v>
      </c>
      <c r="D1664" s="7">
        <v>1.61458333333352</v>
      </c>
      <c r="E1664" s="30">
        <v>985.4</v>
      </c>
      <c r="F1664" s="15">
        <v>546.99</v>
      </c>
      <c r="G1664" s="4">
        <f t="shared" si="288"/>
        <v>438.40999999999997</v>
      </c>
      <c r="H1664" s="9">
        <f t="shared" si="289"/>
        <v>0.10960249999999999</v>
      </c>
      <c r="I1664" s="4"/>
      <c r="J1664" s="64">
        <v>540</v>
      </c>
      <c r="K1664" s="31">
        <f t="shared" si="295"/>
        <v>6.9900000000000091</v>
      </c>
      <c r="L1664" s="14">
        <f t="shared" si="287"/>
        <v>1.7475000000000023E-3</v>
      </c>
      <c r="M1664" s="4"/>
    </row>
    <row r="1665" spans="2:13">
      <c r="B1665" s="43"/>
      <c r="C1665" s="7">
        <v>1.61458333333353</v>
      </c>
      <c r="D1665" s="7">
        <v>1.6250000000001901</v>
      </c>
      <c r="E1665" s="30">
        <v>985.4</v>
      </c>
      <c r="F1665" s="15">
        <v>544.89</v>
      </c>
      <c r="G1665" s="4">
        <f t="shared" si="288"/>
        <v>440.51</v>
      </c>
      <c r="H1665" s="9">
        <f t="shared" si="289"/>
        <v>0.1101275</v>
      </c>
      <c r="I1665" s="4"/>
      <c r="J1665" s="64">
        <v>540</v>
      </c>
      <c r="K1665" s="31">
        <f t="shared" si="295"/>
        <v>4.8899999999999864</v>
      </c>
      <c r="L1665" s="14">
        <f t="shared" si="287"/>
        <v>1.2224999999999966E-3</v>
      </c>
      <c r="M1665" s="4"/>
    </row>
    <row r="1666" spans="2:13">
      <c r="B1666" s="43"/>
      <c r="C1666" s="7">
        <v>1.6250000000002001</v>
      </c>
      <c r="D1666" s="7">
        <v>1.6354166666668599</v>
      </c>
      <c r="E1666" s="30">
        <v>985.4</v>
      </c>
      <c r="F1666" s="15">
        <v>538.72</v>
      </c>
      <c r="G1666" s="4">
        <f t="shared" si="288"/>
        <v>446.67999999999995</v>
      </c>
      <c r="H1666" s="9">
        <f t="shared" si="289"/>
        <v>0.11166999999999999</v>
      </c>
      <c r="I1666" s="4"/>
      <c r="J1666" s="64">
        <v>540</v>
      </c>
      <c r="K1666" s="31">
        <f t="shared" si="295"/>
        <v>-1.2799999999999727</v>
      </c>
      <c r="L1666" s="14">
        <f t="shared" si="287"/>
        <v>0</v>
      </c>
      <c r="M1666" s="4"/>
    </row>
    <row r="1667" spans="2:13">
      <c r="B1667" s="43"/>
      <c r="C1667" s="7">
        <v>1.6354166666668699</v>
      </c>
      <c r="D1667" s="7">
        <v>1.64583333333353</v>
      </c>
      <c r="E1667" s="30">
        <v>985.4</v>
      </c>
      <c r="F1667" s="15">
        <v>544.29</v>
      </c>
      <c r="G1667" s="4">
        <f t="shared" si="288"/>
        <v>441.11</v>
      </c>
      <c r="H1667" s="9">
        <f t="shared" si="289"/>
        <v>0.1102775</v>
      </c>
      <c r="I1667" s="4"/>
      <c r="J1667" s="64">
        <v>540</v>
      </c>
      <c r="K1667" s="31">
        <f t="shared" si="295"/>
        <v>4.2899999999999636</v>
      </c>
      <c r="L1667" s="14">
        <f t="shared" si="287"/>
        <v>1.072499999999991E-3</v>
      </c>
      <c r="M1667" s="4"/>
    </row>
    <row r="1668" spans="2:13">
      <c r="B1668" s="43"/>
      <c r="C1668" s="7">
        <v>1.64583333333354</v>
      </c>
      <c r="D1668" s="7">
        <v>1.6562500000002001</v>
      </c>
      <c r="E1668" s="30">
        <v>985.4</v>
      </c>
      <c r="F1668" s="15">
        <v>543.9</v>
      </c>
      <c r="G1668" s="4">
        <f t="shared" si="288"/>
        <v>441.5</v>
      </c>
      <c r="H1668" s="9">
        <f t="shared" si="289"/>
        <v>0.110375</v>
      </c>
      <c r="I1668" s="4"/>
      <c r="J1668" s="64">
        <v>540</v>
      </c>
      <c r="K1668" s="31">
        <f t="shared" si="295"/>
        <v>3.8999999999999773</v>
      </c>
      <c r="L1668" s="14">
        <f t="shared" si="287"/>
        <v>9.7499999999999432E-4</v>
      </c>
      <c r="M1668" s="4"/>
    </row>
    <row r="1669" spans="2:13">
      <c r="B1669" s="43"/>
      <c r="C1669" s="7">
        <v>1.6562500000002101</v>
      </c>
      <c r="D1669" s="35">
        <v>1.6666666666668699</v>
      </c>
      <c r="E1669" s="30">
        <v>985.4</v>
      </c>
      <c r="F1669" s="15">
        <v>545.54999999999995</v>
      </c>
      <c r="G1669" s="4">
        <f t="shared" si="288"/>
        <v>439.85</v>
      </c>
      <c r="H1669" s="9">
        <f t="shared" si="289"/>
        <v>0.1099625</v>
      </c>
      <c r="I1669" s="4"/>
      <c r="J1669" s="64">
        <v>540</v>
      </c>
      <c r="K1669" s="31">
        <f t="shared" si="295"/>
        <v>5.5499999999999545</v>
      </c>
      <c r="L1669" s="14">
        <f t="shared" si="287"/>
        <v>1.3874999999999886E-3</v>
      </c>
      <c r="M1669" s="4"/>
    </row>
    <row r="1670" spans="2:13">
      <c r="B1670" s="43"/>
      <c r="C1670" s="7">
        <v>1.6666666666668899</v>
      </c>
      <c r="D1670" s="7">
        <v>1.67708333333354</v>
      </c>
      <c r="E1670" s="30">
        <v>985.4</v>
      </c>
      <c r="F1670" s="15">
        <v>610.66999999999996</v>
      </c>
      <c r="G1670" s="4">
        <f t="shared" si="288"/>
        <v>374.73</v>
      </c>
      <c r="H1670" s="9">
        <f t="shared" si="289"/>
        <v>9.3682500000000002E-2</v>
      </c>
      <c r="I1670" s="4"/>
      <c r="J1670" s="29">
        <f>J1669+80</f>
        <v>620</v>
      </c>
      <c r="K1670" s="31">
        <f>J1670-F1670</f>
        <v>9.3300000000000409</v>
      </c>
      <c r="L1670" s="14">
        <f t="shared" si="287"/>
        <v>2.3325000000000103E-3</v>
      </c>
      <c r="M1670" s="4"/>
    </row>
    <row r="1671" spans="2:13">
      <c r="B1671" s="43"/>
      <c r="C1671" s="7">
        <v>1.67708333333356</v>
      </c>
      <c r="D1671" s="7">
        <v>1.6875000000002101</v>
      </c>
      <c r="E1671" s="30">
        <v>985.4</v>
      </c>
      <c r="F1671" s="15">
        <v>729.66</v>
      </c>
      <c r="G1671" s="4">
        <f t="shared" si="288"/>
        <v>255.74</v>
      </c>
      <c r="H1671" s="9">
        <f t="shared" si="289"/>
        <v>6.3935000000000006E-2</v>
      </c>
      <c r="I1671" s="4"/>
      <c r="J1671" s="64">
        <f t="shared" ref="J1671:J1674" si="296">J1670+80</f>
        <v>700</v>
      </c>
      <c r="K1671" s="31">
        <f t="shared" ref="K1671:K1674" si="297">J1671-F1671</f>
        <v>-29.659999999999968</v>
      </c>
      <c r="L1671" s="14">
        <f t="shared" si="287"/>
        <v>0</v>
      </c>
      <c r="M1671" s="4"/>
    </row>
    <row r="1672" spans="2:13">
      <c r="B1672" s="43"/>
      <c r="C1672" s="7">
        <v>1.68750000000023</v>
      </c>
      <c r="D1672" s="7">
        <v>1.6979166666668799</v>
      </c>
      <c r="E1672" s="30">
        <v>985.4</v>
      </c>
      <c r="F1672" s="15">
        <v>874.1</v>
      </c>
      <c r="G1672" s="4">
        <f t="shared" si="288"/>
        <v>111.29999999999995</v>
      </c>
      <c r="H1672" s="9">
        <f t="shared" si="289"/>
        <v>2.7824999999999989E-2</v>
      </c>
      <c r="I1672" s="4"/>
      <c r="J1672" s="64">
        <f t="shared" si="296"/>
        <v>780</v>
      </c>
      <c r="K1672" s="31">
        <f t="shared" si="297"/>
        <v>-94.100000000000023</v>
      </c>
      <c r="L1672" s="14">
        <f t="shared" si="287"/>
        <v>0</v>
      </c>
      <c r="M1672" s="4"/>
    </row>
    <row r="1673" spans="2:13">
      <c r="B1673" s="43"/>
      <c r="C1673" s="7">
        <v>1.6979166666669001</v>
      </c>
      <c r="D1673" s="7">
        <v>1.70833333333355</v>
      </c>
      <c r="E1673" s="30">
        <v>985.4</v>
      </c>
      <c r="F1673" s="15">
        <v>981.61</v>
      </c>
      <c r="G1673" s="4">
        <f t="shared" si="288"/>
        <v>3.7899999999999636</v>
      </c>
      <c r="H1673" s="9">
        <f t="shared" si="289"/>
        <v>9.4749999999999088E-4</v>
      </c>
      <c r="I1673" s="4"/>
      <c r="J1673" s="64">
        <f t="shared" si="296"/>
        <v>860</v>
      </c>
      <c r="K1673" s="31">
        <f t="shared" si="297"/>
        <v>-121.61000000000001</v>
      </c>
      <c r="L1673" s="14">
        <f t="shared" si="287"/>
        <v>0</v>
      </c>
      <c r="M1673" s="4"/>
    </row>
    <row r="1674" spans="2:13">
      <c r="B1674" s="43"/>
      <c r="C1674" s="7">
        <v>1.70833333333356</v>
      </c>
      <c r="D1674" s="7">
        <v>1.71875000000022</v>
      </c>
      <c r="E1674" s="30">
        <v>985.4</v>
      </c>
      <c r="F1674" s="15">
        <v>992.12</v>
      </c>
      <c r="G1674" s="4">
        <f t="shared" si="288"/>
        <v>-6.7200000000000273</v>
      </c>
      <c r="H1674" s="76">
        <v>0</v>
      </c>
      <c r="I1674" s="4"/>
      <c r="J1674" s="64">
        <f t="shared" si="296"/>
        <v>940</v>
      </c>
      <c r="K1674" s="31">
        <f t="shared" si="297"/>
        <v>-52.120000000000005</v>
      </c>
      <c r="L1674" s="14">
        <f t="shared" ref="L1674:L1691" si="298">IF(K1674/4000&gt;0,K1674/4000,0)</f>
        <v>0</v>
      </c>
      <c r="M1674" s="4"/>
    </row>
    <row r="1675" spans="2:13">
      <c r="B1675" s="43"/>
      <c r="C1675" s="43"/>
      <c r="D1675" s="43"/>
      <c r="E1675" s="4"/>
      <c r="F1675" s="15"/>
      <c r="G1675" s="4"/>
      <c r="H1675" s="9"/>
      <c r="I1675" s="9">
        <f>SUM(H1645:H1674)</f>
        <v>2.6942974999999998</v>
      </c>
      <c r="J1675" s="29"/>
      <c r="K1675" s="31"/>
      <c r="L1675" s="14"/>
      <c r="M1675" s="4">
        <f>SUM(L1645:L1674)</f>
        <v>2.798249999999999E-2</v>
      </c>
    </row>
    <row r="1676" spans="2:13">
      <c r="B1676" s="34">
        <v>46053</v>
      </c>
      <c r="C1676" s="7">
        <v>1.8333333333336099</v>
      </c>
      <c r="D1676" s="7">
        <v>1.84375000000026</v>
      </c>
      <c r="E1676" s="30">
        <v>985.4</v>
      </c>
      <c r="F1676" s="15">
        <v>912.96</v>
      </c>
      <c r="G1676" s="4">
        <f t="shared" si="288"/>
        <v>72.439999999999941</v>
      </c>
      <c r="H1676" s="9">
        <f t="shared" si="289"/>
        <v>1.8109999999999984E-2</v>
      </c>
      <c r="I1676" s="4"/>
      <c r="J1676" s="29">
        <f>E1676-80</f>
        <v>905.4</v>
      </c>
      <c r="K1676" s="31">
        <f t="shared" si="295"/>
        <v>7.5600000000000591</v>
      </c>
      <c r="L1676" s="14"/>
      <c r="M1676" s="4"/>
    </row>
    <row r="1677" spans="2:13">
      <c r="B1677" s="43"/>
      <c r="C1677" s="7">
        <v>1.84375000000028</v>
      </c>
      <c r="D1677" s="7">
        <v>1.8541666666669301</v>
      </c>
      <c r="E1677" s="30">
        <v>985.4</v>
      </c>
      <c r="F1677" s="15">
        <v>799.28</v>
      </c>
      <c r="G1677" s="4">
        <f t="shared" si="288"/>
        <v>186.12</v>
      </c>
      <c r="H1677" s="9">
        <f t="shared" si="289"/>
        <v>4.6530000000000002E-2</v>
      </c>
      <c r="I1677" s="4"/>
      <c r="J1677" s="29">
        <f>J1676-80</f>
        <v>825.4</v>
      </c>
      <c r="K1677" s="31">
        <f t="shared" si="295"/>
        <v>-26.120000000000005</v>
      </c>
      <c r="L1677" s="14">
        <f t="shared" si="298"/>
        <v>0</v>
      </c>
      <c r="M1677" s="4"/>
    </row>
    <row r="1678" spans="2:13">
      <c r="B1678" s="43"/>
      <c r="C1678" s="7">
        <v>1.8541666666669501</v>
      </c>
      <c r="D1678" s="7">
        <v>1.8645833333335999</v>
      </c>
      <c r="E1678" s="30">
        <v>985.4</v>
      </c>
      <c r="F1678" s="15">
        <v>647.15</v>
      </c>
      <c r="G1678" s="4">
        <f t="shared" si="288"/>
        <v>338.25</v>
      </c>
      <c r="H1678" s="9">
        <f t="shared" si="289"/>
        <v>8.4562499999999999E-2</v>
      </c>
      <c r="I1678" s="4"/>
      <c r="J1678" s="64">
        <f t="shared" ref="J1678:J1680" si="299">J1677-80</f>
        <v>745.4</v>
      </c>
      <c r="K1678" s="31">
        <f t="shared" si="295"/>
        <v>-98.25</v>
      </c>
      <c r="L1678" s="14">
        <f t="shared" si="298"/>
        <v>0</v>
      </c>
      <c r="M1678" s="4"/>
    </row>
    <row r="1679" spans="2:13">
      <c r="B1679" s="43"/>
      <c r="C1679" s="7">
        <v>1.8645833333336199</v>
      </c>
      <c r="D1679" s="7">
        <v>1.87500000000027</v>
      </c>
      <c r="E1679" s="30">
        <v>985.4</v>
      </c>
      <c r="F1679" s="15">
        <v>546.88</v>
      </c>
      <c r="G1679" s="4">
        <f t="shared" si="288"/>
        <v>438.52</v>
      </c>
      <c r="H1679" s="9">
        <f t="shared" si="289"/>
        <v>0.10962999999999999</v>
      </c>
      <c r="I1679" s="4"/>
      <c r="J1679" s="64">
        <f t="shared" si="299"/>
        <v>665.4</v>
      </c>
      <c r="K1679" s="31">
        <f t="shared" si="295"/>
        <v>-118.51999999999998</v>
      </c>
      <c r="L1679" s="14">
        <f t="shared" si="298"/>
        <v>0</v>
      </c>
      <c r="M1679" s="4"/>
    </row>
    <row r="1680" spans="2:13">
      <c r="B1680" s="43"/>
      <c r="C1680" s="7">
        <v>1.87500000000029</v>
      </c>
      <c r="D1680" s="7">
        <v>1.8854166666669401</v>
      </c>
      <c r="E1680" s="30">
        <v>985.4</v>
      </c>
      <c r="F1680" s="15">
        <v>543.88</v>
      </c>
      <c r="G1680" s="4">
        <f t="shared" si="288"/>
        <v>441.52</v>
      </c>
      <c r="H1680" s="9">
        <f t="shared" si="289"/>
        <v>0.11037999999999999</v>
      </c>
      <c r="I1680" s="4"/>
      <c r="J1680" s="64">
        <f t="shared" si="299"/>
        <v>585.4</v>
      </c>
      <c r="K1680" s="31">
        <f t="shared" si="295"/>
        <v>-41.519999999999982</v>
      </c>
      <c r="L1680" s="14">
        <f t="shared" si="298"/>
        <v>0</v>
      </c>
      <c r="M1680" s="4"/>
    </row>
    <row r="1681" spans="2:13">
      <c r="B1681" s="43"/>
      <c r="C1681" s="7">
        <v>1.8854166666669601</v>
      </c>
      <c r="D1681" s="7">
        <v>1.8958333333336099</v>
      </c>
      <c r="E1681" s="30">
        <v>985.4</v>
      </c>
      <c r="F1681" s="15">
        <v>545.35</v>
      </c>
      <c r="G1681" s="4">
        <f t="shared" si="288"/>
        <v>440.04999999999995</v>
      </c>
      <c r="H1681" s="9">
        <f t="shared" si="289"/>
        <v>0.11001249999999999</v>
      </c>
      <c r="I1681" s="4"/>
      <c r="J1681" s="64">
        <v>540</v>
      </c>
      <c r="K1681" s="31">
        <f t="shared" si="295"/>
        <v>5.3500000000000227</v>
      </c>
      <c r="L1681" s="14">
        <f t="shared" si="298"/>
        <v>1.3375000000000058E-3</v>
      </c>
      <c r="M1681" s="4"/>
    </row>
    <row r="1682" spans="2:13">
      <c r="B1682" s="43"/>
      <c r="C1682" s="7">
        <v>1.8958333333336299</v>
      </c>
      <c r="D1682" s="7">
        <v>1.90625000000028</v>
      </c>
      <c r="E1682" s="30">
        <v>985.4</v>
      </c>
      <c r="F1682" s="15">
        <v>547.66</v>
      </c>
      <c r="G1682" s="4">
        <f t="shared" si="288"/>
        <v>437.74</v>
      </c>
      <c r="H1682" s="9">
        <f t="shared" si="289"/>
        <v>0.109435</v>
      </c>
      <c r="I1682" s="4"/>
      <c r="J1682" s="64">
        <v>540</v>
      </c>
      <c r="K1682" s="31">
        <f t="shared" si="295"/>
        <v>7.6599999999999682</v>
      </c>
      <c r="L1682" s="14">
        <f t="shared" si="298"/>
        <v>1.914999999999992E-3</v>
      </c>
      <c r="M1682" s="4"/>
    </row>
    <row r="1683" spans="2:13">
      <c r="B1683" s="43"/>
      <c r="C1683" s="7">
        <v>1.9062500000003</v>
      </c>
      <c r="D1683" s="7">
        <v>1.9166666666669501</v>
      </c>
      <c r="E1683" s="30">
        <v>985.4</v>
      </c>
      <c r="F1683" s="15">
        <v>543.15</v>
      </c>
      <c r="G1683" s="4">
        <f t="shared" si="288"/>
        <v>442.25</v>
      </c>
      <c r="H1683" s="9">
        <f t="shared" si="289"/>
        <v>0.11056249999999999</v>
      </c>
      <c r="I1683" s="4"/>
      <c r="J1683" s="64">
        <v>540</v>
      </c>
      <c r="K1683" s="31">
        <f t="shared" si="295"/>
        <v>3.1499999999999773</v>
      </c>
      <c r="L1683" s="14">
        <f t="shared" si="298"/>
        <v>7.8749999999999437E-4</v>
      </c>
      <c r="M1683" s="4"/>
    </row>
    <row r="1684" spans="2:13">
      <c r="B1684" s="43"/>
      <c r="C1684" s="7">
        <v>1.9166666666669701</v>
      </c>
      <c r="D1684" s="7">
        <v>1.9270833333336199</v>
      </c>
      <c r="E1684" s="30">
        <v>985.4</v>
      </c>
      <c r="F1684" s="15">
        <v>543.28</v>
      </c>
      <c r="G1684" s="4">
        <f t="shared" si="288"/>
        <v>442.12</v>
      </c>
      <c r="H1684" s="9">
        <f t="shared" si="289"/>
        <v>0.11053</v>
      </c>
      <c r="I1684" s="4"/>
      <c r="J1684" s="64">
        <v>540</v>
      </c>
      <c r="K1684" s="31">
        <f t="shared" si="295"/>
        <v>3.2799999999999727</v>
      </c>
      <c r="L1684" s="14">
        <f t="shared" si="298"/>
        <v>8.1999999999999315E-4</v>
      </c>
      <c r="M1684" s="4"/>
    </row>
    <row r="1685" spans="2:13">
      <c r="B1685" s="43"/>
      <c r="C1685" s="7">
        <v>1.9270833333336399</v>
      </c>
      <c r="D1685" s="7">
        <v>1.93750000000029</v>
      </c>
      <c r="E1685" s="30">
        <v>985.4</v>
      </c>
      <c r="F1685" s="15">
        <v>544.32000000000005</v>
      </c>
      <c r="G1685" s="4">
        <f t="shared" si="288"/>
        <v>441.07999999999993</v>
      </c>
      <c r="H1685" s="9">
        <f t="shared" si="289"/>
        <v>0.11026999999999998</v>
      </c>
      <c r="I1685" s="4"/>
      <c r="J1685" s="64">
        <v>540</v>
      </c>
      <c r="K1685" s="31">
        <f t="shared" si="295"/>
        <v>4.32000000000005</v>
      </c>
      <c r="L1685" s="14">
        <f t="shared" si="298"/>
        <v>1.0800000000000126E-3</v>
      </c>
      <c r="M1685" s="4"/>
    </row>
    <row r="1686" spans="2:13">
      <c r="B1686" s="43"/>
      <c r="C1686" s="7">
        <v>1.93750000000031</v>
      </c>
      <c r="D1686" s="7">
        <v>1.9479166666669601</v>
      </c>
      <c r="E1686" s="30">
        <v>985.4</v>
      </c>
      <c r="F1686" s="15">
        <v>539.29</v>
      </c>
      <c r="G1686" s="4">
        <f t="shared" si="288"/>
        <v>446.11</v>
      </c>
      <c r="H1686" s="9">
        <f t="shared" si="289"/>
        <v>0.1115275</v>
      </c>
      <c r="I1686" s="4"/>
      <c r="J1686" s="64">
        <v>540</v>
      </c>
      <c r="K1686" s="31">
        <f t="shared" si="295"/>
        <v>-0.71000000000003638</v>
      </c>
      <c r="L1686" s="14">
        <f t="shared" si="298"/>
        <v>0</v>
      </c>
      <c r="M1686" s="4"/>
    </row>
    <row r="1687" spans="2:13">
      <c r="B1687" s="43"/>
      <c r="C1687" s="7">
        <v>1.94791666666698</v>
      </c>
      <c r="D1687" s="7">
        <v>1.9583333333336299</v>
      </c>
      <c r="E1687" s="30">
        <v>985.4</v>
      </c>
      <c r="F1687" s="15">
        <v>544.58000000000004</v>
      </c>
      <c r="G1687" s="4">
        <f t="shared" ref="G1687:G1691" si="300">E1687-F1687</f>
        <v>440.81999999999994</v>
      </c>
      <c r="H1687" s="9">
        <f t="shared" ref="H1687:H1691" si="301">G1687/4000</f>
        <v>0.11020499999999998</v>
      </c>
      <c r="I1687" s="4"/>
      <c r="J1687" s="64">
        <v>540</v>
      </c>
      <c r="K1687" s="31">
        <f t="shared" si="295"/>
        <v>4.5800000000000409</v>
      </c>
      <c r="L1687" s="14">
        <f t="shared" si="298"/>
        <v>1.1450000000000102E-3</v>
      </c>
      <c r="M1687" s="4"/>
    </row>
    <row r="1688" spans="2:13">
      <c r="B1688" s="43"/>
      <c r="C1688" s="7">
        <v>1.9583333333336499</v>
      </c>
      <c r="D1688" s="7">
        <v>1.9687500000003</v>
      </c>
      <c r="E1688" s="30">
        <v>985.4</v>
      </c>
      <c r="F1688" s="15">
        <v>543.95000000000005</v>
      </c>
      <c r="G1688" s="4">
        <f t="shared" si="300"/>
        <v>441.44999999999993</v>
      </c>
      <c r="H1688" s="9">
        <f t="shared" si="301"/>
        <v>0.11036249999999999</v>
      </c>
      <c r="I1688" s="4"/>
      <c r="J1688" s="64">
        <v>540</v>
      </c>
      <c r="K1688" s="31">
        <f t="shared" si="295"/>
        <v>3.9500000000000455</v>
      </c>
      <c r="L1688" s="14">
        <f t="shared" si="298"/>
        <v>9.8750000000001137E-4</v>
      </c>
      <c r="M1688" s="4"/>
    </row>
    <row r="1689" spans="2:13">
      <c r="B1689" s="43"/>
      <c r="C1689" s="7">
        <v>1.96875000000032</v>
      </c>
      <c r="D1689" s="7">
        <v>1.9791666666669701</v>
      </c>
      <c r="E1689" s="30">
        <v>985.4</v>
      </c>
      <c r="F1689" s="15">
        <v>542.13</v>
      </c>
      <c r="G1689" s="4">
        <f t="shared" si="300"/>
        <v>443.27</v>
      </c>
      <c r="H1689" s="9">
        <f t="shared" si="301"/>
        <v>0.1108175</v>
      </c>
      <c r="I1689" s="4"/>
      <c r="J1689" s="64">
        <v>540</v>
      </c>
      <c r="K1689" s="31">
        <f t="shared" si="295"/>
        <v>2.1299999999999955</v>
      </c>
      <c r="L1689" s="14">
        <f t="shared" si="298"/>
        <v>5.324999999999989E-4</v>
      </c>
      <c r="M1689" s="4"/>
    </row>
    <row r="1690" spans="2:13">
      <c r="B1690" s="43"/>
      <c r="C1690" s="7">
        <v>1.97916666666699</v>
      </c>
      <c r="D1690" s="7">
        <v>1.9895833333336399</v>
      </c>
      <c r="E1690" s="30">
        <v>985.4</v>
      </c>
      <c r="F1690" s="15">
        <v>542.16999999999996</v>
      </c>
      <c r="G1690" s="4">
        <f t="shared" si="300"/>
        <v>443.23</v>
      </c>
      <c r="H1690" s="9">
        <f t="shared" si="301"/>
        <v>0.1108075</v>
      </c>
      <c r="I1690" s="4"/>
      <c r="J1690" s="64">
        <v>540</v>
      </c>
      <c r="K1690" s="31">
        <f t="shared" si="295"/>
        <v>2.1699999999999591</v>
      </c>
      <c r="L1690" s="14">
        <f t="shared" si="298"/>
        <v>5.4249999999998982E-4</v>
      </c>
      <c r="M1690" s="4"/>
    </row>
    <row r="1691" spans="2:13">
      <c r="B1691" s="43"/>
      <c r="C1691" s="7">
        <v>1.9895833333336601</v>
      </c>
      <c r="D1691" s="35">
        <v>2.00000000000031</v>
      </c>
      <c r="E1691" s="30">
        <v>985.4</v>
      </c>
      <c r="F1691" s="48">
        <v>545.9</v>
      </c>
      <c r="G1691" s="4">
        <f t="shared" si="300"/>
        <v>439.5</v>
      </c>
      <c r="H1691" s="9">
        <f t="shared" si="301"/>
        <v>0.109875</v>
      </c>
      <c r="I1691" s="4"/>
      <c r="J1691" s="64">
        <v>540</v>
      </c>
      <c r="K1691" s="31">
        <f t="shared" si="295"/>
        <v>5.8999999999999773</v>
      </c>
      <c r="L1691" s="14">
        <f t="shared" si="298"/>
        <v>1.4749999999999943E-3</v>
      </c>
      <c r="M1691" s="4"/>
    </row>
    <row r="1692" spans="2:13">
      <c r="B1692" s="43"/>
      <c r="C1692" s="43"/>
      <c r="D1692" s="43"/>
      <c r="E1692" s="4"/>
      <c r="F1692" s="4"/>
      <c r="G1692" s="4"/>
      <c r="H1692" s="4"/>
      <c r="I1692" s="9">
        <f>SUM(H1676:H1691)</f>
        <v>1.5836174999999997</v>
      </c>
      <c r="J1692" s="64"/>
      <c r="K1692" s="4"/>
      <c r="L1692" s="4"/>
      <c r="M1692" s="4">
        <f>SUM(L1676:L1691)</f>
        <v>1.06225E-2</v>
      </c>
    </row>
    <row r="1694" spans="2:13">
      <c r="I1694" s="10">
        <f>SUM(I5:I1692)</f>
        <v>92.637781249999989</v>
      </c>
      <c r="M1694" s="10">
        <f>SUM(M5:M1692)</f>
        <v>2.6058962500000016</v>
      </c>
    </row>
  </sheetData>
  <mergeCells count="3">
    <mergeCell ref="B3:I3"/>
    <mergeCell ref="J3:M3"/>
    <mergeCell ref="B2:J2"/>
  </mergeCells>
  <pageMargins left="0.7" right="0.7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00"/>
  <sheetViews>
    <sheetView view="pageBreakPreview" topLeftCell="A10" zoomScaleSheetLayoutView="100" workbookViewId="0">
      <selection activeCell="I15" sqref="I15"/>
    </sheetView>
  </sheetViews>
  <sheetFormatPr defaultRowHeight="15"/>
  <cols>
    <col min="6" max="6" width="9.140625" customWidth="1"/>
    <col min="7" max="7" width="18.28515625" customWidth="1"/>
    <col min="8" max="8" width="19.7109375" customWidth="1"/>
    <col min="9" max="9" width="23" customWidth="1"/>
    <col min="11" max="11" width="10.85546875" customWidth="1"/>
    <col min="12" max="12" width="10.5703125" customWidth="1"/>
    <col min="13" max="13" width="11.7109375" customWidth="1"/>
  </cols>
  <sheetData>
    <row r="2" spans="2:13" ht="40.5" customHeight="1">
      <c r="G2" s="86" t="s">
        <v>26</v>
      </c>
      <c r="H2" s="86"/>
      <c r="I2" s="86"/>
    </row>
    <row r="3" spans="2:13" ht="44.25" customHeight="1">
      <c r="G3" s="2" t="s">
        <v>2</v>
      </c>
      <c r="H3" s="6" t="s">
        <v>13</v>
      </c>
      <c r="I3" s="6" t="s">
        <v>14</v>
      </c>
      <c r="K3" s="18" t="s">
        <v>15</v>
      </c>
      <c r="L3" s="18" t="s">
        <v>16</v>
      </c>
      <c r="M3" s="18" t="s">
        <v>17</v>
      </c>
    </row>
    <row r="4" spans="2:13" ht="23.25" customHeight="1">
      <c r="B4" s="7">
        <v>1</v>
      </c>
      <c r="C4" s="7">
        <v>1.0104166666666701</v>
      </c>
      <c r="G4" s="13">
        <v>45992</v>
      </c>
      <c r="H4" s="22">
        <f>'New method'!I20</f>
        <v>0.7075174999999998</v>
      </c>
      <c r="I4" s="22">
        <f>'New method'!M20</f>
        <v>3.7225000000000105E-3</v>
      </c>
      <c r="K4" s="17">
        <v>5</v>
      </c>
      <c r="L4" s="5">
        <v>5</v>
      </c>
      <c r="M4" s="4">
        <v>5</v>
      </c>
    </row>
    <row r="5" spans="2:13" ht="23.25" customHeight="1">
      <c r="B5" s="7">
        <v>1.0104166666666701</v>
      </c>
      <c r="C5" s="7">
        <v>1.0208333333333399</v>
      </c>
      <c r="G5" s="13">
        <v>45993</v>
      </c>
      <c r="H5" s="22">
        <f>'New method'!I28+'New method'!I39+'New method'!I48</f>
        <v>0.77735999999999994</v>
      </c>
      <c r="I5" s="22">
        <f>'New method'!M28+'New method'!M39+'New method'!M48</f>
        <v>1.7074999999999959E-3</v>
      </c>
      <c r="K5" s="16">
        <v>10</v>
      </c>
      <c r="L5" s="4">
        <v>10</v>
      </c>
      <c r="M5" s="4">
        <v>10</v>
      </c>
    </row>
    <row r="6" spans="2:13" ht="23.25" customHeight="1">
      <c r="B6" s="7">
        <v>1.0208333333333399</v>
      </c>
      <c r="C6" s="7">
        <v>1.03125000000001</v>
      </c>
      <c r="G6" s="13">
        <v>45994</v>
      </c>
      <c r="H6" s="22">
        <f>'New method'!I68+'New method'!I87+'New method'!I92+'New method'!I101</f>
        <v>1.8894349999999998</v>
      </c>
      <c r="I6" s="22">
        <f>'New method'!M68+'New method'!M87+'New method'!M92+'New method'!M101</f>
        <v>2.3164999999999988E-2</v>
      </c>
      <c r="K6" s="16">
        <v>15</v>
      </c>
      <c r="L6" s="4">
        <v>15</v>
      </c>
      <c r="M6" s="4">
        <v>15</v>
      </c>
    </row>
    <row r="7" spans="2:13" ht="23.25" customHeight="1">
      <c r="B7" s="7">
        <v>1.03125000000001</v>
      </c>
      <c r="C7" s="7">
        <v>1.0416666666666801</v>
      </c>
      <c r="G7" s="13">
        <v>45995</v>
      </c>
      <c r="H7" s="23">
        <f>'New method'!I119+'New method'!I126+'New method'!I137+'New method'!I147</f>
        <v>1.5015725</v>
      </c>
      <c r="I7" s="23">
        <f>'New method'!M119+'New method'!M126+'New method'!M137+'New method'!M147</f>
        <v>6.5185000000000021E-2</v>
      </c>
      <c r="K7" s="16">
        <v>20</v>
      </c>
      <c r="L7" s="4">
        <v>20</v>
      </c>
      <c r="M7" s="4">
        <v>20</v>
      </c>
    </row>
    <row r="8" spans="2:13" ht="23.25" customHeight="1">
      <c r="B8" s="7">
        <v>1.0416666666666801</v>
      </c>
      <c r="C8" s="7">
        <v>1.0520833333333499</v>
      </c>
      <c r="G8" s="13">
        <v>45996</v>
      </c>
      <c r="H8" s="22">
        <f>'New method'!I168+'New method'!I177+'New method'!I187</f>
        <v>1.4331574999999996</v>
      </c>
      <c r="I8" s="22">
        <f>'New method'!M168+'New method'!M177+'New method'!M187</f>
        <v>6.3074999999999978E-2</v>
      </c>
      <c r="K8" s="16">
        <v>25</v>
      </c>
      <c r="L8" s="4">
        <v>25</v>
      </c>
      <c r="M8" s="4">
        <v>25</v>
      </c>
    </row>
    <row r="9" spans="2:13" ht="23.25" customHeight="1">
      <c r="B9" s="7">
        <v>1.0520833333333499</v>
      </c>
      <c r="C9" s="7">
        <v>1.06250000000002</v>
      </c>
      <c r="G9" s="13">
        <v>45997</v>
      </c>
      <c r="H9" s="22">
        <f>'New method'!I201+'New method'!I216+'New method'!I222</f>
        <v>1.1164974999999999</v>
      </c>
      <c r="I9" s="22">
        <f>'New method'!M201+'New method'!M216+'New method'!M222</f>
        <v>0.13933250000000003</v>
      </c>
      <c r="J9" t="s">
        <v>18</v>
      </c>
      <c r="K9" s="16">
        <f>AVERAGE(K4:K8)</f>
        <v>15</v>
      </c>
      <c r="L9" s="4">
        <v>30</v>
      </c>
      <c r="M9" s="4">
        <v>30</v>
      </c>
    </row>
    <row r="10" spans="2:13" ht="23.25" customHeight="1">
      <c r="B10" s="7">
        <v>1.06250000000002</v>
      </c>
      <c r="C10" s="7">
        <v>1.0729166666666901</v>
      </c>
      <c r="G10" s="13">
        <v>45998</v>
      </c>
      <c r="H10" s="22">
        <f>'New method'!I245+'New method'!I257+'New method'!I272</f>
        <v>1.6514150000000001</v>
      </c>
      <c r="I10" s="22">
        <f>'New method'!M245+'New method'!M257+'New method'!M272</f>
        <v>4.1197499999999991E-2</v>
      </c>
      <c r="J10" t="s">
        <v>19</v>
      </c>
      <c r="K10" s="4">
        <v>30</v>
      </c>
      <c r="L10" s="4">
        <v>35</v>
      </c>
      <c r="M10" s="4">
        <v>35</v>
      </c>
    </row>
    <row r="11" spans="2:13" ht="23.25" customHeight="1">
      <c r="B11" s="7">
        <v>1.0729166666666901</v>
      </c>
      <c r="C11" s="7">
        <v>1.0833333333333599</v>
      </c>
      <c r="G11" s="13">
        <v>45999</v>
      </c>
      <c r="H11" s="22">
        <f>'New method'!I300+'New method'!I310</f>
        <v>1.6416374999999999</v>
      </c>
      <c r="I11" s="22">
        <f>'New method'!M300+'New method'!M310</f>
        <v>8.6082499999999978E-2</v>
      </c>
      <c r="L11" s="4">
        <v>40</v>
      </c>
      <c r="M11" s="4">
        <v>40</v>
      </c>
    </row>
    <row r="12" spans="2:13" ht="23.25" customHeight="1">
      <c r="B12" s="7">
        <v>1.0833333333333599</v>
      </c>
      <c r="C12" s="7">
        <v>1.09375000000003</v>
      </c>
      <c r="G12" s="13">
        <v>46000</v>
      </c>
      <c r="H12" s="22">
        <f>'New method'!I334+'New method'!I339</f>
        <v>1.1738749999999998</v>
      </c>
      <c r="I12" s="22">
        <f>'New method'!M334+'New method'!M339</f>
        <v>7.6542500000000041E-2</v>
      </c>
      <c r="L12" s="4">
        <v>45</v>
      </c>
      <c r="M12" s="4">
        <v>45</v>
      </c>
    </row>
    <row r="13" spans="2:13" ht="23.25" customHeight="1">
      <c r="B13" s="7">
        <v>1.09375000000003</v>
      </c>
      <c r="C13" s="7">
        <v>1.1041666666667</v>
      </c>
      <c r="G13" s="13">
        <v>46001</v>
      </c>
      <c r="H13" s="22">
        <f>'New method'!I363+'New method'!I368+'New method'!I381</f>
        <v>1.6853300000000004</v>
      </c>
      <c r="I13" s="22">
        <f>'New method'!M363+'New method'!M368+'New method'!M381</f>
        <v>0.1134425</v>
      </c>
      <c r="L13" s="4">
        <v>50</v>
      </c>
      <c r="M13" s="4">
        <v>50</v>
      </c>
    </row>
    <row r="14" spans="2:13" ht="23.25" customHeight="1">
      <c r="B14" s="7">
        <v>1.1041666666667</v>
      </c>
      <c r="C14" s="7">
        <v>1.1145833333333699</v>
      </c>
      <c r="G14" s="13">
        <v>46002</v>
      </c>
      <c r="H14" s="22">
        <f>'New method'!I404+'New method'!I417+'New method'!I425</f>
        <v>1.7769549999999998</v>
      </c>
      <c r="I14" s="22">
        <f>'New method'!M404+'New method'!M417+'New method'!M425</f>
        <v>6.6909999999999997E-2</v>
      </c>
      <c r="K14" t="s">
        <v>18</v>
      </c>
      <c r="L14" s="4">
        <f>AVERAGE(L4:L13)</f>
        <v>27.5</v>
      </c>
      <c r="M14" s="4">
        <v>55</v>
      </c>
    </row>
    <row r="15" spans="2:13" ht="23.25" customHeight="1">
      <c r="B15" s="7">
        <v>1.1145833333333699</v>
      </c>
      <c r="C15" s="7">
        <v>1.12500000000004</v>
      </c>
      <c r="G15" s="13">
        <v>46003</v>
      </c>
      <c r="H15" s="22">
        <f>'New method'!I450+'New method'!I456</f>
        <v>1.3098775000000002</v>
      </c>
      <c r="I15" s="22">
        <f>'New method'!M450+'New method'!M456</f>
        <v>3.4147500000000032E-2</v>
      </c>
      <c r="K15" t="s">
        <v>19</v>
      </c>
      <c r="L15" s="4">
        <v>55</v>
      </c>
      <c r="M15" s="4">
        <v>60</v>
      </c>
    </row>
    <row r="16" spans="2:13" ht="23.25" customHeight="1">
      <c r="B16" s="7">
        <v>1.12500000000004</v>
      </c>
      <c r="C16" s="7">
        <v>1.13541666666671</v>
      </c>
      <c r="G16" s="13">
        <v>46004</v>
      </c>
      <c r="H16" s="22">
        <f>'New method'!I480+'New method'!I489+'New method'!I492</f>
        <v>1.3185075000000002</v>
      </c>
      <c r="I16" s="22">
        <f>'New method'!M480+'New method'!M489+'New method'!M492</f>
        <v>4.7257499999999959E-2</v>
      </c>
      <c r="M16" s="4">
        <v>65</v>
      </c>
    </row>
    <row r="17" spans="2:13" ht="23.25" customHeight="1">
      <c r="B17" s="7">
        <v>1.13541666666671</v>
      </c>
      <c r="C17" s="7">
        <v>1.1458333333333801</v>
      </c>
      <c r="G17" s="13">
        <v>46005</v>
      </c>
      <c r="H17" s="22">
        <f>'New method'!I515+'New method'!I532+'New method'!I540+'New method'!I545</f>
        <v>1.9262350000000004</v>
      </c>
      <c r="I17" s="22">
        <f>'New method'!M515+'New method'!M532+'New method'!M540+'New method'!M545</f>
        <v>0.18482500000000002</v>
      </c>
      <c r="M17" s="4">
        <v>70</v>
      </c>
    </row>
    <row r="18" spans="2:13" ht="23.25" customHeight="1">
      <c r="B18" s="7">
        <v>1.1458333333333801</v>
      </c>
      <c r="C18" s="7">
        <v>1.15625000000005</v>
      </c>
      <c r="G18" s="13">
        <v>46006</v>
      </c>
      <c r="H18" s="22">
        <f>'New method'!I569+'New method'!I604+'New method'!I618</f>
        <v>3.0006274999999998</v>
      </c>
      <c r="I18" s="22">
        <f>'New method'!M569+'New method'!M604+'New method'!M618</f>
        <v>0.30907250000000008</v>
      </c>
      <c r="M18" s="4">
        <v>75</v>
      </c>
    </row>
    <row r="19" spans="2:13" ht="23.25" customHeight="1">
      <c r="B19" s="7">
        <v>1.15625000000005</v>
      </c>
      <c r="C19" s="7">
        <v>1.16666666666672</v>
      </c>
      <c r="G19" s="13">
        <v>46007</v>
      </c>
      <c r="H19" s="22">
        <f>'New method'!I642+'New method'!I668+'New method'!I676+'New method'!I682</f>
        <v>2.5175475</v>
      </c>
      <c r="I19" s="22">
        <f>'New method'!M642+'New method'!M668+'New method'!M676+'New method'!M682</f>
        <v>0.10003000000000001</v>
      </c>
      <c r="L19" t="s">
        <v>18</v>
      </c>
      <c r="M19" s="4">
        <f>AVERAGE(M4:M18)</f>
        <v>40</v>
      </c>
    </row>
    <row r="20" spans="2:13" ht="23.25" customHeight="1">
      <c r="B20" s="7">
        <v>1.16666666666672</v>
      </c>
      <c r="C20" s="7">
        <v>1.1770833333333901</v>
      </c>
      <c r="G20" s="13">
        <v>46008</v>
      </c>
      <c r="H20" s="22">
        <f>'New method'!I706+'New method'!I723+'New method'!I734</f>
        <v>2.1844225000000002</v>
      </c>
      <c r="I20" s="22">
        <f>'New method'!M706+'New method'!M723+'New method'!M734</f>
        <v>0.10095999999999992</v>
      </c>
      <c r="L20" t="s">
        <v>19</v>
      </c>
      <c r="M20" s="4">
        <v>80</v>
      </c>
    </row>
    <row r="21" spans="2:13" ht="23.25" customHeight="1">
      <c r="B21" s="7">
        <v>1.1770833333333901</v>
      </c>
      <c r="C21" s="7">
        <v>1.18750000000006</v>
      </c>
      <c r="G21" s="13">
        <v>46009</v>
      </c>
      <c r="H21" s="22">
        <f>'New method'!I739+'New method'!I760+'New method'!I787+'New method'!I802</f>
        <v>2.7128549999999998</v>
      </c>
      <c r="I21" s="22">
        <f>'New method'!M739+'New method'!M760+'New method'!M787+'New method'!M802</f>
        <v>0.15581499999999995</v>
      </c>
    </row>
    <row r="22" spans="2:13" ht="23.25" customHeight="1">
      <c r="B22" s="7">
        <v>1.18750000000006</v>
      </c>
      <c r="C22" s="7">
        <v>1.19791666666673</v>
      </c>
      <c r="G22" s="13">
        <v>46010</v>
      </c>
      <c r="H22" s="22">
        <f>'New method'!I820+'New method'!I833+'New method'!I848</f>
        <v>1.8468225</v>
      </c>
      <c r="I22" s="22">
        <f>'New method'!M820+'New method'!M833+'New method'!M848</f>
        <v>7.654000000000008E-2</v>
      </c>
    </row>
    <row r="23" spans="2:13" ht="23.25" customHeight="1">
      <c r="B23" s="7">
        <v>1.19791666666673</v>
      </c>
      <c r="C23" s="7">
        <v>1.2083333333334001</v>
      </c>
      <c r="G23" s="13">
        <v>46011</v>
      </c>
      <c r="H23" s="22">
        <f>'New method'!I868+'New method'!I882+'New method'!I899</f>
        <v>2.1295424999999999</v>
      </c>
      <c r="I23" s="22">
        <f>'New method'!M868+'New method'!M882+'New method'!M899</f>
        <v>6.8520000000000011E-2</v>
      </c>
    </row>
    <row r="24" spans="2:13" ht="23.25" customHeight="1">
      <c r="B24" s="7">
        <v>1.2083333333334001</v>
      </c>
      <c r="C24" s="7">
        <v>1.2187500000000699</v>
      </c>
      <c r="G24" s="13">
        <v>46012</v>
      </c>
      <c r="H24" s="22">
        <f>'New method'!I923+'New method'!I945+'New method'!I958</f>
        <v>2.5571250000000001</v>
      </c>
      <c r="I24" s="22">
        <f>'New method'!M923+'New method'!M945+'New method'!M958</f>
        <v>5.9724999999999931E-2</v>
      </c>
    </row>
    <row r="25" spans="2:13" ht="23.25" customHeight="1">
      <c r="B25" s="7">
        <v>1.2187500000000699</v>
      </c>
      <c r="C25" s="7">
        <v>1.22916666666674</v>
      </c>
      <c r="G25" s="13">
        <v>46013</v>
      </c>
      <c r="H25" s="22">
        <f>'New method'!I983+'New method'!I995+'New method'!I1001+'New method'!I1017</f>
        <v>2.9313099999999999</v>
      </c>
      <c r="I25" s="22">
        <f>'New method'!M983+'New method'!M995+'New method'!M1001+'New method'!M1017</f>
        <v>0.10037499999999994</v>
      </c>
    </row>
    <row r="26" spans="2:13" ht="23.25" customHeight="1">
      <c r="B26" s="7">
        <v>1.22916666666674</v>
      </c>
      <c r="C26" s="7">
        <v>1.2395833333334101</v>
      </c>
      <c r="G26" s="13">
        <v>46014</v>
      </c>
      <c r="H26" s="22">
        <f>'New method'!I1048+'New method'!I1083+'New method'!I1101</f>
        <v>5.5174174999999996</v>
      </c>
      <c r="I26" s="22">
        <f>'New method'!M1048+'New method'!M1083+'New method'!M1101</f>
        <v>8.6425000000000043E-2</v>
      </c>
    </row>
    <row r="27" spans="2:13" ht="23.25" customHeight="1">
      <c r="B27" s="7">
        <v>1.2395833333334101</v>
      </c>
      <c r="C27" s="7">
        <v>1.2500000000000799</v>
      </c>
      <c r="G27" s="13">
        <v>46015</v>
      </c>
      <c r="H27" s="22">
        <f>'New method'!I1127+'New method'!I1138+'New method'!I1143+'New method'!I1147+'New method'!I1148+'New method'!I1155+'New method'!I1158+'New method'!I1163</f>
        <v>3.3779249999999998</v>
      </c>
      <c r="I27" s="22">
        <f>'New method'!M1127+'New method'!M1138+'New method'!M1143+'New method'!M1147+'New method'!M1148+'New method'!M1155+'New method'!M1158+'New method'!M1163</f>
        <v>3.1285000000000021E-2</v>
      </c>
    </row>
    <row r="28" spans="2:13" ht="23.25" customHeight="1">
      <c r="B28" s="7">
        <v>1.2500000000000799</v>
      </c>
      <c r="C28" s="7">
        <v>1.26041666666675</v>
      </c>
      <c r="G28" s="13">
        <v>46016</v>
      </c>
      <c r="H28" s="22">
        <f>'New method'!I1194+'New method'!I1250</f>
        <v>7.1033387499999989</v>
      </c>
      <c r="I28" s="22">
        <f>'New method'!M1194+'New method'!M1250</f>
        <v>7.0083750000000028E-2</v>
      </c>
    </row>
    <row r="29" spans="2:13" ht="23.25" customHeight="1">
      <c r="B29" s="7">
        <v>1.26041666666675</v>
      </c>
      <c r="C29" s="7">
        <v>1.2708333333334201</v>
      </c>
      <c r="G29" s="13">
        <v>46017</v>
      </c>
      <c r="H29" s="22">
        <f>'New method'!I1276+'New method'!I1321</f>
        <v>5.6676850000000005</v>
      </c>
      <c r="I29" s="22">
        <f>'New method'!M1276+'New method'!M1321</f>
        <v>6.7612499999999937E-2</v>
      </c>
    </row>
    <row r="30" spans="2:13" ht="23.25" customHeight="1">
      <c r="B30" s="7">
        <v>1.2708333333334201</v>
      </c>
      <c r="C30" s="7">
        <v>1.2812500000000899</v>
      </c>
      <c r="G30" s="13">
        <v>46018</v>
      </c>
      <c r="H30" s="22">
        <f>'New method'!I1352+'New method'!I1375+'New method'!I1393</f>
        <v>5.2207775000000005</v>
      </c>
      <c r="I30" s="22">
        <f>'New method'!M1352+'New method'!M1375+'New method'!M1393</f>
        <v>6.1927499999999983E-2</v>
      </c>
    </row>
    <row r="31" spans="2:13" ht="23.25" customHeight="1">
      <c r="B31" s="7">
        <v>1.2812500000000899</v>
      </c>
      <c r="C31" s="7">
        <v>1.29166666666676</v>
      </c>
      <c r="G31" s="13">
        <v>46019</v>
      </c>
      <c r="H31" s="22">
        <f>'New method'!I1423+'New method'!I1441+'New method'!I1451+'New method'!I1467</f>
        <v>5.7240774999999999</v>
      </c>
      <c r="I31" s="22">
        <f>'New method'!M1423+'New method'!M1441+'New method'!M1451+'New method'!M1467</f>
        <v>5.6020000000000014E-2</v>
      </c>
    </row>
    <row r="32" spans="2:13" ht="23.25" customHeight="1">
      <c r="B32" s="7">
        <v>1.29166666666676</v>
      </c>
      <c r="C32" s="7">
        <v>1.3020833333334301</v>
      </c>
      <c r="G32" s="13">
        <v>46020</v>
      </c>
      <c r="H32" s="22">
        <f>'New method'!I1495+'New method'!I1523+'New method'!I1540</f>
        <v>6.4082625000000011</v>
      </c>
      <c r="I32" s="22">
        <f>'New method'!M1495+'New method'!M1523+'New method'!M1540</f>
        <v>0.15172999999999989</v>
      </c>
    </row>
    <row r="33" spans="2:9" ht="23.25" customHeight="1">
      <c r="B33" s="7">
        <v>1.3020833333334301</v>
      </c>
      <c r="C33" s="7">
        <v>1.3125000000000999</v>
      </c>
      <c r="G33" s="13">
        <v>46021</v>
      </c>
      <c r="H33" s="22">
        <f>'New method'!I1570+'New method'!I1575+'New method'!I1583+'New method'!I1598+'New method'!I1615</f>
        <v>6.9685649999999999</v>
      </c>
      <c r="I33" s="22">
        <f>'New method'!M1570+'New method'!M1575+'New method'!M1583+'New method'!M1598+'New method'!M1615</f>
        <v>7.3207499999999981E-2</v>
      </c>
    </row>
    <row r="34" spans="2:9" ht="27.75" customHeight="1">
      <c r="B34" s="7">
        <v>1.3125000000000999</v>
      </c>
      <c r="C34" s="7">
        <v>1.32291666666677</v>
      </c>
      <c r="G34" s="13">
        <v>46022</v>
      </c>
      <c r="H34" s="22">
        <f>'New method'!I1644+'New method'!I1675+'New method'!I1692</f>
        <v>6.8601074999999989</v>
      </c>
      <c r="I34" s="22">
        <f>'New method'!M1644+'New method'!M1675+'New method'!M1692</f>
        <v>8.9974999999999972E-2</v>
      </c>
    </row>
    <row r="35" spans="2:9" ht="30" customHeight="1">
      <c r="B35" s="7">
        <v>1.32291666666677</v>
      </c>
      <c r="C35" s="7">
        <v>1.3333333333334401</v>
      </c>
      <c r="G35" s="12" t="s">
        <v>12</v>
      </c>
      <c r="H35" s="28">
        <f>SUM(H4:H34)</f>
        <v>92.637781250000003</v>
      </c>
      <c r="I35" s="28">
        <f>SUM(I4:I34)</f>
        <v>2.6058962500000002</v>
      </c>
    </row>
    <row r="36" spans="2:9">
      <c r="B36" s="7">
        <v>1.3333333333334401</v>
      </c>
      <c r="C36" s="7">
        <v>1.3437500000001099</v>
      </c>
    </row>
    <row r="37" spans="2:9">
      <c r="B37" s="7">
        <v>1.3437500000001099</v>
      </c>
      <c r="C37" s="7">
        <v>1.35416666666678</v>
      </c>
    </row>
    <row r="38" spans="2:9">
      <c r="B38" s="7">
        <v>1.35416666666678</v>
      </c>
      <c r="C38" s="7">
        <v>1.3645833333334401</v>
      </c>
    </row>
    <row r="39" spans="2:9">
      <c r="B39" s="7">
        <v>1.3645833333334501</v>
      </c>
      <c r="C39" s="7">
        <v>1.3750000000001199</v>
      </c>
    </row>
    <row r="40" spans="2:9">
      <c r="B40" s="7">
        <v>1.3750000000001199</v>
      </c>
      <c r="C40" s="7">
        <v>1.38541666666679</v>
      </c>
    </row>
    <row r="41" spans="2:9">
      <c r="B41" s="7">
        <v>1.38541666666679</v>
      </c>
      <c r="C41" s="7">
        <v>1.3958333333334501</v>
      </c>
    </row>
    <row r="42" spans="2:9">
      <c r="B42" s="7">
        <v>1.39583333333346</v>
      </c>
      <c r="C42" s="7">
        <v>1.4062500000001199</v>
      </c>
    </row>
    <row r="43" spans="2:9">
      <c r="B43" s="7">
        <v>1.4062500000001299</v>
      </c>
      <c r="C43" s="7">
        <v>1.41666666666679</v>
      </c>
    </row>
    <row r="44" spans="2:9">
      <c r="B44" s="7">
        <v>1.4166666666668</v>
      </c>
      <c r="C44" s="7">
        <v>1.42708333333346</v>
      </c>
    </row>
    <row r="45" spans="2:9">
      <c r="B45" s="7">
        <v>1.42708333333347</v>
      </c>
      <c r="C45" s="7">
        <v>1.4375000000001299</v>
      </c>
    </row>
    <row r="46" spans="2:9">
      <c r="B46" s="7">
        <v>1.4375000000001401</v>
      </c>
      <c r="C46" s="7">
        <v>1.4479166666668</v>
      </c>
    </row>
    <row r="47" spans="2:9">
      <c r="B47" s="7">
        <v>1.44791666666681</v>
      </c>
      <c r="C47" s="7">
        <v>1.45833333333347</v>
      </c>
    </row>
    <row r="48" spans="2:9">
      <c r="B48" s="7">
        <v>1.45833333333348</v>
      </c>
      <c r="C48" s="7">
        <v>1.4687500000001401</v>
      </c>
    </row>
    <row r="49" spans="2:3">
      <c r="B49" s="7">
        <v>1.4687500000001501</v>
      </c>
      <c r="C49" s="7">
        <v>1.47916666666681</v>
      </c>
    </row>
    <row r="50" spans="2:3">
      <c r="B50" s="7">
        <v>1.47916666666682</v>
      </c>
      <c r="C50" s="7">
        <v>1.48958333333348</v>
      </c>
    </row>
    <row r="51" spans="2:3">
      <c r="B51" s="7">
        <v>1.48958333333349</v>
      </c>
      <c r="C51" s="7">
        <v>1.5000000000001501</v>
      </c>
    </row>
    <row r="52" spans="2:3">
      <c r="B52" s="7">
        <v>1.5000000000001601</v>
      </c>
      <c r="C52" s="7">
        <v>1.51041666666682</v>
      </c>
    </row>
    <row r="53" spans="2:3">
      <c r="B53" s="7">
        <v>1.5104166666668299</v>
      </c>
      <c r="C53" s="7">
        <v>1.52083333333349</v>
      </c>
    </row>
    <row r="54" spans="2:3">
      <c r="B54" s="7">
        <v>1.5208333333335</v>
      </c>
      <c r="C54" s="7">
        <v>1.5312500000001601</v>
      </c>
    </row>
    <row r="55" spans="2:3">
      <c r="B55" s="7">
        <v>1.5312500000001701</v>
      </c>
      <c r="C55" s="7">
        <v>1.5416666666668299</v>
      </c>
    </row>
    <row r="56" spans="2:3">
      <c r="B56" s="7">
        <v>1.5416666666668399</v>
      </c>
      <c r="C56" s="7">
        <v>1.5520833333335</v>
      </c>
    </row>
    <row r="57" spans="2:3">
      <c r="B57" s="7">
        <v>1.55208333333351</v>
      </c>
      <c r="C57" s="7">
        <v>1.5625000000001701</v>
      </c>
    </row>
    <row r="58" spans="2:3">
      <c r="B58" s="7">
        <v>1.5625000000001801</v>
      </c>
      <c r="C58" s="7">
        <v>1.5729166666668399</v>
      </c>
    </row>
    <row r="59" spans="2:3">
      <c r="B59" s="7">
        <v>1.5729166666668499</v>
      </c>
      <c r="C59" s="7">
        <v>1.58333333333351</v>
      </c>
    </row>
    <row r="60" spans="2:3">
      <c r="B60" s="7">
        <v>1.58333333333352</v>
      </c>
      <c r="C60" s="7">
        <v>1.5937500000001801</v>
      </c>
    </row>
    <row r="61" spans="2:3">
      <c r="B61" s="7">
        <v>1.5937500000001901</v>
      </c>
      <c r="C61" s="7">
        <v>1.6041666666668499</v>
      </c>
    </row>
    <row r="62" spans="2:3">
      <c r="B62" s="7">
        <v>1.6041666666668599</v>
      </c>
      <c r="C62" s="7">
        <v>1.61458333333352</v>
      </c>
    </row>
    <row r="63" spans="2:3">
      <c r="B63" s="7">
        <v>1.61458333333353</v>
      </c>
      <c r="C63" s="7">
        <v>1.6250000000001901</v>
      </c>
    </row>
    <row r="64" spans="2:3">
      <c r="B64" s="7">
        <v>1.6250000000002001</v>
      </c>
      <c r="C64" s="7">
        <v>1.6354166666668599</v>
      </c>
    </row>
    <row r="65" spans="2:3">
      <c r="B65" s="7">
        <v>1.6354166666668699</v>
      </c>
      <c r="C65" s="7">
        <v>1.64583333333353</v>
      </c>
    </row>
    <row r="66" spans="2:3">
      <c r="B66" s="7">
        <v>1.64583333333354</v>
      </c>
      <c r="C66" s="7">
        <v>1.6562500000002001</v>
      </c>
    </row>
    <row r="67" spans="2:3">
      <c r="B67" s="7">
        <v>1.6562500000002101</v>
      </c>
      <c r="C67" s="7">
        <v>1.6666666666668699</v>
      </c>
    </row>
    <row r="68" spans="2:3">
      <c r="B68" s="7">
        <v>1.6666666666668899</v>
      </c>
      <c r="C68" s="7">
        <v>1.67708333333354</v>
      </c>
    </row>
    <row r="69" spans="2:3">
      <c r="B69" s="7">
        <v>1.67708333333356</v>
      </c>
      <c r="C69" s="7">
        <v>1.6875000000002101</v>
      </c>
    </row>
    <row r="70" spans="2:3">
      <c r="B70" s="7">
        <v>1.68750000000023</v>
      </c>
      <c r="C70" s="7">
        <v>1.6979166666668799</v>
      </c>
    </row>
    <row r="71" spans="2:3">
      <c r="B71" s="7">
        <v>1.6979166666669001</v>
      </c>
      <c r="C71" s="7">
        <v>1.70833333333355</v>
      </c>
    </row>
    <row r="72" spans="2:3">
      <c r="B72" s="7">
        <v>1.70833333333356</v>
      </c>
      <c r="C72" s="7">
        <v>1.71875000000022</v>
      </c>
    </row>
    <row r="73" spans="2:3">
      <c r="B73" s="7">
        <v>1.71875000000023</v>
      </c>
      <c r="C73" s="7">
        <v>1.7291666666668899</v>
      </c>
    </row>
    <row r="74" spans="2:3">
      <c r="B74" s="7">
        <v>1.7291666666669001</v>
      </c>
      <c r="C74" s="7">
        <v>1.73958333333356</v>
      </c>
    </row>
    <row r="75" spans="2:3">
      <c r="B75" s="7">
        <v>1.73958333333358</v>
      </c>
      <c r="C75" s="7">
        <v>1.75000000000023</v>
      </c>
    </row>
    <row r="76" spans="2:3">
      <c r="B76" s="7">
        <v>1.75000000000025</v>
      </c>
      <c r="C76" s="7">
        <v>1.7604166666669001</v>
      </c>
    </row>
    <row r="77" spans="2:3">
      <c r="B77" s="7">
        <v>1.7604166666669101</v>
      </c>
      <c r="C77" s="7">
        <v>1.77083333333357</v>
      </c>
    </row>
    <row r="78" spans="2:3">
      <c r="B78" s="7">
        <v>1.77083333333358</v>
      </c>
      <c r="C78" s="7">
        <v>1.78125000000024</v>
      </c>
    </row>
    <row r="79" spans="2:3">
      <c r="B79" s="7">
        <v>1.78125000000025</v>
      </c>
      <c r="C79" s="7">
        <v>1.7916666666669101</v>
      </c>
    </row>
    <row r="80" spans="2:3">
      <c r="B80" s="7">
        <v>1.7916666666669201</v>
      </c>
      <c r="C80" s="7">
        <v>1.80208333333358</v>
      </c>
    </row>
    <row r="81" spans="2:3">
      <c r="B81" s="7">
        <v>1.8020833333335999</v>
      </c>
      <c r="C81" s="7">
        <v>1.81250000000025</v>
      </c>
    </row>
    <row r="82" spans="2:3">
      <c r="B82" s="7">
        <v>1.81250000000027</v>
      </c>
      <c r="C82" s="7">
        <v>1.8229166666669201</v>
      </c>
    </row>
    <row r="83" spans="2:3">
      <c r="B83" s="7">
        <v>1.8229166666669401</v>
      </c>
      <c r="C83" s="7">
        <v>1.8333333333335899</v>
      </c>
    </row>
    <row r="84" spans="2:3">
      <c r="B84" s="7">
        <v>1.8333333333336099</v>
      </c>
      <c r="C84" s="7">
        <v>1.84375000000026</v>
      </c>
    </row>
    <row r="85" spans="2:3">
      <c r="B85" s="7">
        <v>1.84375000000028</v>
      </c>
      <c r="C85" s="7">
        <v>1.8541666666669301</v>
      </c>
    </row>
    <row r="86" spans="2:3">
      <c r="B86" s="7">
        <v>1.8541666666669501</v>
      </c>
      <c r="C86" s="7">
        <v>1.8645833333335999</v>
      </c>
    </row>
    <row r="87" spans="2:3">
      <c r="B87" s="7">
        <v>1.8645833333336199</v>
      </c>
      <c r="C87" s="7">
        <v>1.87500000000027</v>
      </c>
    </row>
    <row r="88" spans="2:3">
      <c r="B88" s="7">
        <v>1.87500000000029</v>
      </c>
      <c r="C88" s="7">
        <v>1.8854166666669401</v>
      </c>
    </row>
    <row r="89" spans="2:3">
      <c r="B89" s="7">
        <v>1.8854166666669601</v>
      </c>
      <c r="C89" s="7">
        <v>1.8958333333336099</v>
      </c>
    </row>
    <row r="90" spans="2:3">
      <c r="B90" s="7">
        <v>1.8958333333336299</v>
      </c>
      <c r="C90" s="7">
        <v>1.90625000000028</v>
      </c>
    </row>
    <row r="91" spans="2:3">
      <c r="B91" s="7">
        <v>1.9062500000003</v>
      </c>
      <c r="C91" s="7">
        <v>1.9166666666669501</v>
      </c>
    </row>
    <row r="92" spans="2:3">
      <c r="B92" s="7">
        <v>1.9166666666669701</v>
      </c>
      <c r="C92" s="7">
        <v>1.9270833333336199</v>
      </c>
    </row>
    <row r="93" spans="2:3">
      <c r="B93" s="7">
        <v>1.9270833333336399</v>
      </c>
      <c r="C93" s="7">
        <v>1.93750000000029</v>
      </c>
    </row>
    <row r="94" spans="2:3">
      <c r="B94" s="7">
        <v>1.93750000000031</v>
      </c>
      <c r="C94" s="7">
        <v>1.9479166666669601</v>
      </c>
    </row>
    <row r="95" spans="2:3">
      <c r="B95" s="7">
        <v>1.94791666666698</v>
      </c>
      <c r="C95" s="7">
        <v>1.9583333333336299</v>
      </c>
    </row>
    <row r="96" spans="2:3">
      <c r="B96" s="7">
        <v>1.9583333333336499</v>
      </c>
      <c r="C96" s="7">
        <v>1.9687500000003</v>
      </c>
    </row>
    <row r="97" spans="2:3">
      <c r="B97" s="7">
        <v>1.96875000000032</v>
      </c>
      <c r="C97" s="7">
        <v>1.9791666666669701</v>
      </c>
    </row>
    <row r="98" spans="2:3">
      <c r="B98" s="7">
        <v>1.97916666666699</v>
      </c>
      <c r="C98" s="7">
        <v>1.9895833333336399</v>
      </c>
    </row>
    <row r="99" spans="2:3">
      <c r="B99" s="7">
        <v>1.9895833333336601</v>
      </c>
      <c r="C99" s="7">
        <v>2.00000000000031</v>
      </c>
    </row>
    <row r="100" spans="2:3">
      <c r="B100" s="7">
        <v>2.00000000000033</v>
      </c>
      <c r="C100" s="7">
        <v>2.01041666666698</v>
      </c>
    </row>
  </sheetData>
  <mergeCells count="1">
    <mergeCell ref="G2:I2"/>
  </mergeCells>
  <pageMargins left="0.7" right="0.7" top="0.75" bottom="0.75" header="0.3" footer="0.3"/>
  <pageSetup paperSize="9" scale="90" orientation="portrait" r:id="rId1"/>
  <rowBreaks count="1" manualBreakCount="1">
    <brk id="3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B3:T21"/>
  <sheetViews>
    <sheetView workbookViewId="0">
      <selection activeCell="F21" sqref="F21"/>
    </sheetView>
  </sheetViews>
  <sheetFormatPr defaultRowHeight="15"/>
  <cols>
    <col min="8" max="8" width="10" customWidth="1"/>
    <col min="9" max="9" width="9.7109375" customWidth="1"/>
    <col min="10" max="10" width="10.140625" customWidth="1"/>
  </cols>
  <sheetData>
    <row r="3" spans="2:20">
      <c r="B3" s="87" t="s">
        <v>23</v>
      </c>
      <c r="C3" s="87"/>
      <c r="D3" s="87"/>
      <c r="E3" s="87"/>
      <c r="H3" s="87" t="s">
        <v>22</v>
      </c>
      <c r="I3" s="87"/>
      <c r="J3" s="87"/>
      <c r="L3" s="87" t="s">
        <v>24</v>
      </c>
      <c r="M3" s="87"/>
      <c r="N3" s="87"/>
      <c r="O3" s="87"/>
      <c r="Q3" s="87" t="s">
        <v>21</v>
      </c>
      <c r="R3" s="87"/>
      <c r="S3" s="87"/>
      <c r="T3" s="87"/>
    </row>
    <row r="4" spans="2:20" ht="45">
      <c r="B4" s="4"/>
      <c r="C4" s="4">
        <f t="shared" ref="C4:E5" si="0">C3+6</f>
        <v>6</v>
      </c>
      <c r="D4" s="4">
        <f t="shared" si="0"/>
        <v>6</v>
      </c>
      <c r="E4" s="4">
        <f t="shared" si="0"/>
        <v>6</v>
      </c>
      <c r="H4" s="18" t="s">
        <v>15</v>
      </c>
      <c r="I4" s="18" t="s">
        <v>16</v>
      </c>
      <c r="J4" s="18" t="s">
        <v>17</v>
      </c>
      <c r="L4" s="4"/>
      <c r="M4" s="4">
        <f t="shared" ref="M4:O5" si="1">M3+8</f>
        <v>8</v>
      </c>
      <c r="N4" s="4">
        <f t="shared" si="1"/>
        <v>8</v>
      </c>
      <c r="O4" s="4">
        <f t="shared" si="1"/>
        <v>8</v>
      </c>
      <c r="Q4" s="4"/>
      <c r="R4" s="4">
        <f>R3+2.1</f>
        <v>2.1</v>
      </c>
      <c r="S4" s="4">
        <f t="shared" ref="S4:T19" si="2">S3+2.1</f>
        <v>2.1</v>
      </c>
      <c r="T4" s="4">
        <f t="shared" si="2"/>
        <v>2.1</v>
      </c>
    </row>
    <row r="5" spans="2:20">
      <c r="B5" s="4"/>
      <c r="C5" s="4">
        <f t="shared" si="0"/>
        <v>12</v>
      </c>
      <c r="D5" s="4">
        <f t="shared" si="0"/>
        <v>12</v>
      </c>
      <c r="E5" s="4">
        <f t="shared" si="0"/>
        <v>12</v>
      </c>
      <c r="H5" s="4">
        <v>5</v>
      </c>
      <c r="I5" s="4">
        <v>5</v>
      </c>
      <c r="J5" s="4">
        <v>5</v>
      </c>
      <c r="L5" s="4"/>
      <c r="M5" s="4">
        <f t="shared" si="1"/>
        <v>16</v>
      </c>
      <c r="N5" s="4">
        <f t="shared" si="1"/>
        <v>16</v>
      </c>
      <c r="O5" s="4">
        <f t="shared" si="1"/>
        <v>16</v>
      </c>
      <c r="Q5" s="4"/>
      <c r="R5" s="4">
        <f>R4+2.1</f>
        <v>4.2</v>
      </c>
      <c r="S5" s="4">
        <f t="shared" si="2"/>
        <v>4.2</v>
      </c>
      <c r="T5" s="4">
        <f t="shared" si="2"/>
        <v>4.2</v>
      </c>
    </row>
    <row r="6" spans="2:20">
      <c r="B6" s="4"/>
      <c r="C6" s="4">
        <f t="shared" ref="C6:C8" si="3">C5+6</f>
        <v>18</v>
      </c>
      <c r="D6" s="4">
        <f t="shared" ref="D6:D13" si="4">D5+6</f>
        <v>18</v>
      </c>
      <c r="E6" s="4">
        <f t="shared" ref="E6:E19" si="5">E5+6</f>
        <v>18</v>
      </c>
      <c r="H6" s="4">
        <v>10</v>
      </c>
      <c r="I6" s="4">
        <v>10</v>
      </c>
      <c r="J6" s="4">
        <v>10</v>
      </c>
      <c r="L6" s="4"/>
      <c r="M6" s="4">
        <f t="shared" ref="M6:M8" si="6">M5+8</f>
        <v>24</v>
      </c>
      <c r="N6" s="4">
        <f t="shared" ref="N6:N13" si="7">N5+8</f>
        <v>24</v>
      </c>
      <c r="O6" s="4">
        <f t="shared" ref="O6:O18" si="8">O5+8</f>
        <v>24</v>
      </c>
      <c r="Q6" s="4"/>
      <c r="R6" s="4">
        <f t="shared" ref="R6:R8" si="9">R5+2.1</f>
        <v>6.3000000000000007</v>
      </c>
      <c r="S6" s="4">
        <f t="shared" si="2"/>
        <v>6.3000000000000007</v>
      </c>
      <c r="T6" s="4">
        <f t="shared" si="2"/>
        <v>6.3000000000000007</v>
      </c>
    </row>
    <row r="7" spans="2:20">
      <c r="B7" s="4"/>
      <c r="C7" s="4">
        <f t="shared" si="3"/>
        <v>24</v>
      </c>
      <c r="D7" s="4">
        <f t="shared" si="4"/>
        <v>24</v>
      </c>
      <c r="E7" s="4">
        <f t="shared" si="5"/>
        <v>24</v>
      </c>
      <c r="H7" s="4">
        <v>15</v>
      </c>
      <c r="I7" s="4">
        <v>15</v>
      </c>
      <c r="J7" s="4">
        <v>15</v>
      </c>
      <c r="L7" s="4"/>
      <c r="M7" s="4">
        <f t="shared" si="6"/>
        <v>32</v>
      </c>
      <c r="N7" s="4">
        <f t="shared" si="7"/>
        <v>32</v>
      </c>
      <c r="O7" s="4">
        <f t="shared" si="8"/>
        <v>32</v>
      </c>
      <c r="Q7" s="4"/>
      <c r="R7" s="4">
        <f t="shared" si="9"/>
        <v>8.4</v>
      </c>
      <c r="S7" s="4">
        <f t="shared" si="2"/>
        <v>8.4</v>
      </c>
      <c r="T7" s="4">
        <f t="shared" si="2"/>
        <v>8.4</v>
      </c>
    </row>
    <row r="8" spans="2:20">
      <c r="B8" s="4"/>
      <c r="C8" s="4">
        <f t="shared" si="3"/>
        <v>30</v>
      </c>
      <c r="D8" s="4">
        <f t="shared" si="4"/>
        <v>30</v>
      </c>
      <c r="E8" s="4">
        <f t="shared" si="5"/>
        <v>30</v>
      </c>
      <c r="H8" s="4">
        <v>20</v>
      </c>
      <c r="I8" s="4">
        <v>20</v>
      </c>
      <c r="J8" s="4">
        <v>20</v>
      </c>
      <c r="L8" s="4"/>
      <c r="M8" s="4">
        <f t="shared" si="6"/>
        <v>40</v>
      </c>
      <c r="N8" s="4">
        <f t="shared" si="7"/>
        <v>40</v>
      </c>
      <c r="O8" s="4">
        <f t="shared" si="8"/>
        <v>40</v>
      </c>
      <c r="Q8" s="4"/>
      <c r="R8" s="4">
        <f t="shared" si="9"/>
        <v>10.5</v>
      </c>
      <c r="S8" s="4">
        <f t="shared" si="2"/>
        <v>10.5</v>
      </c>
      <c r="T8" s="4">
        <f t="shared" si="2"/>
        <v>10.5</v>
      </c>
    </row>
    <row r="9" spans="2:20">
      <c r="B9" s="4" t="s">
        <v>18</v>
      </c>
      <c r="C9" s="4">
        <f>AVERAGE(C4:C8)</f>
        <v>18</v>
      </c>
      <c r="D9" s="4">
        <f t="shared" si="4"/>
        <v>36</v>
      </c>
      <c r="E9" s="4">
        <f t="shared" si="5"/>
        <v>36</v>
      </c>
      <c r="H9" s="4">
        <v>25</v>
      </c>
      <c r="I9" s="4">
        <v>25</v>
      </c>
      <c r="J9" s="4">
        <v>25</v>
      </c>
      <c r="L9" s="4" t="s">
        <v>18</v>
      </c>
      <c r="M9" s="4">
        <f>AVERAGE(M4:M8)</f>
        <v>24</v>
      </c>
      <c r="N9" s="4">
        <f t="shared" si="7"/>
        <v>48</v>
      </c>
      <c r="O9" s="4">
        <f t="shared" si="8"/>
        <v>48</v>
      </c>
      <c r="Q9" s="4" t="s">
        <v>18</v>
      </c>
      <c r="R9" s="4">
        <f>AVERAGE(R4:R8)</f>
        <v>6.3</v>
      </c>
      <c r="S9" s="4">
        <f t="shared" si="2"/>
        <v>12.6</v>
      </c>
      <c r="T9" s="4">
        <f t="shared" si="2"/>
        <v>12.6</v>
      </c>
    </row>
    <row r="10" spans="2:20">
      <c r="B10" s="4"/>
      <c r="C10" s="4"/>
      <c r="D10" s="4">
        <f t="shared" si="4"/>
        <v>42</v>
      </c>
      <c r="E10" s="4">
        <f t="shared" si="5"/>
        <v>42</v>
      </c>
      <c r="G10" s="4" t="s">
        <v>18</v>
      </c>
      <c r="H10" s="48">
        <f>AVERAGE(H5:H9)</f>
        <v>15</v>
      </c>
      <c r="I10" s="4">
        <v>30</v>
      </c>
      <c r="J10" s="4">
        <v>30</v>
      </c>
      <c r="L10" s="4"/>
      <c r="M10" s="4"/>
      <c r="N10" s="4">
        <f t="shared" si="7"/>
        <v>56</v>
      </c>
      <c r="O10" s="4">
        <f t="shared" si="8"/>
        <v>56</v>
      </c>
      <c r="Q10" s="4" t="s">
        <v>20</v>
      </c>
      <c r="R10" s="4">
        <v>12.6</v>
      </c>
      <c r="S10" s="4">
        <f t="shared" si="2"/>
        <v>14.7</v>
      </c>
      <c r="T10" s="4">
        <f t="shared" si="2"/>
        <v>14.7</v>
      </c>
    </row>
    <row r="11" spans="2:20">
      <c r="B11" s="4"/>
      <c r="C11" s="4"/>
      <c r="D11" s="4">
        <f t="shared" si="4"/>
        <v>48</v>
      </c>
      <c r="E11" s="4">
        <f t="shared" si="5"/>
        <v>48</v>
      </c>
      <c r="G11" s="4" t="s">
        <v>19</v>
      </c>
      <c r="H11" s="48">
        <v>30</v>
      </c>
      <c r="I11" s="4">
        <v>35</v>
      </c>
      <c r="J11" s="4">
        <v>35</v>
      </c>
      <c r="L11" s="4"/>
      <c r="M11" s="4"/>
      <c r="N11" s="4">
        <f t="shared" si="7"/>
        <v>64</v>
      </c>
      <c r="O11" s="4">
        <f t="shared" si="8"/>
        <v>64</v>
      </c>
      <c r="Q11" s="4"/>
      <c r="R11" s="4"/>
      <c r="S11" s="4">
        <f t="shared" si="2"/>
        <v>16.8</v>
      </c>
      <c r="T11" s="4">
        <f t="shared" si="2"/>
        <v>16.8</v>
      </c>
    </row>
    <row r="12" spans="2:20">
      <c r="B12" s="4"/>
      <c r="C12" s="4"/>
      <c r="D12" s="4">
        <f t="shared" si="4"/>
        <v>54</v>
      </c>
      <c r="E12" s="4">
        <f t="shared" si="5"/>
        <v>54</v>
      </c>
      <c r="G12" s="4"/>
      <c r="H12" s="4"/>
      <c r="I12" s="4">
        <v>40</v>
      </c>
      <c r="J12" s="4">
        <v>40</v>
      </c>
      <c r="L12" s="4"/>
      <c r="M12" s="4"/>
      <c r="N12" s="4">
        <f t="shared" si="7"/>
        <v>72</v>
      </c>
      <c r="O12" s="4">
        <f t="shared" si="8"/>
        <v>72</v>
      </c>
      <c r="Q12" s="4"/>
      <c r="R12" s="4"/>
      <c r="S12" s="4">
        <f t="shared" si="2"/>
        <v>18.900000000000002</v>
      </c>
      <c r="T12" s="4">
        <f t="shared" si="2"/>
        <v>18.900000000000002</v>
      </c>
    </row>
    <row r="13" spans="2:20">
      <c r="B13" s="4"/>
      <c r="C13" s="4"/>
      <c r="D13" s="4">
        <f t="shared" si="4"/>
        <v>60</v>
      </c>
      <c r="E13" s="4">
        <f t="shared" si="5"/>
        <v>60</v>
      </c>
      <c r="H13" s="4"/>
      <c r="I13" s="4">
        <v>45</v>
      </c>
      <c r="J13" s="4">
        <v>45</v>
      </c>
      <c r="L13" s="4"/>
      <c r="M13" s="4"/>
      <c r="N13" s="4">
        <f t="shared" si="7"/>
        <v>80</v>
      </c>
      <c r="O13" s="4">
        <f t="shared" si="8"/>
        <v>80</v>
      </c>
      <c r="Q13" s="4"/>
      <c r="R13" s="4"/>
      <c r="S13" s="4">
        <f t="shared" si="2"/>
        <v>21.000000000000004</v>
      </c>
      <c r="T13" s="4">
        <f t="shared" si="2"/>
        <v>21.000000000000004</v>
      </c>
    </row>
    <row r="14" spans="2:20">
      <c r="B14" s="4"/>
      <c r="C14" s="4" t="s">
        <v>18</v>
      </c>
      <c r="D14" s="4">
        <v>33</v>
      </c>
      <c r="E14" s="4">
        <f t="shared" si="5"/>
        <v>66</v>
      </c>
      <c r="H14" s="4"/>
      <c r="I14" s="4">
        <v>50</v>
      </c>
      <c r="J14" s="4">
        <v>50</v>
      </c>
      <c r="L14" s="4"/>
      <c r="M14" s="4" t="s">
        <v>18</v>
      </c>
      <c r="N14" s="4">
        <v>44</v>
      </c>
      <c r="O14" s="4">
        <f t="shared" si="8"/>
        <v>88</v>
      </c>
      <c r="Q14" s="4"/>
      <c r="R14" s="4" t="s">
        <v>18</v>
      </c>
      <c r="S14" s="4">
        <v>11.55</v>
      </c>
      <c r="T14" s="4">
        <f t="shared" si="2"/>
        <v>23.100000000000005</v>
      </c>
    </row>
    <row r="15" spans="2:20">
      <c r="B15" s="4"/>
      <c r="C15" s="4"/>
      <c r="D15" s="4"/>
      <c r="E15" s="4">
        <f t="shared" si="5"/>
        <v>72</v>
      </c>
      <c r="H15" s="4" t="s">
        <v>18</v>
      </c>
      <c r="I15" s="48">
        <f>AVERAGE(I5:I14)</f>
        <v>27.5</v>
      </c>
      <c r="J15" s="4">
        <v>55</v>
      </c>
      <c r="L15" s="4"/>
      <c r="M15" s="4"/>
      <c r="N15" s="4"/>
      <c r="O15" s="4">
        <f t="shared" si="8"/>
        <v>96</v>
      </c>
      <c r="Q15" s="4"/>
      <c r="R15" s="4" t="s">
        <v>20</v>
      </c>
      <c r="S15" s="4">
        <v>23.1</v>
      </c>
      <c r="T15" s="4">
        <f t="shared" si="2"/>
        <v>25.200000000000006</v>
      </c>
    </row>
    <row r="16" spans="2:20">
      <c r="B16" s="4"/>
      <c r="C16" s="4"/>
      <c r="D16" s="4"/>
      <c r="E16" s="4">
        <f t="shared" si="5"/>
        <v>78</v>
      </c>
      <c r="H16" s="4" t="s">
        <v>19</v>
      </c>
      <c r="I16" s="48">
        <v>55</v>
      </c>
      <c r="J16" s="4">
        <v>60</v>
      </c>
      <c r="L16" s="4"/>
      <c r="M16" s="4"/>
      <c r="N16" s="4"/>
      <c r="O16" s="4">
        <f t="shared" si="8"/>
        <v>104</v>
      </c>
      <c r="Q16" s="4"/>
      <c r="R16" s="4"/>
      <c r="S16" s="4"/>
      <c r="T16" s="4">
        <f t="shared" si="2"/>
        <v>27.300000000000008</v>
      </c>
    </row>
    <row r="17" spans="2:20">
      <c r="B17" s="4"/>
      <c r="C17" s="4"/>
      <c r="D17" s="4"/>
      <c r="E17" s="4">
        <f t="shared" si="5"/>
        <v>84</v>
      </c>
      <c r="H17" s="4"/>
      <c r="I17" s="4"/>
      <c r="J17" s="4">
        <v>65</v>
      </c>
      <c r="L17" s="4"/>
      <c r="M17" s="4"/>
      <c r="N17" s="4"/>
      <c r="O17" s="4">
        <f t="shared" si="8"/>
        <v>112</v>
      </c>
      <c r="Q17" s="4"/>
      <c r="R17" s="4"/>
      <c r="S17" s="4"/>
      <c r="T17" s="4">
        <f t="shared" si="2"/>
        <v>29.400000000000009</v>
      </c>
    </row>
    <row r="18" spans="2:20">
      <c r="B18" s="4"/>
      <c r="C18" s="4"/>
      <c r="D18" s="4"/>
      <c r="E18" s="4">
        <f t="shared" si="5"/>
        <v>90</v>
      </c>
      <c r="H18" s="4"/>
      <c r="I18" s="4"/>
      <c r="J18" s="4">
        <v>70</v>
      </c>
      <c r="L18" s="4"/>
      <c r="M18" s="4"/>
      <c r="N18" s="4"/>
      <c r="O18" s="4">
        <f t="shared" si="8"/>
        <v>120</v>
      </c>
      <c r="Q18" s="4"/>
      <c r="R18" s="4"/>
      <c r="S18" s="4"/>
      <c r="T18" s="4">
        <f t="shared" si="2"/>
        <v>31.500000000000011</v>
      </c>
    </row>
    <row r="19" spans="2:20">
      <c r="B19" s="4"/>
      <c r="C19" s="4"/>
      <c r="D19" s="4"/>
      <c r="E19" s="4">
        <f t="shared" si="5"/>
        <v>96</v>
      </c>
      <c r="H19" s="4"/>
      <c r="I19" s="4"/>
      <c r="J19" s="4">
        <v>75</v>
      </c>
      <c r="L19" s="4"/>
      <c r="M19" s="4"/>
      <c r="N19" s="4"/>
      <c r="O19" s="4">
        <f t="shared" ref="O19" si="10">O18+6</f>
        <v>126</v>
      </c>
      <c r="Q19" s="4"/>
      <c r="R19" s="4"/>
      <c r="S19" s="4"/>
      <c r="T19" s="4">
        <f t="shared" si="2"/>
        <v>33.600000000000009</v>
      </c>
    </row>
    <row r="20" spans="2:20">
      <c r="B20" s="4"/>
      <c r="C20" s="4"/>
      <c r="D20" s="4" t="s">
        <v>18</v>
      </c>
      <c r="E20" s="4">
        <v>17.850000000000001</v>
      </c>
      <c r="H20" s="4"/>
      <c r="I20" s="4" t="s">
        <v>18</v>
      </c>
      <c r="J20" s="48">
        <f>AVERAGE(J5:J19)</f>
        <v>40</v>
      </c>
      <c r="L20" s="4"/>
      <c r="M20" s="4"/>
      <c r="N20" s="4" t="s">
        <v>18</v>
      </c>
      <c r="O20" s="4">
        <v>67.875</v>
      </c>
      <c r="Q20" s="4"/>
      <c r="R20" s="4"/>
      <c r="S20" s="4" t="s">
        <v>18</v>
      </c>
      <c r="T20" s="4">
        <v>17.850000000000001</v>
      </c>
    </row>
    <row r="21" spans="2:20">
      <c r="B21" s="4"/>
      <c r="C21" s="4"/>
      <c r="D21" s="4"/>
      <c r="E21" s="4"/>
      <c r="H21" s="4"/>
      <c r="I21" s="4" t="s">
        <v>19</v>
      </c>
      <c r="J21" s="48">
        <v>80</v>
      </c>
      <c r="Q21" s="4"/>
      <c r="R21" s="4"/>
      <c r="S21" s="4" t="s">
        <v>20</v>
      </c>
      <c r="T21" s="4">
        <v>35.700000000000003</v>
      </c>
    </row>
  </sheetData>
  <mergeCells count="4">
    <mergeCell ref="Q3:T3"/>
    <mergeCell ref="H3:J3"/>
    <mergeCell ref="B3:E3"/>
    <mergeCell ref="L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New method</vt:lpstr>
      <vt:lpstr>Sheet1</vt:lpstr>
      <vt:lpstr>Sheet2</vt:lpstr>
      <vt:lpstr>'New method'!Print_Area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Hemalatha_2</dc:creator>
  <cp:lastModifiedBy>user</cp:lastModifiedBy>
  <cp:lastPrinted>2026-02-11T11:41:07Z</cp:lastPrinted>
  <dcterms:created xsi:type="dcterms:W3CDTF">2023-08-02T10:38:48Z</dcterms:created>
  <dcterms:modified xsi:type="dcterms:W3CDTF">2026-02-11T11:47:44Z</dcterms:modified>
</cp:coreProperties>
</file>